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ichValueRel.xml" ContentType="application/vnd.ms-excel.richvaluerel+xml"/>
  <Override PartName="/xl/richData/rdRichValueTypes.xml" ContentType="application/vnd.ms-excel.rdrichvaluetypes+xml"/>
  <Override PartName="/xl/richData/rdrichvalue.xml" ContentType="application/vnd.ms-excel.rdrichvalu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autoCompressPictures="0" defaultThemeVersion="124226"/>
  <mc:AlternateContent xmlns:mc="http://schemas.openxmlformats.org/markup-compatibility/2006">
    <mc:Choice Requires="x15">
      <x15ac:absPath xmlns:x15ac="http://schemas.microsoft.com/office/spreadsheetml/2010/11/ac" url="C:\Users\NO\Pictures\mundial 2026\participantes\"/>
    </mc:Choice>
  </mc:AlternateContent>
  <bookViews>
    <workbookView xWindow="0" yWindow="0" windowWidth="28800" windowHeight="12315" tabRatio="749" activeTab="1"/>
  </bookViews>
  <sheets>
    <sheet name="Home" sheetId="30" r:id="rId1"/>
    <sheet name="WORLDCUP" sheetId="3" r:id="rId2"/>
    <sheet name="ADMIN" sheetId="46" r:id="rId3"/>
    <sheet name="Goleadores" sheetId="53" r:id="rId4"/>
    <sheet name="CLAS" sheetId="47" r:id="rId5"/>
    <sheet name="DailyPrediction" sheetId="48" r:id="rId6"/>
    <sheet name="DailyClas" sheetId="50" r:id="rId7"/>
    <sheet name="Idiomas" sheetId="36" state="hidden" r:id="rId8"/>
    <sheet name="Stats" sheetId="51" r:id="rId9"/>
    <sheet name="Fixture" sheetId="45" r:id="rId10"/>
    <sheet name="Credits" sheetId="34" state="hidden" r:id="rId11"/>
    <sheet name="Equipos" sheetId="6" state="hidden" r:id="rId12"/>
    <sheet name="Horarios" sheetId="32" state="hidden" r:id="rId13"/>
    <sheet name="Combinaciones3" sheetId="40" state="hidden" r:id="rId14"/>
    <sheet name="Graf" sheetId="52" r:id="rId15"/>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INDEX(ADMIN!$S$1:$FQ$5,1,1):INDEX(ADMIN!$S$1:$FQ$5,5,ADMIN!$D$5*3)</definedName>
    <definedName name="Rango_Admin_Clas_Primera">INDEX(ADMIN!$S$1:$FQ$1,1,1):INDEX(ADMIN!$S$1:$FQ$1,1,ADMIN!$D$5*3)</definedName>
    <definedName name="Rango_Admin_Clas_Total">INDEX(ADMIN!$S$1:$FQ$300,1,1):INDEX(ADMIN!$S$1:$FQ$300,300,ADMIN!$D$5*3)</definedName>
    <definedName name="Rango_Admin_DailyClas">INDEX(ADMIN!$S$263:$FQ$267,1,1):INDEX(ADMIN!$S$263:$FQ$267,5,ADMIN!$D$5*3)</definedName>
    <definedName name="Rango_Admin_DailyClas_Primera">INDEX(ADMIN!$S$263:$FQ$263,1,1):INDEX(ADMIN!$S$263:$FQ$263,1,ADMIN!$D$5*3)</definedName>
    <definedName name="Rango_Admin_DailyPred">INDEX(ADMIN!$K$5:$FQ$300,1,1):INDEX(ADMIN!$K$5:$FQ$300,296,ADMIN!$D$5*3+8)</definedName>
    <definedName name="Rango_Admin_DailyPred_Primera">INDEX(ADMIN!$K$5:$FQ$300,1,1):INDEX(ADMIN!$K$5:$FQ$300,1,ADMIN!$D$5*3+8)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52511" iterateDelta="1E-4"/>
  <fileRecoveryPr autoRecover="0"/>
</workbook>
</file>

<file path=xl/calcChain.xml><?xml version="1.0" encoding="utf-8"?>
<calcChain xmlns="http://schemas.openxmlformats.org/spreadsheetml/2006/main">
  <c r="I1" i="50" l="1"/>
  <c r="BS258" i="46"/>
  <c r="BS257" i="46"/>
  <c r="BS256" i="46"/>
  <c r="BS255" i="46"/>
  <c r="BS253" i="46"/>
  <c r="BS254" i="46"/>
  <c r="BP257" i="46" l="1"/>
  <c r="BP256" i="46"/>
  <c r="BL253" i="46" l="1"/>
  <c r="BI255" i="46" l="1"/>
  <c r="BI253" i="46"/>
  <c r="B15" i="53" l="1"/>
  <c r="AW253" i="46" l="1"/>
  <c r="B14" i="53" l="1"/>
  <c r="E44" i="53" l="1"/>
  <c r="D44" i="53"/>
  <c r="C44" i="53"/>
  <c r="E20" i="53"/>
  <c r="D20" i="53"/>
  <c r="C20" i="53"/>
  <c r="B13" i="53"/>
  <c r="B12" i="53"/>
  <c r="AK255" i="46" l="1"/>
  <c r="AN254" i="46" s="1"/>
  <c r="AK253" i="46"/>
  <c r="AN253" i="46" s="1"/>
  <c r="B11" i="53" l="1"/>
  <c r="AH255" i="46"/>
  <c r="B10" i="53" l="1"/>
  <c r="AE255" i="46"/>
  <c r="E26" i="53" l="1"/>
  <c r="D26" i="53"/>
  <c r="C26" i="53"/>
  <c r="E23" i="53"/>
  <c r="D23" i="53"/>
  <c r="C23" i="53"/>
  <c r="B9" i="53"/>
  <c r="B8" i="53"/>
  <c r="B7" i="53" l="1"/>
  <c r="Y255" i="46"/>
  <c r="AB254" i="46" s="1"/>
  <c r="Y253" i="46"/>
  <c r="AE254" i="46" s="1"/>
  <c r="E39" i="53" l="1"/>
  <c r="D39" i="53"/>
  <c r="C39" i="53"/>
  <c r="B6" i="53"/>
  <c r="B5" i="53"/>
  <c r="AK254" i="46" s="1"/>
  <c r="S253" i="46"/>
  <c r="E55" i="53" l="1"/>
  <c r="D55" i="53"/>
  <c r="C55" i="53"/>
  <c r="E41" i="53"/>
  <c r="D41" i="53"/>
  <c r="C41" i="53"/>
  <c r="E27" i="53"/>
  <c r="D27" i="53"/>
  <c r="C27" i="53"/>
  <c r="B3" i="53"/>
  <c r="B4" i="53"/>
  <c r="B2" i="53"/>
  <c r="S267" i="46"/>
  <c r="EC220" i="46" l="1"/>
  <c r="EG258" i="46"/>
  <c r="EG257" i="46"/>
  <c r="EG256" i="46"/>
  <c r="EG255" i="46"/>
  <c r="EG254" i="46"/>
  <c r="EG253" i="46"/>
  <c r="EG232" i="46"/>
  <c r="ED258" i="46"/>
  <c r="ED257" i="46"/>
  <c r="ED256" i="46"/>
  <c r="ED255" i="46"/>
  <c r="ED254" i="46"/>
  <c r="ED253" i="46"/>
  <c r="ED220" i="46"/>
  <c r="ED164" i="46"/>
  <c r="EA258" i="46"/>
  <c r="EA257" i="46"/>
  <c r="EA256" i="46"/>
  <c r="EA255" i="46"/>
  <c r="EA254" i="46"/>
  <c r="EA253" i="46"/>
  <c r="DX258" i="46"/>
  <c r="DX257" i="46"/>
  <c r="DX256" i="46"/>
  <c r="DX255" i="46"/>
  <c r="DX254" i="46"/>
  <c r="DX253" i="46"/>
  <c r="DX170" i="46"/>
  <c r="DU258" i="46"/>
  <c r="DU257" i="46"/>
  <c r="DU256" i="46"/>
  <c r="DU255" i="46"/>
  <c r="DU254" i="46"/>
  <c r="DU253" i="46"/>
  <c r="DU232" i="46"/>
  <c r="DU205" i="46"/>
  <c r="DU170" i="46"/>
  <c r="DR258" i="46"/>
  <c r="DR257" i="46"/>
  <c r="DR256" i="46"/>
  <c r="DR255" i="46"/>
  <c r="DR254" i="46"/>
  <c r="DR253" i="46"/>
  <c r="DR170" i="46"/>
  <c r="DO258" i="46"/>
  <c r="DO257" i="46"/>
  <c r="DO256" i="46"/>
  <c r="DO255" i="46"/>
  <c r="DO254" i="46"/>
  <c r="DO253" i="46"/>
  <c r="DO164" i="46"/>
  <c r="DL258" i="46"/>
  <c r="DL257" i="46"/>
  <c r="DL256" i="46"/>
  <c r="DL255" i="46"/>
  <c r="DL254" i="46"/>
  <c r="DL253" i="46"/>
  <c r="DL170" i="46"/>
  <c r="DL164" i="46"/>
  <c r="DI258" i="46"/>
  <c r="DI257" i="46"/>
  <c r="DI256" i="46"/>
  <c r="DI255" i="46"/>
  <c r="DI254" i="46"/>
  <c r="DI253" i="46"/>
  <c r="DI232" i="46"/>
  <c r="DI200" i="46"/>
  <c r="DI170" i="46"/>
  <c r="DI164" i="46"/>
  <c r="DF258" i="46"/>
  <c r="DF257" i="46"/>
  <c r="DF256" i="46"/>
  <c r="DF255" i="46"/>
  <c r="DF254" i="46"/>
  <c r="DF253" i="46"/>
  <c r="DF205" i="46"/>
  <c r="DC258" i="46"/>
  <c r="DC257" i="46"/>
  <c r="DC256" i="46"/>
  <c r="DC255" i="46"/>
  <c r="DC254" i="46"/>
  <c r="DC253" i="46"/>
  <c r="CZ258" i="46"/>
  <c r="CZ257" i="46"/>
  <c r="CZ256" i="46"/>
  <c r="CZ255" i="46"/>
  <c r="CZ254" i="46"/>
  <c r="CZ253" i="46"/>
  <c r="CZ200" i="46"/>
  <c r="CW258" i="46"/>
  <c r="CW257" i="46"/>
  <c r="CW256" i="46"/>
  <c r="CW255" i="46"/>
  <c r="CW254" i="46"/>
  <c r="CW253" i="46"/>
  <c r="CW164" i="46"/>
  <c r="CT258" i="46"/>
  <c r="CT257" i="46"/>
  <c r="CT256" i="46"/>
  <c r="CT255" i="46"/>
  <c r="CT254" i="46"/>
  <c r="CT253" i="46"/>
  <c r="CT232" i="46"/>
  <c r="CQ258" i="46"/>
  <c r="CQ257" i="46"/>
  <c r="CQ256" i="46"/>
  <c r="CQ255" i="46"/>
  <c r="CQ254" i="46"/>
  <c r="CQ253" i="46"/>
  <c r="CQ220" i="46"/>
  <c r="CQ205" i="46"/>
  <c r="CQ164" i="46"/>
  <c r="CN258" i="46"/>
  <c r="CN257" i="46"/>
  <c r="CN256" i="46"/>
  <c r="CN255" i="46"/>
  <c r="CN254" i="46"/>
  <c r="CN253" i="46"/>
  <c r="CN172" i="46"/>
  <c r="CN170" i="46"/>
  <c r="CK258" i="46"/>
  <c r="CK257" i="46"/>
  <c r="CK256" i="46"/>
  <c r="CK255" i="46"/>
  <c r="CK254" i="46"/>
  <c r="CK253" i="46"/>
  <c r="CK170" i="46"/>
  <c r="CH258" i="46"/>
  <c r="CH257" i="46"/>
  <c r="CH256" i="46"/>
  <c r="CH255" i="46"/>
  <c r="CH254" i="46"/>
  <c r="CH253" i="46"/>
  <c r="CH220" i="46"/>
  <c r="CE258" i="46"/>
  <c r="CE257" i="46"/>
  <c r="CE256" i="46"/>
  <c r="CE255" i="46"/>
  <c r="CE254" i="46"/>
  <c r="CE253" i="46"/>
  <c r="CE200" i="46"/>
  <c r="CE170" i="46"/>
  <c r="CB258" i="46"/>
  <c r="CB257" i="46"/>
  <c r="CB256" i="46"/>
  <c r="CB255" i="46"/>
  <c r="CB254" i="46"/>
  <c r="CB253" i="46"/>
  <c r="CB205" i="46"/>
  <c r="BY258" i="46"/>
  <c r="BY257" i="46"/>
  <c r="BY256" i="46"/>
  <c r="BY255" i="46"/>
  <c r="BY254" i="46"/>
  <c r="BY253" i="46"/>
  <c r="BY164" i="46"/>
  <c r="BV258" i="46"/>
  <c r="BV257" i="46"/>
  <c r="BV256" i="46"/>
  <c r="BV255" i="46"/>
  <c r="BV254" i="46"/>
  <c r="BV253" i="46"/>
  <c r="BV200" i="46"/>
  <c r="BV170" i="46"/>
  <c r="BV164" i="46"/>
  <c r="BS220" i="46"/>
  <c r="BP200" i="46"/>
  <c r="BP164" i="46"/>
  <c r="BM258" i="46"/>
  <c r="BM257" i="46"/>
  <c r="BM256" i="46"/>
  <c r="BM205" i="46"/>
  <c r="BJ220" i="46"/>
  <c r="BG232" i="46"/>
  <c r="BD172" i="46"/>
  <c r="BA220" i="46"/>
  <c r="BA200" i="46"/>
  <c r="BA172" i="46"/>
  <c r="AX205" i="46"/>
  <c r="AX172" i="46"/>
  <c r="AX171" i="46"/>
  <c r="AX170" i="46"/>
  <c r="AX164" i="46"/>
  <c r="AU232" i="46"/>
  <c r="AU171" i="46"/>
  <c r="AU170" i="46"/>
  <c r="AR232" i="46"/>
  <c r="AR220" i="46"/>
  <c r="AR205" i="46"/>
  <c r="AR172" i="46"/>
  <c r="AR171" i="46"/>
  <c r="AR170" i="46"/>
  <c r="AR164" i="46"/>
  <c r="AO170" i="46"/>
  <c r="AL170" i="46"/>
  <c r="AI220" i="46"/>
  <c r="AF232" i="46"/>
  <c r="AF200" i="46"/>
  <c r="AC205" i="46"/>
  <c r="AC164" i="46"/>
  <c r="Z170" i="46"/>
  <c r="Z164" i="46"/>
  <c r="W170" i="46"/>
  <c r="W164" i="46"/>
  <c r="K20" i="53"/>
  <c r="BD258" i="46" s="1"/>
  <c r="K21" i="53"/>
  <c r="K22" i="53"/>
  <c r="K23" i="53"/>
  <c r="K24" i="53"/>
  <c r="K25" i="53"/>
  <c r="K26" i="53"/>
  <c r="K27" i="53"/>
  <c r="BP258" i="46" s="1"/>
  <c r="K28" i="53"/>
  <c r="K29" i="53"/>
  <c r="K30" i="53"/>
  <c r="K31" i="53"/>
  <c r="K32" i="53"/>
  <c r="K33" i="53"/>
  <c r="K34" i="53"/>
  <c r="K35" i="53"/>
  <c r="K36" i="53"/>
  <c r="K37" i="53"/>
  <c r="K38" i="53"/>
  <c r="K39" i="53"/>
  <c r="K40" i="53"/>
  <c r="K41" i="53"/>
  <c r="K42" i="53"/>
  <c r="K43" i="53"/>
  <c r="K44" i="53"/>
  <c r="K45" i="53"/>
  <c r="K46" i="53"/>
  <c r="K47" i="53"/>
  <c r="K48" i="53"/>
  <c r="K49" i="53"/>
  <c r="K50" i="53"/>
  <c r="K51" i="53"/>
  <c r="K52" i="53"/>
  <c r="K53" i="53"/>
  <c r="K54" i="53"/>
  <c r="K55" i="53"/>
  <c r="K56" i="53"/>
  <c r="K57" i="53"/>
  <c r="K58" i="53"/>
  <c r="K59" i="53"/>
  <c r="K60" i="53"/>
  <c r="K61" i="53"/>
  <c r="K62" i="53"/>
  <c r="K63" i="53"/>
  <c r="K64" i="53"/>
  <c r="K65" i="53"/>
  <c r="K66" i="53"/>
  <c r="K67" i="53"/>
  <c r="B19" i="53"/>
  <c r="L19" i="53" s="1"/>
  <c r="L16" i="53"/>
  <c r="L3" i="53"/>
  <c r="AW254" i="46" s="1"/>
  <c r="L4" i="53"/>
  <c r="L5" i="53"/>
  <c r="L6" i="53"/>
  <c r="L7" i="53"/>
  <c r="L8" i="53"/>
  <c r="L9" i="53"/>
  <c r="L10" i="53"/>
  <c r="AW255" i="46" s="1"/>
  <c r="L11" i="53"/>
  <c r="L12" i="53"/>
  <c r="L13" i="53"/>
  <c r="L14" i="53"/>
  <c r="L15" i="53"/>
  <c r="L2" i="53"/>
  <c r="L1" i="53"/>
  <c r="K3" i="53"/>
  <c r="K4" i="53"/>
  <c r="K5" i="53"/>
  <c r="K6" i="53"/>
  <c r="W255" i="46" s="1"/>
  <c r="K7" i="53"/>
  <c r="K8" i="53"/>
  <c r="AC253" i="46" s="1"/>
  <c r="K9" i="53"/>
  <c r="AC255" i="46" s="1"/>
  <c r="K10" i="53"/>
  <c r="K11" i="53"/>
  <c r="K12" i="53"/>
  <c r="AR253" i="46" s="1"/>
  <c r="K13" i="53"/>
  <c r="AR255" i="46" s="1"/>
  <c r="K14" i="53"/>
  <c r="AU255" i="46" s="1"/>
  <c r="K15" i="53"/>
  <c r="BD255" i="46" s="1"/>
  <c r="K16" i="53"/>
  <c r="K2" i="53"/>
  <c r="P247" i="46"/>
  <c r="O247" i="46"/>
  <c r="N247" i="46"/>
  <c r="M247" i="46" s="1"/>
  <c r="P244" i="46"/>
  <c r="O244" i="46"/>
  <c r="N244" i="46"/>
  <c r="K237" i="46"/>
  <c r="K236" i="46"/>
  <c r="N233" i="46"/>
  <c r="M233" i="46" s="1"/>
  <c r="DL233" i="46" s="1"/>
  <c r="O233" i="46"/>
  <c r="Q233" i="46" s="1"/>
  <c r="P233" i="46"/>
  <c r="P232" i="46"/>
  <c r="O232" i="46"/>
  <c r="Q232" i="46" s="1"/>
  <c r="N232" i="46"/>
  <c r="M232" i="46" s="1"/>
  <c r="T232" i="46" s="1"/>
  <c r="N221" i="46"/>
  <c r="O221" i="46"/>
  <c r="Q221" i="46" s="1"/>
  <c r="P221" i="46"/>
  <c r="N222" i="46"/>
  <c r="O222" i="46"/>
  <c r="P222" i="46"/>
  <c r="Q222" i="46" s="1"/>
  <c r="N223" i="46"/>
  <c r="M223" i="46" s="1"/>
  <c r="EA223" i="46" s="1"/>
  <c r="O223" i="46"/>
  <c r="Q223" i="46" s="1"/>
  <c r="P223" i="46"/>
  <c r="P220" i="46"/>
  <c r="O220" i="46"/>
  <c r="N220" i="46"/>
  <c r="M220" i="46" s="1"/>
  <c r="CW220" i="46" s="1"/>
  <c r="N200" i="46"/>
  <c r="P207" i="46"/>
  <c r="N201" i="46"/>
  <c r="M201" i="46" s="1"/>
  <c r="O201" i="46"/>
  <c r="P201" i="46"/>
  <c r="N202" i="46"/>
  <c r="M202" i="46" s="1"/>
  <c r="O202" i="46"/>
  <c r="P202" i="46"/>
  <c r="N203" i="46"/>
  <c r="O203" i="46"/>
  <c r="Q203" i="46" s="1"/>
  <c r="P203" i="46"/>
  <c r="N204" i="46"/>
  <c r="M204" i="46" s="1"/>
  <c r="CH204" i="46" s="1"/>
  <c r="O204" i="46"/>
  <c r="Q204" i="46" s="1"/>
  <c r="P204" i="46"/>
  <c r="N205" i="46"/>
  <c r="M205" i="46" s="1"/>
  <c r="CW205" i="46" s="1"/>
  <c r="O205" i="46"/>
  <c r="P205" i="46"/>
  <c r="Q205" i="46" s="1"/>
  <c r="N206" i="46"/>
  <c r="M206" i="46" s="1"/>
  <c r="O206" i="46"/>
  <c r="P206" i="46"/>
  <c r="N207" i="46"/>
  <c r="O207" i="46"/>
  <c r="P200" i="46"/>
  <c r="O200" i="46"/>
  <c r="M200" i="46"/>
  <c r="ED200" i="46" s="1"/>
  <c r="M170" i="46"/>
  <c r="BY170" i="46" s="1"/>
  <c r="M171" i="46"/>
  <c r="T171" i="46" s="1"/>
  <c r="M174" i="46"/>
  <c r="M175" i="46"/>
  <c r="DL175" i="46" s="1"/>
  <c r="M176" i="46"/>
  <c r="T176" i="46" s="1"/>
  <c r="M179" i="46"/>
  <c r="N165" i="46"/>
  <c r="M165" i="46" s="1"/>
  <c r="O165" i="46"/>
  <c r="P165" i="46"/>
  <c r="N166" i="46"/>
  <c r="M166" i="46" s="1"/>
  <c r="O166" i="46"/>
  <c r="P166" i="46"/>
  <c r="N167" i="46"/>
  <c r="M167" i="46" s="1"/>
  <c r="O167" i="46"/>
  <c r="Q167" i="46" s="1"/>
  <c r="P167" i="46"/>
  <c r="N168" i="46"/>
  <c r="M168" i="46" s="1"/>
  <c r="DL168" i="46" s="1"/>
  <c r="O168" i="46"/>
  <c r="P168" i="46"/>
  <c r="Q168" i="46"/>
  <c r="DO168" i="46" s="1"/>
  <c r="N169" i="46"/>
  <c r="M169" i="46" s="1"/>
  <c r="O169" i="46"/>
  <c r="P169" i="46"/>
  <c r="N170" i="46"/>
  <c r="O170" i="46"/>
  <c r="P170" i="46"/>
  <c r="Q170" i="46" s="1"/>
  <c r="N171" i="46"/>
  <c r="O171" i="46"/>
  <c r="P171" i="46"/>
  <c r="Q171" i="46"/>
  <c r="N172" i="46"/>
  <c r="M172" i="46" s="1"/>
  <c r="DR172" i="46" s="1"/>
  <c r="O172" i="46"/>
  <c r="P172" i="46"/>
  <c r="Q172" i="46"/>
  <c r="DX172" i="46" s="1"/>
  <c r="N173" i="46"/>
  <c r="M173" i="46" s="1"/>
  <c r="O173" i="46"/>
  <c r="P173" i="46"/>
  <c r="N174" i="46"/>
  <c r="O174" i="46"/>
  <c r="Q174" i="46" s="1"/>
  <c r="BG174" i="46" s="1"/>
  <c r="P174" i="46"/>
  <c r="N175" i="46"/>
  <c r="O175" i="46"/>
  <c r="P175" i="46"/>
  <c r="Q175" i="46" s="1"/>
  <c r="BJ175" i="46" s="1"/>
  <c r="N176" i="46"/>
  <c r="O176" i="46"/>
  <c r="P176" i="46"/>
  <c r="Q176" i="46"/>
  <c r="N177" i="46"/>
  <c r="O177" i="46"/>
  <c r="P177" i="46"/>
  <c r="M177" i="46" s="1"/>
  <c r="N178" i="46"/>
  <c r="M178" i="46" s="1"/>
  <c r="T178" i="46" s="1"/>
  <c r="O178" i="46"/>
  <c r="Q178" i="46" s="1"/>
  <c r="P178" i="46"/>
  <c r="N179" i="46"/>
  <c r="O179" i="46"/>
  <c r="P179" i="46"/>
  <c r="O164" i="46"/>
  <c r="P164" i="46"/>
  <c r="Q164" i="46" s="1"/>
  <c r="N164" i="46"/>
  <c r="M164" i="46" s="1"/>
  <c r="T164" i="46" s="1"/>
  <c r="AR254" i="46" l="1"/>
  <c r="AU254" i="46" s="1"/>
  <c r="BA254" i="46" s="1"/>
  <c r="BJ255" i="46" s="1"/>
  <c r="BM255" i="46" s="1"/>
  <c r="BP255" i="46" s="1"/>
  <c r="AI254" i="46"/>
  <c r="AL255" i="46" s="1"/>
  <c r="AO254" i="46" s="1"/>
  <c r="AX255" i="46"/>
  <c r="BG254" i="46" s="1"/>
  <c r="AF253" i="46"/>
  <c r="AO255" i="46" s="1"/>
  <c r="BM254" i="46"/>
  <c r="BA255" i="46"/>
  <c r="BG255" i="46" s="1"/>
  <c r="Z254" i="46"/>
  <c r="AF255" i="46" s="1"/>
  <c r="BP254" i="46"/>
  <c r="AL254" i="46"/>
  <c r="W254" i="46"/>
  <c r="Z255" i="46" s="1"/>
  <c r="AC254" i="46" s="1"/>
  <c r="BJ254" i="46"/>
  <c r="T255" i="46"/>
  <c r="BD253" i="46"/>
  <c r="BG253" i="46" s="1"/>
  <c r="AX254" i="46"/>
  <c r="AI255" i="46"/>
  <c r="T254" i="46"/>
  <c r="AX253" i="46"/>
  <c r="BA253" i="46" s="1"/>
  <c r="BD254" i="46" s="1"/>
  <c r="BJ253" i="46" s="1"/>
  <c r="BM253" i="46" s="1"/>
  <c r="BP253" i="46" s="1"/>
  <c r="AI253" i="46"/>
  <c r="AL253" i="46" s="1"/>
  <c r="AO253" i="46" s="1"/>
  <c r="AU253" i="46" s="1"/>
  <c r="T253" i="46"/>
  <c r="W253" i="46" s="1"/>
  <c r="Z253" i="46" s="1"/>
  <c r="AF254" i="46" s="1"/>
  <c r="AC257" i="46"/>
  <c r="AF257" i="46" s="1"/>
  <c r="BG256" i="46"/>
  <c r="BD257" i="46"/>
  <c r="BJ258" i="46" s="1"/>
  <c r="AL256" i="46"/>
  <c r="AO256" i="46" s="1"/>
  <c r="T256" i="46"/>
  <c r="W257" i="46" s="1"/>
  <c r="Z258" i="46" s="1"/>
  <c r="AC258" i="46"/>
  <c r="AR257" i="46"/>
  <c r="T257" i="46"/>
  <c r="Z257" i="46" s="1"/>
  <c r="AI257" i="46" s="1"/>
  <c r="AU257" i="46" s="1"/>
  <c r="AX256" i="46"/>
  <c r="BD256" i="46" s="1"/>
  <c r="BG258" i="46" s="1"/>
  <c r="T258" i="46"/>
  <c r="W256" i="46" s="1"/>
  <c r="AX257" i="46"/>
  <c r="BA256" i="46" s="1"/>
  <c r="BJ256" i="46" s="1"/>
  <c r="AC256" i="46"/>
  <c r="AF258" i="46" s="1"/>
  <c r="AL258" i="46" s="1"/>
  <c r="W258" i="46"/>
  <c r="Z256" i="46" s="1"/>
  <c r="AF256" i="46" s="1"/>
  <c r="AI256" i="46" s="1"/>
  <c r="AL257" i="46" s="1"/>
  <c r="AO258" i="46" s="1"/>
  <c r="AX258" i="46"/>
  <c r="BA258" i="46" s="1"/>
  <c r="BG257" i="46" s="1"/>
  <c r="BJ257" i="46" s="1"/>
  <c r="AR256" i="46"/>
  <c r="AU258" i="46" s="1"/>
  <c r="AI258" i="46"/>
  <c r="BA257" i="46"/>
  <c r="AR258" i="46"/>
  <c r="AU256" i="46" s="1"/>
  <c r="AO257" i="46"/>
  <c r="AX174" i="46"/>
  <c r="DC174" i="46"/>
  <c r="Z167" i="46"/>
  <c r="BY167" i="46"/>
  <c r="AL167" i="46"/>
  <c r="CB167" i="46"/>
  <c r="DR167" i="46"/>
  <c r="CE167" i="46"/>
  <c r="CH167" i="46"/>
  <c r="DC167" i="46"/>
  <c r="AF167" i="46"/>
  <c r="BG167" i="46"/>
  <c r="BM167" i="46"/>
  <c r="AI167" i="46"/>
  <c r="BP168" i="46"/>
  <c r="BY171" i="46"/>
  <c r="DR174" i="46"/>
  <c r="DU176" i="46"/>
  <c r="DX176" i="46"/>
  <c r="EA178" i="46"/>
  <c r="T167" i="46"/>
  <c r="Z171" i="46"/>
  <c r="AF174" i="46"/>
  <c r="AI174" i="46"/>
  <c r="AL175" i="46"/>
  <c r="AU178" i="46"/>
  <c r="BA164" i="46"/>
  <c r="BD164" i="46"/>
  <c r="BJ167" i="46"/>
  <c r="BM168" i="46"/>
  <c r="BS170" i="46"/>
  <c r="BV171" i="46"/>
  <c r="BY172" i="46"/>
  <c r="CB174" i="46"/>
  <c r="CE175" i="46"/>
  <c r="CH176" i="46"/>
  <c r="CQ165" i="46"/>
  <c r="CT164" i="46"/>
  <c r="CZ167" i="46"/>
  <c r="DC168" i="46"/>
  <c r="DF170" i="46"/>
  <c r="DI171" i="46"/>
  <c r="DL171" i="46"/>
  <c r="DR175" i="46"/>
  <c r="BJ168" i="46"/>
  <c r="BM169" i="46"/>
  <c r="BP170" i="46"/>
  <c r="BS171" i="46"/>
  <c r="CB175" i="46"/>
  <c r="CE176" i="46"/>
  <c r="CH177" i="46"/>
  <c r="CK178" i="46"/>
  <c r="CN164" i="46"/>
  <c r="CQ166" i="46"/>
  <c r="CZ168" i="46"/>
  <c r="DF171" i="46"/>
  <c r="DI172" i="46"/>
  <c r="DL172" i="46"/>
  <c r="DO174" i="46"/>
  <c r="DR176" i="46"/>
  <c r="DU178" i="46"/>
  <c r="DX178" i="46"/>
  <c r="EA164" i="46"/>
  <c r="EG167" i="46"/>
  <c r="W171" i="46"/>
  <c r="Z173" i="46"/>
  <c r="AC175" i="46"/>
  <c r="AF176" i="46"/>
  <c r="AI176" i="46"/>
  <c r="AL177" i="46"/>
  <c r="AU164" i="46"/>
  <c r="BG168" i="46"/>
  <c r="BM170" i="46"/>
  <c r="BP171" i="46"/>
  <c r="BS172" i="46"/>
  <c r="BV173" i="46"/>
  <c r="BY174" i="46"/>
  <c r="CB176" i="46"/>
  <c r="CH178" i="46"/>
  <c r="CQ167" i="46"/>
  <c r="CW167" i="46"/>
  <c r="DC170" i="46"/>
  <c r="DF172" i="46"/>
  <c r="DO175" i="46"/>
  <c r="ED167" i="46"/>
  <c r="EG168" i="46"/>
  <c r="BG175" i="46"/>
  <c r="BP178" i="46"/>
  <c r="CE174" i="46"/>
  <c r="W172" i="46"/>
  <c r="Z174" i="46"/>
  <c r="AC176" i="46"/>
  <c r="AL178" i="46"/>
  <c r="AO164" i="46"/>
  <c r="AX166" i="46"/>
  <c r="BA167" i="46"/>
  <c r="BD167" i="46"/>
  <c r="BJ170" i="46"/>
  <c r="BM171" i="46"/>
  <c r="BP172" i="46"/>
  <c r="BV174" i="46"/>
  <c r="BY175" i="46"/>
  <c r="CE178" i="46"/>
  <c r="CK164" i="46"/>
  <c r="CQ168" i="46"/>
  <c r="CT167" i="46"/>
  <c r="CW168" i="46"/>
  <c r="CZ170" i="46"/>
  <c r="DC171" i="46"/>
  <c r="DI174" i="46"/>
  <c r="DL174" i="46"/>
  <c r="DO176" i="46"/>
  <c r="DR178" i="46"/>
  <c r="DU164" i="46"/>
  <c r="DX164" i="46"/>
  <c r="ED168" i="46"/>
  <c r="BJ176" i="46"/>
  <c r="W168" i="46"/>
  <c r="AO176" i="46"/>
  <c r="AR178" i="46"/>
  <c r="AX178" i="46"/>
  <c r="CH175" i="46"/>
  <c r="CK176" i="46"/>
  <c r="CN178" i="46"/>
  <c r="AC174" i="46"/>
  <c r="AL176" i="46"/>
  <c r="AO178" i="46"/>
  <c r="Z175" i="46"/>
  <c r="AF178" i="46"/>
  <c r="AI178" i="46"/>
  <c r="AO165" i="46"/>
  <c r="AR167" i="46"/>
  <c r="AX167" i="46"/>
  <c r="BA168" i="46"/>
  <c r="BD168" i="46"/>
  <c r="BG170" i="46"/>
  <c r="BJ171" i="46"/>
  <c r="BM172" i="46"/>
  <c r="BP173" i="46"/>
  <c r="BS174" i="46"/>
  <c r="BV175" i="46"/>
  <c r="BY176" i="46"/>
  <c r="CB178" i="46"/>
  <c r="CH164" i="46"/>
  <c r="CK165" i="46"/>
  <c r="CN167" i="46"/>
  <c r="CT168" i="46"/>
  <c r="CZ171" i="46"/>
  <c r="DC172" i="46"/>
  <c r="DF174" i="46"/>
  <c r="DI175" i="46"/>
  <c r="DO177" i="46"/>
  <c r="EA167" i="46"/>
  <c r="EG170" i="46"/>
  <c r="T169" i="46"/>
  <c r="AO169" i="46"/>
  <c r="T175" i="46"/>
  <c r="AL168" i="46"/>
  <c r="AC172" i="46"/>
  <c r="AL174" i="46"/>
  <c r="BV172" i="46"/>
  <c r="W174" i="46"/>
  <c r="Z176" i="46"/>
  <c r="AC178" i="46"/>
  <c r="AL164" i="46"/>
  <c r="AR168" i="46"/>
  <c r="AU167" i="46"/>
  <c r="AX168" i="46"/>
  <c r="BG171" i="46"/>
  <c r="BJ172" i="46"/>
  <c r="BP174" i="46"/>
  <c r="BS175" i="46"/>
  <c r="BV176" i="46"/>
  <c r="BY177" i="46"/>
  <c r="CE164" i="46"/>
  <c r="CN168" i="46"/>
  <c r="CQ170" i="46"/>
  <c r="CT169" i="46"/>
  <c r="CW170" i="46"/>
  <c r="CZ172" i="46"/>
  <c r="DF175" i="46"/>
  <c r="DI176" i="46"/>
  <c r="DL176" i="46"/>
  <c r="DO178" i="46"/>
  <c r="DR164" i="46"/>
  <c r="DU166" i="46"/>
  <c r="EA168" i="46"/>
  <c r="ED170" i="46"/>
  <c r="EG171" i="46"/>
  <c r="DF169" i="46"/>
  <c r="DO172" i="46"/>
  <c r="Z172" i="46"/>
  <c r="AF175" i="46"/>
  <c r="AI175" i="46"/>
  <c r="W175" i="46"/>
  <c r="Z177" i="46"/>
  <c r="AF164" i="46"/>
  <c r="AI164" i="46"/>
  <c r="AO167" i="46"/>
  <c r="AR169" i="46"/>
  <c r="AU168" i="46"/>
  <c r="AX169" i="46"/>
  <c r="BA170" i="46"/>
  <c r="BD170" i="46"/>
  <c r="BG172" i="46"/>
  <c r="BM174" i="46"/>
  <c r="BP175" i="46"/>
  <c r="BS176" i="46"/>
  <c r="BV177" i="46"/>
  <c r="BY178" i="46"/>
  <c r="CB164" i="46"/>
  <c r="CK167" i="46"/>
  <c r="CN169" i="46"/>
  <c r="CQ171" i="46"/>
  <c r="CT170" i="46"/>
  <c r="CW171" i="46"/>
  <c r="CZ173" i="46"/>
  <c r="DF176" i="46"/>
  <c r="DI177" i="46"/>
  <c r="DL177" i="46"/>
  <c r="DU167" i="46"/>
  <c r="DX167" i="46"/>
  <c r="ED171" i="46"/>
  <c r="EG172" i="46"/>
  <c r="W176" i="46"/>
  <c r="Z178" i="46"/>
  <c r="AO168" i="46"/>
  <c r="AU169" i="46"/>
  <c r="BA171" i="46"/>
  <c r="BD171" i="46"/>
  <c r="BJ174" i="46"/>
  <c r="BM175" i="46"/>
  <c r="BP176" i="46"/>
  <c r="BS177" i="46"/>
  <c r="BV178" i="46"/>
  <c r="CK168" i="46"/>
  <c r="CQ172" i="46"/>
  <c r="CT171" i="46"/>
  <c r="CW172" i="46"/>
  <c r="CZ174" i="46"/>
  <c r="DC175" i="46"/>
  <c r="DI178" i="46"/>
  <c r="DL178" i="46"/>
  <c r="DU168" i="46"/>
  <c r="DX168" i="46"/>
  <c r="EA170" i="46"/>
  <c r="ED172" i="46"/>
  <c r="BM176" i="46"/>
  <c r="BP177" i="46"/>
  <c r="BS178" i="46"/>
  <c r="CH168" i="46"/>
  <c r="CN171" i="46"/>
  <c r="CT172" i="46"/>
  <c r="CZ175" i="46"/>
  <c r="DC176" i="46"/>
  <c r="DF178" i="46"/>
  <c r="EA171" i="46"/>
  <c r="EG174" i="46"/>
  <c r="CE168" i="46"/>
  <c r="CH169" i="46"/>
  <c r="CQ174" i="46"/>
  <c r="ED174" i="46"/>
  <c r="EG175" i="46"/>
  <c r="W178" i="46"/>
  <c r="CW174" i="46"/>
  <c r="CZ176" i="46"/>
  <c r="DC177" i="46"/>
  <c r="DR168" i="46"/>
  <c r="EA172" i="46"/>
  <c r="T173" i="46"/>
  <c r="T174" i="46"/>
  <c r="AC167" i="46"/>
  <c r="AF168" i="46"/>
  <c r="AI168" i="46"/>
  <c r="AO171" i="46"/>
  <c r="AR173" i="46"/>
  <c r="AU172" i="46"/>
  <c r="BA174" i="46"/>
  <c r="BD174" i="46"/>
  <c r="BG176" i="46"/>
  <c r="BJ177" i="46"/>
  <c r="BM178" i="46"/>
  <c r="BS164" i="46"/>
  <c r="CB168" i="46"/>
  <c r="CE169" i="46"/>
  <c r="CH170" i="46"/>
  <c r="CK171" i="46"/>
  <c r="CN173" i="46"/>
  <c r="CQ175" i="46"/>
  <c r="CT174" i="46"/>
  <c r="CW175" i="46"/>
  <c r="CZ177" i="46"/>
  <c r="DC178" i="46"/>
  <c r="DF164" i="46"/>
  <c r="DI165" i="46"/>
  <c r="DO167" i="46"/>
  <c r="DR169" i="46"/>
  <c r="DU171" i="46"/>
  <c r="DX171" i="46"/>
  <c r="ED175" i="46"/>
  <c r="EG176" i="46"/>
  <c r="EA174" i="46"/>
  <c r="ED176" i="46"/>
  <c r="AC168" i="46"/>
  <c r="BD175" i="46"/>
  <c r="AU174" i="46"/>
  <c r="AX175" i="46"/>
  <c r="BD176" i="46"/>
  <c r="BG178" i="46"/>
  <c r="BM164" i="46"/>
  <c r="BV167" i="46"/>
  <c r="BY168" i="46"/>
  <c r="CB170" i="46"/>
  <c r="CE171" i="46"/>
  <c r="CH172" i="46"/>
  <c r="CK173" i="46"/>
  <c r="CN175" i="46"/>
  <c r="CQ177" i="46"/>
  <c r="CT176" i="46"/>
  <c r="CW177" i="46"/>
  <c r="DC164" i="46"/>
  <c r="DI167" i="46"/>
  <c r="DL167" i="46"/>
  <c r="DR171" i="46"/>
  <c r="EA175" i="46"/>
  <c r="EG178" i="46"/>
  <c r="T177" i="46"/>
  <c r="CK172" i="46"/>
  <c r="CN174" i="46"/>
  <c r="CQ176" i="46"/>
  <c r="CT175" i="46"/>
  <c r="CW176" i="46"/>
  <c r="CZ178" i="46"/>
  <c r="DU172" i="46"/>
  <c r="EG177" i="46"/>
  <c r="AC169" i="46"/>
  <c r="AF170" i="46"/>
  <c r="AI170" i="46"/>
  <c r="AL171" i="46"/>
  <c r="AO173" i="46"/>
  <c r="AR175" i="46"/>
  <c r="BA176" i="46"/>
  <c r="Z168" i="46"/>
  <c r="AC170" i="46"/>
  <c r="AF171" i="46"/>
  <c r="AI171" i="46"/>
  <c r="AL172" i="46"/>
  <c r="AO174" i="46"/>
  <c r="AR176" i="46"/>
  <c r="AU175" i="46"/>
  <c r="AX176" i="46"/>
  <c r="BA177" i="46"/>
  <c r="BD177" i="46"/>
  <c r="BG179" i="46"/>
  <c r="BJ164" i="46"/>
  <c r="BS167" i="46"/>
  <c r="BV168" i="46"/>
  <c r="BY169" i="46"/>
  <c r="CB171" i="46"/>
  <c r="CE172" i="46"/>
  <c r="CH173" i="46"/>
  <c r="CK174" i="46"/>
  <c r="CN176" i="46"/>
  <c r="CQ178" i="46"/>
  <c r="CT177" i="46"/>
  <c r="CW178" i="46"/>
  <c r="CZ164" i="46"/>
  <c r="DC165" i="46"/>
  <c r="DF167" i="46"/>
  <c r="DI168" i="46"/>
  <c r="DO170" i="46"/>
  <c r="DU174" i="46"/>
  <c r="DX174" i="46"/>
  <c r="EA176" i="46"/>
  <c r="ED178" i="46"/>
  <c r="AF169" i="46"/>
  <c r="AO172" i="46"/>
  <c r="AR174" i="46"/>
  <c r="BA175" i="46"/>
  <c r="BG177" i="46"/>
  <c r="BJ178" i="46"/>
  <c r="CH171" i="46"/>
  <c r="T168" i="46"/>
  <c r="T172" i="46"/>
  <c r="W167" i="46"/>
  <c r="Z169" i="46"/>
  <c r="AC171" i="46"/>
  <c r="AF172" i="46"/>
  <c r="AI172" i="46"/>
  <c r="AO175" i="46"/>
  <c r="AR177" i="46"/>
  <c r="AU176" i="46"/>
  <c r="AX177" i="46"/>
  <c r="BA178" i="46"/>
  <c r="BD178" i="46"/>
  <c r="BG164" i="46"/>
  <c r="BP167" i="46"/>
  <c r="BS168" i="46"/>
  <c r="BV169" i="46"/>
  <c r="CB172" i="46"/>
  <c r="CH174" i="46"/>
  <c r="CK175" i="46"/>
  <c r="CT178" i="46"/>
  <c r="CZ165" i="46"/>
  <c r="DC166" i="46"/>
  <c r="DF168" i="46"/>
  <c r="DI169" i="46"/>
  <c r="DL169" i="46"/>
  <c r="DO171" i="46"/>
  <c r="DU175" i="46"/>
  <c r="DX175" i="46"/>
  <c r="EA177" i="46"/>
  <c r="EG164" i="46"/>
  <c r="DF204" i="46"/>
  <c r="BM204" i="46"/>
  <c r="BG204" i="46"/>
  <c r="AR204" i="46"/>
  <c r="CB204" i="46"/>
  <c r="Q202" i="46"/>
  <c r="DI202" i="46" s="1"/>
  <c r="W204" i="46"/>
  <c r="AF202" i="46"/>
  <c r="AL204" i="46"/>
  <c r="BG205" i="46"/>
  <c r="BP201" i="46"/>
  <c r="CE201" i="46"/>
  <c r="CK204" i="46"/>
  <c r="CT200" i="46"/>
  <c r="DO204" i="46"/>
  <c r="DX200" i="46"/>
  <c r="ED204" i="46"/>
  <c r="W205" i="46"/>
  <c r="AL205" i="46"/>
  <c r="AU200" i="46"/>
  <c r="BG206" i="46"/>
  <c r="BP202" i="46"/>
  <c r="BV204" i="46"/>
  <c r="CE202" i="46"/>
  <c r="CK205" i="46"/>
  <c r="CT201" i="46"/>
  <c r="CZ204" i="46"/>
  <c r="DO205" i="46"/>
  <c r="ED205" i="46"/>
  <c r="Z200" i="46"/>
  <c r="AF204" i="46"/>
  <c r="AL206" i="46"/>
  <c r="AO200" i="46"/>
  <c r="AU201" i="46"/>
  <c r="BA204" i="46"/>
  <c r="BJ200" i="46"/>
  <c r="BV205" i="46"/>
  <c r="CK206" i="46"/>
  <c r="CN200" i="46"/>
  <c r="CZ205" i="46"/>
  <c r="DO206" i="46"/>
  <c r="DR200" i="46"/>
  <c r="Q201" i="46"/>
  <c r="Z201" i="46"/>
  <c r="AF205" i="46"/>
  <c r="AO201" i="46"/>
  <c r="AU202" i="46"/>
  <c r="BA205" i="46"/>
  <c r="BJ201" i="46"/>
  <c r="BP204" i="46"/>
  <c r="BV206" i="46"/>
  <c r="BY200" i="46"/>
  <c r="CE204" i="46"/>
  <c r="CZ206" i="46"/>
  <c r="DC200" i="46"/>
  <c r="DI204" i="46"/>
  <c r="EG200" i="46"/>
  <c r="AF206" i="46"/>
  <c r="AO202" i="46"/>
  <c r="BA206" i="46"/>
  <c r="BJ202" i="46"/>
  <c r="BP205" i="46"/>
  <c r="BY201" i="46"/>
  <c r="CE205" i="46"/>
  <c r="CT204" i="46"/>
  <c r="DI205" i="46"/>
  <c r="DX204" i="46"/>
  <c r="Q207" i="46"/>
  <c r="AI200" i="46"/>
  <c r="AU204" i="46"/>
  <c r="BD200" i="46"/>
  <c r="BP206" i="46"/>
  <c r="BS200" i="46"/>
  <c r="BY202" i="46"/>
  <c r="CE206" i="46"/>
  <c r="CH200" i="46"/>
  <c r="CT205" i="46"/>
  <c r="DI206" i="46"/>
  <c r="DX205" i="46"/>
  <c r="Z204" i="46"/>
  <c r="AI201" i="46"/>
  <c r="AO204" i="46"/>
  <c r="AU205" i="46"/>
  <c r="BD201" i="46"/>
  <c r="BJ204" i="46"/>
  <c r="BS201" i="46"/>
  <c r="CH201" i="46"/>
  <c r="CN204" i="46"/>
  <c r="DL200" i="46"/>
  <c r="DR204" i="46"/>
  <c r="DX206" i="46"/>
  <c r="EA200" i="46"/>
  <c r="Z205" i="46"/>
  <c r="AO205" i="46"/>
  <c r="AU206" i="46"/>
  <c r="BD202" i="46"/>
  <c r="BJ205" i="46"/>
  <c r="BS202" i="46"/>
  <c r="BY204" i="46"/>
  <c r="CH202" i="46"/>
  <c r="CN205" i="46"/>
  <c r="CW200" i="46"/>
  <c r="DC204" i="46"/>
  <c r="DR205" i="46"/>
  <c r="EG204" i="46"/>
  <c r="Q206" i="46"/>
  <c r="W206" i="46" s="1"/>
  <c r="AC200" i="46"/>
  <c r="AO206" i="46"/>
  <c r="AX200" i="46"/>
  <c r="BJ206" i="46"/>
  <c r="BY205" i="46"/>
  <c r="CN206" i="46"/>
  <c r="CQ200" i="46"/>
  <c r="CW201" i="46"/>
  <c r="DC205" i="46"/>
  <c r="DU200" i="46"/>
  <c r="EG205" i="46"/>
  <c r="AI204" i="46"/>
  <c r="AR200" i="46"/>
  <c r="AX201" i="46"/>
  <c r="BD204" i="46"/>
  <c r="BM200" i="46"/>
  <c r="BS204" i="46"/>
  <c r="BY206" i="46"/>
  <c r="CB200" i="46"/>
  <c r="CQ201" i="46"/>
  <c r="CW202" i="46"/>
  <c r="DF200" i="46"/>
  <c r="EG206" i="46"/>
  <c r="T204" i="46"/>
  <c r="AI205" i="46"/>
  <c r="AR201" i="46"/>
  <c r="AX202" i="46"/>
  <c r="BD205" i="46"/>
  <c r="BM201" i="46"/>
  <c r="BS205" i="46"/>
  <c r="CB201" i="46"/>
  <c r="CH205" i="46"/>
  <c r="CQ202" i="46"/>
  <c r="DL204" i="46"/>
  <c r="EA204" i="46"/>
  <c r="AI206" i="46"/>
  <c r="BG200" i="46"/>
  <c r="BS206" i="46"/>
  <c r="CB202" i="46"/>
  <c r="CH206" i="46"/>
  <c r="CW204" i="46"/>
  <c r="DF202" i="46"/>
  <c r="DL205" i="46"/>
  <c r="EA205" i="46"/>
  <c r="W200" i="46"/>
  <c r="AC204" i="46"/>
  <c r="AL200" i="46"/>
  <c r="AX204" i="46"/>
  <c r="CK200" i="46"/>
  <c r="CQ204" i="46"/>
  <c r="DO200" i="46"/>
  <c r="DU204" i="46"/>
  <c r="EA206" i="46"/>
  <c r="AF220" i="46"/>
  <c r="AO220" i="46"/>
  <c r="AX220" i="46"/>
  <c r="BP223" i="46"/>
  <c r="CE220" i="46"/>
  <c r="DU220" i="46"/>
  <c r="BG223" i="46"/>
  <c r="CN223" i="46"/>
  <c r="CW223" i="46"/>
  <c r="DL220" i="46"/>
  <c r="BV220" i="46"/>
  <c r="DC220" i="46"/>
  <c r="ED223" i="46"/>
  <c r="AX223" i="46"/>
  <c r="BM220" i="46"/>
  <c r="CE223" i="46"/>
  <c r="CT220" i="46"/>
  <c r="DU223" i="46"/>
  <c r="DF223" i="46"/>
  <c r="DL223" i="46"/>
  <c r="BY223" i="46"/>
  <c r="W220" i="46"/>
  <c r="AO223" i="46"/>
  <c r="BD220" i="46"/>
  <c r="Q220" i="46"/>
  <c r="W223" i="46"/>
  <c r="AL220" i="46"/>
  <c r="AU220" i="46"/>
  <c r="BV223" i="46"/>
  <c r="DC223" i="46"/>
  <c r="DR220" i="46"/>
  <c r="EA220" i="46"/>
  <c r="AC220" i="46"/>
  <c r="BM223" i="46"/>
  <c r="CB220" i="46"/>
  <c r="CT223" i="46"/>
  <c r="DI220" i="46"/>
  <c r="Z223" i="46"/>
  <c r="AF223" i="46"/>
  <c r="CK220" i="46"/>
  <c r="BD223" i="46"/>
  <c r="CK223" i="46"/>
  <c r="AL223" i="46"/>
  <c r="AU223" i="46"/>
  <c r="CZ220" i="46"/>
  <c r="DR223" i="46"/>
  <c r="T223" i="46"/>
  <c r="AC223" i="46"/>
  <c r="CB223" i="46"/>
  <c r="DI223" i="46"/>
  <c r="EG220" i="46"/>
  <c r="CQ223" i="46"/>
  <c r="CZ223" i="46"/>
  <c r="DO220" i="46"/>
  <c r="DX220" i="46"/>
  <c r="Z220" i="46"/>
  <c r="BJ223" i="46"/>
  <c r="BY220" i="46"/>
  <c r="DF220" i="46"/>
  <c r="AR223" i="46"/>
  <c r="BA223" i="46"/>
  <c r="BP220" i="46"/>
  <c r="CH223" i="46"/>
  <c r="EG223" i="46"/>
  <c r="BS223" i="46"/>
  <c r="AI223" i="46"/>
  <c r="BG220" i="46"/>
  <c r="CN220" i="46"/>
  <c r="DO223" i="46"/>
  <c r="DX223" i="46"/>
  <c r="EG233" i="46"/>
  <c r="CT233" i="46"/>
  <c r="AR233" i="46"/>
  <c r="AR234" i="46" s="1"/>
  <c r="DU233" i="46"/>
  <c r="BG233" i="46"/>
  <c r="BG234" i="46" s="1"/>
  <c r="DI233" i="46"/>
  <c r="DI234" i="46" s="1"/>
  <c r="AU233" i="46"/>
  <c r="AU234" i="46" s="1"/>
  <c r="BA233" i="46"/>
  <c r="BV233" i="46"/>
  <c r="CW233" i="46"/>
  <c r="CW234" i="46" s="1"/>
  <c r="CB233" i="46"/>
  <c r="AF233" i="46"/>
  <c r="AF234" i="46" s="1"/>
  <c r="CH233" i="46"/>
  <c r="AO233" i="46"/>
  <c r="DR233" i="46"/>
  <c r="CQ233" i="46"/>
  <c r="CE233" i="46"/>
  <c r="BD233" i="46"/>
  <c r="EG234" i="46"/>
  <c r="AC232" i="46"/>
  <c r="BP232" i="46"/>
  <c r="ED232" i="46"/>
  <c r="AC233" i="46"/>
  <c r="AO232" i="46"/>
  <c r="BP233" i="46"/>
  <c r="DC232" i="46"/>
  <c r="DC234" i="46" s="1"/>
  <c r="ED233" i="46"/>
  <c r="DC233" i="46"/>
  <c r="DO232" i="46"/>
  <c r="DO234" i="46" s="1"/>
  <c r="CB232" i="46"/>
  <c r="CN232" i="46"/>
  <c r="DO233" i="46"/>
  <c r="CN233" i="46"/>
  <c r="EA232" i="46"/>
  <c r="Z233" i="46"/>
  <c r="AL233" i="46"/>
  <c r="BM233" i="46"/>
  <c r="CZ232" i="46"/>
  <c r="EA233" i="46"/>
  <c r="DU234" i="46"/>
  <c r="AL232" i="46"/>
  <c r="CZ233" i="46"/>
  <c r="DL232" i="46"/>
  <c r="DL234" i="46" s="1"/>
  <c r="Z232" i="46"/>
  <c r="Z234" i="46" s="1"/>
  <c r="BM232" i="46"/>
  <c r="AX232" i="46"/>
  <c r="BY232" i="46"/>
  <c r="CK232" i="46"/>
  <c r="BA232" i="46"/>
  <c r="T233" i="46"/>
  <c r="W232" i="46"/>
  <c r="AI232" i="46"/>
  <c r="AX233" i="46"/>
  <c r="BJ232" i="46"/>
  <c r="BY233" i="46"/>
  <c r="CK233" i="46"/>
  <c r="DX232" i="46"/>
  <c r="DX234" i="46" s="1"/>
  <c r="CT234" i="46"/>
  <c r="W233" i="46"/>
  <c r="AI233" i="46"/>
  <c r="BJ233" i="46"/>
  <c r="CW232" i="46"/>
  <c r="DX233" i="46"/>
  <c r="BV232" i="46"/>
  <c r="CH232" i="46"/>
  <c r="BS232" i="46"/>
  <c r="DF232" i="46"/>
  <c r="DF234" i="46" s="1"/>
  <c r="BD232" i="46"/>
  <c r="BD234" i="46" s="1"/>
  <c r="BS233" i="46"/>
  <c r="CE232" i="46"/>
  <c r="CE234" i="46" s="1"/>
  <c r="CQ232" i="46"/>
  <c r="CQ234" i="46" s="1"/>
  <c r="DF233" i="46"/>
  <c r="DR232" i="46"/>
  <c r="DR234" i="46" s="1"/>
  <c r="CE247" i="46"/>
  <c r="CE248" i="46" s="1"/>
  <c r="DF247" i="46"/>
  <c r="DF248" i="46" s="1"/>
  <c r="AL247" i="46"/>
  <c r="AL248" i="46" s="1"/>
  <c r="M222" i="46"/>
  <c r="M221" i="46"/>
  <c r="T220" i="46"/>
  <c r="T205" i="46"/>
  <c r="M207" i="46"/>
  <c r="T201" i="46"/>
  <c r="M203" i="46"/>
  <c r="Q173" i="46"/>
  <c r="Q179" i="46"/>
  <c r="Z179" i="46" s="1"/>
  <c r="Q166" i="46"/>
  <c r="CW166" i="46" s="1"/>
  <c r="Q177" i="46"/>
  <c r="W177" i="46" s="1"/>
  <c r="T170" i="46"/>
  <c r="Q165" i="46"/>
  <c r="DX165" i="46" s="1"/>
  <c r="Q169" i="46"/>
  <c r="DO169" i="46" s="1"/>
  <c r="Q247" i="46"/>
  <c r="CT247" i="46" s="1"/>
  <c r="CT248" i="46" s="1"/>
  <c r="Q244" i="46"/>
  <c r="M244" i="46"/>
  <c r="T200" i="46"/>
  <c r="Q200" i="46"/>
  <c r="AA156" i="3"/>
  <c r="AA155" i="3"/>
  <c r="AA154" i="3"/>
  <c r="AA160" i="3"/>
  <c r="AA159" i="3"/>
  <c r="W160" i="3"/>
  <c r="W159" i="3"/>
  <c r="W158" i="3"/>
  <c r="W156" i="3"/>
  <c r="W155" i="3"/>
  <c r="C47" i="46"/>
  <c r="C46" i="46"/>
  <c r="C44" i="46"/>
  <c r="C43" i="46"/>
  <c r="BP234" i="46" l="1"/>
  <c r="BJ234" i="46"/>
  <c r="AO234" i="46"/>
  <c r="AL234" i="46"/>
  <c r="AU173" i="46"/>
  <c r="BA173" i="46"/>
  <c r="CT173" i="46"/>
  <c r="ED173" i="46"/>
  <c r="CW173" i="46"/>
  <c r="CQ173" i="46"/>
  <c r="BG173" i="46"/>
  <c r="CB173" i="46"/>
  <c r="AF173" i="46"/>
  <c r="BD173" i="46"/>
  <c r="AI173" i="46"/>
  <c r="CE173" i="46"/>
  <c r="EG179" i="46"/>
  <c r="DF166" i="46"/>
  <c r="BJ179" i="46"/>
  <c r="DL165" i="46"/>
  <c r="BP179" i="46"/>
  <c r="EA169" i="46"/>
  <c r="AC179" i="46"/>
  <c r="DR177" i="46"/>
  <c r="CN180" i="46"/>
  <c r="DO173" i="46"/>
  <c r="W169" i="46"/>
  <c r="W179" i="46"/>
  <c r="BY179" i="46"/>
  <c r="BS173" i="46"/>
  <c r="BP169" i="46"/>
  <c r="BM173" i="46"/>
  <c r="T166" i="46"/>
  <c r="DL173" i="46"/>
  <c r="ED166" i="46"/>
  <c r="ED179" i="46"/>
  <c r="DU179" i="46"/>
  <c r="CZ179" i="46"/>
  <c r="DX169" i="46"/>
  <c r="DX180" i="46" s="1"/>
  <c r="DR165" i="46"/>
  <c r="T165" i="46"/>
  <c r="AU179" i="46"/>
  <c r="DI173" i="46"/>
  <c r="BJ169" i="46"/>
  <c r="W166" i="46"/>
  <c r="DU169" i="46"/>
  <c r="CW169" i="46"/>
  <c r="DF173" i="46"/>
  <c r="BG166" i="46"/>
  <c r="BG180" i="46" s="1"/>
  <c r="BV179" i="46"/>
  <c r="BM166" i="46"/>
  <c r="BP166" i="46"/>
  <c r="CB169" i="46"/>
  <c r="DL179" i="46"/>
  <c r="BJ173" i="46"/>
  <c r="DC173" i="46"/>
  <c r="BD169" i="46"/>
  <c r="BM177" i="46"/>
  <c r="BS169" i="46"/>
  <c r="BG169" i="46"/>
  <c r="BD166" i="46"/>
  <c r="BY173" i="46"/>
  <c r="DR173" i="46"/>
  <c r="BJ165" i="46"/>
  <c r="BJ180" i="46" s="1"/>
  <c r="BM165" i="46"/>
  <c r="BM180" i="46" s="1"/>
  <c r="AX173" i="46"/>
  <c r="DI179" i="46"/>
  <c r="BA169" i="46"/>
  <c r="CQ169" i="46"/>
  <c r="CQ180" i="46" s="1"/>
  <c r="AU166" i="46"/>
  <c r="CZ169" i="46"/>
  <c r="BA166" i="46"/>
  <c r="CW165" i="46"/>
  <c r="BM179" i="46"/>
  <c r="BS179" i="46"/>
  <c r="AX165" i="46"/>
  <c r="AX179" i="46"/>
  <c r="BD179" i="46"/>
  <c r="CT179" i="46"/>
  <c r="AU165" i="46"/>
  <c r="AU180" i="46" s="1"/>
  <c r="CN165" i="46"/>
  <c r="AR165" i="46"/>
  <c r="CN179" i="46"/>
  <c r="AR179" i="46"/>
  <c r="BA179" i="46"/>
  <c r="CW179" i="46"/>
  <c r="DX173" i="46"/>
  <c r="AL169" i="46"/>
  <c r="DF177" i="46"/>
  <c r="AO166" i="46"/>
  <c r="CE179" i="46"/>
  <c r="CN166" i="46"/>
  <c r="AR166" i="46"/>
  <c r="CK179" i="46"/>
  <c r="AO179" i="46"/>
  <c r="EG166" i="46"/>
  <c r="CK177" i="46"/>
  <c r="AO177" i="46"/>
  <c r="AU177" i="46"/>
  <c r="DU173" i="46"/>
  <c r="EA173" i="46"/>
  <c r="CK166" i="46"/>
  <c r="EG169" i="46"/>
  <c r="DC169" i="46"/>
  <c r="DC180" i="46" s="1"/>
  <c r="ED165" i="46"/>
  <c r="ED180" i="46" s="1"/>
  <c r="CT166" i="46"/>
  <c r="CT180" i="46" s="1"/>
  <c r="DO179" i="46"/>
  <c r="CK169" i="46"/>
  <c r="CK180" i="46" s="1"/>
  <c r="AI179" i="46"/>
  <c r="AC177" i="46"/>
  <c r="CH179" i="46"/>
  <c r="CE177" i="46"/>
  <c r="EA179" i="46"/>
  <c r="ED177" i="46"/>
  <c r="ED169" i="46"/>
  <c r="AL179" i="46"/>
  <c r="DF165" i="46"/>
  <c r="BS165" i="46"/>
  <c r="W165" i="46"/>
  <c r="BY165" i="46"/>
  <c r="BY180" i="46" s="1"/>
  <c r="DO165" i="46"/>
  <c r="CB165" i="46"/>
  <c r="CB180" i="46" s="1"/>
  <c r="AI165" i="46"/>
  <c r="AI180" i="46" s="1"/>
  <c r="AF165" i="46"/>
  <c r="EG165" i="46"/>
  <c r="EG180" i="46" s="1"/>
  <c r="BA165" i="46"/>
  <c r="BA180" i="46" s="1"/>
  <c r="BG165" i="46"/>
  <c r="AC165" i="46"/>
  <c r="BD165" i="46"/>
  <c r="BD180" i="46" s="1"/>
  <c r="CQ179" i="46"/>
  <c r="CN177" i="46"/>
  <c r="AI169" i="46"/>
  <c r="BS166" i="46"/>
  <c r="BY166" i="46"/>
  <c r="DF179" i="46"/>
  <c r="DF180" i="46" s="1"/>
  <c r="T179" i="46"/>
  <c r="CH166" i="46"/>
  <c r="AL165" i="46"/>
  <c r="CB179" i="46"/>
  <c r="AF179" i="46"/>
  <c r="DU165" i="46"/>
  <c r="DU180" i="46" s="1"/>
  <c r="EA166" i="46"/>
  <c r="AI177" i="46"/>
  <c r="EA165" i="46"/>
  <c r="EA180" i="46" s="1"/>
  <c r="DX177" i="46"/>
  <c r="EG173" i="46"/>
  <c r="Z166" i="46"/>
  <c r="AC166" i="46"/>
  <c r="DL166" i="46"/>
  <c r="DI166" i="46"/>
  <c r="DI180" i="46" s="1"/>
  <c r="BV166" i="46"/>
  <c r="DO166" i="46"/>
  <c r="CB166" i="46"/>
  <c r="DR166" i="46"/>
  <c r="DR180" i="46" s="1"/>
  <c r="CE166" i="46"/>
  <c r="AL166" i="46"/>
  <c r="CZ166" i="46"/>
  <c r="CZ180" i="46" s="1"/>
  <c r="BJ166" i="46"/>
  <c r="AF166" i="46"/>
  <c r="AI166" i="46"/>
  <c r="AL173" i="46"/>
  <c r="DC179" i="46"/>
  <c r="BP165" i="46"/>
  <c r="BV165" i="46"/>
  <c r="Z165" i="46"/>
  <c r="CE165" i="46"/>
  <c r="CE180" i="46" s="1"/>
  <c r="DX166" i="46"/>
  <c r="DR179" i="46"/>
  <c r="W173" i="46"/>
  <c r="CB177" i="46"/>
  <c r="AF177" i="46"/>
  <c r="DX179" i="46"/>
  <c r="CT165" i="46"/>
  <c r="DU177" i="46"/>
  <c r="AC173" i="46"/>
  <c r="CH165" i="46"/>
  <c r="CH180" i="46" s="1"/>
  <c r="BA202" i="46"/>
  <c r="BV201" i="46"/>
  <c r="BA201" i="46"/>
  <c r="AF201" i="46"/>
  <c r="DO201" i="46"/>
  <c r="DO208" i="46" s="1"/>
  <c r="CZ201" i="46"/>
  <c r="ED201" i="46"/>
  <c r="CK201" i="46"/>
  <c r="CK208" i="46" s="1"/>
  <c r="AL201" i="46"/>
  <c r="W201" i="46"/>
  <c r="T207" i="46"/>
  <c r="CH207" i="46"/>
  <c r="BS207" i="46"/>
  <c r="BD207" i="46"/>
  <c r="AI207" i="46"/>
  <c r="EG207" i="46"/>
  <c r="DC207" i="46"/>
  <c r="BY207" i="46"/>
  <c r="DR207" i="46"/>
  <c r="CN207" i="46"/>
  <c r="BJ207" i="46"/>
  <c r="AO207" i="46"/>
  <c r="Z207" i="46"/>
  <c r="AU207" i="46"/>
  <c r="DX207" i="46"/>
  <c r="DX208" i="46" s="1"/>
  <c r="CT207" i="46"/>
  <c r="DI207" i="46"/>
  <c r="CE207" i="46"/>
  <c r="BP207" i="46"/>
  <c r="DL207" i="46"/>
  <c r="BA207" i="46"/>
  <c r="AF207" i="46"/>
  <c r="EA207" i="46"/>
  <c r="CZ207" i="46"/>
  <c r="BV207" i="46"/>
  <c r="AX207" i="46"/>
  <c r="CW207" i="46"/>
  <c r="ED207" i="46"/>
  <c r="DO207" i="46"/>
  <c r="CK207" i="46"/>
  <c r="AL207" i="46"/>
  <c r="W207" i="46"/>
  <c r="AC207" i="46"/>
  <c r="BG207" i="46"/>
  <c r="DU207" i="46"/>
  <c r="DF207" i="46"/>
  <c r="CB207" i="46"/>
  <c r="BM207" i="46"/>
  <c r="AR207" i="46"/>
  <c r="CQ207" i="46"/>
  <c r="DL206" i="46"/>
  <c r="BD206" i="46"/>
  <c r="AC202" i="46"/>
  <c r="Z206" i="46"/>
  <c r="AI202" i="46"/>
  <c r="AI208" i="46" s="1"/>
  <c r="EG201" i="46"/>
  <c r="EG208" i="46" s="1"/>
  <c r="DR201" i="46"/>
  <c r="DR208" i="46" s="1"/>
  <c r="T206" i="46"/>
  <c r="T202" i="46"/>
  <c r="CB208" i="46"/>
  <c r="AR202" i="46"/>
  <c r="AR208" i="46" s="1"/>
  <c r="AC201" i="46"/>
  <c r="DF206" i="46"/>
  <c r="AX206" i="46"/>
  <c r="CB206" i="46"/>
  <c r="AR206" i="46"/>
  <c r="CW206" i="46"/>
  <c r="BM206" i="46"/>
  <c r="DU206" i="46"/>
  <c r="CQ206" i="46"/>
  <c r="AC206" i="46"/>
  <c r="EG202" i="46"/>
  <c r="DX202" i="46"/>
  <c r="T203" i="46"/>
  <c r="DF203" i="46"/>
  <c r="CB203" i="46"/>
  <c r="BM203" i="46"/>
  <c r="AR203" i="46"/>
  <c r="DU203" i="46"/>
  <c r="CQ203" i="46"/>
  <c r="CQ208" i="46" s="1"/>
  <c r="AX203" i="46"/>
  <c r="AX208" i="46" s="1"/>
  <c r="AC203" i="46"/>
  <c r="CW203" i="46"/>
  <c r="EA203" i="46"/>
  <c r="DL203" i="46"/>
  <c r="CH203" i="46"/>
  <c r="CH208" i="46" s="1"/>
  <c r="BS203" i="46"/>
  <c r="BD203" i="46"/>
  <c r="AI203" i="46"/>
  <c r="EG203" i="46"/>
  <c r="DC203" i="46"/>
  <c r="BY203" i="46"/>
  <c r="BG203" i="46"/>
  <c r="DR203" i="46"/>
  <c r="CN203" i="46"/>
  <c r="BJ203" i="46"/>
  <c r="AO203" i="46"/>
  <c r="AO208" i="46" s="1"/>
  <c r="Z203" i="46"/>
  <c r="DO203" i="46"/>
  <c r="AU203" i="46"/>
  <c r="AL203" i="46"/>
  <c r="W203" i="46"/>
  <c r="DX203" i="46"/>
  <c r="CT203" i="46"/>
  <c r="DI203" i="46"/>
  <c r="CE203" i="46"/>
  <c r="CE208" i="46" s="1"/>
  <c r="BP203" i="46"/>
  <c r="BA203" i="46"/>
  <c r="AF203" i="46"/>
  <c r="CZ203" i="46"/>
  <c r="BV203" i="46"/>
  <c r="ED203" i="46"/>
  <c r="CK203" i="46"/>
  <c r="BM202" i="46"/>
  <c r="DR202" i="46"/>
  <c r="CW208" i="46"/>
  <c r="Z202" i="46"/>
  <c r="DX201" i="46"/>
  <c r="DU202" i="46"/>
  <c r="DU201" i="46"/>
  <c r="DU208" i="46"/>
  <c r="DC202" i="46"/>
  <c r="DC201" i="46"/>
  <c r="DC208" i="46" s="1"/>
  <c r="CN201" i="46"/>
  <c r="CN208" i="46" s="1"/>
  <c r="DI201" i="46"/>
  <c r="DI208" i="46" s="1"/>
  <c r="EA201" i="46"/>
  <c r="EA208" i="46" s="1"/>
  <c r="DF208" i="46"/>
  <c r="DR206" i="46"/>
  <c r="DL201" i="46"/>
  <c r="DL208" i="46"/>
  <c r="CT202" i="46"/>
  <c r="CT208" i="46" s="1"/>
  <c r="ED206" i="46"/>
  <c r="ED202" i="46"/>
  <c r="BG202" i="46"/>
  <c r="DO202" i="46"/>
  <c r="CK202" i="46"/>
  <c r="AL202" i="46"/>
  <c r="CZ202" i="46"/>
  <c r="BV202" i="46"/>
  <c r="W202" i="46"/>
  <c r="EA202" i="46"/>
  <c r="DF201" i="46"/>
  <c r="DC206" i="46"/>
  <c r="DL202" i="46"/>
  <c r="CT206" i="46"/>
  <c r="CN202" i="46"/>
  <c r="BY208" i="46"/>
  <c r="BG201" i="46"/>
  <c r="T222" i="46"/>
  <c r="DF222" i="46"/>
  <c r="BY222" i="46"/>
  <c r="Z222" i="46"/>
  <c r="BJ222" i="46"/>
  <c r="DX222" i="46"/>
  <c r="DO222" i="46"/>
  <c r="AI222" i="46"/>
  <c r="CH222" i="46"/>
  <c r="BA222" i="46"/>
  <c r="AR222" i="46"/>
  <c r="BS222" i="46"/>
  <c r="EG222" i="46"/>
  <c r="CZ222" i="46"/>
  <c r="CQ222" i="46"/>
  <c r="DI222" i="46"/>
  <c r="CB222" i="46"/>
  <c r="AC222" i="46"/>
  <c r="EA222" i="46"/>
  <c r="DR222" i="46"/>
  <c r="AU222" i="46"/>
  <c r="AL222" i="46"/>
  <c r="DC222" i="46"/>
  <c r="W222" i="46"/>
  <c r="CK222" i="46"/>
  <c r="BD222" i="46"/>
  <c r="BV222" i="46"/>
  <c r="CT222" i="46"/>
  <c r="BM222" i="46"/>
  <c r="BP222" i="46"/>
  <c r="AF222" i="46"/>
  <c r="DL222" i="46"/>
  <c r="DU222" i="46"/>
  <c r="DU224" i="46" s="1"/>
  <c r="CE222" i="46"/>
  <c r="AX222" i="46"/>
  <c r="AO222" i="46"/>
  <c r="ED222" i="46"/>
  <c r="CW222" i="46"/>
  <c r="CN222" i="46"/>
  <c r="BG222" i="46"/>
  <c r="DL224" i="46"/>
  <c r="T221" i="46"/>
  <c r="BP221" i="46"/>
  <c r="BP224" i="46" s="1"/>
  <c r="BA221" i="46"/>
  <c r="DF221" i="46"/>
  <c r="BY221" i="46"/>
  <c r="Z221" i="46"/>
  <c r="DX221" i="46"/>
  <c r="DX224" i="46" s="1"/>
  <c r="DO221" i="46"/>
  <c r="DO224" i="46" s="1"/>
  <c r="AI221" i="46"/>
  <c r="AR221" i="46"/>
  <c r="BJ221" i="46"/>
  <c r="EG221" i="46"/>
  <c r="EG224" i="46" s="1"/>
  <c r="CH221" i="46"/>
  <c r="CZ221" i="46"/>
  <c r="CZ224" i="46" s="1"/>
  <c r="CQ221" i="46"/>
  <c r="CQ224" i="46" s="1"/>
  <c r="BS221" i="46"/>
  <c r="BS224" i="46" s="1"/>
  <c r="DI221" i="46"/>
  <c r="DI224" i="46" s="1"/>
  <c r="CB221" i="46"/>
  <c r="AC221" i="46"/>
  <c r="W221" i="46"/>
  <c r="CW221" i="46"/>
  <c r="BG221" i="46"/>
  <c r="BG224" i="46" s="1"/>
  <c r="EA221" i="46"/>
  <c r="DR221" i="46"/>
  <c r="DR224" i="46" s="1"/>
  <c r="AU221" i="46"/>
  <c r="AL221" i="46"/>
  <c r="CK221" i="46"/>
  <c r="CK224" i="46" s="1"/>
  <c r="BD221" i="46"/>
  <c r="CT221" i="46"/>
  <c r="CT224" i="46" s="1"/>
  <c r="BM221" i="46"/>
  <c r="CN221" i="46"/>
  <c r="CN224" i="46" s="1"/>
  <c r="DC221" i="46"/>
  <c r="DC224" i="46" s="1"/>
  <c r="BV221" i="46"/>
  <c r="BV224" i="46" s="1"/>
  <c r="DL221" i="46"/>
  <c r="DU221" i="46"/>
  <c r="CE221" i="46"/>
  <c r="AX221" i="46"/>
  <c r="AO221" i="46"/>
  <c r="AF221" i="46"/>
  <c r="ED221" i="46"/>
  <c r="CB224" i="46"/>
  <c r="ED234" i="46"/>
  <c r="BM234" i="46"/>
  <c r="CZ234" i="46"/>
  <c r="BS234" i="46"/>
  <c r="BA234" i="46"/>
  <c r="BY234" i="46"/>
  <c r="CN234" i="46"/>
  <c r="AI234" i="46"/>
  <c r="AC234" i="46"/>
  <c r="W234" i="46"/>
  <c r="CH234" i="46"/>
  <c r="EA234" i="46"/>
  <c r="BV234" i="46"/>
  <c r="CK234" i="46"/>
  <c r="AX234" i="46"/>
  <c r="CB234" i="46"/>
  <c r="T244" i="46"/>
  <c r="DO244" i="46"/>
  <c r="DO245" i="46" s="1"/>
  <c r="CW244" i="46"/>
  <c r="CW245" i="46" s="1"/>
  <c r="CE244" i="46"/>
  <c r="CE245" i="46" s="1"/>
  <c r="AU244" i="46"/>
  <c r="AU245" i="46" s="1"/>
  <c r="BM244" i="46"/>
  <c r="BM245" i="46" s="1"/>
  <c r="AC244" i="46"/>
  <c r="AC245" i="46" s="1"/>
  <c r="AF244" i="46"/>
  <c r="AF245" i="46" s="1"/>
  <c r="DR244" i="46"/>
  <c r="DR245" i="46" s="1"/>
  <c r="CZ244" i="46"/>
  <c r="CZ245" i="46" s="1"/>
  <c r="CH244" i="46"/>
  <c r="CH245" i="46" s="1"/>
  <c r="BP244" i="46"/>
  <c r="BP245" i="46" s="1"/>
  <c r="AX244" i="46"/>
  <c r="AX245" i="46" s="1"/>
  <c r="BS244" i="46"/>
  <c r="BS245" i="46" s="1"/>
  <c r="DU244" i="46"/>
  <c r="DU245" i="46" s="1"/>
  <c r="DC244" i="46"/>
  <c r="DC245" i="46" s="1"/>
  <c r="CK244" i="46"/>
  <c r="CK245" i="46" s="1"/>
  <c r="BA244" i="46"/>
  <c r="BA245" i="46" s="1"/>
  <c r="BV244" i="46"/>
  <c r="BV245" i="46" s="1"/>
  <c r="AI244" i="46"/>
  <c r="AI245" i="46" s="1"/>
  <c r="DX244" i="46"/>
  <c r="DX245" i="46" s="1"/>
  <c r="DF244" i="46"/>
  <c r="DF245" i="46" s="1"/>
  <c r="CN244" i="46"/>
  <c r="CN245" i="46" s="1"/>
  <c r="BD244" i="46"/>
  <c r="BD245" i="46" s="1"/>
  <c r="BY244" i="46"/>
  <c r="BY245" i="46" s="1"/>
  <c r="AL244" i="46"/>
  <c r="AL245" i="46" s="1"/>
  <c r="W244" i="46"/>
  <c r="W245" i="46" s="1"/>
  <c r="Z244" i="46"/>
  <c r="Z245" i="46" s="1"/>
  <c r="EA244" i="46"/>
  <c r="EA245" i="46" s="1"/>
  <c r="DI244" i="46"/>
  <c r="DI245" i="46" s="1"/>
  <c r="CQ244" i="46"/>
  <c r="CQ245" i="46" s="1"/>
  <c r="BG244" i="46"/>
  <c r="BG245" i="46" s="1"/>
  <c r="AO244" i="46"/>
  <c r="AO245" i="46" s="1"/>
  <c r="CT244" i="46"/>
  <c r="CT245" i="46" s="1"/>
  <c r="CB244" i="46"/>
  <c r="CB245" i="46" s="1"/>
  <c r="ED244" i="46"/>
  <c r="ED245" i="46" s="1"/>
  <c r="DL244" i="46"/>
  <c r="DL245" i="46" s="1"/>
  <c r="BJ244" i="46"/>
  <c r="BJ245" i="46" s="1"/>
  <c r="AR244" i="46"/>
  <c r="AR245" i="46" s="1"/>
  <c r="EG244" i="46"/>
  <c r="EG245" i="46" s="1"/>
  <c r="AX247" i="46"/>
  <c r="AX248" i="46" s="1"/>
  <c r="DU247" i="46"/>
  <c r="DU248" i="46" s="1"/>
  <c r="CN247" i="46"/>
  <c r="CN248" i="46" s="1"/>
  <c r="BG247" i="46"/>
  <c r="BG248" i="46" s="1"/>
  <c r="Z247" i="46"/>
  <c r="Z248" i="46" s="1"/>
  <c r="DI247" i="46"/>
  <c r="DI248" i="46" s="1"/>
  <c r="DL247" i="46"/>
  <c r="DL248" i="46" s="1"/>
  <c r="EG247" i="46"/>
  <c r="EG248" i="46" s="1"/>
  <c r="DX247" i="46"/>
  <c r="DX248" i="46" s="1"/>
  <c r="CH247" i="46"/>
  <c r="CH248" i="46" s="1"/>
  <c r="CZ247" i="46"/>
  <c r="CZ248" i="46" s="1"/>
  <c r="BA247" i="46"/>
  <c r="BA248" i="46" s="1"/>
  <c r="BV247" i="46"/>
  <c r="BV248" i="46" s="1"/>
  <c r="CW247" i="46"/>
  <c r="CW248" i="46" s="1"/>
  <c r="W247" i="46"/>
  <c r="W248" i="46" s="1"/>
  <c r="DR247" i="46"/>
  <c r="DR248" i="46" s="1"/>
  <c r="DC247" i="46"/>
  <c r="DC248" i="46" s="1"/>
  <c r="BD247" i="46"/>
  <c r="BD248" i="46" s="1"/>
  <c r="BM247" i="46"/>
  <c r="BM248" i="46" s="1"/>
  <c r="AR247" i="46"/>
  <c r="AR248" i="46" s="1"/>
  <c r="AO247" i="46"/>
  <c r="AO248" i="46" s="1"/>
  <c r="CB247" i="46"/>
  <c r="CB248" i="46" s="1"/>
  <c r="AU247" i="46"/>
  <c r="AU248" i="46" s="1"/>
  <c r="EA247" i="46"/>
  <c r="EA248" i="46" s="1"/>
  <c r="BS247" i="46"/>
  <c r="BS248" i="46" s="1"/>
  <c r="DO247" i="46"/>
  <c r="DO248" i="46" s="1"/>
  <c r="ED247" i="46"/>
  <c r="ED248" i="46" s="1"/>
  <c r="CQ247" i="46"/>
  <c r="CQ248" i="46" s="1"/>
  <c r="AC247" i="46"/>
  <c r="AC248" i="46" s="1"/>
  <c r="CK247" i="46"/>
  <c r="CK248" i="46" s="1"/>
  <c r="BP247" i="46"/>
  <c r="BP248" i="46" s="1"/>
  <c r="T247" i="46"/>
  <c r="AI247" i="46"/>
  <c r="AI248" i="46" s="1"/>
  <c r="BJ247" i="46"/>
  <c r="BJ248" i="46" s="1"/>
  <c r="BY247" i="46"/>
  <c r="BY248" i="46" s="1"/>
  <c r="AF247" i="46"/>
  <c r="AF248" i="46" s="1"/>
  <c r="A44" i="47"/>
  <c r="A33" i="47"/>
  <c r="A34" i="47"/>
  <c r="A35" i="47"/>
  <c r="A36" i="47"/>
  <c r="A37" i="47"/>
  <c r="A38" i="47"/>
  <c r="A39" i="47"/>
  <c r="A40" i="47"/>
  <c r="A41" i="47"/>
  <c r="A42" i="47"/>
  <c r="A43" i="47"/>
  <c r="A11" i="47"/>
  <c r="A12" i="47"/>
  <c r="A13" i="47"/>
  <c r="A14" i="47"/>
  <c r="A15" i="47"/>
  <c r="A16" i="47"/>
  <c r="A17" i="47"/>
  <c r="A18" i="47"/>
  <c r="A19" i="47"/>
  <c r="A20" i="47"/>
  <c r="A21" i="47"/>
  <c r="A22" i="47"/>
  <c r="A23" i="47"/>
  <c r="A24" i="47"/>
  <c r="A25" i="47"/>
  <c r="A26" i="47"/>
  <c r="A27" i="47"/>
  <c r="A28" i="47"/>
  <c r="A29" i="47"/>
  <c r="A30" i="47"/>
  <c r="A31" i="47"/>
  <c r="A32" i="47"/>
  <c r="A10" i="47"/>
  <c r="EF5" i="46"/>
  <c r="EF267" i="46" s="1"/>
  <c r="EC5" i="46"/>
  <c r="EC267" i="46" s="1"/>
  <c r="DZ5" i="46"/>
  <c r="DZ267" i="46" s="1"/>
  <c r="DW5" i="46"/>
  <c r="DW267" i="46" s="1"/>
  <c r="DT5" i="46"/>
  <c r="DT267" i="46" s="1"/>
  <c r="DQ5" i="46"/>
  <c r="DQ267" i="46" s="1"/>
  <c r="DN5" i="46"/>
  <c r="DN267" i="46" s="1"/>
  <c r="DK5" i="46"/>
  <c r="DK267" i="46" s="1"/>
  <c r="DH5" i="46"/>
  <c r="DH267" i="46" s="1"/>
  <c r="DE5" i="46"/>
  <c r="DE267" i="46" s="1"/>
  <c r="DB5" i="46"/>
  <c r="DB267" i="46" s="1"/>
  <c r="CY5" i="46"/>
  <c r="CY267" i="46" s="1"/>
  <c r="CV5" i="46"/>
  <c r="CV267" i="46" s="1"/>
  <c r="CS5" i="46"/>
  <c r="CS267" i="46" s="1"/>
  <c r="CP5" i="46"/>
  <c r="CP267" i="46" s="1"/>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BS208" i="46" l="1"/>
  <c r="BS180" i="46"/>
  <c r="BP208" i="46"/>
  <c r="BM224" i="46"/>
  <c r="BM208" i="46"/>
  <c r="BJ224" i="46"/>
  <c r="BD224" i="46"/>
  <c r="BD208" i="46"/>
  <c r="AU208" i="46"/>
  <c r="AR224" i="46"/>
  <c r="AO180" i="46"/>
  <c r="AL224" i="46"/>
  <c r="AL208" i="46"/>
  <c r="AL180" i="46"/>
  <c r="AI224" i="46"/>
  <c r="AF224" i="46"/>
  <c r="AF208" i="46"/>
  <c r="AF180" i="46"/>
  <c r="Z208" i="46"/>
  <c r="Z180" i="46"/>
  <c r="W208" i="46"/>
  <c r="W180" i="46"/>
  <c r="AR180" i="46"/>
  <c r="DO180" i="46"/>
  <c r="BP180" i="46"/>
  <c r="BV180" i="46"/>
  <c r="DL180" i="46"/>
  <c r="AC180" i="46"/>
  <c r="AX180" i="46"/>
  <c r="CW180" i="46"/>
  <c r="ED208" i="46"/>
  <c r="CZ208" i="46"/>
  <c r="AC208" i="46"/>
  <c r="BA208" i="46"/>
  <c r="BJ208" i="46"/>
  <c r="BV208" i="46"/>
  <c r="BG208" i="46"/>
  <c r="ED224" i="46"/>
  <c r="CH224" i="46"/>
  <c r="AU224" i="46"/>
  <c r="EA224" i="46"/>
  <c r="AO224" i="46"/>
  <c r="Z224" i="46"/>
  <c r="AX224" i="46"/>
  <c r="CW224" i="46"/>
  <c r="BY224" i="46"/>
  <c r="CE224" i="46"/>
  <c r="W224" i="46"/>
  <c r="DF224" i="46"/>
  <c r="AC224" i="46"/>
  <c r="BA224" i="46"/>
  <c r="AG89" i="3"/>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L202" i="46"/>
  <c r="L203" i="46"/>
  <c r="L204" i="46"/>
  <c r="L205" i="46"/>
  <c r="L206" i="46"/>
  <c r="L207" i="46"/>
  <c r="M262" i="46"/>
  <c r="N6" i="46"/>
  <c r="O6" i="46"/>
  <c r="P6" i="46"/>
  <c r="D204" i="46"/>
  <c r="A165" i="46"/>
  <c r="B165" i="46"/>
  <c r="A167" i="46"/>
  <c r="B167" i="46"/>
  <c r="A168" i="46"/>
  <c r="B168" i="46"/>
  <c r="A169" i="46"/>
  <c r="B169" i="46"/>
  <c r="A170" i="46"/>
  <c r="B170" i="46"/>
  <c r="A171" i="46"/>
  <c r="B171" i="46"/>
  <c r="A172" i="46"/>
  <c r="B172" i="46"/>
  <c r="A173" i="46"/>
  <c r="B173" i="46"/>
  <c r="A174" i="46"/>
  <c r="B174" i="46"/>
  <c r="A175" i="46"/>
  <c r="B175" i="46"/>
  <c r="A176" i="46"/>
  <c r="B176" i="46"/>
  <c r="A177" i="46"/>
  <c r="B177" i="46"/>
  <c r="A178" i="46"/>
  <c r="B178" i="46"/>
  <c r="A179" i="46"/>
  <c r="B179" i="46"/>
  <c r="A164" i="46"/>
  <c r="B164" i="46"/>
  <c r="N8" i="46"/>
  <c r="O8" i="46"/>
  <c r="P8" i="46"/>
  <c r="N7" i="46"/>
  <c r="O7" i="46"/>
  <c r="P7" i="46"/>
  <c r="Q32" i="6"/>
  <c r="Q26" i="6"/>
  <c r="L247" i="46"/>
  <c r="L244" i="46"/>
  <c r="L233" i="46"/>
  <c r="L232" i="46"/>
  <c r="L223" i="46"/>
  <c r="L222" i="46"/>
  <c r="L221" i="46"/>
  <c r="L220" i="46"/>
  <c r="L201" i="46"/>
  <c r="L200" i="46"/>
  <c r="B247" i="46"/>
  <c r="A247" i="46"/>
  <c r="B244" i="46"/>
  <c r="A244" i="46"/>
  <c r="E244" i="46" s="1"/>
  <c r="A233" i="46"/>
  <c r="B233" i="46"/>
  <c r="B232" i="46"/>
  <c r="A232" i="46"/>
  <c r="A220" i="46"/>
  <c r="E220" i="46" s="1"/>
  <c r="B220" i="46"/>
  <c r="B223" i="46"/>
  <c r="A223" i="46"/>
  <c r="B222" i="46"/>
  <c r="A222" i="46"/>
  <c r="E222" i="46" s="1"/>
  <c r="B221" i="46"/>
  <c r="E221" i="46" s="1"/>
  <c r="A221" i="46"/>
  <c r="B207" i="46"/>
  <c r="A207" i="46"/>
  <c r="B206" i="46"/>
  <c r="E206" i="46" s="1"/>
  <c r="A206" i="46"/>
  <c r="B205" i="46"/>
  <c r="A205" i="46"/>
  <c r="B204" i="46"/>
  <c r="A204" i="46"/>
  <c r="E204" i="46" s="1"/>
  <c r="B203" i="46"/>
  <c r="A203" i="46"/>
  <c r="B202" i="46"/>
  <c r="A202" i="46"/>
  <c r="B201" i="46"/>
  <c r="A201" i="46"/>
  <c r="B200" i="46"/>
  <c r="A200" i="46"/>
  <c r="N29" i="46"/>
  <c r="P29" i="46"/>
  <c r="O9" i="46"/>
  <c r="O10" i="46"/>
  <c r="O11" i="46"/>
  <c r="O12" i="46"/>
  <c r="O13" i="46"/>
  <c r="O14" i="46"/>
  <c r="O15" i="46"/>
  <c r="O16" i="46"/>
  <c r="O17" i="46"/>
  <c r="O18" i="46"/>
  <c r="O19" i="46"/>
  <c r="O20" i="46"/>
  <c r="O21" i="46"/>
  <c r="O22" i="46"/>
  <c r="O23" i="46"/>
  <c r="O24" i="46"/>
  <c r="O25" i="46"/>
  <c r="O26" i="46"/>
  <c r="Q26" i="46" s="1"/>
  <c r="O27" i="46"/>
  <c r="O28" i="46"/>
  <c r="N28" i="46"/>
  <c r="P28" i="46"/>
  <c r="O29" i="46"/>
  <c r="M29" i="46" s="1"/>
  <c r="O30" i="46"/>
  <c r="P9" i="46"/>
  <c r="P10" i="46"/>
  <c r="P11" i="46"/>
  <c r="P12" i="46"/>
  <c r="P13" i="46"/>
  <c r="P14" i="46"/>
  <c r="P15" i="46"/>
  <c r="P16" i="46"/>
  <c r="M16" i="46" s="1"/>
  <c r="P17" i="46"/>
  <c r="P18" i="46"/>
  <c r="P19" i="46"/>
  <c r="P20" i="46"/>
  <c r="P21" i="46"/>
  <c r="P22" i="46"/>
  <c r="P23" i="46"/>
  <c r="P24" i="46"/>
  <c r="P25" i="46"/>
  <c r="P26" i="46"/>
  <c r="P27" i="46"/>
  <c r="P30" i="46"/>
  <c r="N9" i="46"/>
  <c r="N10" i="46"/>
  <c r="N11" i="46"/>
  <c r="N12" i="46"/>
  <c r="N13" i="46"/>
  <c r="M13" i="46" s="1"/>
  <c r="N14" i="46"/>
  <c r="M14" i="46" s="1"/>
  <c r="N15" i="46"/>
  <c r="N16" i="46"/>
  <c r="N17" i="46"/>
  <c r="N18" i="46"/>
  <c r="N19" i="46"/>
  <c r="N20" i="46"/>
  <c r="N21" i="46"/>
  <c r="N22" i="46"/>
  <c r="N23" i="46"/>
  <c r="N24" i="46"/>
  <c r="N25" i="46"/>
  <c r="N26" i="46"/>
  <c r="N27" i="46"/>
  <c r="N30" i="46"/>
  <c r="N52" i="46"/>
  <c r="P52" i="46"/>
  <c r="N77" i="46"/>
  <c r="N76" i="46"/>
  <c r="P76" i="46"/>
  <c r="N75" i="46"/>
  <c r="N74" i="46"/>
  <c r="N73" i="46"/>
  <c r="N72" i="46"/>
  <c r="N71" i="46"/>
  <c r="N70" i="46"/>
  <c r="N69" i="46"/>
  <c r="N68" i="46"/>
  <c r="N67" i="46"/>
  <c r="N66" i="46"/>
  <c r="N65" i="46"/>
  <c r="M65" i="46" s="1"/>
  <c r="N64" i="46"/>
  <c r="N63" i="46"/>
  <c r="M63" i="46" s="1"/>
  <c r="N62" i="46"/>
  <c r="N61" i="46"/>
  <c r="N60" i="46"/>
  <c r="N59" i="46"/>
  <c r="N58" i="46"/>
  <c r="N57" i="46"/>
  <c r="N56" i="46"/>
  <c r="N55" i="46"/>
  <c r="N54" i="46"/>
  <c r="O54" i="46"/>
  <c r="P54" i="46"/>
  <c r="N53" i="46"/>
  <c r="N51" i="46"/>
  <c r="N50" i="46"/>
  <c r="N49" i="46"/>
  <c r="N48" i="46"/>
  <c r="N47" i="46"/>
  <c r="N46" i="46"/>
  <c r="N45" i="46"/>
  <c r="N44" i="46"/>
  <c r="M44" i="46" s="1"/>
  <c r="N43" i="46"/>
  <c r="M43" i="46" s="1"/>
  <c r="N42" i="46"/>
  <c r="N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M77" i="46" s="1"/>
  <c r="O77" i="46"/>
  <c r="O76" i="46"/>
  <c r="P75" i="46"/>
  <c r="O75" i="46"/>
  <c r="P74" i="46"/>
  <c r="O74" i="46"/>
  <c r="P73" i="46"/>
  <c r="O73" i="46"/>
  <c r="P72" i="46"/>
  <c r="O72" i="46"/>
  <c r="M72" i="46" s="1"/>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M57" i="46" s="1"/>
  <c r="P56" i="46"/>
  <c r="O56" i="46"/>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M37" i="46" s="1"/>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351" i="36"/>
  <c r="D359" i="36"/>
  <c r="D391" i="36"/>
  <c r="D392"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D438" i="36"/>
  <c r="D342" i="36"/>
  <c r="D305" i="36"/>
  <c r="C9" i="46" s="1"/>
  <c r="D314" i="36"/>
  <c r="C18" i="46" s="1"/>
  <c r="D73" i="36"/>
  <c r="D74" i="36"/>
  <c r="AY3" i="3" s="1"/>
  <c r="D486" i="36"/>
  <c r="D481" i="36"/>
  <c r="G3" i="50" s="1"/>
  <c r="D478" i="36"/>
  <c r="D498" i="36"/>
  <c r="D150" i="36"/>
  <c r="K80" i="46" s="1"/>
  <c r="D276" i="36"/>
  <c r="D37" i="36"/>
  <c r="D160" i="36"/>
  <c r="K90" i="46" s="1"/>
  <c r="D152" i="36"/>
  <c r="K82" i="46" s="1"/>
  <c r="D457" i="36"/>
  <c r="K162" i="46" s="1"/>
  <c r="D467" i="36"/>
  <c r="K245" i="46" s="1"/>
  <c r="D463" i="36"/>
  <c r="K230" i="46" s="1"/>
  <c r="D459" i="36"/>
  <c r="D170" i="36"/>
  <c r="K100" i="46" s="1"/>
  <c r="D462" i="36"/>
  <c r="K224" i="46" s="1"/>
  <c r="D458" i="36"/>
  <c r="K180" i="46" s="1"/>
  <c r="D109" i="36"/>
  <c r="L42" i="34" s="1"/>
  <c r="D108" i="36"/>
  <c r="L41" i="34" s="1"/>
  <c r="D106" i="36"/>
  <c r="L38" i="34" s="1"/>
  <c r="D99" i="36"/>
  <c r="L23" i="34" s="1"/>
  <c r="D88" i="36"/>
  <c r="D90" i="36"/>
  <c r="M66" i="46"/>
  <c r="E207" i="46"/>
  <c r="C39" i="46"/>
  <c r="E247" i="46"/>
  <c r="D266" i="36"/>
  <c r="L2" i="32" s="1"/>
  <c r="D365" i="36"/>
  <c r="D364" i="36"/>
  <c r="D263" i="36"/>
  <c r="C60" i="46" s="1"/>
  <c r="D46" i="36"/>
  <c r="D369" i="36"/>
  <c r="D137" i="36"/>
  <c r="H152" i="46" s="1"/>
  <c r="M61" i="46"/>
  <c r="M45" i="46"/>
  <c r="M69" i="46"/>
  <c r="E223" i="46"/>
  <c r="M36" i="46"/>
  <c r="M50" i="46"/>
  <c r="M47" i="46"/>
  <c r="M62" i="46"/>
  <c r="M11" i="46"/>
  <c r="M53" i="46"/>
  <c r="Q30" i="46" l="1"/>
  <c r="W57" i="46"/>
  <c r="DF57" i="46"/>
  <c r="CQ57" i="46"/>
  <c r="BP57" i="46"/>
  <c r="BM57" i="46"/>
  <c r="AC57" i="46"/>
  <c r="ED57" i="46"/>
  <c r="EA57" i="46"/>
  <c r="BJ57" i="46"/>
  <c r="AR57" i="46"/>
  <c r="DL57" i="46"/>
  <c r="CT57" i="46"/>
  <c r="Z57" i="46"/>
  <c r="AL57" i="46"/>
  <c r="CE57" i="46"/>
  <c r="BD57" i="46"/>
  <c r="DX57" i="46"/>
  <c r="AX57" i="46"/>
  <c r="AF11" i="46"/>
  <c r="ED11" i="46"/>
  <c r="DI11" i="46"/>
  <c r="EG13" i="46"/>
  <c r="BA13" i="46"/>
  <c r="BJ13" i="46"/>
  <c r="BM13" i="46"/>
  <c r="BY13" i="46"/>
  <c r="BS13" i="46"/>
  <c r="BP13" i="46"/>
  <c r="AX13" i="46"/>
  <c r="CB13" i="46"/>
  <c r="BV13" i="46"/>
  <c r="CE13" i="46"/>
  <c r="AF13" i="46"/>
  <c r="AC13" i="46"/>
  <c r="Z13" i="46"/>
  <c r="W13" i="46"/>
  <c r="DF13" i="46"/>
  <c r="EA13" i="46"/>
  <c r="CW13" i="46"/>
  <c r="CQ13" i="46"/>
  <c r="CN13" i="46"/>
  <c r="CZ13" i="46"/>
  <c r="DX13" i="46"/>
  <c r="DC13" i="46"/>
  <c r="DI13" i="46"/>
  <c r="AC36" i="46"/>
  <c r="BS36" i="46"/>
  <c r="BD61" i="46"/>
  <c r="DL61" i="46"/>
  <c r="AO61" i="46"/>
  <c r="AX63" i="46"/>
  <c r="BJ63" i="46"/>
  <c r="CH14" i="46"/>
  <c r="CN14" i="46"/>
  <c r="DC14" i="46"/>
  <c r="DX62" i="46"/>
  <c r="BP62" i="46"/>
  <c r="DO62" i="46"/>
  <c r="AC62" i="46"/>
  <c r="DF62" i="46"/>
  <c r="CE62" i="46"/>
  <c r="DI62" i="46"/>
  <c r="CW62" i="46"/>
  <c r="BD62" i="46"/>
  <c r="AX62" i="46"/>
  <c r="BV62" i="46"/>
  <c r="BM62" i="46"/>
  <c r="AI62" i="46"/>
  <c r="AR62" i="46"/>
  <c r="ED62" i="46"/>
  <c r="Z62" i="46"/>
  <c r="DC62" i="46"/>
  <c r="BY62" i="46"/>
  <c r="CK62" i="46"/>
  <c r="CB62" i="46"/>
  <c r="DR62" i="46"/>
  <c r="W62" i="46"/>
  <c r="CH62" i="46"/>
  <c r="BS62" i="46"/>
  <c r="BJ62" i="46"/>
  <c r="CZ62" i="46"/>
  <c r="CQ62" i="46"/>
  <c r="BG62" i="46"/>
  <c r="AO62" i="46"/>
  <c r="AF62" i="46"/>
  <c r="CK16" i="46"/>
  <c r="AC16" i="46"/>
  <c r="DR16" i="46"/>
  <c r="DI16" i="46"/>
  <c r="AU16" i="46"/>
  <c r="DC16" i="46"/>
  <c r="CT16" i="46"/>
  <c r="W16" i="46"/>
  <c r="DX16" i="46"/>
  <c r="CQ16" i="46"/>
  <c r="AX16" i="46"/>
  <c r="DI66" i="46"/>
  <c r="AF66" i="46"/>
  <c r="BS66" i="46"/>
  <c r="BD66" i="46"/>
  <c r="DF66" i="46"/>
  <c r="EG66" i="46"/>
  <c r="CZ66" i="46"/>
  <c r="AC66" i="46"/>
  <c r="ED66" i="46"/>
  <c r="EA66" i="46"/>
  <c r="CT66" i="46"/>
  <c r="AU66" i="46"/>
  <c r="Z66" i="46"/>
  <c r="DU66" i="46"/>
  <c r="CK66" i="46"/>
  <c r="CQ66" i="46"/>
  <c r="BJ66" i="46"/>
  <c r="CH66" i="46"/>
  <c r="AR66" i="46"/>
  <c r="DL66" i="46"/>
  <c r="BA66" i="46"/>
  <c r="AO66" i="46"/>
  <c r="AI66" i="46"/>
  <c r="CE66" i="46"/>
  <c r="AL66" i="46"/>
  <c r="ED43" i="46"/>
  <c r="CT43" i="46"/>
  <c r="AU43" i="46"/>
  <c r="Z43" i="46"/>
  <c r="CE43" i="46"/>
  <c r="DX43" i="46"/>
  <c r="CQ43" i="46"/>
  <c r="DR43" i="46"/>
  <c r="CN43" i="46"/>
  <c r="DO43" i="46"/>
  <c r="CK43" i="46"/>
  <c r="CH43" i="46"/>
  <c r="BA43" i="46"/>
  <c r="AO43" i="46"/>
  <c r="AI43" i="46"/>
  <c r="DC43" i="46"/>
  <c r="CZ43" i="46"/>
  <c r="AL45" i="46"/>
  <c r="BG45" i="46"/>
  <c r="BA45" i="46"/>
  <c r="AR45" i="46"/>
  <c r="DL45" i="46"/>
  <c r="BM45" i="46"/>
  <c r="CT45" i="46"/>
  <c r="AF45" i="46"/>
  <c r="Z45" i="46"/>
  <c r="CZ45" i="46"/>
  <c r="DX45" i="46"/>
  <c r="DR45" i="46"/>
  <c r="DF45" i="46"/>
  <c r="AO45" i="46"/>
  <c r="AX45" i="46"/>
  <c r="AU45" i="46"/>
  <c r="BV45" i="46"/>
  <c r="CE45" i="46"/>
  <c r="W45" i="46"/>
  <c r="DO45" i="46"/>
  <c r="BP45" i="46"/>
  <c r="EA45" i="46"/>
  <c r="DI45" i="46"/>
  <c r="CB45" i="46"/>
  <c r="ED45" i="46"/>
  <c r="CK45" i="46"/>
  <c r="AI45" i="46"/>
  <c r="CQ45" i="46"/>
  <c r="BD45" i="46"/>
  <c r="DC45" i="46"/>
  <c r="DU45" i="46"/>
  <c r="BJ45" i="46"/>
  <c r="BG69" i="46"/>
  <c r="ED69" i="46"/>
  <c r="ED72" i="46"/>
  <c r="DI72" i="46"/>
  <c r="CT72" i="46"/>
  <c r="BG72" i="46"/>
  <c r="Z72" i="46"/>
  <c r="DO72" i="46"/>
  <c r="DX72" i="46"/>
  <c r="DC72" i="46"/>
  <c r="AL72" i="46"/>
  <c r="BS72" i="46"/>
  <c r="CE72" i="46"/>
  <c r="AI72" i="46"/>
  <c r="DU72" i="46"/>
  <c r="CN72" i="46"/>
  <c r="AX72" i="46"/>
  <c r="BV72" i="46"/>
  <c r="W72" i="46"/>
  <c r="CQ72" i="46"/>
  <c r="BY72" i="46"/>
  <c r="AR72" i="46"/>
  <c r="BV47" i="46"/>
  <c r="BG47" i="46"/>
  <c r="AO47" i="46"/>
  <c r="CH47" i="46"/>
  <c r="CT47" i="46"/>
  <c r="CE47" i="46"/>
  <c r="DR47" i="46"/>
  <c r="DF47" i="46"/>
  <c r="CQ47" i="46"/>
  <c r="BP47" i="46"/>
  <c r="AF47" i="46"/>
  <c r="AR47" i="46"/>
  <c r="ED47" i="46"/>
  <c r="DO47" i="46"/>
  <c r="CZ47" i="46"/>
  <c r="BJ47" i="46"/>
  <c r="Q27" i="46"/>
  <c r="CZ50" i="46"/>
  <c r="CK50" i="46"/>
  <c r="BV50" i="46"/>
  <c r="BA50" i="46"/>
  <c r="Z50" i="46"/>
  <c r="DX50" i="46"/>
  <c r="CN50" i="46"/>
  <c r="AU50" i="46"/>
  <c r="W50" i="46"/>
  <c r="ED50" i="46"/>
  <c r="BJ50" i="46"/>
  <c r="DI50" i="46"/>
  <c r="DR50" i="46"/>
  <c r="DC50" i="46"/>
  <c r="BD50" i="46"/>
  <c r="AL50" i="46"/>
  <c r="AC50" i="46"/>
  <c r="EA50" i="46"/>
  <c r="DL50" i="46"/>
  <c r="CB50" i="46"/>
  <c r="AF50" i="46"/>
  <c r="DF50" i="46"/>
  <c r="CW50" i="46"/>
  <c r="CH50" i="46"/>
  <c r="BS50" i="46"/>
  <c r="AR50" i="46"/>
  <c r="BJ77" i="46"/>
  <c r="BS77" i="46"/>
  <c r="BP77" i="46"/>
  <c r="AX77" i="46"/>
  <c r="CB77" i="46"/>
  <c r="AO77" i="46"/>
  <c r="CT77" i="46"/>
  <c r="AC77" i="46"/>
  <c r="W77" i="46"/>
  <c r="DO77" i="46"/>
  <c r="AR77" i="46"/>
  <c r="BM77" i="46"/>
  <c r="DL77" i="46"/>
  <c r="DX77" i="46"/>
  <c r="DU77" i="46"/>
  <c r="BD77" i="46"/>
  <c r="BA77" i="46"/>
  <c r="CB53" i="46"/>
  <c r="BV53" i="46"/>
  <c r="DC53" i="46"/>
  <c r="AR53" i="46"/>
  <c r="AL53" i="46"/>
  <c r="BM53" i="46"/>
  <c r="EG29" i="46"/>
  <c r="BM29" i="46"/>
  <c r="BS29" i="46"/>
  <c r="BP29" i="46"/>
  <c r="AX29" i="46"/>
  <c r="CB29" i="46"/>
  <c r="CW29" i="46"/>
  <c r="AF29" i="46"/>
  <c r="Z29" i="46"/>
  <c r="W29" i="46"/>
  <c r="CZ29" i="46"/>
  <c r="CQ29" i="46"/>
  <c r="DR29" i="46"/>
  <c r="DI29" i="46"/>
  <c r="E232" i="46"/>
  <c r="E202" i="46"/>
  <c r="E173" i="46"/>
  <c r="E169" i="46"/>
  <c r="E166" i="46"/>
  <c r="M26" i="46"/>
  <c r="M74" i="46"/>
  <c r="M48" i="46"/>
  <c r="M49" i="46"/>
  <c r="M21" i="46"/>
  <c r="M17" i="46"/>
  <c r="M58" i="46"/>
  <c r="Q7" i="46"/>
  <c r="E233" i="46"/>
  <c r="E201" i="46"/>
  <c r="E179" i="46"/>
  <c r="M52" i="46"/>
  <c r="M75" i="46"/>
  <c r="M20" i="46"/>
  <c r="M41" i="46"/>
  <c r="Q52" i="46"/>
  <c r="M56" i="46"/>
  <c r="Q47" i="46"/>
  <c r="DX47" i="46" s="1"/>
  <c r="M33" i="46"/>
  <c r="M7" i="46"/>
  <c r="D12" i="36"/>
  <c r="D424" i="36"/>
  <c r="D423" i="36"/>
  <c r="D415" i="36"/>
  <c r="D393" i="36"/>
  <c r="D350" i="36"/>
  <c r="D451" i="36"/>
  <c r="CG220" i="46"/>
  <c r="DZ220" i="46"/>
  <c r="CD220" i="46"/>
  <c r="DQ220" i="46"/>
  <c r="DW220" i="46"/>
  <c r="CA220" i="46"/>
  <c r="DT220" i="46"/>
  <c r="DN220" i="46"/>
  <c r="DH220" i="46"/>
  <c r="CY220" i="46"/>
  <c r="DK220" i="46"/>
  <c r="BX220" i="46"/>
  <c r="EF220" i="46"/>
  <c r="DE220" i="46"/>
  <c r="BU220" i="46"/>
  <c r="CS220" i="46"/>
  <c r="CM220" i="46"/>
  <c r="DB220" i="46"/>
  <c r="CP220" i="46"/>
  <c r="CJ220" i="46"/>
  <c r="CV220" i="46"/>
  <c r="CS6" i="46"/>
  <c r="CP6" i="46"/>
  <c r="CG6" i="46"/>
  <c r="BX6" i="46"/>
  <c r="CY6" i="46"/>
  <c r="CV6" i="46"/>
  <c r="CM6" i="46"/>
  <c r="EF6" i="46"/>
  <c r="CJ6" i="46"/>
  <c r="DZ6" i="46"/>
  <c r="CD6" i="46"/>
  <c r="DK6" i="46"/>
  <c r="DB6" i="46"/>
  <c r="DW6" i="46"/>
  <c r="CA6" i="46"/>
  <c r="DT6" i="46"/>
  <c r="DQ6" i="46"/>
  <c r="DE6" i="46"/>
  <c r="BU6" i="46"/>
  <c r="DN6" i="46"/>
  <c r="DH6" i="46"/>
  <c r="EC30" i="46"/>
  <c r="CG30" i="46"/>
  <c r="DZ30" i="46"/>
  <c r="CD30" i="46"/>
  <c r="BX30" i="46"/>
  <c r="DQ30" i="46"/>
  <c r="DW30" i="46"/>
  <c r="CA30" i="46"/>
  <c r="BU30" i="46"/>
  <c r="DT30" i="46"/>
  <c r="DN30" i="46"/>
  <c r="DH30" i="46"/>
  <c r="EF30" i="46"/>
  <c r="DK30" i="46"/>
  <c r="CS30" i="46"/>
  <c r="CJ30" i="46"/>
  <c r="DE30" i="46"/>
  <c r="DB30" i="46"/>
  <c r="CY30" i="46"/>
  <c r="CV30" i="46"/>
  <c r="CM30" i="46"/>
  <c r="CP30" i="46"/>
  <c r="Q45" i="46"/>
  <c r="CH45" i="46" s="1"/>
  <c r="Q63" i="46"/>
  <c r="EG63" i="46" s="1"/>
  <c r="Q13" i="46"/>
  <c r="ED13" i="46" s="1"/>
  <c r="Q17" i="46"/>
  <c r="Q9" i="46"/>
  <c r="Q65" i="46"/>
  <c r="CE65" i="46" s="1"/>
  <c r="Q59" i="46"/>
  <c r="Q75" i="46"/>
  <c r="Q76" i="46"/>
  <c r="Q21" i="46"/>
  <c r="Q53" i="46"/>
  <c r="CH53" i="46" s="1"/>
  <c r="Q62" i="46"/>
  <c r="AL62" i="46" s="1"/>
  <c r="Q39" i="46"/>
  <c r="Q58" i="46"/>
  <c r="Q66" i="46"/>
  <c r="DC66" i="46" s="1"/>
  <c r="Q74" i="46"/>
  <c r="Q77" i="46"/>
  <c r="BG77" i="46" s="1"/>
  <c r="D406" i="36"/>
  <c r="D131" i="36"/>
  <c r="D412" i="36"/>
  <c r="D383" i="36"/>
  <c r="D349" i="36"/>
  <c r="D336" i="36"/>
  <c r="C40" i="46" s="1"/>
  <c r="D168" i="36"/>
  <c r="D65" i="36"/>
  <c r="Z8" i="3" s="1"/>
  <c r="Z9"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D413" i="36"/>
  <c r="D422" i="36"/>
  <c r="D53" i="36"/>
  <c r="AJ5" i="3" s="1"/>
  <c r="AJ29"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D470" i="36"/>
  <c r="D183" i="36"/>
  <c r="K113" i="46" s="1"/>
  <c r="D190" i="36"/>
  <c r="K120" i="46" s="1"/>
  <c r="D272" i="36"/>
  <c r="D485" i="36"/>
  <c r="D182" i="36"/>
  <c r="K112" i="46" s="1"/>
  <c r="D421" i="36"/>
  <c r="D282" i="36"/>
  <c r="D117" i="36"/>
  <c r="D119" i="36"/>
  <c r="D7" i="36"/>
  <c r="D431" i="36"/>
  <c r="D402" i="36"/>
  <c r="D361" i="36"/>
  <c r="D436" i="36"/>
  <c r="D299" i="36"/>
  <c r="C5" i="46" s="1"/>
  <c r="D122" i="36"/>
  <c r="D54" i="36"/>
  <c r="D100" i="36"/>
  <c r="L25" i="34" s="1"/>
  <c r="D199" i="36"/>
  <c r="K184" i="46" s="1"/>
  <c r="D186" i="36"/>
  <c r="K116" i="46" s="1"/>
  <c r="D273" i="36"/>
  <c r="D271" i="36"/>
  <c r="D487" i="36"/>
  <c r="D11" i="51" s="1"/>
  <c r="D468" i="36"/>
  <c r="R4" i="47" s="1"/>
  <c r="D414" i="36"/>
  <c r="D66" i="36"/>
  <c r="D442" i="36"/>
  <c r="D50"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17" i="51" s="1"/>
  <c r="D323" i="36"/>
  <c r="C27" i="46" s="1"/>
  <c r="D329" i="36"/>
  <c r="C33" i="46" s="1"/>
  <c r="D283" i="36"/>
  <c r="D50" i="36"/>
  <c r="AM148" i="3" s="1"/>
  <c r="D128" i="36"/>
  <c r="D425" i="36"/>
  <c r="D401" i="36"/>
  <c r="D360" i="36"/>
  <c r="D434" i="36"/>
  <c r="D316" i="36"/>
  <c r="C20" i="46" s="1"/>
  <c r="L4" i="47"/>
  <c r="R7" i="51"/>
  <c r="G4" i="47"/>
  <c r="K198" i="46"/>
  <c r="I4" i="47"/>
  <c r="K208" i="46"/>
  <c r="J4" i="47"/>
  <c r="AH160" i="3"/>
  <c r="AG160" i="3" s="1"/>
  <c r="M258" i="46"/>
  <c r="B3" i="30"/>
  <c r="D371" i="36"/>
  <c r="D512" i="36"/>
  <c r="D58" i="36"/>
  <c r="AP5" i="3" s="1"/>
  <c r="AP85" i="3" s="1"/>
  <c r="D261" i="36"/>
  <c r="H205" i="46" s="1"/>
  <c r="D43" i="36"/>
  <c r="D446" i="36"/>
  <c r="D91" i="36"/>
  <c r="L11" i="34" s="1"/>
  <c r="D101" i="36"/>
  <c r="L27" i="34" s="1"/>
  <c r="D96" i="36"/>
  <c r="L18" i="34" s="1"/>
  <c r="D153" i="36"/>
  <c r="K83" i="46" s="1"/>
  <c r="D466" i="36"/>
  <c r="P4" i="47" s="1"/>
  <c r="D194" i="36"/>
  <c r="K124" i="46" s="1"/>
  <c r="D155" i="36"/>
  <c r="K85" i="46" s="1"/>
  <c r="D36" i="36"/>
  <c r="K254" i="46" s="1"/>
  <c r="D196" i="36"/>
  <c r="K126" i="46" s="1"/>
  <c r="D461" i="36"/>
  <c r="D176" i="36"/>
  <c r="K106" i="46" s="1"/>
  <c r="D142" i="36"/>
  <c r="K219" i="46" s="1"/>
  <c r="D174" i="36"/>
  <c r="K104" i="46" s="1"/>
  <c r="D334" i="36"/>
  <c r="C38" i="46" s="1"/>
  <c r="D504" i="36"/>
  <c r="D491" i="36"/>
  <c r="D15" i="51" s="1"/>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D430" i="36"/>
  <c r="D420" i="36"/>
  <c r="D410" i="36"/>
  <c r="D400" i="36"/>
  <c r="D388" i="36"/>
  <c r="D378" i="36"/>
  <c r="D358" i="36"/>
  <c r="D346" i="36"/>
  <c r="D340" i="36"/>
  <c r="D308" i="36"/>
  <c r="C12" i="46" s="1"/>
  <c r="D322" i="36"/>
  <c r="C26" i="46" s="1"/>
  <c r="D338" i="36"/>
  <c r="C42" i="46" s="1"/>
  <c r="D41" i="36"/>
  <c r="D19" i="36"/>
  <c r="AA3" i="3" s="1"/>
  <c r="AA11" i="3" s="1"/>
  <c r="AA27" i="3" s="1"/>
  <c r="AA43" i="3" s="1"/>
  <c r="D97" i="36"/>
  <c r="L20" i="34" s="1"/>
  <c r="D104" i="36"/>
  <c r="L32" i="34" s="1"/>
  <c r="D161" i="36"/>
  <c r="K91" i="46" s="1"/>
  <c r="D34" i="36"/>
  <c r="W152" i="3" s="1"/>
  <c r="K252" i="46" s="1"/>
  <c r="D163" i="36"/>
  <c r="K93" i="46" s="1"/>
  <c r="D270" i="36"/>
  <c r="D151" i="36"/>
  <c r="K81" i="46" s="1"/>
  <c r="D465" i="36"/>
  <c r="O4" i="47" s="1"/>
  <c r="D33" i="36"/>
  <c r="W151" i="3" s="1"/>
  <c r="K251" i="46"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D452" i="36"/>
  <c r="B4" i="47" s="1"/>
  <c r="D309" i="36"/>
  <c r="C13" i="46" s="1"/>
  <c r="D325" i="36"/>
  <c r="C29" i="46" s="1"/>
  <c r="D367" i="36"/>
  <c r="D505" i="36"/>
  <c r="D441" i="36"/>
  <c r="C49" i="46" s="1"/>
  <c r="D61" i="36"/>
  <c r="AS5" i="3" s="1"/>
  <c r="BK5" i="3" s="1"/>
  <c r="BK57" i="3" s="1"/>
  <c r="D264" i="36"/>
  <c r="H257" i="46" s="1"/>
  <c r="D45" i="36"/>
  <c r="D510" i="36"/>
  <c r="D366" i="36"/>
  <c r="D509" i="36"/>
  <c r="D92" i="36"/>
  <c r="L12" i="34" s="1"/>
  <c r="D110" i="36"/>
  <c r="L45" i="34" s="1"/>
  <c r="D93" i="36"/>
  <c r="L13" i="34" s="1"/>
  <c r="D198" i="36"/>
  <c r="K148" i="46" s="1"/>
  <c r="D169" i="36"/>
  <c r="K99" i="46" s="1"/>
  <c r="D456" i="36"/>
  <c r="F4" i="47" s="1"/>
  <c r="D143" i="36"/>
  <c r="K225" i="46" s="1"/>
  <c r="D179" i="36"/>
  <c r="D455" i="36"/>
  <c r="K78" i="46" s="1"/>
  <c r="D159" i="36"/>
  <c r="K89" i="46" s="1"/>
  <c r="D32" i="36"/>
  <c r="W150" i="3" s="1"/>
  <c r="K250" i="46" s="1"/>
  <c r="D189" i="36"/>
  <c r="K119" i="46" s="1"/>
  <c r="D275" i="36"/>
  <c r="D39" i="36"/>
  <c r="K257" i="46"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Z75"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D56" i="36"/>
  <c r="AN5" i="3" s="1"/>
  <c r="AN45" i="3" s="1"/>
  <c r="D443" i="36"/>
  <c r="D445" i="36"/>
  <c r="D86" i="36"/>
  <c r="L4" i="34" s="1"/>
  <c r="D139" i="36"/>
  <c r="K181" i="46" s="1"/>
  <c r="D158" i="36"/>
  <c r="K88" i="46" s="1"/>
  <c r="D324" i="36"/>
  <c r="C28" i="46" s="1"/>
  <c r="H236" i="46"/>
  <c r="D20" i="36"/>
  <c r="AD3" i="3" s="1"/>
  <c r="AD51" i="3" s="1"/>
  <c r="H233" i="46"/>
  <c r="D42" i="36"/>
  <c r="M254" i="46" s="1"/>
  <c r="D55" i="36"/>
  <c r="AM5" i="3" s="1"/>
  <c r="AM21" i="3" s="1"/>
  <c r="D59" i="36"/>
  <c r="AQ5" i="3" s="1"/>
  <c r="AQ53" i="3" s="1"/>
  <c r="D262" i="36"/>
  <c r="H221" i="46" s="1"/>
  <c r="D302" i="36"/>
  <c r="K12" i="30" s="1"/>
  <c r="D98" i="36"/>
  <c r="L21" i="34" s="1"/>
  <c r="D112" i="36"/>
  <c r="D201" i="36"/>
  <c r="D154" i="36"/>
  <c r="K84" i="46" s="1"/>
  <c r="D187" i="36"/>
  <c r="K117" i="46" s="1"/>
  <c r="D167" i="36"/>
  <c r="K97" i="46" s="1"/>
  <c r="D40" i="36"/>
  <c r="K258" i="46"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D78" i="36"/>
  <c r="D177" i="36"/>
  <c r="K107" i="46" s="1"/>
  <c r="D147" i="36"/>
  <c r="K243" i="46" s="1"/>
  <c r="D156" i="36"/>
  <c r="K86" i="46" s="1"/>
  <c r="D141" i="36"/>
  <c r="K209" i="46" s="1"/>
  <c r="D310" i="36"/>
  <c r="C14" i="46" s="1"/>
  <c r="D181" i="36"/>
  <c r="K111" i="46" s="1"/>
  <c r="D507" i="36"/>
  <c r="Q4" i="47"/>
  <c r="D260" i="36"/>
  <c r="Q21" i="6" s="1"/>
  <c r="D373" i="36"/>
  <c r="D511" i="36"/>
  <c r="D57" i="36"/>
  <c r="AO5" i="3" s="1"/>
  <c r="AO29" i="3" s="1"/>
  <c r="D76" i="36"/>
  <c r="D444" i="36"/>
  <c r="D102" i="36"/>
  <c r="D105" i="36"/>
  <c r="L35" i="34" s="1"/>
  <c r="D203" i="36"/>
  <c r="K241" i="46" s="1"/>
  <c r="D185" i="36"/>
  <c r="K115" i="46" s="1"/>
  <c r="D162" i="36"/>
  <c r="K92" i="46" s="1"/>
  <c r="D35" i="36"/>
  <c r="W154" i="3" s="1"/>
  <c r="K253" i="46" s="1"/>
  <c r="D195" i="36"/>
  <c r="K125" i="46" s="1"/>
  <c r="D164" i="36"/>
  <c r="K94" i="46" s="1"/>
  <c r="D175" i="36"/>
  <c r="K105" i="46" s="1"/>
  <c r="D274" i="36"/>
  <c r="D149" i="36"/>
  <c r="K249" i="46" s="1"/>
  <c r="C62" i="46" s="1"/>
  <c r="D192" i="36"/>
  <c r="K122" i="46" s="1"/>
  <c r="D475" i="36"/>
  <c r="F3" i="48" s="1"/>
  <c r="D157" i="36"/>
  <c r="K87" i="46" s="1"/>
  <c r="D490" i="36"/>
  <c r="D14" i="51" s="1"/>
  <c r="D484" i="36"/>
  <c r="D8" i="51" s="1"/>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H137" i="46"/>
  <c r="H161" i="46"/>
  <c r="H148" i="46"/>
  <c r="H149" i="46"/>
  <c r="H142" i="46"/>
  <c r="H143" i="46"/>
  <c r="H131" i="46"/>
  <c r="Q24" i="6"/>
  <c r="H140" i="46"/>
  <c r="K129" i="46"/>
  <c r="H232" i="46"/>
  <c r="H130" i="46"/>
  <c r="H139" i="46"/>
  <c r="H190" i="46"/>
  <c r="H241" i="46"/>
  <c r="H138" i="46"/>
  <c r="H158" i="46"/>
  <c r="H237" i="46"/>
  <c r="H147" i="46"/>
  <c r="H240" i="46"/>
  <c r="H157" i="46"/>
  <c r="H155" i="46"/>
  <c r="H135" i="46"/>
  <c r="H159" i="46"/>
  <c r="H132" i="46"/>
  <c r="H150" i="46"/>
  <c r="H151" i="46"/>
  <c r="AF67" i="3"/>
  <c r="D13" i="36"/>
  <c r="K14" i="30" s="1"/>
  <c r="D432" i="36"/>
  <c r="K213" i="46"/>
  <c r="AF130" i="3"/>
  <c r="AF142" i="3"/>
  <c r="AF137" i="3"/>
  <c r="T1" i="6"/>
  <c r="H207" i="46"/>
  <c r="H212" i="46"/>
  <c r="H156" i="46"/>
  <c r="H134" i="46"/>
  <c r="H141" i="46"/>
  <c r="H133" i="46"/>
  <c r="H220" i="46"/>
  <c r="H4" i="47"/>
  <c r="Q36" i="46"/>
  <c r="CH36" i="46" s="1"/>
  <c r="Q40" i="46"/>
  <c r="Q44" i="46"/>
  <c r="CH44" i="46" s="1"/>
  <c r="Q33" i="46"/>
  <c r="Q37" i="46"/>
  <c r="CW37" i="46" s="1"/>
  <c r="Q41" i="46"/>
  <c r="Q49" i="46"/>
  <c r="Q55" i="46"/>
  <c r="E203" i="46"/>
  <c r="E165" i="46"/>
  <c r="Q46" i="46"/>
  <c r="Q68" i="46"/>
  <c r="Q16" i="46"/>
  <c r="AO16" i="46" s="1"/>
  <c r="Q29" i="46"/>
  <c r="ED29" i="46" s="1"/>
  <c r="Q14" i="46"/>
  <c r="AL14" i="46" s="1"/>
  <c r="Q8" i="46"/>
  <c r="Q50" i="46"/>
  <c r="CT50" i="46" s="1"/>
  <c r="Q70" i="46"/>
  <c r="Q71" i="46"/>
  <c r="Q23" i="46"/>
  <c r="M46" i="46"/>
  <c r="M71" i="46"/>
  <c r="M70" i="46"/>
  <c r="M23" i="46"/>
  <c r="Q22" i="46"/>
  <c r="M22" i="46"/>
  <c r="Q72" i="46"/>
  <c r="DL72" i="46" s="1"/>
  <c r="Q43" i="46"/>
  <c r="BP43" i="46" s="1"/>
  <c r="Q64" i="46"/>
  <c r="Q34" i="46"/>
  <c r="F5" i="48" a="1"/>
  <c r="F5" i="48" s="1"/>
  <c r="V267" i="46"/>
  <c r="M39" i="46"/>
  <c r="M28" i="46"/>
  <c r="Q28" i="46"/>
  <c r="Q12" i="46"/>
  <c r="E205" i="46"/>
  <c r="E164" i="46"/>
  <c r="E176" i="46"/>
  <c r="E168" i="46"/>
  <c r="M35" i="46"/>
  <c r="Q35" i="46"/>
  <c r="M51" i="46"/>
  <c r="Q51" i="46"/>
  <c r="Q11" i="46"/>
  <c r="W11" i="46" s="1"/>
  <c r="M64" i="46"/>
  <c r="M25" i="46"/>
  <c r="M10" i="46"/>
  <c r="Q18" i="46"/>
  <c r="Q57" i="46"/>
  <c r="EG57" i="46" s="1"/>
  <c r="Q61" i="46"/>
  <c r="CB61" i="46" s="1"/>
  <c r="Q69" i="46"/>
  <c r="EG69" i="46" s="1"/>
  <c r="Q73" i="46"/>
  <c r="M73" i="46"/>
  <c r="M12" i="46"/>
  <c r="M24" i="46"/>
  <c r="M32" i="46"/>
  <c r="M40" i="46"/>
  <c r="Q48" i="46"/>
  <c r="M27" i="46"/>
  <c r="M19" i="46"/>
  <c r="D65" i="46"/>
  <c r="M59" i="46"/>
  <c r="M15" i="46"/>
  <c r="M60" i="46"/>
  <c r="M68" i="46"/>
  <c r="M76" i="46"/>
  <c r="AD130" i="3"/>
  <c r="K102" i="46"/>
  <c r="M4" i="47"/>
  <c r="H153" i="46"/>
  <c r="H144" i="46"/>
  <c r="H145" i="46"/>
  <c r="H160" i="46"/>
  <c r="K242" i="46"/>
  <c r="H154" i="46"/>
  <c r="Q20" i="6"/>
  <c r="H136" i="46"/>
  <c r="H146" i="46"/>
  <c r="K109" i="46"/>
  <c r="AA130" i="3"/>
  <c r="AA51" i="3"/>
  <c r="AA91" i="3"/>
  <c r="DT91" i="3" s="1"/>
  <c r="AA100" i="3"/>
  <c r="AA19" i="3"/>
  <c r="AA35" i="3" s="1"/>
  <c r="AA83" i="3"/>
  <c r="AA146" i="3"/>
  <c r="AA137" i="3"/>
  <c r="AA67" i="3"/>
  <c r="AA119" i="3"/>
  <c r="AA75" i="3"/>
  <c r="K214" i="46"/>
  <c r="K210" i="46"/>
  <c r="K216" i="46"/>
  <c r="K212" i="46"/>
  <c r="K211" i="46"/>
  <c r="K217" i="46"/>
  <c r="X146" i="3"/>
  <c r="X83" i="3"/>
  <c r="X142" i="3"/>
  <c r="X91" i="3"/>
  <c r="X130" i="3"/>
  <c r="X11" i="3"/>
  <c r="X27" i="3" s="1"/>
  <c r="X43" i="3" s="1"/>
  <c r="X19" i="3"/>
  <c r="X35" i="3" s="1"/>
  <c r="X100" i="3"/>
  <c r="X137" i="3"/>
  <c r="X67" i="3"/>
  <c r="X51" i="3"/>
  <c r="X119" i="3"/>
  <c r="X75" i="3"/>
  <c r="X59" i="3"/>
  <c r="AO101" i="3"/>
  <c r="AO61" i="3"/>
  <c r="AO69" i="3"/>
  <c r="AO13" i="3"/>
  <c r="AO53" i="3"/>
  <c r="AO37" i="3"/>
  <c r="AO93" i="3"/>
  <c r="BG5" i="3"/>
  <c r="BG57" i="3" s="1"/>
  <c r="AO21" i="3"/>
  <c r="Z59" i="3"/>
  <c r="Z51" i="3"/>
  <c r="Z92" i="3"/>
  <c r="Z37" i="3"/>
  <c r="Z13" i="3"/>
  <c r="Z68" i="3"/>
  <c r="Z45" i="3"/>
  <c r="Z20" i="3"/>
  <c r="Z53" i="3"/>
  <c r="Z84" i="3"/>
  <c r="Z5" i="3"/>
  <c r="Z77" i="3"/>
  <c r="Z76" i="3"/>
  <c r="Z52" i="3"/>
  <c r="Z93" i="3"/>
  <c r="Z29" i="3"/>
  <c r="Z61" i="3"/>
  <c r="Z12" i="3"/>
  <c r="Z85" i="3"/>
  <c r="Z21" i="3"/>
  <c r="Z44" i="3"/>
  <c r="Z28" i="3"/>
  <c r="Z60" i="3"/>
  <c r="Z36" i="3"/>
  <c r="Z69" i="3"/>
  <c r="K238" i="46"/>
  <c r="M18" i="46"/>
  <c r="M42" i="46"/>
  <c r="Q38" i="46"/>
  <c r="M34" i="46"/>
  <c r="Q32" i="46"/>
  <c r="Q31" i="46"/>
  <c r="Q25" i="46"/>
  <c r="Q24" i="46"/>
  <c r="Q20" i="46"/>
  <c r="Q19" i="46"/>
  <c r="Q15" i="46"/>
  <c r="Q10" i="46"/>
  <c r="M9" i="46"/>
  <c r="Q67" i="46"/>
  <c r="E167" i="46"/>
  <c r="M38" i="46"/>
  <c r="Q6" i="46"/>
  <c r="D234" i="36"/>
  <c r="B48" i="6" s="1"/>
  <c r="D236" i="36"/>
  <c r="AB27" i="32" s="1"/>
  <c r="D213" i="36"/>
  <c r="B32" i="6" s="1"/>
  <c r="A63" i="3" s="1"/>
  <c r="D238" i="36"/>
  <c r="K28" i="6" s="1"/>
  <c r="B46" i="53" s="1"/>
  <c r="L46" i="53" s="1"/>
  <c r="D246" i="36"/>
  <c r="B15" i="6" s="1"/>
  <c r="A30" i="3" s="1"/>
  <c r="D228" i="36"/>
  <c r="B21" i="6" s="1"/>
  <c r="A40" i="3" s="1"/>
  <c r="D217" i="36"/>
  <c r="B40" i="6" s="1"/>
  <c r="AP77" i="3"/>
  <c r="AP101" i="3"/>
  <c r="AP69" i="3"/>
  <c r="AP29" i="3"/>
  <c r="AP61" i="3"/>
  <c r="AP37" i="3"/>
  <c r="AP13" i="3"/>
  <c r="AP93" i="3"/>
  <c r="AP21"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101" i="3"/>
  <c r="AQ21" i="3"/>
  <c r="AQ13" i="3"/>
  <c r="AQ77" i="3"/>
  <c r="BI5" i="3"/>
  <c r="BI57" i="3" s="1"/>
  <c r="AQ37" i="3"/>
  <c r="AN21" i="3"/>
  <c r="AN37" i="3"/>
  <c r="AN77" i="3"/>
  <c r="BF5" i="3"/>
  <c r="BF57" i="3" s="1"/>
  <c r="AN13" i="3"/>
  <c r="AN61" i="3"/>
  <c r="AN53" i="3"/>
  <c r="AN85" i="3"/>
  <c r="AN69" i="3"/>
  <c r="AN93" i="3"/>
  <c r="Z56" i="3"/>
  <c r="Z96" i="3"/>
  <c r="Z17" i="3"/>
  <c r="Z73" i="3"/>
  <c r="Z72" i="3"/>
  <c r="K255" i="46"/>
  <c r="K256" i="46"/>
  <c r="AD119" i="3"/>
  <c r="AF19" i="3"/>
  <c r="AF59" i="3"/>
  <c r="AF83" i="3"/>
  <c r="AF100"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B55" i="53" s="1"/>
  <c r="L55" i="53" s="1"/>
  <c r="D233" i="36"/>
  <c r="B34" i="6" s="1"/>
  <c r="A69" i="3" s="1"/>
  <c r="D251" i="36"/>
  <c r="B25" i="6" s="1"/>
  <c r="D258" i="36"/>
  <c r="AB49" i="32" s="1"/>
  <c r="D250" i="36"/>
  <c r="AB41" i="32" s="1"/>
  <c r="K228" i="46"/>
  <c r="K98" i="46"/>
  <c r="D245" i="36"/>
  <c r="K35" i="6" s="1"/>
  <c r="B53" i="53" s="1"/>
  <c r="L53" i="53" s="1"/>
  <c r="D239" i="36"/>
  <c r="K29" i="6" s="1"/>
  <c r="B47" i="53" s="1"/>
  <c r="L47" i="53" s="1"/>
  <c r="D252" i="36"/>
  <c r="K42" i="6" s="1"/>
  <c r="B60" i="53" s="1"/>
  <c r="L60" i="53" s="1"/>
  <c r="D257" i="36"/>
  <c r="B24" i="6" s="1"/>
  <c r="D216" i="36"/>
  <c r="AB7" i="32" s="1"/>
  <c r="D222" i="36"/>
  <c r="B8" i="6" s="1"/>
  <c r="D256" i="36"/>
  <c r="K46" i="6" s="1"/>
  <c r="B64" i="53" s="1"/>
  <c r="L64" i="53" s="1"/>
  <c r="D226" i="36"/>
  <c r="B47" i="6" s="1"/>
  <c r="BD51" i="3" s="1"/>
  <c r="D214" i="36"/>
  <c r="B39" i="6" s="1"/>
  <c r="D220" i="36"/>
  <c r="B31" i="6" s="1"/>
  <c r="D244" i="36"/>
  <c r="K34" i="6" s="1"/>
  <c r="B52" i="53" s="1"/>
  <c r="L52" i="53" s="1"/>
  <c r="D232" i="36"/>
  <c r="K22" i="6" s="1"/>
  <c r="B40" i="53" s="1"/>
  <c r="L40" i="53" s="1"/>
  <c r="D221" i="36"/>
  <c r="B6" i="6" s="1"/>
  <c r="BD10" i="3" s="1"/>
  <c r="D215" i="36"/>
  <c r="AB6" i="32" s="1"/>
  <c r="D231" i="36"/>
  <c r="AB22" i="32" s="1"/>
  <c r="D230" i="36"/>
  <c r="K20" i="6" s="1"/>
  <c r="B38" i="53" s="1"/>
  <c r="L38" i="53" s="1"/>
  <c r="D259" i="36"/>
  <c r="B5" i="6" s="1"/>
  <c r="BD9" i="3" s="1"/>
  <c r="D223" i="36"/>
  <c r="B45" i="6" s="1"/>
  <c r="D242" i="36"/>
  <c r="AB33" i="32" s="1"/>
  <c r="D243" i="36"/>
  <c r="B29" i="6" s="1"/>
  <c r="D225" i="36"/>
  <c r="AB16" i="32" s="1"/>
  <c r="D235" i="36"/>
  <c r="AB26" i="32" s="1"/>
  <c r="D224" i="36"/>
  <c r="K14" i="6" s="1"/>
  <c r="B32" i="53" s="1"/>
  <c r="L32" i="53" s="1"/>
  <c r="D515" i="36"/>
  <c r="B1" i="52" s="1"/>
  <c r="D253" i="36"/>
  <c r="B44" i="6" s="1"/>
  <c r="D255" i="36"/>
  <c r="K45" i="6" s="1"/>
  <c r="B63" i="53" s="1"/>
  <c r="L63" i="53" s="1"/>
  <c r="D229" i="36"/>
  <c r="K19" i="6" s="1"/>
  <c r="B37" i="53" s="1"/>
  <c r="L37" i="53" s="1"/>
  <c r="D227" i="36"/>
  <c r="AB18" i="32" s="1"/>
  <c r="D240" i="36"/>
  <c r="B11" i="6" s="1"/>
  <c r="A22" i="3" s="1"/>
  <c r="D249" i="36"/>
  <c r="AB40" i="32" s="1"/>
  <c r="H36" i="34"/>
  <c r="D254" i="36"/>
  <c r="K44" i="6" s="1"/>
  <c r="B62" i="53" s="1"/>
  <c r="L62" i="53" s="1"/>
  <c r="D248" i="36"/>
  <c r="K38" i="6" s="1"/>
  <c r="B56" i="53" s="1"/>
  <c r="L56" i="53" s="1"/>
  <c r="D218" i="36"/>
  <c r="B26" i="6" s="1"/>
  <c r="D212" i="36"/>
  <c r="AB3" i="32" s="1"/>
  <c r="D219" i="36"/>
  <c r="K9" i="6" s="1"/>
  <c r="B27" i="53" s="1"/>
  <c r="L27" i="53" s="1"/>
  <c r="D241" i="36"/>
  <c r="K31" i="6" s="1"/>
  <c r="B49" i="53" s="1"/>
  <c r="L49" i="53" s="1"/>
  <c r="E200" i="46"/>
  <c r="E171" i="46"/>
  <c r="E177" i="46"/>
  <c r="M55" i="46"/>
  <c r="M30" i="46"/>
  <c r="Q54" i="46"/>
  <c r="E175" i="46"/>
  <c r="M67" i="46"/>
  <c r="L27" i="6"/>
  <c r="M27" i="6"/>
  <c r="O237" i="36"/>
  <c r="J237" i="36" s="1"/>
  <c r="G237" i="36" s="1"/>
  <c r="D237" i="36" s="1"/>
  <c r="K27" i="6" s="1"/>
  <c r="B45" i="53" s="1"/>
  <c r="L45" i="53" s="1"/>
  <c r="Q42" i="46"/>
  <c r="M6" i="46"/>
  <c r="D16" i="51"/>
  <c r="D10" i="51"/>
  <c r="D9" i="51"/>
  <c r="E178" i="46"/>
  <c r="E170" i="46"/>
  <c r="E172" i="46"/>
  <c r="E174" i="46"/>
  <c r="M54" i="46"/>
  <c r="M31" i="46"/>
  <c r="E7" i="48"/>
  <c r="E8" i="48" s="1"/>
  <c r="E9" i="48" s="1"/>
  <c r="F6" i="48" a="1"/>
  <c r="F6" i="48" s="1"/>
  <c r="ED31" i="46" l="1"/>
  <c r="DL31" i="46"/>
  <c r="DI31" i="46"/>
  <c r="CT31" i="46"/>
  <c r="BG31" i="46"/>
  <c r="Z31" i="46"/>
  <c r="EG31" i="46"/>
  <c r="DO31" i="46"/>
  <c r="CB31" i="46"/>
  <c r="AC31" i="46"/>
  <c r="CW31" i="46"/>
  <c r="BJ31" i="46"/>
  <c r="DR31" i="46"/>
  <c r="CE31" i="46"/>
  <c r="CZ31" i="46"/>
  <c r="BM31" i="46"/>
  <c r="AI31" i="46"/>
  <c r="CH31" i="46"/>
  <c r="DU31" i="46"/>
  <c r="BD31" i="46"/>
  <c r="CQ31" i="46"/>
  <c r="AF31" i="46"/>
  <c r="DX31" i="46"/>
  <c r="DC31" i="46"/>
  <c r="BP31" i="46"/>
  <c r="AL31" i="46"/>
  <c r="DF31" i="46"/>
  <c r="BY31" i="46"/>
  <c r="CK31" i="46"/>
  <c r="BV31" i="46"/>
  <c r="BS31" i="46"/>
  <c r="AX31" i="46"/>
  <c r="W31" i="46"/>
  <c r="AR31" i="46"/>
  <c r="EA31" i="46"/>
  <c r="BA31" i="46"/>
  <c r="AU31" i="46"/>
  <c r="AO31" i="46"/>
  <c r="CN31" i="46"/>
  <c r="EG54" i="46"/>
  <c r="DO54" i="46"/>
  <c r="CB54" i="46"/>
  <c r="AC54" i="46"/>
  <c r="CW54" i="46"/>
  <c r="CE54" i="46"/>
  <c r="AI54" i="46"/>
  <c r="BJ54" i="46"/>
  <c r="AF54" i="46"/>
  <c r="DR54" i="46"/>
  <c r="CZ54" i="46"/>
  <c r="BM54" i="46"/>
  <c r="CH54" i="46"/>
  <c r="DU54" i="46"/>
  <c r="BG54" i="46"/>
  <c r="Z54" i="46"/>
  <c r="DX54" i="46"/>
  <c r="DC54" i="46"/>
  <c r="BP54" i="46"/>
  <c r="AL54" i="46"/>
  <c r="BV54" i="46"/>
  <c r="AR54" i="46"/>
  <c r="ED54" i="46"/>
  <c r="CK54" i="46"/>
  <c r="CQ54" i="46"/>
  <c r="BY54" i="46"/>
  <c r="DL54" i="46"/>
  <c r="CT54" i="46"/>
  <c r="BS54" i="46"/>
  <c r="DI54" i="46"/>
  <c r="EA54" i="46"/>
  <c r="BA54" i="46"/>
  <c r="AU54" i="46"/>
  <c r="AO54" i="46"/>
  <c r="W54" i="46"/>
  <c r="DF54" i="46"/>
  <c r="CN54" i="46"/>
  <c r="BD54" i="46"/>
  <c r="AX54" i="46"/>
  <c r="DF6" i="46"/>
  <c r="CN6" i="46"/>
  <c r="BD6" i="46"/>
  <c r="AX6" i="46"/>
  <c r="BV6" i="46"/>
  <c r="W6" i="46"/>
  <c r="CQ6" i="46"/>
  <c r="BY6" i="46"/>
  <c r="AR6" i="46"/>
  <c r="ED6" i="46"/>
  <c r="DL6" i="46"/>
  <c r="DI6" i="46"/>
  <c r="CT6" i="46"/>
  <c r="BG6" i="46"/>
  <c r="Z6" i="46"/>
  <c r="EG6" i="46"/>
  <c r="DO6" i="46"/>
  <c r="CB6" i="46"/>
  <c r="CW6" i="46"/>
  <c r="BJ6" i="46"/>
  <c r="AF6" i="46"/>
  <c r="BS6" i="46"/>
  <c r="AO6" i="46"/>
  <c r="DR6" i="46"/>
  <c r="CE6" i="46"/>
  <c r="BA6" i="46"/>
  <c r="CZ6" i="46"/>
  <c r="BM6" i="46"/>
  <c r="AI6" i="46"/>
  <c r="CK6" i="46"/>
  <c r="AU6" i="46"/>
  <c r="CH6" i="46"/>
  <c r="AC6" i="46"/>
  <c r="DU6" i="46"/>
  <c r="DX6" i="46"/>
  <c r="DC6" i="46"/>
  <c r="BP6" i="46"/>
  <c r="AL6" i="46"/>
  <c r="EA6" i="46"/>
  <c r="T7" i="46"/>
  <c r="BV7" i="46"/>
  <c r="W7" i="46"/>
  <c r="CQ7" i="46"/>
  <c r="BY7" i="46"/>
  <c r="AR7" i="46"/>
  <c r="ED7" i="46"/>
  <c r="DL7" i="46"/>
  <c r="DI7" i="46"/>
  <c r="CT7" i="46"/>
  <c r="BG7" i="46"/>
  <c r="Z7" i="46"/>
  <c r="EG7" i="46"/>
  <c r="DO7" i="46"/>
  <c r="CW7" i="46"/>
  <c r="AF7" i="46"/>
  <c r="DR7" i="46"/>
  <c r="CE7" i="46"/>
  <c r="BA7" i="46"/>
  <c r="BJ7" i="46"/>
  <c r="CZ7" i="46"/>
  <c r="BM7" i="46"/>
  <c r="AI7" i="46"/>
  <c r="CH7" i="46"/>
  <c r="EA7" i="46"/>
  <c r="DF7" i="46"/>
  <c r="CB7" i="46"/>
  <c r="DU7" i="46"/>
  <c r="AO7" i="46"/>
  <c r="CN7" i="46"/>
  <c r="AX7" i="46"/>
  <c r="DX7" i="46"/>
  <c r="DC7" i="46"/>
  <c r="BP7" i="46"/>
  <c r="AL7" i="46"/>
  <c r="BS7" i="46"/>
  <c r="AU7" i="46"/>
  <c r="CK7" i="46"/>
  <c r="BD7" i="46"/>
  <c r="AC7" i="46"/>
  <c r="EG55" i="46"/>
  <c r="DO55" i="46"/>
  <c r="CB55" i="46"/>
  <c r="AC55" i="46"/>
  <c r="CW55" i="46"/>
  <c r="BJ55" i="46"/>
  <c r="AF55" i="46"/>
  <c r="BM55" i="46"/>
  <c r="AI55" i="46"/>
  <c r="DR55" i="46"/>
  <c r="CE55" i="46"/>
  <c r="CH55" i="46"/>
  <c r="DU55" i="46"/>
  <c r="DX55" i="46"/>
  <c r="DC55" i="46"/>
  <c r="BP55" i="46"/>
  <c r="AL55" i="46"/>
  <c r="DL55" i="46"/>
  <c r="DI55" i="46"/>
  <c r="CT55" i="46"/>
  <c r="Z55" i="46"/>
  <c r="CK55" i="46"/>
  <c r="BS55" i="46"/>
  <c r="EA55" i="46"/>
  <c r="BA55" i="46"/>
  <c r="AU55" i="46"/>
  <c r="AO55" i="46"/>
  <c r="CQ55" i="46"/>
  <c r="BY55" i="46"/>
  <c r="ED55" i="46"/>
  <c r="CZ55" i="46"/>
  <c r="DF55" i="46"/>
  <c r="CN55" i="46"/>
  <c r="BD55" i="46"/>
  <c r="AX55" i="46"/>
  <c r="BV55" i="46"/>
  <c r="W55" i="46"/>
  <c r="AR55" i="46"/>
  <c r="BG55" i="46"/>
  <c r="CQ30" i="46"/>
  <c r="BY30" i="46"/>
  <c r="AR30" i="46"/>
  <c r="ED30" i="46"/>
  <c r="DL30" i="46"/>
  <c r="DI30" i="46"/>
  <c r="CT30" i="46"/>
  <c r="BG30" i="46"/>
  <c r="Z30" i="46"/>
  <c r="EG30" i="46"/>
  <c r="DO30" i="46"/>
  <c r="CB30" i="46"/>
  <c r="AC30" i="46"/>
  <c r="CW30" i="46"/>
  <c r="DR30" i="46"/>
  <c r="CE30" i="46"/>
  <c r="CZ30" i="46"/>
  <c r="BM30" i="46"/>
  <c r="AI30" i="46"/>
  <c r="CH30" i="46"/>
  <c r="CN30" i="46"/>
  <c r="BV30" i="46"/>
  <c r="DU30" i="46"/>
  <c r="BA30" i="46"/>
  <c r="AO30" i="46"/>
  <c r="AX30" i="46"/>
  <c r="BJ30" i="46"/>
  <c r="AF30" i="46"/>
  <c r="DX30" i="46"/>
  <c r="DC30" i="46"/>
  <c r="BP30" i="46"/>
  <c r="AL30" i="46"/>
  <c r="EA30" i="46"/>
  <c r="AU30" i="46"/>
  <c r="DF30" i="46"/>
  <c r="BD30" i="46"/>
  <c r="CK30" i="46"/>
  <c r="W30" i="46"/>
  <c r="BS30" i="46"/>
  <c r="CK57" i="46"/>
  <c r="AU57" i="46"/>
  <c r="CW57" i="46"/>
  <c r="DL9" i="46"/>
  <c r="CK9" i="46"/>
  <c r="AC9" i="46"/>
  <c r="DX9" i="46"/>
  <c r="CW9" i="46"/>
  <c r="AX9" i="46"/>
  <c r="BV9" i="46"/>
  <c r="BG9" i="46"/>
  <c r="AO9" i="46"/>
  <c r="BD9" i="46"/>
  <c r="AI9" i="46"/>
  <c r="CQ9" i="46"/>
  <c r="CH9" i="46"/>
  <c r="Z9" i="46"/>
  <c r="CT9" i="46"/>
  <c r="DR9" i="46"/>
  <c r="DU9" i="46"/>
  <c r="DI9" i="46"/>
  <c r="AU9" i="46"/>
  <c r="CE9" i="46"/>
  <c r="DF9" i="46"/>
  <c r="CB9" i="46"/>
  <c r="BA9" i="46"/>
  <c r="DC9" i="46"/>
  <c r="EG9" i="46"/>
  <c r="ED9" i="46"/>
  <c r="DO9" i="46"/>
  <c r="BM9" i="46"/>
  <c r="AF9" i="46"/>
  <c r="EA9" i="46"/>
  <c r="CZ9" i="46"/>
  <c r="BJ9" i="46"/>
  <c r="AR9" i="46"/>
  <c r="BS9" i="46"/>
  <c r="AL9" i="46"/>
  <c r="W9" i="46"/>
  <c r="BP9" i="46"/>
  <c r="CN9" i="46"/>
  <c r="BY9" i="46"/>
  <c r="CT33" i="46"/>
  <c r="Z33" i="46"/>
  <c r="BS33" i="46"/>
  <c r="BD33" i="46"/>
  <c r="AL33" i="46"/>
  <c r="DU33" i="46"/>
  <c r="DI33" i="46"/>
  <c r="AU33" i="46"/>
  <c r="ED33" i="46"/>
  <c r="BY33" i="46"/>
  <c r="CE33" i="46"/>
  <c r="AI33" i="46"/>
  <c r="BP33" i="46"/>
  <c r="EG33" i="46"/>
  <c r="DR33" i="46"/>
  <c r="DF33" i="46"/>
  <c r="CQ33" i="46"/>
  <c r="CB33" i="46"/>
  <c r="BA33" i="46"/>
  <c r="DC33" i="46"/>
  <c r="DO33" i="46"/>
  <c r="EA33" i="46"/>
  <c r="CZ33" i="46"/>
  <c r="BJ33" i="46"/>
  <c r="AR33" i="46"/>
  <c r="CH33" i="46"/>
  <c r="DL33" i="46"/>
  <c r="CK33" i="46"/>
  <c r="AC33" i="46"/>
  <c r="AX33" i="46"/>
  <c r="BV33" i="46"/>
  <c r="BG33" i="46"/>
  <c r="AO33" i="46"/>
  <c r="W33" i="46"/>
  <c r="BM33" i="46"/>
  <c r="AF33" i="46"/>
  <c r="CN33" i="46"/>
  <c r="DX33" i="46"/>
  <c r="CW33" i="46"/>
  <c r="DC57" i="46"/>
  <c r="CE56" i="46"/>
  <c r="EG56" i="46"/>
  <c r="AI56" i="46"/>
  <c r="W56" i="46"/>
  <c r="DR56" i="46"/>
  <c r="DF56" i="46"/>
  <c r="CQ56" i="46"/>
  <c r="BP56" i="46"/>
  <c r="BJ56" i="46"/>
  <c r="DL56" i="46"/>
  <c r="CB56" i="46"/>
  <c r="BA56" i="46"/>
  <c r="AF56" i="46"/>
  <c r="AC56" i="46"/>
  <c r="DC56" i="46"/>
  <c r="ED56" i="46"/>
  <c r="DO56" i="46"/>
  <c r="CN56" i="46"/>
  <c r="BY56" i="46"/>
  <c r="EA56" i="46"/>
  <c r="CZ56" i="46"/>
  <c r="DX56" i="46"/>
  <c r="CW56" i="46"/>
  <c r="AX56" i="46"/>
  <c r="BV56" i="46"/>
  <c r="BG56" i="46"/>
  <c r="AO56" i="46"/>
  <c r="AL56" i="46"/>
  <c r="DI56" i="46"/>
  <c r="AU56" i="46"/>
  <c r="CH56" i="46"/>
  <c r="Z56" i="46"/>
  <c r="BS56" i="46"/>
  <c r="BD56" i="46"/>
  <c r="DU56" i="46"/>
  <c r="CK56" i="46"/>
  <c r="CT56" i="46"/>
  <c r="BM56" i="46"/>
  <c r="AR56" i="46"/>
  <c r="CH57" i="46"/>
  <c r="BY57" i="46"/>
  <c r="AO57" i="46"/>
  <c r="AF57" i="46"/>
  <c r="CH32" i="46"/>
  <c r="CT32" i="46"/>
  <c r="Z32" i="46"/>
  <c r="BS32" i="46"/>
  <c r="BD32" i="46"/>
  <c r="AL32" i="46"/>
  <c r="AI32" i="46"/>
  <c r="BM32" i="46"/>
  <c r="AF32" i="46"/>
  <c r="DU32" i="46"/>
  <c r="DI32" i="46"/>
  <c r="AU32" i="46"/>
  <c r="CE32" i="46"/>
  <c r="DO32" i="46"/>
  <c r="EG32" i="46"/>
  <c r="DR32" i="46"/>
  <c r="DF32" i="46"/>
  <c r="CQ32" i="46"/>
  <c r="BP32" i="46"/>
  <c r="CB32" i="46"/>
  <c r="BA32" i="46"/>
  <c r="CN32" i="46"/>
  <c r="BY32" i="46"/>
  <c r="EA32" i="46"/>
  <c r="CZ32" i="46"/>
  <c r="BG32" i="46"/>
  <c r="ED32" i="46"/>
  <c r="BJ32" i="46"/>
  <c r="AR32" i="46"/>
  <c r="AC32" i="46"/>
  <c r="DX32" i="46"/>
  <c r="CW32" i="46"/>
  <c r="AX32" i="46"/>
  <c r="DC32" i="46"/>
  <c r="DL32" i="46"/>
  <c r="CK32" i="46"/>
  <c r="BV32" i="46"/>
  <c r="AO32" i="46"/>
  <c r="W32" i="46"/>
  <c r="BG57" i="46"/>
  <c r="BA57" i="46"/>
  <c r="BV57" i="46"/>
  <c r="CB57" i="46"/>
  <c r="BS57" i="46"/>
  <c r="CZ57" i="46"/>
  <c r="DR57" i="46"/>
  <c r="DI57" i="46"/>
  <c r="CN57" i="46"/>
  <c r="AI57" i="46"/>
  <c r="BJ8" i="46"/>
  <c r="AR8" i="46"/>
  <c r="DL8" i="46"/>
  <c r="CK8" i="46"/>
  <c r="AC8" i="46"/>
  <c r="CW8" i="46"/>
  <c r="AX8" i="46"/>
  <c r="W8" i="46"/>
  <c r="DX8" i="46"/>
  <c r="BV8" i="46"/>
  <c r="BG8" i="46"/>
  <c r="AO8" i="46"/>
  <c r="CH8" i="46"/>
  <c r="CT8" i="46"/>
  <c r="Z8" i="46"/>
  <c r="BS8" i="46"/>
  <c r="BD8" i="46"/>
  <c r="AL8" i="46"/>
  <c r="DU8" i="46"/>
  <c r="DI8" i="46"/>
  <c r="AU8" i="46"/>
  <c r="DR8" i="46"/>
  <c r="DF8" i="46"/>
  <c r="CQ8" i="46"/>
  <c r="BP8" i="46"/>
  <c r="CB8" i="46"/>
  <c r="BA8" i="46"/>
  <c r="DC8" i="46"/>
  <c r="CN8" i="46"/>
  <c r="BY8" i="46"/>
  <c r="EA8" i="46"/>
  <c r="CZ8" i="46"/>
  <c r="CE8" i="46"/>
  <c r="EG8" i="46"/>
  <c r="AI8" i="46"/>
  <c r="ED8" i="46"/>
  <c r="DO8" i="46"/>
  <c r="BM8" i="46"/>
  <c r="AF8" i="46"/>
  <c r="DU57" i="46"/>
  <c r="DO57" i="46"/>
  <c r="BJ11" i="46"/>
  <c r="DO11" i="46"/>
  <c r="CN11" i="46"/>
  <c r="DC11" i="46"/>
  <c r="DF11" i="46"/>
  <c r="AR11" i="46"/>
  <c r="CZ11" i="46"/>
  <c r="CW11" i="46"/>
  <c r="BD11" i="46"/>
  <c r="DI58" i="46"/>
  <c r="DR58" i="46"/>
  <c r="DC58" i="46"/>
  <c r="CN58" i="46"/>
  <c r="BD58" i="46"/>
  <c r="DU58" i="46"/>
  <c r="EG58" i="46"/>
  <c r="AC58" i="46"/>
  <c r="W58" i="46"/>
  <c r="AF58" i="46"/>
  <c r="CW58" i="46"/>
  <c r="CH58" i="46"/>
  <c r="BS58" i="46"/>
  <c r="AR58" i="46"/>
  <c r="EA58" i="46"/>
  <c r="DL58" i="46"/>
  <c r="AU58" i="46"/>
  <c r="AL58" i="46"/>
  <c r="BM58" i="46"/>
  <c r="DF58" i="46"/>
  <c r="AX58" i="46"/>
  <c r="DO58" i="46"/>
  <c r="CZ58" i="46"/>
  <c r="CK58" i="46"/>
  <c r="BV58" i="46"/>
  <c r="BY58" i="46"/>
  <c r="BJ58" i="46"/>
  <c r="ED58" i="46"/>
  <c r="CT58" i="46"/>
  <c r="BA58" i="46"/>
  <c r="AO58" i="46"/>
  <c r="Z58" i="46"/>
  <c r="CQ58" i="46"/>
  <c r="DX58" i="46"/>
  <c r="CE58" i="46"/>
  <c r="BP58" i="46"/>
  <c r="AI58" i="46"/>
  <c r="CB58" i="46"/>
  <c r="BG58" i="46"/>
  <c r="DR11" i="46"/>
  <c r="BP11" i="46"/>
  <c r="BV11" i="46"/>
  <c r="BY11" i="46"/>
  <c r="AL11" i="46"/>
  <c r="AX11" i="46"/>
  <c r="EA10" i="46"/>
  <c r="DL10" i="46"/>
  <c r="AU10" i="46"/>
  <c r="AL10" i="46"/>
  <c r="CB10" i="46"/>
  <c r="BM10" i="46"/>
  <c r="W10" i="46"/>
  <c r="DO10" i="46"/>
  <c r="BV10" i="46"/>
  <c r="CQ10" i="46"/>
  <c r="DF10" i="46"/>
  <c r="CZ10" i="46"/>
  <c r="ED10" i="46"/>
  <c r="DU10" i="46"/>
  <c r="BG10" i="46"/>
  <c r="AF10" i="46"/>
  <c r="AX10" i="46"/>
  <c r="CK10" i="46"/>
  <c r="BA10" i="46"/>
  <c r="AO10" i="46"/>
  <c r="DX10" i="46"/>
  <c r="CE10" i="46"/>
  <c r="BP10" i="46"/>
  <c r="AI10" i="46"/>
  <c r="CH10" i="46"/>
  <c r="AR10" i="46"/>
  <c r="CT10" i="46"/>
  <c r="BY10" i="46"/>
  <c r="BJ10" i="46"/>
  <c r="CW10" i="46"/>
  <c r="BS10" i="46"/>
  <c r="DI10" i="46"/>
  <c r="Z10" i="46"/>
  <c r="DR10" i="46"/>
  <c r="DC10" i="46"/>
  <c r="CN10" i="46"/>
  <c r="BD10" i="46"/>
  <c r="AC10" i="46"/>
  <c r="EG10" i="46"/>
  <c r="DX11" i="46"/>
  <c r="BA11" i="46"/>
  <c r="EA11" i="46"/>
  <c r="CH11" i="46"/>
  <c r="CT11" i="46"/>
  <c r="DR59" i="46"/>
  <c r="DC59" i="46"/>
  <c r="CN59" i="46"/>
  <c r="BD59" i="46"/>
  <c r="AC59" i="46"/>
  <c r="DU59" i="46"/>
  <c r="EG59" i="46"/>
  <c r="CW59" i="46"/>
  <c r="CH59" i="46"/>
  <c r="BS59" i="46"/>
  <c r="AR59" i="46"/>
  <c r="CQ59" i="46"/>
  <c r="EA59" i="46"/>
  <c r="DL59" i="46"/>
  <c r="AU59" i="46"/>
  <c r="W59" i="46"/>
  <c r="AL59" i="46"/>
  <c r="BM59" i="46"/>
  <c r="CB59" i="46"/>
  <c r="DO59" i="46"/>
  <c r="CZ59" i="46"/>
  <c r="CK59" i="46"/>
  <c r="BV59" i="46"/>
  <c r="AX59" i="46"/>
  <c r="ED59" i="46"/>
  <c r="CT59" i="46"/>
  <c r="BA59" i="46"/>
  <c r="AO59" i="46"/>
  <c r="Z59" i="46"/>
  <c r="DI59" i="46"/>
  <c r="DX59" i="46"/>
  <c r="CE59" i="46"/>
  <c r="BP59" i="46"/>
  <c r="BJ59" i="46"/>
  <c r="BG59" i="46"/>
  <c r="AF59" i="46"/>
  <c r="DF59" i="46"/>
  <c r="AI59" i="46"/>
  <c r="BY59" i="46"/>
  <c r="AO11" i="46"/>
  <c r="CK11" i="46"/>
  <c r="BG11" i="46"/>
  <c r="AU11" i="46"/>
  <c r="DU11" i="46"/>
  <c r="DL11" i="46"/>
  <c r="CE11" i="46"/>
  <c r="AO35" i="46"/>
  <c r="ED35" i="46"/>
  <c r="CT35" i="46"/>
  <c r="BA35" i="46"/>
  <c r="Z35" i="46"/>
  <c r="CN35" i="46"/>
  <c r="DX35" i="46"/>
  <c r="CE35" i="46"/>
  <c r="BP35" i="46"/>
  <c r="BD35" i="46"/>
  <c r="AI35" i="46"/>
  <c r="DI35" i="46"/>
  <c r="EG35" i="46"/>
  <c r="AR35" i="46"/>
  <c r="BY35" i="46"/>
  <c r="BJ35" i="46"/>
  <c r="DR35" i="46"/>
  <c r="DC35" i="46"/>
  <c r="AC35" i="46"/>
  <c r="CW35" i="46"/>
  <c r="BS35" i="46"/>
  <c r="EA35" i="46"/>
  <c r="DL35" i="46"/>
  <c r="AU35" i="46"/>
  <c r="AL35" i="46"/>
  <c r="CZ35" i="46"/>
  <c r="CB35" i="46"/>
  <c r="BM35" i="46"/>
  <c r="W35" i="46"/>
  <c r="DO35" i="46"/>
  <c r="CK35" i="46"/>
  <c r="BV35" i="46"/>
  <c r="CQ35" i="46"/>
  <c r="AX35" i="46"/>
  <c r="DU35" i="46"/>
  <c r="BG35" i="46"/>
  <c r="AF35" i="46"/>
  <c r="CH35" i="46"/>
  <c r="DF35" i="46"/>
  <c r="BS11" i="46"/>
  <c r="CQ11" i="46"/>
  <c r="BM11" i="46"/>
  <c r="DO34" i="46"/>
  <c r="CZ34" i="46"/>
  <c r="CK34" i="46"/>
  <c r="BV34" i="46"/>
  <c r="ED34" i="46"/>
  <c r="CT34" i="46"/>
  <c r="BA34" i="46"/>
  <c r="AO34" i="46"/>
  <c r="Z34" i="46"/>
  <c r="CN34" i="46"/>
  <c r="DX34" i="46"/>
  <c r="CE34" i="46"/>
  <c r="BP34" i="46"/>
  <c r="BJ34" i="46"/>
  <c r="DI34" i="46"/>
  <c r="DC34" i="46"/>
  <c r="AC34" i="46"/>
  <c r="AI34" i="46"/>
  <c r="BY34" i="46"/>
  <c r="BD34" i="46"/>
  <c r="CW34" i="46"/>
  <c r="CH34" i="46"/>
  <c r="BS34" i="46"/>
  <c r="AR34" i="46"/>
  <c r="EA34" i="46"/>
  <c r="DL34" i="46"/>
  <c r="AU34" i="46"/>
  <c r="BG34" i="46"/>
  <c r="AL34" i="46"/>
  <c r="AF34" i="46"/>
  <c r="DF34" i="46"/>
  <c r="AX34" i="46"/>
  <c r="CB34" i="46"/>
  <c r="BM34" i="46"/>
  <c r="W34" i="46"/>
  <c r="CQ34" i="46"/>
  <c r="EG34" i="46"/>
  <c r="DU34" i="46"/>
  <c r="DR34" i="46"/>
  <c r="AC11" i="46"/>
  <c r="AI11" i="46"/>
  <c r="CB11" i="46"/>
  <c r="EG11" i="46"/>
  <c r="Z11" i="46"/>
  <c r="BD37" i="46"/>
  <c r="DC36" i="46"/>
  <c r="DU13" i="46"/>
  <c r="AF61" i="46"/>
  <c r="BP61" i="46"/>
  <c r="ED36" i="46"/>
  <c r="CN36" i="46"/>
  <c r="CB36" i="46"/>
  <c r="DU37" i="46"/>
  <c r="Z37" i="46"/>
  <c r="DR13" i="46"/>
  <c r="DL13" i="46"/>
  <c r="CH61" i="46"/>
  <c r="DR36" i="46"/>
  <c r="CQ61" i="46"/>
  <c r="AL37" i="46"/>
  <c r="Z61" i="46"/>
  <c r="BD36" i="46"/>
  <c r="AU36" i="46"/>
  <c r="AU37" i="46"/>
  <c r="DC37" i="46"/>
  <c r="AC61" i="46"/>
  <c r="AX61" i="46"/>
  <c r="AX36" i="46"/>
  <c r="AL36" i="46"/>
  <c r="BV36" i="46"/>
  <c r="DI37" i="46"/>
  <c r="W37" i="46"/>
  <c r="CH13" i="46"/>
  <c r="AI61" i="46"/>
  <c r="BS61" i="46"/>
  <c r="EG36" i="46"/>
  <c r="CQ36" i="46"/>
  <c r="BV37" i="46"/>
  <c r="EA37" i="46"/>
  <c r="AC37" i="46"/>
  <c r="AL13" i="46"/>
  <c r="AU13" i="46"/>
  <c r="DO37" i="46"/>
  <c r="CK61" i="46"/>
  <c r="BY61" i="46"/>
  <c r="BM36" i="46"/>
  <c r="CW36" i="46"/>
  <c r="CB37" i="46"/>
  <c r="DF37" i="46"/>
  <c r="AF37" i="46"/>
  <c r="BG37" i="46"/>
  <c r="EA12" i="46"/>
  <c r="DU12" i="46"/>
  <c r="DI12" i="46"/>
  <c r="BG12" i="46"/>
  <c r="EG12" i="46"/>
  <c r="ED12" i="46"/>
  <c r="BD12" i="46"/>
  <c r="BJ12" i="46"/>
  <c r="BM12" i="46"/>
  <c r="BY12" i="46"/>
  <c r="BS12" i="46"/>
  <c r="BP12" i="46"/>
  <c r="AX12" i="46"/>
  <c r="AI12" i="46"/>
  <c r="CB12" i="46"/>
  <c r="BV12" i="46"/>
  <c r="AU12" i="46"/>
  <c r="AF12" i="46"/>
  <c r="Z12" i="46"/>
  <c r="DO12" i="46"/>
  <c r="DR12" i="46"/>
  <c r="CH12" i="46"/>
  <c r="CE12" i="46"/>
  <c r="AC12" i="46"/>
  <c r="W12" i="46"/>
  <c r="DF12" i="46"/>
  <c r="CT12" i="46"/>
  <c r="CK12" i="46"/>
  <c r="CW12" i="46"/>
  <c r="CQ12" i="46"/>
  <c r="CN12" i="46"/>
  <c r="AL12" i="46"/>
  <c r="DC12" i="46"/>
  <c r="BA12" i="46"/>
  <c r="CZ12" i="46"/>
  <c r="AO12" i="46"/>
  <c r="AR12" i="46"/>
  <c r="DL12" i="46"/>
  <c r="DX12" i="46"/>
  <c r="DR61" i="46"/>
  <c r="CT61" i="46"/>
  <c r="BM61" i="46"/>
  <c r="DI36" i="46"/>
  <c r="CZ36" i="46"/>
  <c r="BP37" i="46"/>
  <c r="DR37" i="46"/>
  <c r="AI37" i="46"/>
  <c r="AR61" i="46"/>
  <c r="DU61" i="46"/>
  <c r="BA61" i="46"/>
  <c r="DU36" i="46"/>
  <c r="W36" i="46"/>
  <c r="BJ37" i="46"/>
  <c r="DX37" i="46"/>
  <c r="CK37" i="46"/>
  <c r="DC61" i="46"/>
  <c r="DX61" i="46"/>
  <c r="BG61" i="46"/>
  <c r="EA36" i="46"/>
  <c r="Z36" i="46"/>
  <c r="BA37" i="46"/>
  <c r="DL37" i="46"/>
  <c r="CT37" i="46"/>
  <c r="CE37" i="46"/>
  <c r="CZ61" i="46"/>
  <c r="AL61" i="46"/>
  <c r="BJ61" i="46"/>
  <c r="BY36" i="46"/>
  <c r="AF36" i="46"/>
  <c r="AX37" i="46"/>
  <c r="AO37" i="46"/>
  <c r="CH37" i="46"/>
  <c r="DI61" i="46"/>
  <c r="CE61" i="46"/>
  <c r="ED61" i="46"/>
  <c r="DF36" i="46"/>
  <c r="AI36" i="46"/>
  <c r="BS37" i="46"/>
  <c r="CZ37" i="46"/>
  <c r="AR37" i="46"/>
  <c r="EA60" i="46"/>
  <c r="DU60" i="46"/>
  <c r="DI60" i="46"/>
  <c r="ED60" i="46"/>
  <c r="EG60" i="46"/>
  <c r="BG60" i="46"/>
  <c r="BD60" i="46"/>
  <c r="BJ60" i="46"/>
  <c r="BM60" i="46"/>
  <c r="BY60" i="46"/>
  <c r="BS60" i="46"/>
  <c r="BP60" i="46"/>
  <c r="AX60" i="46"/>
  <c r="Z60" i="46"/>
  <c r="BA60" i="46"/>
  <c r="CB60" i="46"/>
  <c r="BV60" i="46"/>
  <c r="AU60" i="46"/>
  <c r="AF60" i="46"/>
  <c r="AC60" i="46"/>
  <c r="AR60" i="46"/>
  <c r="DF60" i="46"/>
  <c r="CH60" i="46"/>
  <c r="CE60" i="46"/>
  <c r="AI60" i="46"/>
  <c r="DC60" i="46"/>
  <c r="CT60" i="46"/>
  <c r="CK60" i="46"/>
  <c r="W60" i="46"/>
  <c r="DL60" i="46"/>
  <c r="CW60" i="46"/>
  <c r="CQ60" i="46"/>
  <c r="CN60" i="46"/>
  <c r="AL60" i="46"/>
  <c r="AO60" i="46"/>
  <c r="DO60" i="46"/>
  <c r="DX60" i="46"/>
  <c r="DR60" i="46"/>
  <c r="CZ60" i="46"/>
  <c r="CK36" i="46"/>
  <c r="ED37" i="46"/>
  <c r="CN61" i="46"/>
  <c r="EG61" i="46"/>
  <c r="EA61" i="46"/>
  <c r="BA36" i="46"/>
  <c r="DX36" i="46"/>
  <c r="CT36" i="46"/>
  <c r="CW61" i="46"/>
  <c r="DF61" i="46"/>
  <c r="BG36" i="46"/>
  <c r="DL36" i="46"/>
  <c r="AO36" i="46"/>
  <c r="EG37" i="46"/>
  <c r="CN37" i="46"/>
  <c r="DO13" i="46"/>
  <c r="AI13" i="46"/>
  <c r="BG13" i="46"/>
  <c r="DO61" i="46"/>
  <c r="AU61" i="46"/>
  <c r="BP36" i="46"/>
  <c r="DO36" i="46"/>
  <c r="CE36" i="46"/>
  <c r="BY37" i="46"/>
  <c r="CQ37" i="46"/>
  <c r="AR13" i="46"/>
  <c r="CK13" i="46"/>
  <c r="BD13" i="46"/>
  <c r="W61" i="46"/>
  <c r="BV61" i="46"/>
  <c r="BJ36" i="46"/>
  <c r="AR36" i="46"/>
  <c r="BM37" i="46"/>
  <c r="AO13" i="46"/>
  <c r="CT13" i="46"/>
  <c r="BM14" i="46"/>
  <c r="CQ14" i="46"/>
  <c r="AU63" i="46"/>
  <c r="DL63" i="46"/>
  <c r="CN63" i="46"/>
  <c r="DL14" i="46"/>
  <c r="DU14" i="46"/>
  <c r="BY63" i="46"/>
  <c r="CB14" i="46"/>
  <c r="BV14" i="46"/>
  <c r="AF14" i="46"/>
  <c r="BA63" i="46"/>
  <c r="DU63" i="46"/>
  <c r="CZ14" i="46"/>
  <c r="AO14" i="46"/>
  <c r="AX14" i="46"/>
  <c r="BP14" i="46"/>
  <c r="EA63" i="46"/>
  <c r="ED63" i="46"/>
  <c r="BA14" i="46"/>
  <c r="DF63" i="46"/>
  <c r="AC14" i="46"/>
  <c r="ED14" i="46"/>
  <c r="DR63" i="46"/>
  <c r="AR38" i="46"/>
  <c r="ED38" i="46"/>
  <c r="DU38" i="46"/>
  <c r="DL38" i="46"/>
  <c r="CT38" i="46"/>
  <c r="Z38" i="46"/>
  <c r="BS38" i="46"/>
  <c r="BJ38" i="46"/>
  <c r="DC38" i="46"/>
  <c r="BM38" i="46"/>
  <c r="CK38" i="46"/>
  <c r="CB38" i="46"/>
  <c r="BV38" i="46"/>
  <c r="EA38" i="46"/>
  <c r="BA38" i="46"/>
  <c r="AU38" i="46"/>
  <c r="AO38" i="46"/>
  <c r="AF38" i="46"/>
  <c r="DR38" i="46"/>
  <c r="CZ38" i="46"/>
  <c r="W38" i="46"/>
  <c r="CQ38" i="46"/>
  <c r="CH38" i="46"/>
  <c r="BY38" i="46"/>
  <c r="CW38" i="46"/>
  <c r="DI38" i="46"/>
  <c r="BG38" i="46"/>
  <c r="DF38" i="46"/>
  <c r="AX38" i="46"/>
  <c r="DX38" i="46"/>
  <c r="BP38" i="46"/>
  <c r="AL38" i="46"/>
  <c r="CE38" i="46"/>
  <c r="EG38" i="46"/>
  <c r="DO38" i="46"/>
  <c r="AC38" i="46"/>
  <c r="CN38" i="46"/>
  <c r="BD38" i="46"/>
  <c r="AI38" i="46"/>
  <c r="AU14" i="46"/>
  <c r="BD14" i="46"/>
  <c r="DX14" i="46"/>
  <c r="DI63" i="46"/>
  <c r="AR63" i="46"/>
  <c r="CQ63" i="46"/>
  <c r="CW14" i="46"/>
  <c r="BG63" i="46"/>
  <c r="BV63" i="46"/>
  <c r="EG14" i="46"/>
  <c r="ED39" i="46"/>
  <c r="DU39" i="46"/>
  <c r="DL39" i="46"/>
  <c r="CT39" i="46"/>
  <c r="Z39" i="46"/>
  <c r="AO39" i="46"/>
  <c r="DC39" i="46"/>
  <c r="EA39" i="46"/>
  <c r="BA39" i="46"/>
  <c r="AU39" i="46"/>
  <c r="AF39" i="46"/>
  <c r="AR39" i="46"/>
  <c r="CK39" i="46"/>
  <c r="CB39" i="46"/>
  <c r="BS39" i="46"/>
  <c r="BJ39" i="46"/>
  <c r="DR39" i="46"/>
  <c r="CZ39" i="46"/>
  <c r="W39" i="46"/>
  <c r="AI39" i="46"/>
  <c r="CQ39" i="46"/>
  <c r="CH39" i="46"/>
  <c r="BY39" i="46"/>
  <c r="DI39" i="46"/>
  <c r="BG39" i="46"/>
  <c r="DX39" i="46"/>
  <c r="BP39" i="46"/>
  <c r="AL39" i="46"/>
  <c r="CN39" i="46"/>
  <c r="CE39" i="46"/>
  <c r="BV39" i="46"/>
  <c r="EG39" i="46"/>
  <c r="DO39" i="46"/>
  <c r="AC39" i="46"/>
  <c r="CW39" i="46"/>
  <c r="DF39" i="46"/>
  <c r="BD39" i="46"/>
  <c r="AX39" i="46"/>
  <c r="BM39" i="46"/>
  <c r="CK14" i="46"/>
  <c r="CE14" i="46"/>
  <c r="BY14" i="46"/>
  <c r="CZ63" i="46"/>
  <c r="BM63" i="46"/>
  <c r="Z14" i="46"/>
  <c r="DF14" i="46"/>
  <c r="W14" i="46"/>
  <c r="BS63" i="46"/>
  <c r="CE63" i="46"/>
  <c r="W63" i="46"/>
  <c r="AI63" i="46"/>
  <c r="DO14" i="46"/>
  <c r="BP63" i="46"/>
  <c r="AL63" i="46"/>
  <c r="AU62" i="46"/>
  <c r="CT62" i="46"/>
  <c r="EG62" i="46"/>
  <c r="BJ14" i="46"/>
  <c r="DI14" i="46"/>
  <c r="DX63" i="46"/>
  <c r="DC63" i="46"/>
  <c r="AC63" i="46"/>
  <c r="CH63" i="46"/>
  <c r="BA62" i="46"/>
  <c r="DL62" i="46"/>
  <c r="CN62" i="46"/>
  <c r="BS14" i="46"/>
  <c r="EA14" i="46"/>
  <c r="AF63" i="46"/>
  <c r="Z63" i="46"/>
  <c r="DO63" i="46"/>
  <c r="CZ15" i="46"/>
  <c r="W15" i="46"/>
  <c r="CQ15" i="46"/>
  <c r="CH15" i="46"/>
  <c r="BY15" i="46"/>
  <c r="BG15" i="46"/>
  <c r="DO15" i="46"/>
  <c r="AC15" i="46"/>
  <c r="AU15" i="46"/>
  <c r="DI15" i="46"/>
  <c r="EG15" i="46"/>
  <c r="DX15" i="46"/>
  <c r="BP15" i="46"/>
  <c r="AL15" i="46"/>
  <c r="CW15" i="46"/>
  <c r="DF15" i="46"/>
  <c r="CN15" i="46"/>
  <c r="CE15" i="46"/>
  <c r="BD15" i="46"/>
  <c r="AX15" i="46"/>
  <c r="BA15" i="46"/>
  <c r="BV15" i="46"/>
  <c r="BM15" i="46"/>
  <c r="AI15" i="46"/>
  <c r="BJ15" i="46"/>
  <c r="AF15" i="46"/>
  <c r="AR15" i="46"/>
  <c r="CK15" i="46"/>
  <c r="BS15" i="46"/>
  <c r="AO15" i="46"/>
  <c r="ED15" i="46"/>
  <c r="DU15" i="46"/>
  <c r="DL15" i="46"/>
  <c r="CT15" i="46"/>
  <c r="Z15" i="46"/>
  <c r="DC15" i="46"/>
  <c r="CB15" i="46"/>
  <c r="EA15" i="46"/>
  <c r="DR15" i="46"/>
  <c r="CT14" i="46"/>
  <c r="DR14" i="46"/>
  <c r="CB63" i="46"/>
  <c r="CK63" i="46"/>
  <c r="BD63" i="46"/>
  <c r="AR14" i="46"/>
  <c r="BG14" i="46"/>
  <c r="CW63" i="46"/>
  <c r="EA62" i="46"/>
  <c r="DU62" i="46"/>
  <c r="AI14" i="46"/>
  <c r="AO63" i="46"/>
  <c r="CT63" i="46"/>
  <c r="AI65" i="46"/>
  <c r="EG65" i="46"/>
  <c r="DC41" i="46"/>
  <c r="CH41" i="46"/>
  <c r="DO41" i="46"/>
  <c r="CT41" i="46"/>
  <c r="BM41" i="46"/>
  <c r="Z41" i="46"/>
  <c r="BY41" i="46"/>
  <c r="BD41" i="46"/>
  <c r="AL41" i="46"/>
  <c r="EA41" i="46"/>
  <c r="CK41" i="46"/>
  <c r="AC41" i="46"/>
  <c r="DR41" i="46"/>
  <c r="DF41" i="46"/>
  <c r="CW41" i="46"/>
  <c r="BP41" i="46"/>
  <c r="CB41" i="46"/>
  <c r="BG41" i="46"/>
  <c r="AO41" i="46"/>
  <c r="W41" i="46"/>
  <c r="AX41" i="46"/>
  <c r="ED41" i="46"/>
  <c r="AF41" i="46"/>
  <c r="CN41" i="46"/>
  <c r="BS41" i="46"/>
  <c r="AI41" i="46"/>
  <c r="CQ41" i="46"/>
  <c r="DU41" i="46"/>
  <c r="DI41" i="46"/>
  <c r="CZ41" i="46"/>
  <c r="AU41" i="46"/>
  <c r="BA41" i="46"/>
  <c r="CE41" i="46"/>
  <c r="BJ41" i="46"/>
  <c r="AR41" i="46"/>
  <c r="EG41" i="46"/>
  <c r="DL41" i="46"/>
  <c r="DX41" i="46"/>
  <c r="BV41" i="46"/>
  <c r="ED16" i="46"/>
  <c r="BJ65" i="46"/>
  <c r="AR16" i="46"/>
  <c r="BG16" i="46"/>
  <c r="CB65" i="46"/>
  <c r="CT65" i="46"/>
  <c r="DL16" i="46"/>
  <c r="EG16" i="46"/>
  <c r="DO16" i="46"/>
  <c r="AO65" i="46"/>
  <c r="BJ16" i="46"/>
  <c r="CB16" i="46"/>
  <c r="AU65" i="46"/>
  <c r="DO65" i="46"/>
  <c r="CK65" i="46"/>
  <c r="AL65" i="46"/>
  <c r="AL16" i="46"/>
  <c r="BP16" i="46"/>
  <c r="BP65" i="46"/>
  <c r="BA16" i="46"/>
  <c r="Z16" i="46"/>
  <c r="CW16" i="46"/>
  <c r="CW65" i="46"/>
  <c r="DC65" i="46"/>
  <c r="DU64" i="46"/>
  <c r="DI64" i="46"/>
  <c r="CZ64" i="46"/>
  <c r="AU64" i="46"/>
  <c r="CE64" i="46"/>
  <c r="BJ64" i="46"/>
  <c r="AR64" i="46"/>
  <c r="AI64" i="46"/>
  <c r="CQ64" i="46"/>
  <c r="EG64" i="46"/>
  <c r="DL64" i="46"/>
  <c r="W64" i="46"/>
  <c r="DX64" i="46"/>
  <c r="AX64" i="46"/>
  <c r="BV64" i="46"/>
  <c r="BA64" i="46"/>
  <c r="DC64" i="46"/>
  <c r="CH64" i="46"/>
  <c r="DO64" i="46"/>
  <c r="CT64" i="46"/>
  <c r="BM64" i="46"/>
  <c r="Z64" i="46"/>
  <c r="BY64" i="46"/>
  <c r="BD64" i="46"/>
  <c r="AL64" i="46"/>
  <c r="EA64" i="46"/>
  <c r="ED64" i="46"/>
  <c r="AF64" i="46"/>
  <c r="BS64" i="46"/>
  <c r="CK64" i="46"/>
  <c r="AC64" i="46"/>
  <c r="CN64" i="46"/>
  <c r="DR64" i="46"/>
  <c r="DF64" i="46"/>
  <c r="CW64" i="46"/>
  <c r="BP64" i="46"/>
  <c r="CB64" i="46"/>
  <c r="BG64" i="46"/>
  <c r="AO64" i="46"/>
  <c r="BS16" i="46"/>
  <c r="CE16" i="46"/>
  <c r="CH65" i="46"/>
  <c r="BV16" i="46"/>
  <c r="BM16" i="46"/>
  <c r="DF16" i="46"/>
  <c r="DF65" i="46"/>
  <c r="BA65" i="46"/>
  <c r="DR65" i="46"/>
  <c r="BV65" i="46"/>
  <c r="DU65" i="46"/>
  <c r="CQ65" i="46"/>
  <c r="CK17" i="46"/>
  <c r="AC17" i="46"/>
  <c r="DR17" i="46"/>
  <c r="DF17" i="46"/>
  <c r="CW17" i="46"/>
  <c r="BP17" i="46"/>
  <c r="CB17" i="46"/>
  <c r="BG17" i="46"/>
  <c r="AO17" i="46"/>
  <c r="ED17" i="46"/>
  <c r="AF17" i="46"/>
  <c r="CN17" i="46"/>
  <c r="BS17" i="46"/>
  <c r="DU17" i="46"/>
  <c r="DI17" i="46"/>
  <c r="CZ17" i="46"/>
  <c r="AU17" i="46"/>
  <c r="CE17" i="46"/>
  <c r="BJ17" i="46"/>
  <c r="AR17" i="46"/>
  <c r="BM17" i="46"/>
  <c r="BY17" i="46"/>
  <c r="EA17" i="46"/>
  <c r="EG17" i="46"/>
  <c r="DL17" i="46"/>
  <c r="AI17" i="46"/>
  <c r="W17" i="46"/>
  <c r="CT17" i="46"/>
  <c r="BD17" i="46"/>
  <c r="AL17" i="46"/>
  <c r="DX17" i="46"/>
  <c r="CQ17" i="46"/>
  <c r="AX17" i="46"/>
  <c r="DO17" i="46"/>
  <c r="BV17" i="46"/>
  <c r="BA17" i="46"/>
  <c r="Z17" i="46"/>
  <c r="DC17" i="46"/>
  <c r="CH17" i="46"/>
  <c r="ED65" i="46"/>
  <c r="DX65" i="46"/>
  <c r="BY16" i="46"/>
  <c r="CZ16" i="46"/>
  <c r="EA16" i="46"/>
  <c r="AC65" i="46"/>
  <c r="W65" i="46"/>
  <c r="AI16" i="46"/>
  <c r="DU16" i="46"/>
  <c r="BS65" i="46"/>
  <c r="EA65" i="46"/>
  <c r="DL65" i="46"/>
  <c r="CN65" i="46"/>
  <c r="CN16" i="46"/>
  <c r="AF65" i="46"/>
  <c r="BD65" i="46"/>
  <c r="AX65" i="46"/>
  <c r="BV40" i="46"/>
  <c r="BA40" i="46"/>
  <c r="DC40" i="46"/>
  <c r="CH40" i="46"/>
  <c r="Z40" i="46"/>
  <c r="DO40" i="46"/>
  <c r="CT40" i="46"/>
  <c r="BM40" i="46"/>
  <c r="BY40" i="46"/>
  <c r="BD40" i="46"/>
  <c r="AL40" i="46"/>
  <c r="EA40" i="46"/>
  <c r="CK40" i="46"/>
  <c r="AC40" i="46"/>
  <c r="DR40" i="46"/>
  <c r="DF40" i="46"/>
  <c r="CW40" i="46"/>
  <c r="BP40" i="46"/>
  <c r="CQ40" i="46"/>
  <c r="CB40" i="46"/>
  <c r="BG40" i="46"/>
  <c r="AO40" i="46"/>
  <c r="AX40" i="46"/>
  <c r="ED40" i="46"/>
  <c r="AF40" i="46"/>
  <c r="DL40" i="46"/>
  <c r="W40" i="46"/>
  <c r="DX40" i="46"/>
  <c r="CN40" i="46"/>
  <c r="BS40" i="46"/>
  <c r="CE40" i="46"/>
  <c r="BJ40" i="46"/>
  <c r="AI40" i="46"/>
  <c r="DU40" i="46"/>
  <c r="DI40" i="46"/>
  <c r="CZ40" i="46"/>
  <c r="AU40" i="46"/>
  <c r="AR40" i="46"/>
  <c r="EG40" i="46"/>
  <c r="BD16" i="46"/>
  <c r="AF16" i="46"/>
  <c r="DI65" i="46"/>
  <c r="BY65" i="46"/>
  <c r="AR65" i="46"/>
  <c r="CZ65" i="46"/>
  <c r="Z65" i="46"/>
  <c r="CH16" i="46"/>
  <c r="BG65" i="46"/>
  <c r="BM65" i="46"/>
  <c r="EG43" i="46"/>
  <c r="BD43" i="46"/>
  <c r="EA43" i="46"/>
  <c r="BG66" i="46"/>
  <c r="BV66" i="46"/>
  <c r="ED18" i="46"/>
  <c r="EA18" i="46"/>
  <c r="CT18" i="46"/>
  <c r="AU18" i="46"/>
  <c r="Z18" i="46"/>
  <c r="BJ18" i="46"/>
  <c r="DX18" i="46"/>
  <c r="BP18" i="46"/>
  <c r="CQ18" i="46"/>
  <c r="AI18" i="46"/>
  <c r="BM18" i="46"/>
  <c r="W18" i="46"/>
  <c r="DU18" i="46"/>
  <c r="BG18" i="46"/>
  <c r="AO18" i="46"/>
  <c r="DR18" i="46"/>
  <c r="CN18" i="46"/>
  <c r="BD18" i="46"/>
  <c r="CE18" i="46"/>
  <c r="AL18" i="46"/>
  <c r="DO18" i="46"/>
  <c r="CK18" i="46"/>
  <c r="BA18" i="46"/>
  <c r="CB18" i="46"/>
  <c r="CH18" i="46"/>
  <c r="AR18" i="46"/>
  <c r="DL18" i="46"/>
  <c r="BY18" i="46"/>
  <c r="DI18" i="46"/>
  <c r="AF18" i="46"/>
  <c r="CZ18" i="46"/>
  <c r="AC18" i="46"/>
  <c r="DF18" i="46"/>
  <c r="DC18" i="46"/>
  <c r="AX18" i="46"/>
  <c r="BV18" i="46"/>
  <c r="BS18" i="46"/>
  <c r="EG18" i="46"/>
  <c r="CW18" i="46"/>
  <c r="DF43" i="46"/>
  <c r="W43" i="46"/>
  <c r="BV43" i="46"/>
  <c r="AR43" i="46"/>
  <c r="BM43" i="46"/>
  <c r="DO66" i="46"/>
  <c r="CN66" i="46"/>
  <c r="DF67" i="46"/>
  <c r="DC67" i="46"/>
  <c r="AX67" i="46"/>
  <c r="CT67" i="46"/>
  <c r="AU67" i="46"/>
  <c r="Z67" i="46"/>
  <c r="DO67" i="46"/>
  <c r="CH67" i="46"/>
  <c r="AR67" i="46"/>
  <c r="EG67" i="46"/>
  <c r="CZ67" i="46"/>
  <c r="BV67" i="46"/>
  <c r="AC67" i="46"/>
  <c r="CW67" i="46"/>
  <c r="BS67" i="46"/>
  <c r="ED67" i="46"/>
  <c r="EA67" i="46"/>
  <c r="DX67" i="46"/>
  <c r="BP67" i="46"/>
  <c r="BM67" i="46"/>
  <c r="W67" i="46"/>
  <c r="CQ67" i="46"/>
  <c r="BJ67" i="46"/>
  <c r="CN67" i="46"/>
  <c r="BD67" i="46"/>
  <c r="CK67" i="46"/>
  <c r="DU67" i="46"/>
  <c r="BG67" i="46"/>
  <c r="DR67" i="46"/>
  <c r="DL67" i="46"/>
  <c r="BA67" i="46"/>
  <c r="AO67" i="46"/>
  <c r="CE67" i="46"/>
  <c r="AL67" i="46"/>
  <c r="BY67" i="46"/>
  <c r="AF67" i="46"/>
  <c r="CB67" i="46"/>
  <c r="AI67" i="46"/>
  <c r="DI67" i="46"/>
  <c r="AX43" i="46"/>
  <c r="BG43" i="46"/>
  <c r="BS43" i="46"/>
  <c r="W66" i="46"/>
  <c r="DR66" i="46"/>
  <c r="AF43" i="46"/>
  <c r="DU43" i="46"/>
  <c r="CW43" i="46"/>
  <c r="BM66" i="46"/>
  <c r="CW66" i="46"/>
  <c r="DX19" i="46"/>
  <c r="BP19" i="46"/>
  <c r="BM19" i="46"/>
  <c r="W19" i="46"/>
  <c r="DU19" i="46"/>
  <c r="BG19" i="46"/>
  <c r="CQ19" i="46"/>
  <c r="BJ19" i="46"/>
  <c r="DR19" i="46"/>
  <c r="CN19" i="46"/>
  <c r="BD19" i="46"/>
  <c r="CB19" i="46"/>
  <c r="AI19" i="46"/>
  <c r="BY19" i="46"/>
  <c r="DO19" i="46"/>
  <c r="CK19" i="46"/>
  <c r="CH19" i="46"/>
  <c r="AR19" i="46"/>
  <c r="CE19" i="46"/>
  <c r="AL19" i="46"/>
  <c r="DL19" i="46"/>
  <c r="BA19" i="46"/>
  <c r="AO19" i="46"/>
  <c r="DI19" i="46"/>
  <c r="AF19" i="46"/>
  <c r="DF19" i="46"/>
  <c r="DC19" i="46"/>
  <c r="AX19" i="46"/>
  <c r="BS19" i="46"/>
  <c r="AU19" i="46"/>
  <c r="EG19" i="46"/>
  <c r="CZ19" i="46"/>
  <c r="BV19" i="46"/>
  <c r="AC19" i="46"/>
  <c r="CW19" i="46"/>
  <c r="Z19" i="46"/>
  <c r="ED19" i="46"/>
  <c r="EA19" i="46"/>
  <c r="CT19" i="46"/>
  <c r="DI43" i="46"/>
  <c r="AL43" i="46"/>
  <c r="BY66" i="46"/>
  <c r="BP66" i="46"/>
  <c r="AX66" i="46"/>
  <c r="AC43" i="46"/>
  <c r="DL43" i="46"/>
  <c r="CB66" i="46"/>
  <c r="DX66" i="46"/>
  <c r="BY43" i="46"/>
  <c r="BJ43" i="46"/>
  <c r="EG42" i="46"/>
  <c r="CZ42" i="46"/>
  <c r="BV42" i="46"/>
  <c r="AC42" i="46"/>
  <c r="BP42" i="46"/>
  <c r="CH42" i="46"/>
  <c r="CW42" i="46"/>
  <c r="BS42" i="46"/>
  <c r="ED42" i="46"/>
  <c r="EA42" i="46"/>
  <c r="CT42" i="46"/>
  <c r="AU42" i="46"/>
  <c r="Z42" i="46"/>
  <c r="DX42" i="46"/>
  <c r="BM42" i="46"/>
  <c r="W42" i="46"/>
  <c r="CQ42" i="46"/>
  <c r="BJ42" i="46"/>
  <c r="DO42" i="46"/>
  <c r="AR42" i="46"/>
  <c r="DL42" i="46"/>
  <c r="DU42" i="46"/>
  <c r="BG42" i="46"/>
  <c r="CK42" i="46"/>
  <c r="DR42" i="46"/>
  <c r="CN42" i="46"/>
  <c r="BD42" i="46"/>
  <c r="BA42" i="46"/>
  <c r="AO42" i="46"/>
  <c r="CE42" i="46"/>
  <c r="AL42" i="46"/>
  <c r="CB42" i="46"/>
  <c r="AI42" i="46"/>
  <c r="AF42" i="46"/>
  <c r="AX42" i="46"/>
  <c r="BY42" i="46"/>
  <c r="DI42" i="46"/>
  <c r="DF42" i="46"/>
  <c r="DC42" i="46"/>
  <c r="CB43" i="46"/>
  <c r="DO69" i="46"/>
  <c r="BS69" i="46"/>
  <c r="CZ69" i="46"/>
  <c r="DC44" i="46"/>
  <c r="AR44" i="46"/>
  <c r="BJ69" i="46"/>
  <c r="BY69" i="46"/>
  <c r="CH69" i="46"/>
  <c r="AU44" i="46"/>
  <c r="CZ44" i="46"/>
  <c r="DC69" i="46"/>
  <c r="DF69" i="46"/>
  <c r="BP44" i="46"/>
  <c r="BS44" i="46"/>
  <c r="AL44" i="46"/>
  <c r="DI69" i="46"/>
  <c r="DR69" i="46"/>
  <c r="DO44" i="46"/>
  <c r="BY44" i="46"/>
  <c r="Z44" i="46"/>
  <c r="Z69" i="46"/>
  <c r="EA20" i="46"/>
  <c r="DU20" i="46"/>
  <c r="DI20" i="46"/>
  <c r="CB20" i="46"/>
  <c r="BV20" i="46"/>
  <c r="CT20" i="46"/>
  <c r="AF20" i="46"/>
  <c r="CN20" i="46"/>
  <c r="CZ20" i="46"/>
  <c r="BG20" i="46"/>
  <c r="CH20" i="46"/>
  <c r="EG20" i="46"/>
  <c r="Z20" i="46"/>
  <c r="AL20" i="46"/>
  <c r="BA20" i="46"/>
  <c r="DL20" i="46"/>
  <c r="BM20" i="46"/>
  <c r="AO20" i="46"/>
  <c r="DC20" i="46"/>
  <c r="DX20" i="46"/>
  <c r="DR20" i="46"/>
  <c r="DF20" i="46"/>
  <c r="BY20" i="46"/>
  <c r="BS20" i="46"/>
  <c r="AX20" i="46"/>
  <c r="AR20" i="46"/>
  <c r="AU20" i="46"/>
  <c r="DO20" i="46"/>
  <c r="BP20" i="46"/>
  <c r="CE20" i="46"/>
  <c r="ED20" i="46"/>
  <c r="CK20" i="46"/>
  <c r="AI20" i="46"/>
  <c r="AC20" i="46"/>
  <c r="W20" i="46"/>
  <c r="CW20" i="46"/>
  <c r="CQ20" i="46"/>
  <c r="BD20" i="46"/>
  <c r="BJ20" i="46"/>
  <c r="CQ69" i="46"/>
  <c r="DX69" i="46"/>
  <c r="AO44" i="46"/>
  <c r="DF44" i="46"/>
  <c r="BV44" i="46"/>
  <c r="ED44" i="46"/>
  <c r="BD69" i="46"/>
  <c r="CW69" i="46"/>
  <c r="BM69" i="46"/>
  <c r="BD44" i="46"/>
  <c r="DR44" i="46"/>
  <c r="CB44" i="46"/>
  <c r="W69" i="46"/>
  <c r="DL69" i="46"/>
  <c r="CQ44" i="46"/>
  <c r="DX44" i="46"/>
  <c r="DI44" i="46"/>
  <c r="AF44" i="46"/>
  <c r="AI69" i="46"/>
  <c r="AR69" i="46"/>
  <c r="CW44" i="46"/>
  <c r="BM44" i="46"/>
  <c r="DU44" i="46"/>
  <c r="EG45" i="46"/>
  <c r="CK69" i="46"/>
  <c r="BA69" i="46"/>
  <c r="W44" i="46"/>
  <c r="DL44" i="46"/>
  <c r="EA44" i="46"/>
  <c r="AC44" i="46"/>
  <c r="BA44" i="46"/>
  <c r="EA68" i="46"/>
  <c r="DU68" i="46"/>
  <c r="DI68" i="46"/>
  <c r="CB68" i="46"/>
  <c r="BV68" i="46"/>
  <c r="EG68" i="46"/>
  <c r="AF68" i="46"/>
  <c r="CN68" i="46"/>
  <c r="BG68" i="46"/>
  <c r="BA68" i="46"/>
  <c r="CH68" i="46"/>
  <c r="CT68" i="46"/>
  <c r="Z68" i="46"/>
  <c r="AL68" i="46"/>
  <c r="CZ68" i="46"/>
  <c r="AR68" i="46"/>
  <c r="DL68" i="46"/>
  <c r="BM68" i="46"/>
  <c r="CW68" i="46"/>
  <c r="DX68" i="46"/>
  <c r="DR68" i="46"/>
  <c r="DF68" i="46"/>
  <c r="BY68" i="46"/>
  <c r="BS68" i="46"/>
  <c r="AU68" i="46"/>
  <c r="AO68" i="46"/>
  <c r="CE68" i="46"/>
  <c r="BP68" i="46"/>
  <c r="ED68" i="46"/>
  <c r="CK68" i="46"/>
  <c r="AI68" i="46"/>
  <c r="AC68" i="46"/>
  <c r="W68" i="46"/>
  <c r="CQ68" i="46"/>
  <c r="BD68" i="46"/>
  <c r="DC68" i="46"/>
  <c r="BJ68" i="46"/>
  <c r="AX68" i="46"/>
  <c r="DO68" i="46"/>
  <c r="DU69" i="46"/>
  <c r="AL69" i="46"/>
  <c r="AI44" i="46"/>
  <c r="BG44" i="46"/>
  <c r="BV69" i="46"/>
  <c r="AC69" i="46"/>
  <c r="CN69" i="46"/>
  <c r="CK44" i="46"/>
  <c r="CN44" i="46"/>
  <c r="CE69" i="46"/>
  <c r="CH21" i="46"/>
  <c r="CZ21" i="46"/>
  <c r="BG21" i="46"/>
  <c r="EG21" i="46"/>
  <c r="CT21" i="46"/>
  <c r="AF21" i="46"/>
  <c r="Z21" i="46"/>
  <c r="CN21" i="46"/>
  <c r="AL21" i="46"/>
  <c r="BA21" i="46"/>
  <c r="AR21" i="46"/>
  <c r="DL21" i="46"/>
  <c r="BM21" i="46"/>
  <c r="DX21" i="46"/>
  <c r="DR21" i="46"/>
  <c r="DF21" i="46"/>
  <c r="BY21" i="46"/>
  <c r="BS21" i="46"/>
  <c r="CB21" i="46"/>
  <c r="AU21" i="46"/>
  <c r="W21" i="46"/>
  <c r="CE21" i="46"/>
  <c r="AX21" i="46"/>
  <c r="DU21" i="46"/>
  <c r="BV21" i="46"/>
  <c r="ED21" i="46"/>
  <c r="CK21" i="46"/>
  <c r="AI21" i="46"/>
  <c r="AC21" i="46"/>
  <c r="BP21" i="46"/>
  <c r="DI21" i="46"/>
  <c r="CW21" i="46"/>
  <c r="CQ21" i="46"/>
  <c r="BD21" i="46"/>
  <c r="AO21" i="46"/>
  <c r="DC21" i="46"/>
  <c r="BJ21" i="46"/>
  <c r="EA21" i="46"/>
  <c r="DO21" i="46"/>
  <c r="EA69" i="46"/>
  <c r="AF69" i="46"/>
  <c r="CT44" i="46"/>
  <c r="AX69" i="46"/>
  <c r="AO69" i="46"/>
  <c r="CT69" i="46"/>
  <c r="AX44" i="46"/>
  <c r="EG44" i="46"/>
  <c r="CW45" i="46"/>
  <c r="BS45" i="46"/>
  <c r="CN45" i="46"/>
  <c r="CB69" i="46"/>
  <c r="CE44" i="46"/>
  <c r="BP69" i="46"/>
  <c r="AU69" i="46"/>
  <c r="BJ44" i="46"/>
  <c r="AC45" i="46"/>
  <c r="BY45" i="46"/>
  <c r="BV48" i="46"/>
  <c r="W48" i="46"/>
  <c r="DI48" i="46"/>
  <c r="BG48" i="46"/>
  <c r="Z48" i="46"/>
  <c r="EG48" i="46"/>
  <c r="CW48" i="46"/>
  <c r="CZ48" i="46"/>
  <c r="CQ48" i="46"/>
  <c r="BY48" i="46"/>
  <c r="AR48" i="46"/>
  <c r="DL48" i="46"/>
  <c r="CT48" i="46"/>
  <c r="AF48" i="46"/>
  <c r="ED48" i="46"/>
  <c r="BJ48" i="46"/>
  <c r="DR48" i="46"/>
  <c r="CH48" i="46"/>
  <c r="DX48" i="46"/>
  <c r="DC48" i="46"/>
  <c r="AL48" i="46"/>
  <c r="DO48" i="46"/>
  <c r="CB48" i="46"/>
  <c r="AC48" i="46"/>
  <c r="DU48" i="46"/>
  <c r="BP48" i="46"/>
  <c r="CK48" i="46"/>
  <c r="BS48" i="46"/>
  <c r="AI48" i="46"/>
  <c r="BM48" i="46"/>
  <c r="EA48" i="46"/>
  <c r="BA48" i="46"/>
  <c r="AU48" i="46"/>
  <c r="AO48" i="46"/>
  <c r="DF48" i="46"/>
  <c r="CN48" i="46"/>
  <c r="BD48" i="46"/>
  <c r="AX48" i="46"/>
  <c r="CE48" i="46"/>
  <c r="BM72" i="46"/>
  <c r="CH72" i="46"/>
  <c r="BD72" i="46"/>
  <c r="CZ72" i="46"/>
  <c r="AO72" i="46"/>
  <c r="EG72" i="46"/>
  <c r="AU72" i="46"/>
  <c r="BJ72" i="46"/>
  <c r="DF25" i="46"/>
  <c r="CN25" i="46"/>
  <c r="BD25" i="46"/>
  <c r="AX25" i="46"/>
  <c r="BY25" i="46"/>
  <c r="AR25" i="46"/>
  <c r="DL25" i="46"/>
  <c r="CT25" i="46"/>
  <c r="BG25" i="46"/>
  <c r="BV25" i="46"/>
  <c r="W25" i="46"/>
  <c r="CQ25" i="46"/>
  <c r="ED25" i="46"/>
  <c r="DI25" i="46"/>
  <c r="BJ25" i="46"/>
  <c r="CE25" i="46"/>
  <c r="EG25" i="46"/>
  <c r="DO25" i="46"/>
  <c r="CW25" i="46"/>
  <c r="CZ25" i="46"/>
  <c r="BM25" i="46"/>
  <c r="AI25" i="46"/>
  <c r="DU25" i="46"/>
  <c r="CH25" i="46"/>
  <c r="DX25" i="46"/>
  <c r="DC25" i="46"/>
  <c r="BP25" i="46"/>
  <c r="AL25" i="46"/>
  <c r="Z25" i="46"/>
  <c r="AC25" i="46"/>
  <c r="AF25" i="46"/>
  <c r="CK25" i="46"/>
  <c r="CB25" i="46"/>
  <c r="BS25" i="46"/>
  <c r="EA25" i="46"/>
  <c r="BA25" i="46"/>
  <c r="AU25" i="46"/>
  <c r="AO25" i="46"/>
  <c r="DR25" i="46"/>
  <c r="DR72" i="46"/>
  <c r="EA24" i="46"/>
  <c r="BA24" i="46"/>
  <c r="AU24" i="46"/>
  <c r="AO24" i="46"/>
  <c r="BV24" i="46"/>
  <c r="W24" i="46"/>
  <c r="BY24" i="46"/>
  <c r="BJ24" i="46"/>
  <c r="DF24" i="46"/>
  <c r="CN24" i="46"/>
  <c r="BD24" i="46"/>
  <c r="AX24" i="46"/>
  <c r="CQ24" i="46"/>
  <c r="AR24" i="46"/>
  <c r="Z24" i="46"/>
  <c r="EG24" i="46"/>
  <c r="DO24" i="46"/>
  <c r="CW24" i="46"/>
  <c r="DR24" i="46"/>
  <c r="CE24" i="46"/>
  <c r="CH24" i="46"/>
  <c r="AF24" i="46"/>
  <c r="CZ24" i="46"/>
  <c r="BM24" i="46"/>
  <c r="AI24" i="46"/>
  <c r="DU24" i="46"/>
  <c r="BP24" i="46"/>
  <c r="DL24" i="46"/>
  <c r="CT24" i="46"/>
  <c r="BG24" i="46"/>
  <c r="DX24" i="46"/>
  <c r="DC24" i="46"/>
  <c r="AL24" i="46"/>
  <c r="DI24" i="46"/>
  <c r="CB24" i="46"/>
  <c r="CK24" i="46"/>
  <c r="BS24" i="46"/>
  <c r="ED24" i="46"/>
  <c r="AC24" i="46"/>
  <c r="BA72" i="46"/>
  <c r="CW72" i="46"/>
  <c r="CQ49" i="46"/>
  <c r="BY49" i="46"/>
  <c r="AR49" i="46"/>
  <c r="DO49" i="46"/>
  <c r="CB49" i="46"/>
  <c r="AI49" i="46"/>
  <c r="ED49" i="46"/>
  <c r="DL49" i="46"/>
  <c r="DI49" i="46"/>
  <c r="CT49" i="46"/>
  <c r="BG49" i="46"/>
  <c r="Z49" i="46"/>
  <c r="DR49" i="46"/>
  <c r="CZ49" i="46"/>
  <c r="DU49" i="46"/>
  <c r="CK49" i="46"/>
  <c r="EG49" i="46"/>
  <c r="CW49" i="46"/>
  <c r="AF49" i="46"/>
  <c r="DX49" i="46"/>
  <c r="DC49" i="46"/>
  <c r="BP49" i="46"/>
  <c r="AL49" i="46"/>
  <c r="CH49" i="46"/>
  <c r="BS49" i="46"/>
  <c r="BA49" i="46"/>
  <c r="AU49" i="46"/>
  <c r="AO49" i="46"/>
  <c r="CE49" i="46"/>
  <c r="EA49" i="46"/>
  <c r="BJ49" i="46"/>
  <c r="DF49" i="46"/>
  <c r="CN49" i="46"/>
  <c r="BD49" i="46"/>
  <c r="AX49" i="46"/>
  <c r="BV49" i="46"/>
  <c r="W49" i="46"/>
  <c r="AC49" i="46"/>
  <c r="BM49" i="46"/>
  <c r="EA72" i="46"/>
  <c r="AC72" i="46"/>
  <c r="DF72" i="46"/>
  <c r="CH73" i="46"/>
  <c r="EG73" i="46"/>
  <c r="DO73" i="46"/>
  <c r="CB73" i="46"/>
  <c r="AC73" i="46"/>
  <c r="CW73" i="46"/>
  <c r="BJ73" i="46"/>
  <c r="DR73" i="46"/>
  <c r="AI73" i="46"/>
  <c r="CZ73" i="46"/>
  <c r="DU73" i="46"/>
  <c r="CK73" i="46"/>
  <c r="EA73" i="46"/>
  <c r="BA73" i="46"/>
  <c r="AO73" i="46"/>
  <c r="BP73" i="46"/>
  <c r="BS73" i="46"/>
  <c r="AU73" i="46"/>
  <c r="DF73" i="46"/>
  <c r="CN73" i="46"/>
  <c r="BD73" i="46"/>
  <c r="AX73" i="46"/>
  <c r="W73" i="46"/>
  <c r="AF73" i="46"/>
  <c r="CE73" i="46"/>
  <c r="DC73" i="46"/>
  <c r="BV73" i="46"/>
  <c r="CQ73" i="46"/>
  <c r="BY73" i="46"/>
  <c r="AR73" i="46"/>
  <c r="ED73" i="46"/>
  <c r="DL73" i="46"/>
  <c r="DI73" i="46"/>
  <c r="CT73" i="46"/>
  <c r="BG73" i="46"/>
  <c r="Z73" i="46"/>
  <c r="BM73" i="46"/>
  <c r="DX73" i="46"/>
  <c r="AL73" i="46"/>
  <c r="CK72" i="46"/>
  <c r="CB72" i="46"/>
  <c r="AF72" i="46"/>
  <c r="BP72" i="46"/>
  <c r="CN47" i="46"/>
  <c r="AU47" i="46"/>
  <c r="BM47" i="46"/>
  <c r="DI47" i="46"/>
  <c r="BA47" i="46"/>
  <c r="DU47" i="46"/>
  <c r="ED22" i="46"/>
  <c r="DO22" i="46"/>
  <c r="BM22" i="46"/>
  <c r="AF22" i="46"/>
  <c r="BG22" i="46"/>
  <c r="AO22" i="46"/>
  <c r="CN22" i="46"/>
  <c r="BY22" i="46"/>
  <c r="EA22" i="46"/>
  <c r="CZ22" i="46"/>
  <c r="BJ22" i="46"/>
  <c r="AR22" i="46"/>
  <c r="DL22" i="46"/>
  <c r="CK22" i="46"/>
  <c r="AC22" i="46"/>
  <c r="DX22" i="46"/>
  <c r="CW22" i="46"/>
  <c r="AX22" i="46"/>
  <c r="BV22" i="46"/>
  <c r="CH22" i="46"/>
  <c r="CT22" i="46"/>
  <c r="Z22" i="46"/>
  <c r="DF22" i="46"/>
  <c r="BA22" i="46"/>
  <c r="BS22" i="46"/>
  <c r="BD22" i="46"/>
  <c r="AL22" i="46"/>
  <c r="CE22" i="46"/>
  <c r="AI22" i="46"/>
  <c r="W22" i="46"/>
  <c r="DR22" i="46"/>
  <c r="BP22" i="46"/>
  <c r="CB22" i="46"/>
  <c r="DC22" i="46"/>
  <c r="DU22" i="46"/>
  <c r="DI22" i="46"/>
  <c r="AU22" i="46"/>
  <c r="CQ22" i="46"/>
  <c r="EG22" i="46"/>
  <c r="CB47" i="46"/>
  <c r="AL47" i="46"/>
  <c r="CK47" i="46"/>
  <c r="BD47" i="46"/>
  <c r="CN23" i="46"/>
  <c r="BY23" i="46"/>
  <c r="BV23" i="46"/>
  <c r="CH23" i="46"/>
  <c r="EA23" i="46"/>
  <c r="CZ23" i="46"/>
  <c r="BJ23" i="46"/>
  <c r="AR23" i="46"/>
  <c r="DL23" i="46"/>
  <c r="CK23" i="46"/>
  <c r="AC23" i="46"/>
  <c r="DX23" i="46"/>
  <c r="CW23" i="46"/>
  <c r="AX23" i="46"/>
  <c r="BG23" i="46"/>
  <c r="AO23" i="46"/>
  <c r="CT23" i="46"/>
  <c r="Z23" i="46"/>
  <c r="DO23" i="46"/>
  <c r="AF23" i="46"/>
  <c r="BS23" i="46"/>
  <c r="BD23" i="46"/>
  <c r="AL23" i="46"/>
  <c r="DF23" i="46"/>
  <c r="CB23" i="46"/>
  <c r="DC23" i="46"/>
  <c r="BM23" i="46"/>
  <c r="DU23" i="46"/>
  <c r="DI23" i="46"/>
  <c r="AU23" i="46"/>
  <c r="AI23" i="46"/>
  <c r="W23" i="46"/>
  <c r="DR23" i="46"/>
  <c r="ED23" i="46"/>
  <c r="CE23" i="46"/>
  <c r="EG23" i="46"/>
  <c r="CQ23" i="46"/>
  <c r="BP23" i="46"/>
  <c r="BA23" i="46"/>
  <c r="EA47" i="46"/>
  <c r="BS47" i="46"/>
  <c r="CT70" i="46"/>
  <c r="Z70" i="46"/>
  <c r="EG70" i="46"/>
  <c r="CB70" i="46"/>
  <c r="BS70" i="46"/>
  <c r="BD70" i="46"/>
  <c r="AL70" i="46"/>
  <c r="DU70" i="46"/>
  <c r="DI70" i="46"/>
  <c r="AU70" i="46"/>
  <c r="CE70" i="46"/>
  <c r="AI70" i="46"/>
  <c r="W70" i="46"/>
  <c r="DR70" i="46"/>
  <c r="DF70" i="46"/>
  <c r="CQ70" i="46"/>
  <c r="BP70" i="46"/>
  <c r="BA70" i="46"/>
  <c r="DC70" i="46"/>
  <c r="ED70" i="46"/>
  <c r="DO70" i="46"/>
  <c r="BM70" i="46"/>
  <c r="AF70" i="46"/>
  <c r="AR70" i="46"/>
  <c r="AC70" i="46"/>
  <c r="AX70" i="46"/>
  <c r="BV70" i="46"/>
  <c r="CN70" i="46"/>
  <c r="BY70" i="46"/>
  <c r="DL70" i="46"/>
  <c r="DX70" i="46"/>
  <c r="CW70" i="46"/>
  <c r="BG70" i="46"/>
  <c r="CH70" i="46"/>
  <c r="EA70" i="46"/>
  <c r="CZ70" i="46"/>
  <c r="BJ70" i="46"/>
  <c r="AO70" i="46"/>
  <c r="CK70" i="46"/>
  <c r="BY47" i="46"/>
  <c r="Z47" i="46"/>
  <c r="BS71" i="46"/>
  <c r="BD71" i="46"/>
  <c r="AL71" i="46"/>
  <c r="DU71" i="46"/>
  <c r="DI71" i="46"/>
  <c r="AU71" i="46"/>
  <c r="CE71" i="46"/>
  <c r="EG71" i="46"/>
  <c r="AI71" i="46"/>
  <c r="W71" i="46"/>
  <c r="DR71" i="46"/>
  <c r="DF71" i="46"/>
  <c r="CQ71" i="46"/>
  <c r="BP71" i="46"/>
  <c r="CB71" i="46"/>
  <c r="BA71" i="46"/>
  <c r="DC71" i="46"/>
  <c r="ED71" i="46"/>
  <c r="DO71" i="46"/>
  <c r="BM71" i="46"/>
  <c r="AF71" i="46"/>
  <c r="CN71" i="46"/>
  <c r="BY71" i="46"/>
  <c r="CW71" i="46"/>
  <c r="EA71" i="46"/>
  <c r="CZ71" i="46"/>
  <c r="DL71" i="46"/>
  <c r="BV71" i="46"/>
  <c r="BG71" i="46"/>
  <c r="AO71" i="46"/>
  <c r="CH71" i="46"/>
  <c r="CT71" i="46"/>
  <c r="Z71" i="46"/>
  <c r="BJ71" i="46"/>
  <c r="AR71" i="46"/>
  <c r="CK71" i="46"/>
  <c r="AC71" i="46"/>
  <c r="DX71" i="46"/>
  <c r="AX71" i="46"/>
  <c r="DL46" i="46"/>
  <c r="CK46" i="46"/>
  <c r="AC46" i="46"/>
  <c r="DX46" i="46"/>
  <c r="CW46" i="46"/>
  <c r="AX46" i="46"/>
  <c r="BV46" i="46"/>
  <c r="BG46" i="46"/>
  <c r="AO46" i="46"/>
  <c r="CH46" i="46"/>
  <c r="CT46" i="46"/>
  <c r="Z46" i="46"/>
  <c r="BS46" i="46"/>
  <c r="BD46" i="46"/>
  <c r="AL46" i="46"/>
  <c r="DU46" i="46"/>
  <c r="DI46" i="46"/>
  <c r="AU46" i="46"/>
  <c r="CE46" i="46"/>
  <c r="BJ46" i="46"/>
  <c r="EG46" i="46"/>
  <c r="AI46" i="46"/>
  <c r="W46" i="46"/>
  <c r="ED46" i="46"/>
  <c r="CN46" i="46"/>
  <c r="DR46" i="46"/>
  <c r="DF46" i="46"/>
  <c r="CQ46" i="46"/>
  <c r="BP46" i="46"/>
  <c r="DC46" i="46"/>
  <c r="BM46" i="46"/>
  <c r="BY46" i="46"/>
  <c r="EA46" i="46"/>
  <c r="CB46" i="46"/>
  <c r="BA46" i="46"/>
  <c r="DO46" i="46"/>
  <c r="AF46" i="46"/>
  <c r="CZ46" i="46"/>
  <c r="AR46" i="46"/>
  <c r="DC47" i="46"/>
  <c r="W47" i="46"/>
  <c r="AX47" i="46"/>
  <c r="AC47" i="46"/>
  <c r="AI47" i="46"/>
  <c r="CW47" i="46"/>
  <c r="DL47" i="46"/>
  <c r="EG47" i="46"/>
  <c r="AL27" i="46"/>
  <c r="CQ27" i="46"/>
  <c r="DU27" i="46"/>
  <c r="BG27" i="46"/>
  <c r="AX27" i="46"/>
  <c r="CT27" i="46"/>
  <c r="BA27" i="46"/>
  <c r="AO27" i="46"/>
  <c r="Z27" i="46"/>
  <c r="DR27" i="46"/>
  <c r="CN27" i="46"/>
  <c r="CH27" i="46"/>
  <c r="DL27" i="46"/>
  <c r="AU27" i="46"/>
  <c r="CB27" i="46"/>
  <c r="BM27" i="46"/>
  <c r="W27" i="46"/>
  <c r="AF27" i="46"/>
  <c r="DF27" i="46"/>
  <c r="DO27" i="46"/>
  <c r="CZ27" i="46"/>
  <c r="CK27" i="46"/>
  <c r="BV27" i="46"/>
  <c r="ED27" i="46"/>
  <c r="DC27" i="46"/>
  <c r="BD27" i="46"/>
  <c r="EG27" i="46"/>
  <c r="CW27" i="46"/>
  <c r="AR27" i="46"/>
  <c r="DX27" i="46"/>
  <c r="CE27" i="46"/>
  <c r="BP27" i="46"/>
  <c r="AI27" i="46"/>
  <c r="BY27" i="46"/>
  <c r="BJ27" i="46"/>
  <c r="DI27" i="46"/>
  <c r="BS27" i="46"/>
  <c r="EA27" i="46"/>
  <c r="AC27" i="46"/>
  <c r="DR75" i="46"/>
  <c r="DC75" i="46"/>
  <c r="CN75" i="46"/>
  <c r="BD75" i="46"/>
  <c r="CW75" i="46"/>
  <c r="BS75" i="46"/>
  <c r="W75" i="46"/>
  <c r="CQ75" i="46"/>
  <c r="DU75" i="46"/>
  <c r="CT75" i="46"/>
  <c r="AI75" i="46"/>
  <c r="BY75" i="46"/>
  <c r="EG75" i="46"/>
  <c r="AC75" i="46"/>
  <c r="CH75" i="46"/>
  <c r="AR75" i="46"/>
  <c r="EA75" i="46"/>
  <c r="DL75" i="46"/>
  <c r="AU75" i="46"/>
  <c r="AL75" i="46"/>
  <c r="CB75" i="46"/>
  <c r="BM75" i="46"/>
  <c r="BG75" i="46"/>
  <c r="AF75" i="46"/>
  <c r="BA75" i="46"/>
  <c r="DF75" i="46"/>
  <c r="AX75" i="46"/>
  <c r="ED75" i="46"/>
  <c r="Z75" i="46"/>
  <c r="DO75" i="46"/>
  <c r="CZ75" i="46"/>
  <c r="CK75" i="46"/>
  <c r="BV75" i="46"/>
  <c r="AO75" i="46"/>
  <c r="DX75" i="46"/>
  <c r="CE75" i="46"/>
  <c r="BP75" i="46"/>
  <c r="DI75" i="46"/>
  <c r="BJ75" i="46"/>
  <c r="DI74" i="46"/>
  <c r="EG74" i="46"/>
  <c r="AC74" i="46"/>
  <c r="CW74" i="46"/>
  <c r="AR74" i="46"/>
  <c r="DL74" i="46"/>
  <c r="AU74" i="46"/>
  <c r="W74" i="46"/>
  <c r="BA74" i="46"/>
  <c r="Z74" i="46"/>
  <c r="DR74" i="46"/>
  <c r="DC74" i="46"/>
  <c r="CN74" i="46"/>
  <c r="BD74" i="46"/>
  <c r="CH74" i="46"/>
  <c r="BS74" i="46"/>
  <c r="EA74" i="46"/>
  <c r="AL74" i="46"/>
  <c r="CB74" i="46"/>
  <c r="BM74" i="46"/>
  <c r="CQ74" i="46"/>
  <c r="CK74" i="46"/>
  <c r="BV74" i="46"/>
  <c r="CT74" i="46"/>
  <c r="AI74" i="46"/>
  <c r="ED74" i="46"/>
  <c r="DU74" i="46"/>
  <c r="BG74" i="46"/>
  <c r="AF74" i="46"/>
  <c r="AX74" i="46"/>
  <c r="CE74" i="46"/>
  <c r="DF74" i="46"/>
  <c r="DO74" i="46"/>
  <c r="CZ74" i="46"/>
  <c r="AO74" i="46"/>
  <c r="DX74" i="46"/>
  <c r="BP74" i="46"/>
  <c r="BY74" i="46"/>
  <c r="BJ74" i="46"/>
  <c r="EG50" i="46"/>
  <c r="BY50" i="46"/>
  <c r="AX50" i="46"/>
  <c r="AI50" i="46"/>
  <c r="DU50" i="46"/>
  <c r="BP50" i="46"/>
  <c r="BM50" i="46"/>
  <c r="CE50" i="46"/>
  <c r="BG50" i="46"/>
  <c r="AO50" i="46"/>
  <c r="DO50" i="46"/>
  <c r="DI51" i="46"/>
  <c r="CN51" i="46"/>
  <c r="BD51" i="46"/>
  <c r="AC51" i="46"/>
  <c r="CB51" i="46"/>
  <c r="CQ51" i="46"/>
  <c r="DU51" i="46"/>
  <c r="CK51" i="46"/>
  <c r="ED51" i="46"/>
  <c r="CT51" i="46"/>
  <c r="BA51" i="46"/>
  <c r="AO51" i="46"/>
  <c r="Z51" i="46"/>
  <c r="DX51" i="46"/>
  <c r="CE51" i="46"/>
  <c r="BP51" i="46"/>
  <c r="AI51" i="46"/>
  <c r="BY51" i="46"/>
  <c r="BJ51" i="46"/>
  <c r="DR51" i="46"/>
  <c r="DC51" i="46"/>
  <c r="EG51" i="46"/>
  <c r="BG51" i="46"/>
  <c r="AF51" i="46"/>
  <c r="AX51" i="46"/>
  <c r="DO51" i="46"/>
  <c r="CW51" i="46"/>
  <c r="CH51" i="46"/>
  <c r="BS51" i="46"/>
  <c r="AR51" i="46"/>
  <c r="AU51" i="46"/>
  <c r="BM51" i="46"/>
  <c r="DF51" i="46"/>
  <c r="CZ51" i="46"/>
  <c r="EA51" i="46"/>
  <c r="DL51" i="46"/>
  <c r="AL51" i="46"/>
  <c r="W51" i="46"/>
  <c r="BV51" i="46"/>
  <c r="EA26" i="46"/>
  <c r="DL26" i="46"/>
  <c r="AU26" i="46"/>
  <c r="CB26" i="46"/>
  <c r="BM26" i="46"/>
  <c r="CQ26" i="46"/>
  <c r="DU26" i="46"/>
  <c r="BG26" i="46"/>
  <c r="AF26" i="46"/>
  <c r="AX26" i="46"/>
  <c r="BV26" i="46"/>
  <c r="BY26" i="46"/>
  <c r="DR26" i="46"/>
  <c r="AC26" i="46"/>
  <c r="AL26" i="46"/>
  <c r="W26" i="46"/>
  <c r="DF26" i="46"/>
  <c r="DO26" i="46"/>
  <c r="CZ26" i="46"/>
  <c r="CK26" i="46"/>
  <c r="AI26" i="46"/>
  <c r="DI26" i="46"/>
  <c r="EG26" i="46"/>
  <c r="ED26" i="46"/>
  <c r="CT26" i="46"/>
  <c r="BA26" i="46"/>
  <c r="AO26" i="46"/>
  <c r="Z26" i="46"/>
  <c r="BJ26" i="46"/>
  <c r="BS26" i="46"/>
  <c r="AR26" i="46"/>
  <c r="DX26" i="46"/>
  <c r="CE26" i="46"/>
  <c r="BP26" i="46"/>
  <c r="DC26" i="46"/>
  <c r="CN26" i="46"/>
  <c r="BD26" i="46"/>
  <c r="CW26" i="46"/>
  <c r="CH26" i="46"/>
  <c r="CQ50" i="46"/>
  <c r="Z53" i="46"/>
  <c r="DX29" i="46"/>
  <c r="CE29" i="46"/>
  <c r="BA29" i="46"/>
  <c r="DU53" i="46"/>
  <c r="CZ53" i="46"/>
  <c r="DC77" i="46"/>
  <c r="CW77" i="46"/>
  <c r="CH29" i="46"/>
  <c r="EA53" i="46"/>
  <c r="CN53" i="46"/>
  <c r="DI53" i="46"/>
  <c r="AO53" i="46"/>
  <c r="AR29" i="46"/>
  <c r="DL29" i="46"/>
  <c r="AX53" i="46"/>
  <c r="DF53" i="46"/>
  <c r="AC53" i="46"/>
  <c r="AL77" i="46"/>
  <c r="CE77" i="46"/>
  <c r="AO29" i="46"/>
  <c r="DO29" i="46"/>
  <c r="BP53" i="46"/>
  <c r="DR53" i="46"/>
  <c r="CK53" i="46"/>
  <c r="CN77" i="46"/>
  <c r="CH77" i="46"/>
  <c r="DC29" i="46"/>
  <c r="W53" i="46"/>
  <c r="AL29" i="46"/>
  <c r="AU29" i="46"/>
  <c r="BS53" i="46"/>
  <c r="DX53" i="46"/>
  <c r="CT53" i="46"/>
  <c r="CQ77" i="46"/>
  <c r="AU77" i="46"/>
  <c r="BA53" i="46"/>
  <c r="CQ53" i="46"/>
  <c r="CN29" i="46"/>
  <c r="BV29" i="46"/>
  <c r="BY53" i="46"/>
  <c r="DL53" i="46"/>
  <c r="AU53" i="46"/>
  <c r="CZ77" i="46"/>
  <c r="BV77" i="46"/>
  <c r="BJ29" i="46"/>
  <c r="AC29" i="46"/>
  <c r="BY29" i="46"/>
  <c r="ED53" i="46"/>
  <c r="AF53" i="46"/>
  <c r="DI77" i="46"/>
  <c r="Z77" i="46"/>
  <c r="BY77" i="46"/>
  <c r="EA76" i="46"/>
  <c r="DU76" i="46"/>
  <c r="DI76" i="46"/>
  <c r="EG76" i="46"/>
  <c r="ED76" i="46"/>
  <c r="BM76" i="46"/>
  <c r="BY76" i="46"/>
  <c r="BS76" i="46"/>
  <c r="BP76" i="46"/>
  <c r="AX76" i="46"/>
  <c r="AO76" i="46"/>
  <c r="CB76" i="46"/>
  <c r="BV76" i="46"/>
  <c r="AU76" i="46"/>
  <c r="BG76" i="46"/>
  <c r="BJ76" i="46"/>
  <c r="CH76" i="46"/>
  <c r="CE76" i="46"/>
  <c r="AL76" i="46"/>
  <c r="DC76" i="46"/>
  <c r="BA76" i="46"/>
  <c r="CW76" i="46"/>
  <c r="CT76" i="46"/>
  <c r="CK76" i="46"/>
  <c r="AI76" i="46"/>
  <c r="AF76" i="46"/>
  <c r="AC76" i="46"/>
  <c r="Z76" i="46"/>
  <c r="W76" i="46"/>
  <c r="CZ76" i="46"/>
  <c r="CQ76" i="46"/>
  <c r="CN76" i="46"/>
  <c r="DO76" i="46"/>
  <c r="DL76" i="46"/>
  <c r="AR76" i="46"/>
  <c r="DX76" i="46"/>
  <c r="DR76" i="46"/>
  <c r="DF76" i="46"/>
  <c r="BD76" i="46"/>
  <c r="DU29" i="46"/>
  <c r="AI29" i="46"/>
  <c r="BG29" i="46"/>
  <c r="DO53" i="46"/>
  <c r="CW53" i="46"/>
  <c r="EA77" i="46"/>
  <c r="AF77" i="46"/>
  <c r="ED77" i="46"/>
  <c r="BY52" i="46"/>
  <c r="BS52" i="46"/>
  <c r="BP52" i="46"/>
  <c r="AX52" i="46"/>
  <c r="CH52" i="46"/>
  <c r="CE52" i="46"/>
  <c r="CT52" i="46"/>
  <c r="CB52" i="46"/>
  <c r="BV52" i="46"/>
  <c r="AU52" i="46"/>
  <c r="CW52" i="46"/>
  <c r="CK52" i="46"/>
  <c r="AF52" i="46"/>
  <c r="AC52" i="46"/>
  <c r="Z52" i="46"/>
  <c r="CQ52" i="46"/>
  <c r="AL52" i="46"/>
  <c r="DC52" i="46"/>
  <c r="AR52" i="46"/>
  <c r="CZ52" i="46"/>
  <c r="DO52" i="46"/>
  <c r="DL52" i="46"/>
  <c r="DX52" i="46"/>
  <c r="DR52" i="46"/>
  <c r="DF52" i="46"/>
  <c r="EA52" i="46"/>
  <c r="DU52" i="46"/>
  <c r="DI52" i="46"/>
  <c r="BA52" i="46"/>
  <c r="AO52" i="46"/>
  <c r="EG52" i="46"/>
  <c r="ED52" i="46"/>
  <c r="BD52" i="46"/>
  <c r="BG52" i="46"/>
  <c r="BJ52" i="46"/>
  <c r="BM52" i="46"/>
  <c r="AI52" i="46"/>
  <c r="W52" i="46"/>
  <c r="CN52" i="46"/>
  <c r="EG53" i="46"/>
  <c r="EA28" i="46"/>
  <c r="DU28" i="46"/>
  <c r="DI28" i="46"/>
  <c r="EG28" i="46"/>
  <c r="ED28" i="46"/>
  <c r="BD28" i="46"/>
  <c r="BA28" i="46"/>
  <c r="BJ28" i="46"/>
  <c r="BM28" i="46"/>
  <c r="BY28" i="46"/>
  <c r="BS28" i="46"/>
  <c r="BP28" i="46"/>
  <c r="AX28" i="46"/>
  <c r="AL28" i="46"/>
  <c r="CB28" i="46"/>
  <c r="BV28" i="46"/>
  <c r="AU28" i="46"/>
  <c r="DC28" i="46"/>
  <c r="AO28" i="46"/>
  <c r="CH28" i="46"/>
  <c r="CE28" i="46"/>
  <c r="BG28" i="46"/>
  <c r="CW28" i="46"/>
  <c r="CT28" i="46"/>
  <c r="CK28" i="46"/>
  <c r="AI28" i="46"/>
  <c r="AF28" i="46"/>
  <c r="AC28" i="46"/>
  <c r="Z28" i="46"/>
  <c r="W28" i="46"/>
  <c r="CZ28" i="46"/>
  <c r="CQ28" i="46"/>
  <c r="CN28" i="46"/>
  <c r="DO28" i="46"/>
  <c r="DL28" i="46"/>
  <c r="AR28" i="46"/>
  <c r="DX28" i="46"/>
  <c r="DR28" i="46"/>
  <c r="DF28" i="46"/>
  <c r="EA29" i="46"/>
  <c r="CK29" i="46"/>
  <c r="BD29" i="46"/>
  <c r="BJ53" i="46"/>
  <c r="CE53" i="46"/>
  <c r="DF77" i="46"/>
  <c r="AI77" i="46"/>
  <c r="EG77" i="46"/>
  <c r="BD53" i="46"/>
  <c r="AI53" i="46"/>
  <c r="DF29" i="46"/>
  <c r="CT29" i="46"/>
  <c r="BG53" i="46"/>
  <c r="DR77" i="46"/>
  <c r="CK77" i="46"/>
  <c r="T6" i="46"/>
  <c r="T77" i="46"/>
  <c r="T10" i="46"/>
  <c r="E10" i="48"/>
  <c r="F9" i="48" a="1"/>
  <c r="F9" i="48" s="1"/>
  <c r="AJ93" i="3"/>
  <c r="AJ85" i="3"/>
  <c r="AR101" i="3"/>
  <c r="DT51" i="3"/>
  <c r="AM101" i="3"/>
  <c r="K128" i="46"/>
  <c r="B1" i="47"/>
  <c r="AM69" i="3"/>
  <c r="AR37" i="3"/>
  <c r="AX18" i="45"/>
  <c r="AJ45" i="3"/>
  <c r="BJ5" i="3"/>
  <c r="BJ57" i="3" s="1"/>
  <c r="AJ77" i="3"/>
  <c r="AJ37" i="3"/>
  <c r="AR53" i="3"/>
  <c r="AF51" i="3"/>
  <c r="AR45" i="3"/>
  <c r="AJ21" i="3"/>
  <c r="AR93" i="3"/>
  <c r="AJ69" i="3"/>
  <c r="AF146" i="3"/>
  <c r="AJ61" i="3"/>
  <c r="Z11" i="3"/>
  <c r="Z27" i="3" s="1"/>
  <c r="Z43" i="3" s="1"/>
  <c r="Z91" i="3"/>
  <c r="AJ101" i="3"/>
  <c r="AQ69" i="3"/>
  <c r="Z67" i="3"/>
  <c r="H250" i="46"/>
  <c r="AJ13" i="3"/>
  <c r="Z19" i="3"/>
  <c r="Z35" i="3" s="1"/>
  <c r="AJ53" i="3"/>
  <c r="AQ93" i="3"/>
  <c r="AR85" i="3"/>
  <c r="AO45" i="3"/>
  <c r="AF75" i="3"/>
  <c r="AD11" i="3"/>
  <c r="K161" i="46"/>
  <c r="K158" i="46"/>
  <c r="K248" i="46"/>
  <c r="K147" i="46"/>
  <c r="K151" i="46"/>
  <c r="K150" i="46"/>
  <c r="K139" i="46"/>
  <c r="K159" i="46"/>
  <c r="K144" i="46"/>
  <c r="K132" i="46"/>
  <c r="AD19" i="3"/>
  <c r="AD91" i="3"/>
  <c r="K157" i="46"/>
  <c r="K143" i="46"/>
  <c r="K137" i="46"/>
  <c r="AD142" i="3"/>
  <c r="K140" i="46"/>
  <c r="AD27" i="3"/>
  <c r="K149" i="46"/>
  <c r="K156" i="46"/>
  <c r="AA158" i="3"/>
  <c r="M256" i="46" s="1"/>
  <c r="AD59" i="3"/>
  <c r="K138" i="46"/>
  <c r="AD83" i="3"/>
  <c r="AR21" i="3"/>
  <c r="AD100" i="3"/>
  <c r="AR69" i="3"/>
  <c r="AD35" i="3"/>
  <c r="AS61" i="3"/>
  <c r="AR29" i="3"/>
  <c r="AA142" i="3"/>
  <c r="H229" i="46"/>
  <c r="K153" i="46"/>
  <c r="AQ85" i="3"/>
  <c r="BH5" i="3"/>
  <c r="BH57" i="3" s="1"/>
  <c r="H222" i="46"/>
  <c r="H226" i="46"/>
  <c r="H196" i="46"/>
  <c r="Y83" i="3"/>
  <c r="C50" i="46"/>
  <c r="J5" i="46"/>
  <c r="AD67" i="3"/>
  <c r="H177" i="46"/>
  <c r="DT59" i="3"/>
  <c r="H227" i="46"/>
  <c r="AD43" i="3"/>
  <c r="AQ61" i="3"/>
  <c r="Z83" i="3"/>
  <c r="AD75" i="3"/>
  <c r="AN29" i="3"/>
  <c r="AQ29" i="3"/>
  <c r="AP45" i="3"/>
  <c r="AR77" i="3"/>
  <c r="AO77" i="3"/>
  <c r="AA59" i="3"/>
  <c r="K145" i="46"/>
  <c r="K133" i="46"/>
  <c r="H170" i="46"/>
  <c r="C61" i="46"/>
  <c r="K154" i="46"/>
  <c r="H185" i="46"/>
  <c r="K183" i="46"/>
  <c r="H256" i="46"/>
  <c r="Q25" i="6"/>
  <c r="C57" i="46"/>
  <c r="AQ45" i="3"/>
  <c r="AN101" i="3"/>
  <c r="AP53" i="3"/>
  <c r="AR13" i="3"/>
  <c r="AO85" i="3"/>
  <c r="K155" i="46"/>
  <c r="H254" i="46"/>
  <c r="H252" i="46"/>
  <c r="Z57" i="3"/>
  <c r="E4" i="47"/>
  <c r="AS13" i="3"/>
  <c r="K188" i="46"/>
  <c r="K190" i="46"/>
  <c r="B34" i="34"/>
  <c r="Z64" i="3"/>
  <c r="K195" i="46"/>
  <c r="AS21" i="3"/>
  <c r="AS37" i="3"/>
  <c r="AM61" i="3"/>
  <c r="K182" i="46"/>
  <c r="Z49" i="3"/>
  <c r="Z25" i="3"/>
  <c r="AS101" i="3"/>
  <c r="K3" i="45"/>
  <c r="K11" i="45" s="1"/>
  <c r="K19" i="45" s="1"/>
  <c r="K27" i="45" s="1"/>
  <c r="K35" i="45" s="1"/>
  <c r="K43" i="45" s="1"/>
  <c r="W3" i="45" s="1"/>
  <c r="W11" i="45" s="1"/>
  <c r="W19" i="45" s="1"/>
  <c r="W27" i="45" s="1"/>
  <c r="W35" i="45" s="1"/>
  <c r="W43" i="45" s="1"/>
  <c r="AM45" i="3"/>
  <c r="Z65" i="3"/>
  <c r="AS93" i="3"/>
  <c r="AM93" i="3"/>
  <c r="AM53" i="3"/>
  <c r="CS253" i="46"/>
  <c r="CP253" i="46"/>
  <c r="EC253" i="46"/>
  <c r="CG253" i="46"/>
  <c r="CV253" i="46"/>
  <c r="CM253" i="46"/>
  <c r="EF253" i="46"/>
  <c r="CJ253" i="46"/>
  <c r="DB253" i="46"/>
  <c r="DZ253" i="46"/>
  <c r="CD253" i="46"/>
  <c r="DT253" i="46"/>
  <c r="DE253" i="46"/>
  <c r="DW253" i="46"/>
  <c r="CA253" i="46"/>
  <c r="DQ253" i="46"/>
  <c r="DN253" i="46"/>
  <c r="BU253" i="46"/>
  <c r="DK253" i="46"/>
  <c r="DH253" i="46"/>
  <c r="BX253" i="46"/>
  <c r="CY253" i="46"/>
  <c r="DQ232" i="46"/>
  <c r="BU232" i="46"/>
  <c r="DN232" i="46"/>
  <c r="DE232" i="46"/>
  <c r="DK232" i="46"/>
  <c r="DH232" i="46"/>
  <c r="DB232" i="46"/>
  <c r="DT232" i="46"/>
  <c r="CY232" i="46"/>
  <c r="CV232" i="46"/>
  <c r="CM232" i="46"/>
  <c r="DW232" i="46"/>
  <c r="CS232" i="46"/>
  <c r="CD232" i="46"/>
  <c r="CP232" i="46"/>
  <c r="CG232" i="46"/>
  <c r="CA232" i="46"/>
  <c r="EC232" i="46"/>
  <c r="DZ232" i="46"/>
  <c r="BX232" i="46"/>
  <c r="EF232" i="46"/>
  <c r="CJ232" i="46"/>
  <c r="K191" i="46"/>
  <c r="Z89" i="3"/>
  <c r="K194" i="46"/>
  <c r="AS85" i="3"/>
  <c r="DT142" i="3"/>
  <c r="AM37" i="3"/>
  <c r="Z80" i="3"/>
  <c r="Z97" i="3"/>
  <c r="AS29" i="3"/>
  <c r="AM13" i="3"/>
  <c r="K186" i="46"/>
  <c r="K160" i="46"/>
  <c r="K134" i="46"/>
  <c r="DQ54" i="46"/>
  <c r="DN54" i="46"/>
  <c r="CG54" i="46"/>
  <c r="DZ54" i="46"/>
  <c r="DK54" i="46"/>
  <c r="DH54" i="46"/>
  <c r="DE54" i="46"/>
  <c r="DB54" i="46"/>
  <c r="CP54" i="46"/>
  <c r="EC54" i="46"/>
  <c r="CY54" i="46"/>
  <c r="CV54" i="46"/>
  <c r="BX54" i="46"/>
  <c r="CM54" i="46"/>
  <c r="CS54" i="46"/>
  <c r="BU54" i="46"/>
  <c r="CA54" i="46"/>
  <c r="DT54" i="46"/>
  <c r="CD54" i="46"/>
  <c r="DW54" i="46"/>
  <c r="EF54" i="46"/>
  <c r="CJ54" i="46"/>
  <c r="AM85" i="3"/>
  <c r="Z16" i="3"/>
  <c r="AS53" i="3"/>
  <c r="K189" i="46"/>
  <c r="AM77" i="3"/>
  <c r="DE244" i="46"/>
  <c r="DB244" i="46"/>
  <c r="DQ244" i="46"/>
  <c r="DK244" i="46"/>
  <c r="CY244" i="46"/>
  <c r="CV244" i="46"/>
  <c r="CS244" i="46"/>
  <c r="CP244" i="46"/>
  <c r="BX244" i="46"/>
  <c r="EF244" i="46"/>
  <c r="CJ244" i="46"/>
  <c r="DW244" i="46"/>
  <c r="DN244" i="46"/>
  <c r="CM244" i="46"/>
  <c r="BU244" i="46"/>
  <c r="EC244" i="46"/>
  <c r="CG244" i="46"/>
  <c r="CA244" i="46"/>
  <c r="DZ244" i="46"/>
  <c r="CD244" i="46"/>
  <c r="DH244" i="46"/>
  <c r="DT244" i="46"/>
  <c r="CS200" i="46"/>
  <c r="CP200" i="46"/>
  <c r="CG200" i="46"/>
  <c r="CM200" i="46"/>
  <c r="EF200" i="46"/>
  <c r="CJ200" i="46"/>
  <c r="BX200" i="46"/>
  <c r="EC200" i="46"/>
  <c r="BU200" i="46"/>
  <c r="CY200" i="46"/>
  <c r="CV200" i="46"/>
  <c r="DZ200" i="46"/>
  <c r="CD200" i="46"/>
  <c r="DT200" i="46"/>
  <c r="DW200" i="46"/>
  <c r="CA200" i="46"/>
  <c r="DB200" i="46"/>
  <c r="DQ200" i="46"/>
  <c r="DN200" i="46"/>
  <c r="DK200" i="46"/>
  <c r="DH200" i="46"/>
  <c r="DE200" i="46"/>
  <c r="Z32" i="3"/>
  <c r="Z33" i="3"/>
  <c r="AS45" i="3"/>
  <c r="AM29" i="3"/>
  <c r="Z40" i="3"/>
  <c r="Z24" i="3"/>
  <c r="DT75" i="3"/>
  <c r="BE5" i="3"/>
  <c r="BE57" i="3" s="1"/>
  <c r="K136" i="46"/>
  <c r="K197" i="46"/>
  <c r="Z81" i="3"/>
  <c r="Z48" i="3"/>
  <c r="K187" i="46"/>
  <c r="AS77" i="3"/>
  <c r="H174" i="46"/>
  <c r="DE164" i="46"/>
  <c r="DB164" i="46"/>
  <c r="CS164" i="46"/>
  <c r="BX164" i="46"/>
  <c r="CY164" i="46"/>
  <c r="CV164" i="46"/>
  <c r="CP164" i="46"/>
  <c r="CJ164" i="46"/>
  <c r="CA164" i="46"/>
  <c r="DK164" i="46"/>
  <c r="BU164" i="46"/>
  <c r="CM164" i="46"/>
  <c r="EF164" i="46"/>
  <c r="CD164" i="46"/>
  <c r="EC164" i="46"/>
  <c r="CG164" i="46"/>
  <c r="DW164" i="46"/>
  <c r="DZ164" i="46"/>
  <c r="DQ164" i="46"/>
  <c r="DT164" i="46"/>
  <c r="DN164" i="46"/>
  <c r="DH164" i="46"/>
  <c r="K193" i="46"/>
  <c r="DT83" i="3"/>
  <c r="Z88" i="3"/>
  <c r="Z41" i="3"/>
  <c r="K192" i="46"/>
  <c r="AS69" i="3"/>
  <c r="DT67" i="3"/>
  <c r="H197" i="46"/>
  <c r="K196" i="46"/>
  <c r="DT137" i="3"/>
  <c r="K185" i="46"/>
  <c r="Y130" i="3"/>
  <c r="S7" i="51"/>
  <c r="T50" i="46"/>
  <c r="T45" i="46"/>
  <c r="T66" i="46"/>
  <c r="T74" i="46"/>
  <c r="T21" i="46"/>
  <c r="T62" i="46"/>
  <c r="T47" i="46"/>
  <c r="T26" i="46"/>
  <c r="T52" i="46"/>
  <c r="T40" i="46"/>
  <c r="T63" i="46"/>
  <c r="T58" i="46"/>
  <c r="T41" i="46"/>
  <c r="T68" i="46"/>
  <c r="T13" i="46"/>
  <c r="T65" i="46"/>
  <c r="T44" i="46"/>
  <c r="T49" i="46"/>
  <c r="T36" i="46"/>
  <c r="T57" i="46"/>
  <c r="T59" i="46"/>
  <c r="T61" i="46"/>
  <c r="T17" i="46"/>
  <c r="T18" i="46"/>
  <c r="T75" i="46"/>
  <c r="T37" i="46"/>
  <c r="T29" i="46"/>
  <c r="T53" i="46"/>
  <c r="T31" i="46"/>
  <c r="T32" i="46"/>
  <c r="T48" i="46"/>
  <c r="T56" i="46"/>
  <c r="H164" i="46"/>
  <c r="H182" i="46"/>
  <c r="H165" i="46"/>
  <c r="C64" i="46"/>
  <c r="C56" i="46"/>
  <c r="H253" i="46"/>
  <c r="AH155" i="3"/>
  <c r="AG155" i="3" s="1"/>
  <c r="K131" i="46"/>
  <c r="K152" i="46"/>
  <c r="AL5" i="3"/>
  <c r="BD5" i="3"/>
  <c r="BD57" i="3" s="1"/>
  <c r="K142" i="46"/>
  <c r="Y19" i="3"/>
  <c r="Y35" i="3" s="1"/>
  <c r="Y91" i="3"/>
  <c r="Y100" i="3"/>
  <c r="Y59" i="3"/>
  <c r="AC3" i="3"/>
  <c r="Y75" i="3"/>
  <c r="DT130" i="3"/>
  <c r="H223" i="46"/>
  <c r="H228" i="46"/>
  <c r="Y119" i="3"/>
  <c r="DT100" i="3"/>
  <c r="Y51" i="3"/>
  <c r="AG158" i="3"/>
  <c r="K227" i="46"/>
  <c r="K229" i="46"/>
  <c r="K226" i="46"/>
  <c r="DT146" i="3"/>
  <c r="AH156" i="3"/>
  <c r="AH154" i="3"/>
  <c r="C58" i="46"/>
  <c r="H215" i="46"/>
  <c r="H206" i="46"/>
  <c r="H200" i="46"/>
  <c r="H217" i="46"/>
  <c r="H216" i="46"/>
  <c r="H202" i="46"/>
  <c r="H201" i="46"/>
  <c r="Q22" i="6"/>
  <c r="H203" i="46"/>
  <c r="H210" i="46"/>
  <c r="H213" i="46"/>
  <c r="H204" i="46"/>
  <c r="H214" i="46"/>
  <c r="H211" i="46"/>
  <c r="K240"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T33" i="46"/>
  <c r="T27" i="46"/>
  <c r="T34" i="46"/>
  <c r="T70" i="46"/>
  <c r="T19" i="46"/>
  <c r="T60" i="46"/>
  <c r="T16" i="46"/>
  <c r="T35" i="46"/>
  <c r="T73" i="46"/>
  <c r="T8" i="46"/>
  <c r="T14" i="46"/>
  <c r="T22" i="46"/>
  <c r="T46" i="46"/>
  <c r="T71" i="46"/>
  <c r="T23" i="46"/>
  <c r="T76" i="46"/>
  <c r="T51" i="46"/>
  <c r="T25" i="46"/>
  <c r="T72" i="46"/>
  <c r="T20" i="46"/>
  <c r="T69" i="46"/>
  <c r="T43" i="46"/>
  <c r="T64" i="46"/>
  <c r="T15" i="46"/>
  <c r="T12" i="46"/>
  <c r="T55" i="46"/>
  <c r="T11" i="46"/>
  <c r="T28" i="46"/>
  <c r="T39" i="46"/>
  <c r="T42" i="46"/>
  <c r="K11" i="6"/>
  <c r="B29" i="53" s="1"/>
  <c r="L29" i="53" s="1"/>
  <c r="K6" i="6"/>
  <c r="B24" i="53" s="1"/>
  <c r="L24" i="53" s="1"/>
  <c r="T24" i="46"/>
  <c r="AB42" i="32"/>
  <c r="AB25" i="32"/>
  <c r="AB11" i="32"/>
  <c r="B41" i="6"/>
  <c r="A80" i="3" s="1"/>
  <c r="AB29" i="32"/>
  <c r="B23" i="6"/>
  <c r="BD27" i="3" s="1"/>
  <c r="K36" i="6"/>
  <c r="B54" i="53" s="1"/>
  <c r="L54" i="53" s="1"/>
  <c r="K49" i="6"/>
  <c r="B67" i="53" s="1"/>
  <c r="L67" i="53" s="1"/>
  <c r="T67" i="46"/>
  <c r="AB12" i="32"/>
  <c r="AB20" i="32"/>
  <c r="K3" i="6"/>
  <c r="B21" i="53" s="1"/>
  <c r="L21" i="53" s="1"/>
  <c r="K8" i="6"/>
  <c r="B26" i="53" s="1"/>
  <c r="L26" i="53" s="1"/>
  <c r="B27" i="6"/>
  <c r="BD31" i="3" s="1"/>
  <c r="B37" i="6"/>
  <c r="BD41" i="3" s="1"/>
  <c r="K32" i="6"/>
  <c r="B50" i="53" s="1"/>
  <c r="L50" i="53" s="1"/>
  <c r="A13" i="3"/>
  <c r="AY14" i="3" s="1"/>
  <c r="K17" i="6"/>
  <c r="B35" i="53" s="1"/>
  <c r="L35" i="53" s="1"/>
  <c r="T38" i="46"/>
  <c r="K10" i="6"/>
  <c r="B28" i="53" s="1"/>
  <c r="L28" i="53" s="1"/>
  <c r="AB30" i="32"/>
  <c r="A8" i="3"/>
  <c r="AF5" i="3" s="1"/>
  <c r="F4" i="45" s="1"/>
  <c r="K41" i="6"/>
  <c r="B59" i="53" s="1"/>
  <c r="L59" i="53" s="1"/>
  <c r="K24" i="6"/>
  <c r="B42" i="53" s="1"/>
  <c r="L42" i="53" s="1"/>
  <c r="AB50" i="32"/>
  <c r="AB45" i="32"/>
  <c r="B33" i="6"/>
  <c r="A64" i="3" s="1"/>
  <c r="T30" i="46"/>
  <c r="B20" i="6"/>
  <c r="BD24" i="3" s="1"/>
  <c r="BD19" i="3"/>
  <c r="AB34" i="32"/>
  <c r="B19" i="6"/>
  <c r="A38" i="3" s="1"/>
  <c r="B9" i="6"/>
  <c r="BD13" i="3" s="1"/>
  <c r="AB4" i="32"/>
  <c r="B36" i="6"/>
  <c r="A71" i="3" s="1"/>
  <c r="B46" i="6"/>
  <c r="A93" i="3" s="1"/>
  <c r="AY94" i="3" s="1"/>
  <c r="K48" i="6"/>
  <c r="B66" i="53" s="1"/>
  <c r="L66" i="53" s="1"/>
  <c r="K26" i="6"/>
  <c r="B44" i="53" s="1"/>
  <c r="L44" i="53" s="1"/>
  <c r="B14" i="6"/>
  <c r="BD18" i="3" s="1"/>
  <c r="AB44" i="32"/>
  <c r="AB35" i="32"/>
  <c r="B43" i="6"/>
  <c r="BD47" i="3" s="1"/>
  <c r="B49" i="6"/>
  <c r="A96" i="3" s="1"/>
  <c r="AB8" i="32"/>
  <c r="B42" i="6"/>
  <c r="BD46" i="3" s="1"/>
  <c r="AB36" i="32"/>
  <c r="K7" i="6"/>
  <c r="B25" i="53" s="1"/>
  <c r="L25" i="53" s="1"/>
  <c r="K18" i="6"/>
  <c r="B36" i="53" s="1"/>
  <c r="L36" i="53" s="1"/>
  <c r="AB19" i="32"/>
  <c r="K23" i="6"/>
  <c r="B41" i="53" s="1"/>
  <c r="L41" i="53" s="1"/>
  <c r="B38" i="6"/>
  <c r="A77" i="3" s="1"/>
  <c r="A94" i="3"/>
  <c r="AA97" i="3" s="1"/>
  <c r="B30" i="6"/>
  <c r="BD34" i="3" s="1"/>
  <c r="K5" i="6"/>
  <c r="B23" i="53" s="1"/>
  <c r="L23" i="53" s="1"/>
  <c r="K16" i="6"/>
  <c r="B34" i="53" s="1"/>
  <c r="L34" i="53" s="1"/>
  <c r="B18" i="6"/>
  <c r="A37" i="3" s="1"/>
  <c r="AB38" i="32"/>
  <c r="AB37" i="32"/>
  <c r="B2" i="6"/>
  <c r="A5" i="3" s="1"/>
  <c r="K21" i="6"/>
  <c r="B39" i="53" s="1"/>
  <c r="L39" i="53" s="1"/>
  <c r="K33" i="6"/>
  <c r="B51" i="53" s="1"/>
  <c r="L51" i="53" s="1"/>
  <c r="K15" i="6"/>
  <c r="B33" i="53" s="1"/>
  <c r="L33" i="53" s="1"/>
  <c r="AB10" i="32"/>
  <c r="AB31" i="32"/>
  <c r="B10" i="6"/>
  <c r="BD14" i="3" s="1"/>
  <c r="K12" i="6"/>
  <c r="B30" i="53" s="1"/>
  <c r="L30" i="53" s="1"/>
  <c r="B7" i="6"/>
  <c r="A14" i="3" s="1"/>
  <c r="K30" i="6"/>
  <c r="B48" i="53" s="1"/>
  <c r="L48" i="53" s="1"/>
  <c r="AB17" i="32"/>
  <c r="K2" i="6"/>
  <c r="B20" i="53" s="1"/>
  <c r="L20" i="53" s="1"/>
  <c r="K25" i="6"/>
  <c r="B43" i="53" s="1"/>
  <c r="L43" i="53" s="1"/>
  <c r="AB13" i="32"/>
  <c r="AB47" i="32"/>
  <c r="AB32" i="32"/>
  <c r="B4" i="6"/>
  <c r="A7" i="3" s="1"/>
  <c r="K39" i="6"/>
  <c r="B57" i="53" s="1"/>
  <c r="L57" i="53" s="1"/>
  <c r="K4" i="6"/>
  <c r="B22" i="53" s="1"/>
  <c r="L22" i="53" s="1"/>
  <c r="B3" i="6"/>
  <c r="A6" i="3" s="1"/>
  <c r="AF4" i="3" s="1"/>
  <c r="F3" i="45" s="1"/>
  <c r="B12" i="6"/>
  <c r="A23" i="3" s="1"/>
  <c r="B17" i="6"/>
  <c r="BD21" i="3" s="1"/>
  <c r="AB24" i="32"/>
  <c r="B35" i="6"/>
  <c r="BD39" i="3" s="1"/>
  <c r="B16" i="6"/>
  <c r="A31" i="3" s="1"/>
  <c r="K13" i="6"/>
  <c r="B31" i="53" s="1"/>
  <c r="L31" i="53" s="1"/>
  <c r="K47" i="6"/>
  <c r="B65" i="53" s="1"/>
  <c r="L65" i="53" s="1"/>
  <c r="AB39" i="32"/>
  <c r="AB9" i="32"/>
  <c r="AB21" i="32"/>
  <c r="B13" i="6"/>
  <c r="AB48" i="32"/>
  <c r="K40" i="6"/>
  <c r="B58" i="53" s="1"/>
  <c r="L58" i="53" s="1"/>
  <c r="AB14" i="32"/>
  <c r="AB23" i="32"/>
  <c r="AB46" i="32"/>
  <c r="AB15" i="32"/>
  <c r="AB43" i="32"/>
  <c r="B22" i="6"/>
  <c r="BD26" i="3" s="1"/>
  <c r="K43" i="6"/>
  <c r="B61" i="53" s="1"/>
  <c r="L61" i="53" s="1"/>
  <c r="AB5" i="32"/>
  <c r="AF27" i="3"/>
  <c r="DT11" i="3"/>
  <c r="DT19" i="3"/>
  <c r="AF35" i="3"/>
  <c r="DT35" i="3" s="1"/>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BD33" i="3"/>
  <c r="A56" i="3"/>
  <c r="AF72" i="3"/>
  <c r="AY70" i="3"/>
  <c r="AA68" i="3"/>
  <c r="AA70" i="3"/>
  <c r="AF20" i="3"/>
  <c r="AF22" i="3"/>
  <c r="AA25" i="3"/>
  <c r="AY23" i="3"/>
  <c r="A53" i="3"/>
  <c r="BD30" i="3"/>
  <c r="AF31" i="3"/>
  <c r="AF28" i="3"/>
  <c r="AA33" i="3"/>
  <c r="AY31" i="3"/>
  <c r="AY64" i="3"/>
  <c r="AF62" i="3"/>
  <c r="AA61" i="3"/>
  <c r="AF64" i="3"/>
  <c r="AF78" i="46" l="1"/>
  <c r="AI78" i="46"/>
  <c r="BY78" i="46"/>
  <c r="Z78" i="46"/>
  <c r="EG78" i="46"/>
  <c r="CB78" i="46"/>
  <c r="W78" i="46"/>
  <c r="AC78" i="46"/>
  <c r="BS78" i="46"/>
  <c r="CT78" i="46"/>
  <c r="BA78" i="46"/>
  <c r="DL78" i="46"/>
  <c r="AO78" i="46"/>
  <c r="DI78" i="46"/>
  <c r="DU78" i="46"/>
  <c r="CH78" i="46"/>
  <c r="CN78" i="46"/>
  <c r="AU78" i="46"/>
  <c r="EA78" i="46"/>
  <c r="CQ78" i="46"/>
  <c r="BV78" i="46"/>
  <c r="DO78" i="46"/>
  <c r="CZ78" i="46"/>
  <c r="AR78" i="46"/>
  <c r="DC78" i="46"/>
  <c r="AL78" i="46"/>
  <c r="AX78" i="46"/>
  <c r="BP78" i="46"/>
  <c r="CK78" i="46"/>
  <c r="BM78" i="46"/>
  <c r="BJ78" i="46"/>
  <c r="DF78" i="46"/>
  <c r="CW78" i="46"/>
  <c r="DR78" i="46"/>
  <c r="BG78" i="46"/>
  <c r="BD78" i="46"/>
  <c r="DX78" i="46"/>
  <c r="CE78" i="46"/>
  <c r="ED78" i="46"/>
  <c r="E11" i="48"/>
  <c r="F10" i="48" a="1"/>
  <c r="F10" i="48" s="1"/>
  <c r="AL37" i="3"/>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BD45" i="3"/>
  <c r="BC45" i="3" s="1"/>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F11" i="48" l="1" a="1"/>
  <c r="F11" i="48" s="1"/>
  <c r="E12" i="48"/>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R16" i="45"/>
  <c r="AE65" i="3" a="1"/>
  <c r="AE65" i="3" s="1"/>
  <c r="O40" i="45" l="1"/>
  <c r="F12" i="48" a="1"/>
  <c r="F12" i="48" s="1"/>
  <c r="E13" i="48"/>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BL26" i="3" l="1"/>
  <c r="F13" i="48" a="1"/>
  <c r="F13" i="48" s="1"/>
  <c r="E14" i="48"/>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50" i="32" l="1"/>
  <c r="F14" i="48" a="1"/>
  <c r="F14" i="48" s="1"/>
  <c r="E15" i="48"/>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F15" i="48" l="1" a="1"/>
  <c r="F15" i="48" s="1"/>
  <c r="E16" i="48"/>
  <c r="V15" i="32"/>
  <c r="V10" i="32"/>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F16" i="48" l="1" a="1"/>
  <c r="F16" i="48" s="1"/>
  <c r="E17" i="48"/>
  <c r="F44" i="48" a="1"/>
  <c r="F44" i="48" s="1"/>
  <c r="AK99" i="3"/>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F17" i="48" l="1" a="1"/>
  <c r="F17" i="48" s="1"/>
  <c r="E18" i="48"/>
  <c r="F45" i="48" a="1"/>
  <c r="F45" i="48" s="1"/>
  <c r="X28" i="3"/>
  <c r="H12" i="46" s="1"/>
  <c r="Y84" i="3"/>
  <c r="Y113" i="3"/>
  <c r="X33" i="3"/>
  <c r="X96" i="3"/>
  <c r="H76" i="46" s="1"/>
  <c r="H127" i="46" s="1"/>
  <c r="Y76" i="3"/>
  <c r="X56" i="3"/>
  <c r="H66" i="46" s="1"/>
  <c r="Y23" i="3"/>
  <c r="Y77" i="3"/>
  <c r="Y126" i="3"/>
  <c r="Y105" i="3"/>
  <c r="X124" i="3"/>
  <c r="Y102" i="3"/>
  <c r="Y115" i="3"/>
  <c r="Y48" i="3"/>
  <c r="X134" i="3"/>
  <c r="E42" i="30"/>
  <c r="X57" i="3"/>
  <c r="H67" i="46" s="1"/>
  <c r="X70" i="3"/>
  <c r="H46" i="46" s="1"/>
  <c r="X4" i="3"/>
  <c r="H6" i="46" s="1"/>
  <c r="Y110" i="3"/>
  <c r="X97" i="3"/>
  <c r="H77" i="46" s="1"/>
  <c r="X15" i="3"/>
  <c r="H33" i="46" s="1"/>
  <c r="X46" i="3"/>
  <c r="H40" i="46" s="1"/>
  <c r="X107" i="3"/>
  <c r="Y41" i="3"/>
  <c r="Y104" i="3"/>
  <c r="Y65" i="3"/>
  <c r="Y16" i="3"/>
  <c r="Y63" i="3"/>
  <c r="X6" i="3"/>
  <c r="H30" i="46" s="1"/>
  <c r="X8" i="3"/>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H58" i="46" s="1"/>
  <c r="H91" i="46" s="1"/>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Y60" i="3"/>
  <c r="X45" i="3"/>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25" i="46"/>
  <c r="H64" i="46"/>
  <c r="H53" i="46"/>
  <c r="H47" i="46"/>
  <c r="H24" i="46"/>
  <c r="H62" i="46"/>
  <c r="H13" i="46"/>
  <c r="H20" i="46"/>
  <c r="H27" i="46"/>
  <c r="H69" i="46"/>
  <c r="H22" i="46"/>
  <c r="H44" i="46"/>
  <c r="H26" i="46"/>
  <c r="H48" i="46"/>
  <c r="H52"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51" i="46" l="1"/>
  <c r="H11" i="46"/>
  <c r="H61" i="46"/>
  <c r="H17" i="46"/>
  <c r="H54" i="46"/>
  <c r="H82" i="46" s="1"/>
  <c r="H18" i="46"/>
  <c r="H14" i="46"/>
  <c r="H42" i="46"/>
  <c r="G20" i="30"/>
  <c r="E19" i="48"/>
  <c r="F18" i="48" a="1"/>
  <c r="F18" i="48" s="1"/>
  <c r="F46" i="48" a="1"/>
  <c r="F46" i="48" s="1"/>
  <c r="F47" i="48" a="1"/>
  <c r="F47" i="48" s="1"/>
  <c r="G19" i="30"/>
  <c r="E45" i="51"/>
  <c r="H116" i="46"/>
  <c r="H117" i="46"/>
  <c r="H118" i="46"/>
  <c r="H89" i="46"/>
  <c r="H90" i="46"/>
  <c r="H88" i="46"/>
  <c r="H124" i="46"/>
  <c r="H93" i="46"/>
  <c r="H125" i="46"/>
  <c r="H94" i="46"/>
  <c r="H92" i="46"/>
  <c r="H126"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Q2" i="6" s="1"/>
  <c r="G6" i="46" s="1"/>
  <c r="H80" i="46"/>
  <c r="H83" i="46"/>
  <c r="H81" i="46"/>
  <c r="E20" i="48"/>
  <c r="F19" i="48" a="1"/>
  <c r="F19" i="48" s="1"/>
  <c r="E9" i="3"/>
  <c r="E79" i="3"/>
  <c r="E5" i="3"/>
  <c r="F7" i="3"/>
  <c r="F9" i="3"/>
  <c r="E4" i="3"/>
  <c r="E7" i="3"/>
  <c r="F8" i="3"/>
  <c r="F4" i="3"/>
  <c r="F6" i="3"/>
  <c r="F5" i="3"/>
  <c r="E6" i="3"/>
  <c r="F77" i="3"/>
  <c r="E81" i="3"/>
  <c r="BV42" i="3" s="1"/>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E76" i="3"/>
  <c r="F81" i="3"/>
  <c r="E78" i="3"/>
  <c r="E85" i="3"/>
  <c r="F89" i="3"/>
  <c r="F86" i="3"/>
  <c r="BC266" i="46" l="1"/>
  <c r="BC264" i="46" s="1"/>
  <c r="BR266" i="46"/>
  <c r="BR264" i="46" s="1"/>
  <c r="CG266" i="46"/>
  <c r="CG264" i="46" s="1"/>
  <c r="AH266" i="46"/>
  <c r="AH264" i="46" s="1"/>
  <c r="CV266" i="46"/>
  <c r="CV264" i="46" s="1"/>
  <c r="AW266" i="46"/>
  <c r="AW264" i="46" s="1"/>
  <c r="S266" i="46"/>
  <c r="S264" i="46" s="1"/>
  <c r="Q3" i="6" a="1"/>
  <c r="Q3" i="6" s="1"/>
  <c r="G8" i="46" s="1"/>
  <c r="DZ266" i="46"/>
  <c r="DZ264" i="46" s="1"/>
  <c r="BF266" i="46"/>
  <c r="BF264" i="46" s="1"/>
  <c r="AQ266" i="46"/>
  <c r="AQ264" i="46" s="1"/>
  <c r="CA266" i="46"/>
  <c r="CA264" i="46" s="1"/>
  <c r="EC266" i="46"/>
  <c r="EC264" i="46" s="1"/>
  <c r="DT266" i="46"/>
  <c r="DT264" i="46" s="1"/>
  <c r="CM266" i="46"/>
  <c r="CM264" i="46" s="1"/>
  <c r="BO266" i="46"/>
  <c r="BO264" i="46" s="1"/>
  <c r="BI266" i="46"/>
  <c r="BI264" i="46" s="1"/>
  <c r="DN266" i="46"/>
  <c r="DN264" i="46" s="1"/>
  <c r="BL266" i="46"/>
  <c r="BL264" i="46" s="1"/>
  <c r="CD266" i="46"/>
  <c r="CD264" i="46" s="1"/>
  <c r="AZ266" i="46"/>
  <c r="AZ264" i="46" s="1"/>
  <c r="DK266" i="46"/>
  <c r="DK264" i="46" s="1"/>
  <c r="DB266" i="46"/>
  <c r="DB264" i="46" s="1"/>
  <c r="DH266" i="46"/>
  <c r="DH264" i="46" s="1"/>
  <c r="AN266" i="46"/>
  <c r="AN264" i="46" s="1"/>
  <c r="CJ266" i="46"/>
  <c r="CJ264" i="46" s="1"/>
  <c r="DQ266" i="46"/>
  <c r="DQ264" i="46" s="1"/>
  <c r="AK266" i="46"/>
  <c r="AK264" i="46" s="1"/>
  <c r="DE266" i="46"/>
  <c r="DE264" i="46" s="1"/>
  <c r="CP266" i="46"/>
  <c r="CP264" i="46" s="1"/>
  <c r="CY266" i="46"/>
  <c r="CY264" i="46" s="1"/>
  <c r="CS266" i="46"/>
  <c r="CS264" i="46" s="1"/>
  <c r="AT266" i="46"/>
  <c r="AT264" i="46" s="1"/>
  <c r="BX266" i="46"/>
  <c r="BX264" i="46" s="1"/>
  <c r="EF266" i="46"/>
  <c r="EF264" i="46" s="1"/>
  <c r="BU266" i="46"/>
  <c r="BU264" i="46" s="1"/>
  <c r="DW266" i="46"/>
  <c r="DW264" i="46" s="1"/>
  <c r="BU8" i="3"/>
  <c r="E21" i="48"/>
  <c r="F20" i="48" a="1"/>
  <c r="F20" i="48" s="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Q4" i="6" l="1" a="1"/>
  <c r="Q4" i="6" s="1"/>
  <c r="G9" i="46" s="1"/>
  <c r="G7" i="46"/>
  <c r="BX8" i="3"/>
  <c r="BX39" i="3"/>
  <c r="F21" i="48" a="1"/>
  <c r="F21" i="48" s="1"/>
  <c r="E22" i="48"/>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Q5" i="6" s="1"/>
  <c r="G11" i="46" s="1"/>
  <c r="G12" i="46"/>
  <c r="E23" i="48"/>
  <c r="F22" i="48" a="1"/>
  <c r="F22" i="48" s="1"/>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0" i="46"/>
  <c r="G14" i="46"/>
  <c r="Q6" i="6" a="1"/>
  <c r="Q6" i="6" s="1"/>
  <c r="G20" i="46" s="1"/>
  <c r="F23" i="48" a="1"/>
  <c r="F23" i="48" s="1"/>
  <c r="E24" i="48"/>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8" i="46" l="1"/>
  <c r="Q7" i="6" a="1"/>
  <c r="Q7" i="6" s="1"/>
  <c r="Q8" i="6" s="1" a="1"/>
  <c r="Q8" i="6" s="1"/>
  <c r="G17" i="46"/>
  <c r="G15" i="46"/>
  <c r="G16" i="46"/>
  <c r="E25" i="48"/>
  <c r="F24" i="48" a="1"/>
  <c r="F24" i="48" s="1"/>
  <c r="I23" i="3"/>
  <c r="I87" i="3"/>
  <c r="H62" i="3"/>
  <c r="I84" i="3"/>
  <c r="I65" i="3"/>
  <c r="H88" i="3"/>
  <c r="I85" i="3"/>
  <c r="H63" i="3"/>
  <c r="I61" i="3"/>
  <c r="CA36" i="3" s="1"/>
  <c r="H49" i="3"/>
  <c r="H47" i="3"/>
  <c r="CA27" i="3" s="1"/>
  <c r="I81" i="3"/>
  <c r="H78" i="3"/>
  <c r="H21" i="3"/>
  <c r="I33" i="3"/>
  <c r="I14" i="3"/>
  <c r="CB13" i="3" s="1"/>
  <c r="I88" i="3"/>
  <c r="H94" i="3"/>
  <c r="I60" i="3"/>
  <c r="H86" i="3"/>
  <c r="H32" i="3"/>
  <c r="I77" i="3"/>
  <c r="H45" i="3"/>
  <c r="I17" i="3"/>
  <c r="H24" i="3"/>
  <c r="I29" i="3"/>
  <c r="H22" i="3"/>
  <c r="H46" i="3"/>
  <c r="H77" i="3"/>
  <c r="H15" i="3"/>
  <c r="I4" i="3"/>
  <c r="CA6" i="3" s="1"/>
  <c r="I15" i="3"/>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I93" i="3"/>
  <c r="CA52" i="3" s="1"/>
  <c r="H52" i="3"/>
  <c r="I28" i="3"/>
  <c r="H54" i="3"/>
  <c r="I40" i="3"/>
  <c r="CB23" i="3" s="1"/>
  <c r="I71" i="3"/>
  <c r="I76" i="3"/>
  <c r="H96" i="3"/>
  <c r="CA50" i="3" s="1"/>
  <c r="I68" i="3"/>
  <c r="H80" i="3"/>
  <c r="H5" i="3"/>
  <c r="I49" i="3"/>
  <c r="H85" i="3"/>
  <c r="I70" i="3"/>
  <c r="I8" i="3"/>
  <c r="I46" i="3"/>
  <c r="I37" i="3"/>
  <c r="I86" i="3"/>
  <c r="CB46" i="3" s="1"/>
  <c r="H69" i="3"/>
  <c r="H7" i="3"/>
  <c r="H41" i="3"/>
  <c r="I9" i="3"/>
  <c r="H71" i="3"/>
  <c r="I13" i="3"/>
  <c r="I38" i="3"/>
  <c r="I47" i="3"/>
  <c r="H14" i="3"/>
  <c r="H53" i="3"/>
  <c r="CB33" i="3" s="1"/>
  <c r="H48" i="3"/>
  <c r="H17" i="3"/>
  <c r="I97" i="3"/>
  <c r="CB51" i="3" s="1"/>
  <c r="H68" i="3"/>
  <c r="I20" i="3"/>
  <c r="I96" i="3"/>
  <c r="H29" i="3"/>
  <c r="H93" i="3"/>
  <c r="H6" i="3"/>
  <c r="H9" i="3"/>
  <c r="I5" i="3"/>
  <c r="I69" i="3"/>
  <c r="CB43" i="3"/>
  <c r="CA16" i="3"/>
  <c r="CB16" i="3"/>
  <c r="CA53" i="3"/>
  <c r="CA43" i="3"/>
  <c r="CA47" i="3"/>
  <c r="CA18" i="3"/>
  <c r="CB47" i="3"/>
  <c r="CA45" i="3"/>
  <c r="CB44" i="3"/>
  <c r="CB45" i="3"/>
  <c r="CB27" i="3"/>
  <c r="CB36" i="3"/>
  <c r="Q9" i="6" l="1" a="1"/>
  <c r="Q9" i="6" s="1"/>
  <c r="G19" i="46"/>
  <c r="CA19" i="3"/>
  <c r="CB18" i="3"/>
  <c r="CC18" i="3" s="1"/>
  <c r="CB20" i="3"/>
  <c r="CB26" i="3"/>
  <c r="CA44" i="3"/>
  <c r="CC44" i="3" s="1"/>
  <c r="CB53" i="3"/>
  <c r="CC53" i="3" s="1"/>
  <c r="CB42" i="3"/>
  <c r="CB49" i="3"/>
  <c r="CB48" i="3"/>
  <c r="CA46" i="3"/>
  <c r="CC46" i="3" s="1"/>
  <c r="CA20" i="3"/>
  <c r="CA12" i="3"/>
  <c r="CB12" i="3"/>
  <c r="CA11" i="3"/>
  <c r="E26" i="48"/>
  <c r="F25" i="48" a="1"/>
  <c r="F25" i="48" s="1"/>
  <c r="CA42" i="3"/>
  <c r="CB31" i="3"/>
  <c r="CC31" i="3" s="1"/>
  <c r="CB9" i="3"/>
  <c r="CA14" i="3"/>
  <c r="CB14" i="3"/>
  <c r="CA15" i="3"/>
  <c r="CB17" i="3"/>
  <c r="CB15" i="3"/>
  <c r="CA17" i="3"/>
  <c r="CB6" i="3"/>
  <c r="CC6" i="3" s="1"/>
  <c r="CB39" i="3"/>
  <c r="CB50" i="3"/>
  <c r="CC50" i="3" s="1"/>
  <c r="CA48" i="3"/>
  <c r="CA49" i="3"/>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A25" i="3"/>
  <c r="CB19" i="3"/>
  <c r="CB25" i="3"/>
  <c r="CA23" i="3"/>
  <c r="CC23" i="3" s="1"/>
  <c r="CA38" i="3"/>
  <c r="CA41" i="3"/>
  <c r="CA22" i="3"/>
  <c r="CA39" i="3"/>
  <c r="CB41" i="3"/>
  <c r="CB40" i="3"/>
  <c r="Q10" i="6" a="1"/>
  <c r="Q10" i="6" s="1"/>
  <c r="Q11" i="6" s="1" a="1"/>
  <c r="Q11" i="6" s="1"/>
  <c r="Q12" i="6" s="1" a="1"/>
  <c r="Q12" i="6" s="1"/>
  <c r="CC43" i="3"/>
  <c r="CC16" i="3"/>
  <c r="CC47" i="3"/>
  <c r="CC45" i="3"/>
  <c r="CC27" i="3"/>
  <c r="CC36" i="3"/>
  <c r="CC26" i="3" l="1"/>
  <c r="CC19" i="3"/>
  <c r="CC20" i="3"/>
  <c r="CC11" i="3"/>
  <c r="CC42" i="3"/>
  <c r="CC48" i="3"/>
  <c r="CC49" i="3"/>
  <c r="CC12" i="3"/>
  <c r="E27" i="48"/>
  <c r="F26" i="48" a="1"/>
  <c r="F26" i="48" s="1"/>
  <c r="CC9"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E28" i="48" l="1"/>
  <c r="F27" i="48" a="1"/>
  <c r="F27" i="48" s="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E29" i="48" l="1"/>
  <c r="F28" i="48" a="1"/>
  <c r="F28" i="48" s="1"/>
  <c r="A5" i="50" a="1"/>
  <c r="A5" i="50" s="1"/>
  <c r="A9" i="50" a="1"/>
  <c r="A9" i="50" s="1"/>
  <c r="A14" i="50" a="1"/>
  <c r="A14" i="50" s="1"/>
  <c r="B6" i="50" a="1"/>
  <c r="B6" i="50" s="1"/>
  <c r="B10" i="50" a="1"/>
  <c r="B10" i="50" s="1"/>
  <c r="B14" i="50" a="1"/>
  <c r="B14" i="50" s="1"/>
  <c r="B18" i="50" a="1"/>
  <c r="B18" i="50" s="1"/>
  <c r="A15" i="50" a="1"/>
  <c r="A15" i="50" s="1"/>
  <c r="A13" i="50" a="1"/>
  <c r="A13" i="50" s="1"/>
  <c r="A11" i="50" a="1"/>
  <c r="A11" i="50" s="1"/>
  <c r="A20" i="50" a="1"/>
  <c r="A20" i="50" s="1"/>
  <c r="A7" i="50" a="1"/>
  <c r="A7" i="50" s="1"/>
  <c r="A19" i="50" a="1"/>
  <c r="A19" i="50" s="1"/>
  <c r="A10" i="50" a="1"/>
  <c r="A10" i="50" s="1"/>
  <c r="B7" i="50" a="1"/>
  <c r="B7" i="50" s="1"/>
  <c r="B11" i="50" a="1"/>
  <c r="B11" i="50" s="1"/>
  <c r="B15" i="50" a="1"/>
  <c r="B15" i="50" s="1"/>
  <c r="B19" i="50" a="1"/>
  <c r="B19" i="50" s="1"/>
  <c r="A12" i="50" a="1"/>
  <c r="A12" i="50" s="1"/>
  <c r="A6" i="50" a="1"/>
  <c r="A6" i="50" s="1"/>
  <c r="A16" i="50" a="1"/>
  <c r="A16" i="50" s="1"/>
  <c r="A8" i="50" a="1"/>
  <c r="A8" i="50" s="1"/>
  <c r="B12" i="50" a="1"/>
  <c r="B12" i="50" s="1"/>
  <c r="B20" i="50" a="1"/>
  <c r="B20" i="50" s="1"/>
  <c r="A17" i="50" a="1"/>
  <c r="A17" i="50" s="1"/>
  <c r="B8" i="50" a="1"/>
  <c r="B8" i="50" s="1"/>
  <c r="B16" i="50" a="1"/>
  <c r="B16" i="50" s="1"/>
  <c r="B5" i="50" a="1"/>
  <c r="B5" i="50" s="1"/>
  <c r="B9" i="50" a="1"/>
  <c r="B9" i="50" s="1"/>
  <c r="B13" i="50" a="1"/>
  <c r="B13" i="50" s="1"/>
  <c r="B17" i="50" a="1"/>
  <c r="B17" i="50" s="1"/>
  <c r="A18" i="50" a="1"/>
  <c r="A18" i="50" s="1"/>
  <c r="R40" i="6"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1" i="50" s="1"/>
  <c r="A28" i="50" a="1"/>
  <c r="A28" i="50" s="1"/>
  <c r="A26" i="50" a="1"/>
  <c r="A26" i="50" s="1"/>
  <c r="B32" i="51"/>
  <c r="B22" i="51"/>
  <c r="A27" i="48" a="1"/>
  <c r="A27" i="48" s="1"/>
  <c r="A34" i="48" a="1"/>
  <c r="A34" i="48" s="1"/>
  <c r="B33" i="5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E30" i="48" l="1"/>
  <c r="F29" i="48" a="1"/>
  <c r="F29" i="48" s="1"/>
  <c r="K96" i="3"/>
  <c r="K60" i="3"/>
  <c r="K41" i="3"/>
  <c r="CF22" i="3" s="1"/>
  <c r="K39" i="3"/>
  <c r="K62" i="3"/>
  <c r="K89" i="3"/>
  <c r="K95" i="3"/>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CF46" i="3" s="1"/>
  <c r="K65" i="3"/>
  <c r="K63" i="3"/>
  <c r="L45" i="3"/>
  <c r="K22" i="3"/>
  <c r="L60" i="3"/>
  <c r="CF34" i="3" s="1"/>
  <c r="K46" i="3"/>
  <c r="L23" i="3"/>
  <c r="L25" i="3"/>
  <c r="K24" i="3"/>
  <c r="L46" i="3"/>
  <c r="L48" i="3"/>
  <c r="K38" i="3"/>
  <c r="K69" i="3"/>
  <c r="L41" i="3"/>
  <c r="L70" i="3"/>
  <c r="K68" i="3"/>
  <c r="K56" i="3"/>
  <c r="L20" i="3"/>
  <c r="L32" i="3"/>
  <c r="CF21" i="3" s="1"/>
  <c r="L22" i="3"/>
  <c r="CF17" i="3" s="1"/>
  <c r="K8" i="3"/>
  <c r="K28" i="3"/>
  <c r="L28" i="3"/>
  <c r="CF18" i="3" s="1"/>
  <c r="L55" i="3"/>
  <c r="K33" i="3"/>
  <c r="K32" i="3"/>
  <c r="L72" i="3"/>
  <c r="K6" i="3"/>
  <c r="CF7" i="3" s="1"/>
  <c r="L13" i="3"/>
  <c r="CF12" i="3" s="1"/>
  <c r="K40" i="3"/>
  <c r="L8" i="3"/>
  <c r="K16" i="3"/>
  <c r="K7" i="3"/>
  <c r="CF8" i="3" s="1"/>
  <c r="K64" i="3"/>
  <c r="CF36" i="3" s="1"/>
  <c r="L39" i="3"/>
  <c r="L29" i="3"/>
  <c r="CF20" i="3" s="1"/>
  <c r="L71" i="3"/>
  <c r="K73" i="3"/>
  <c r="CF40" i="3" s="1"/>
  <c r="L6" i="3"/>
  <c r="CF31" i="3" s="1"/>
  <c r="K53" i="3"/>
  <c r="L4" i="3"/>
  <c r="L64" i="3"/>
  <c r="CF35" i="3" s="1"/>
  <c r="L54" i="3"/>
  <c r="CF30" i="3" s="1"/>
  <c r="K88" i="3"/>
  <c r="K87" i="3"/>
  <c r="CF47" i="3" s="1"/>
  <c r="K61" i="3"/>
  <c r="CF37" i="3" s="1"/>
  <c r="L47" i="3"/>
  <c r="CF49" i="3"/>
  <c r="CF45" i="3"/>
  <c r="CF16" i="3"/>
  <c r="CF32" i="3"/>
  <c r="CF53" i="3"/>
  <c r="CF19" i="3"/>
  <c r="E9" i="51"/>
  <c r="CF51" i="3"/>
  <c r="CF26" i="3"/>
  <c r="B46" i="51"/>
  <c r="B47" i="51" s="1"/>
  <c r="E10" i="51"/>
  <c r="E12" i="51"/>
  <c r="E11" i="51"/>
  <c r="CF25" i="3" l="1"/>
  <c r="CF27" i="3"/>
  <c r="CF33" i="3"/>
  <c r="CF38" i="3"/>
  <c r="CF29" i="3"/>
  <c r="CF42" i="3"/>
  <c r="CF24" i="3"/>
  <c r="CF28" i="3"/>
  <c r="CF14" i="3"/>
  <c r="CF6" i="3"/>
  <c r="E31" i="48"/>
  <c r="F30" i="48" a="1"/>
  <c r="F30" i="48" s="1"/>
  <c r="CF10" i="3"/>
  <c r="CF48" i="3"/>
  <c r="CF15" i="3"/>
  <c r="CF39" i="3"/>
  <c r="CF9" i="3"/>
  <c r="CF41" i="3"/>
  <c r="F12" i="51"/>
  <c r="F10" i="51"/>
  <c r="F11" i="51" s="1"/>
  <c r="F9" i="51"/>
  <c r="F8" i="51"/>
  <c r="E32" i="48" l="1"/>
  <c r="F31" i="48" a="1"/>
  <c r="F31" i="48" s="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F32" i="48" l="1" a="1"/>
  <c r="F32" i="48" s="1"/>
  <c r="E33" i="48"/>
  <c r="CH48" i="3"/>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9" i="3" l="1"/>
  <c r="N71" i="3"/>
  <c r="O86" i="3"/>
  <c r="O48" i="3"/>
  <c r="O46" i="3"/>
  <c r="O25" i="3"/>
  <c r="F33" i="48" a="1"/>
  <c r="F33" i="48" s="1"/>
  <c r="E34" i="48"/>
  <c r="O88" i="3"/>
  <c r="O93" i="3"/>
  <c r="O78" i="3"/>
  <c r="O53" i="3"/>
  <c r="N96" i="3"/>
  <c r="O80" i="3"/>
  <c r="N47" i="3"/>
  <c r="O22" i="3"/>
  <c r="CJ17" i="3" s="1"/>
  <c r="N84" i="3"/>
  <c r="O97" i="3"/>
  <c r="O16" i="3"/>
  <c r="N15" i="3"/>
  <c r="CJ12" i="3" s="1"/>
  <c r="O15" i="3"/>
  <c r="CJ10" i="3" s="1"/>
  <c r="O61" i="3"/>
  <c r="CK36" i="3" s="1"/>
  <c r="CJ37" i="3"/>
  <c r="N13" i="3"/>
  <c r="N65" i="3"/>
  <c r="O69" i="3"/>
  <c r="O62" i="3"/>
  <c r="N55" i="3"/>
  <c r="O20" i="3"/>
  <c r="O64" i="3"/>
  <c r="N5" i="3"/>
  <c r="O14" i="3"/>
  <c r="CJ13" i="3" s="1"/>
  <c r="N93" i="3"/>
  <c r="CJ53" i="3" s="1"/>
  <c r="N33" i="3"/>
  <c r="N52" i="3"/>
  <c r="O57" i="3"/>
  <c r="N17" i="3"/>
  <c r="CI12" i="3" s="1"/>
  <c r="O31" i="3"/>
  <c r="O84" i="3"/>
  <c r="O45" i="3"/>
  <c r="CJ28" i="3" s="1"/>
  <c r="N9" i="3"/>
  <c r="O52" i="3"/>
  <c r="N80" i="3"/>
  <c r="O55" i="3"/>
  <c r="O81" i="3"/>
  <c r="N76" i="3"/>
  <c r="O29" i="3"/>
  <c r="O71" i="3"/>
  <c r="N69" i="3"/>
  <c r="CI41" i="3" s="1"/>
  <c r="O37" i="3"/>
  <c r="CI24" i="3" s="1"/>
  <c r="O60" i="3"/>
  <c r="O47" i="3"/>
  <c r="CK29" i="3" s="1"/>
  <c r="N8" i="3"/>
  <c r="N31" i="3"/>
  <c r="N48" i="3"/>
  <c r="CK28" i="3" s="1"/>
  <c r="O54" i="3"/>
  <c r="CK30" i="3" s="1"/>
  <c r="N16" i="3"/>
  <c r="CI10" i="3" s="1"/>
  <c r="O56" i="3"/>
  <c r="O38" i="3"/>
  <c r="CJ22" i="3" s="1"/>
  <c r="N73" i="3"/>
  <c r="N24" i="3"/>
  <c r="N64" i="3"/>
  <c r="O5" i="3"/>
  <c r="O70" i="3"/>
  <c r="CJ38" i="3" s="1"/>
  <c r="N39" i="3"/>
  <c r="O40" i="3"/>
  <c r="O13" i="3"/>
  <c r="CK12" i="3" s="1"/>
  <c r="N22" i="3"/>
  <c r="N89" i="3"/>
  <c r="O4" i="3"/>
  <c r="N62" i="3"/>
  <c r="O92" i="3"/>
  <c r="CK50" i="3" s="1"/>
  <c r="N60" i="3"/>
  <c r="CK35" i="3" s="1"/>
  <c r="O41" i="3"/>
  <c r="N36" i="3"/>
  <c r="N4" i="3"/>
  <c r="N92" i="3"/>
  <c r="O76" i="3"/>
  <c r="CK42" i="3" s="1"/>
  <c r="N79" i="3"/>
  <c r="N81" i="3"/>
  <c r="N46" i="3"/>
  <c r="CI28" i="3" s="1"/>
  <c r="N68" i="3"/>
  <c r="O49" i="3"/>
  <c r="CI29" i="3" s="1"/>
  <c r="O32" i="3"/>
  <c r="N23" i="3"/>
  <c r="N70" i="3"/>
  <c r="N20" i="3"/>
  <c r="CK15" i="3" s="1"/>
  <c r="N30" i="3"/>
  <c r="O39" i="3"/>
  <c r="N29" i="3"/>
  <c r="N40" i="3"/>
  <c r="CK24" i="3" s="1"/>
  <c r="O8" i="3"/>
  <c r="CK27" i="3" s="1"/>
  <c r="O33" i="3"/>
  <c r="N94" i="3"/>
  <c r="O9" i="3"/>
  <c r="CJ7" i="3" s="1"/>
  <c r="O23" i="3"/>
  <c r="O95" i="3"/>
  <c r="N87" i="3"/>
  <c r="N88" i="3"/>
  <c r="CJ51" i="3"/>
  <c r="CJ19" i="3"/>
  <c r="CJ30" i="3"/>
  <c r="CK45" i="3"/>
  <c r="CJ45" i="3"/>
  <c r="CJ42" i="3"/>
  <c r="CK6" i="3"/>
  <c r="CK33" i="3"/>
  <c r="CJ52" i="3"/>
  <c r="CJ32" i="3"/>
  <c r="CI15" i="3"/>
  <c r="CK48" i="3"/>
  <c r="CJ29" i="3"/>
  <c r="CI33" i="3"/>
  <c r="CK37" i="3"/>
  <c r="CK44" i="3"/>
  <c r="CK51" i="3"/>
  <c r="CJ21" i="3"/>
  <c r="CJ49" i="3"/>
  <c r="CI32" i="3"/>
  <c r="CJ43" i="3"/>
  <c r="CI47" i="3"/>
  <c r="CK18" i="3"/>
  <c r="CI49" i="3"/>
  <c r="CI17" i="3"/>
  <c r="CK53" i="3"/>
  <c r="CI31" i="3"/>
  <c r="CJ11" i="3"/>
  <c r="CK13" i="3"/>
  <c r="CI35" i="3"/>
  <c r="CI18" i="3"/>
  <c r="CK23" i="3"/>
  <c r="CK19" i="3"/>
  <c r="CI46" i="3"/>
  <c r="CI20" i="3"/>
  <c r="CI26"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J9" i="3"/>
  <c r="CK10" i="3"/>
  <c r="CJ50" i="3"/>
  <c r="CJ47" i="3"/>
  <c r="CK16" i="3"/>
  <c r="CJ18" i="3"/>
  <c r="CI36" i="3"/>
  <c r="CK20" i="3"/>
  <c r="CI21" i="3"/>
  <c r="CI19" i="3"/>
  <c r="CK39" i="3"/>
  <c r="CK14" i="3"/>
  <c r="CI34" i="3"/>
  <c r="CJ16" i="3"/>
  <c r="CJ48" i="3"/>
  <c r="CI50" i="3"/>
  <c r="CI39" i="3"/>
  <c r="CI37" i="3"/>
  <c r="CI42" i="3"/>
  <c r="CI30" i="3"/>
  <c r="CJ35" i="3"/>
  <c r="CK11" i="3"/>
  <c r="CI52" i="3"/>
  <c r="CK34" i="3"/>
  <c r="CK32" i="3"/>
  <c r="CI48" i="3"/>
  <c r="CI13" i="3"/>
  <c r="CK21" i="3"/>
  <c r="CJ6" i="3"/>
  <c r="CJ24" i="3"/>
  <c r="CJ8" i="3"/>
  <c r="CJ39" i="3"/>
  <c r="CJ23" i="3"/>
  <c r="CJ25" i="3"/>
  <c r="CJ36" i="3"/>
  <c r="CJ34" i="3"/>
  <c r="CJ27" i="3"/>
  <c r="CJ26" i="3"/>
  <c r="CJ41" i="3"/>
  <c r="CK7" i="3" l="1"/>
  <c r="CI14" i="3"/>
  <c r="CI8" i="3"/>
  <c r="CL8" i="3" s="1"/>
  <c r="CK9" i="3"/>
  <c r="CI6" i="3"/>
  <c r="CL6" i="3" s="1"/>
  <c r="F34" i="48" a="1"/>
  <c r="F34" i="48" s="1"/>
  <c r="E35" i="48"/>
  <c r="CL32" i="3"/>
  <c r="CL42" i="3"/>
  <c r="CL41" i="3"/>
  <c r="CL53" i="3"/>
  <c r="CJ14" i="3"/>
  <c r="CL30" i="3"/>
  <c r="CL28" i="3"/>
  <c r="CL13" i="3"/>
  <c r="CL11" i="3"/>
  <c r="CL35" i="3"/>
  <c r="CL19" i="3"/>
  <c r="CJ40" i="3"/>
  <c r="CL40" i="3" s="1"/>
  <c r="CL9" i="3"/>
  <c r="CL50" i="3"/>
  <c r="CL48" i="3"/>
  <c r="CL49" i="3"/>
  <c r="CL37" i="3"/>
  <c r="CL29" i="3"/>
  <c r="CL23" i="3"/>
  <c r="CL25" i="3"/>
  <c r="CL15" i="3"/>
  <c r="CL12" i="3"/>
  <c r="CL10" i="3"/>
  <c r="CL24" i="3"/>
  <c r="CL45" i="3"/>
  <c r="CL43" i="3"/>
  <c r="CL38" i="3"/>
  <c r="CL22" i="3"/>
  <c r="CL7" i="3"/>
  <c r="CL27" i="3"/>
  <c r="CL26" i="3"/>
  <c r="CL52" i="3"/>
  <c r="CL51" i="3"/>
  <c r="CL34" i="3"/>
  <c r="CL36" i="3"/>
  <c r="CL39" i="3"/>
  <c r="CL46" i="3"/>
  <c r="CL31" i="3"/>
  <c r="CL33" i="3"/>
  <c r="CL16" i="3"/>
  <c r="CL17" i="3"/>
  <c r="CL44" i="3"/>
  <c r="CL18" i="3"/>
  <c r="CL21" i="3"/>
  <c r="CL20" i="3"/>
  <c r="CL47" i="3"/>
  <c r="CL14" i="3" l="1"/>
  <c r="CM15" i="3" s="1"/>
  <c r="F35" i="48" a="1"/>
  <c r="F35" i="48" s="1"/>
  <c r="E36" i="48"/>
  <c r="CM32" i="3" l="1"/>
  <c r="CM43" i="3"/>
  <c r="CM22" i="3"/>
  <c r="CM6" i="3"/>
  <c r="CM12" i="3"/>
  <c r="CM28" i="3"/>
  <c r="CM24" i="3"/>
  <c r="CM7" i="3"/>
  <c r="CM8" i="3"/>
  <c r="CM9" i="3"/>
  <c r="CM10" i="3"/>
  <c r="CM29" i="3"/>
  <c r="CM30" i="3"/>
  <c r="CM44" i="3"/>
  <c r="CM48" i="3"/>
  <c r="CM17" i="3"/>
  <c r="CM39" i="3"/>
  <c r="CM38" i="3"/>
  <c r="CM27" i="3"/>
  <c r="CM52" i="3"/>
  <c r="CM11" i="3"/>
  <c r="CM53" i="3"/>
  <c r="CM16" i="3"/>
  <c r="CM51" i="3"/>
  <c r="CM47" i="3"/>
  <c r="CM49" i="3"/>
  <c r="CM33" i="3"/>
  <c r="CM50" i="3"/>
  <c r="CM46" i="3"/>
  <c r="CM13" i="3"/>
  <c r="CM41" i="3"/>
  <c r="CM23" i="3"/>
  <c r="CM19" i="3"/>
  <c r="CM34" i="3"/>
  <c r="CM35" i="3"/>
  <c r="CM42" i="3"/>
  <c r="CM31" i="3"/>
  <c r="CM25" i="3"/>
  <c r="CM40" i="3"/>
  <c r="CM21" i="3"/>
  <c r="CM45" i="3"/>
  <c r="CM26" i="3"/>
  <c r="CM18" i="3"/>
  <c r="CM37" i="3"/>
  <c r="CM20" i="3"/>
  <c r="CM36" i="3"/>
  <c r="CM14" i="3"/>
  <c r="F36" i="48" a="1"/>
  <c r="F36" i="48" s="1"/>
  <c r="E37" i="48"/>
  <c r="CN51" i="3" l="1"/>
  <c r="R95" i="3" s="1"/>
  <c r="CN32" i="3"/>
  <c r="R54" i="3" s="1"/>
  <c r="CN52" i="3"/>
  <c r="R97" i="3" s="1"/>
  <c r="CN29" i="3"/>
  <c r="R45" i="3" s="1"/>
  <c r="CN33" i="3"/>
  <c r="Q57" i="3" s="1"/>
  <c r="CN39" i="3"/>
  <c r="R71" i="3" s="1"/>
  <c r="CN45" i="3"/>
  <c r="Q81" i="3" s="1"/>
  <c r="CN22" i="3"/>
  <c r="Q38" i="3" s="1"/>
  <c r="CN53" i="3"/>
  <c r="Q96" i="3" s="1"/>
  <c r="CN36" i="3"/>
  <c r="Q61" i="3" s="1"/>
  <c r="CN28" i="3"/>
  <c r="R46" i="3" s="1"/>
  <c r="CN43" i="3"/>
  <c r="Q80" i="3" s="1"/>
  <c r="CN10" i="3"/>
  <c r="Q15" i="3" s="1"/>
  <c r="CN35" i="3"/>
  <c r="R60" i="3" s="1"/>
  <c r="CN49" i="3"/>
  <c r="Q88" i="3" s="1"/>
  <c r="CN9" i="3"/>
  <c r="R5" i="3" s="1"/>
  <c r="CN38" i="3"/>
  <c r="Q68" i="3" s="1"/>
  <c r="CN14" i="3"/>
  <c r="Q23" i="3" s="1"/>
  <c r="CN8" i="3"/>
  <c r="R9" i="3" s="1"/>
  <c r="CN24" i="3"/>
  <c r="R40" i="3" s="1"/>
  <c r="CN23" i="3"/>
  <c r="Q40" i="3" s="1"/>
  <c r="CN7" i="3"/>
  <c r="R4" i="3" s="1"/>
  <c r="CN34" i="3"/>
  <c r="Q60" i="3" s="1"/>
  <c r="CN25" i="3"/>
  <c r="Q41" i="3" s="1"/>
  <c r="CN21" i="3"/>
  <c r="Q32" i="3" s="1"/>
  <c r="CN37" i="3"/>
  <c r="Q65" i="3" s="1"/>
  <c r="CN27" i="3"/>
  <c r="R44" i="3" s="1"/>
  <c r="CN47" i="3"/>
  <c r="R84" i="3" s="1"/>
  <c r="CN26" i="3"/>
  <c r="Q44" i="3" s="1"/>
  <c r="CN40" i="3"/>
  <c r="R70" i="3" s="1"/>
  <c r="CN31" i="3"/>
  <c r="Q56" i="3" s="1"/>
  <c r="CN30" i="3"/>
  <c r="Q54" i="3" s="1"/>
  <c r="CN16" i="3"/>
  <c r="R25" i="3" s="1"/>
  <c r="CN6" i="3"/>
  <c r="R8" i="3" s="1"/>
  <c r="CN50" i="3"/>
  <c r="Q92" i="3" s="1"/>
  <c r="CN11" i="3"/>
  <c r="R14" i="3" s="1"/>
  <c r="CN48" i="3"/>
  <c r="R86" i="3" s="1"/>
  <c r="CN44" i="3"/>
  <c r="R80" i="3" s="1"/>
  <c r="CN17" i="3"/>
  <c r="Q24" i="3" s="1"/>
  <c r="CN12" i="3"/>
  <c r="R15" i="3" s="1"/>
  <c r="CN42" i="3"/>
  <c r="Q76" i="3" s="1"/>
  <c r="CN13" i="3"/>
  <c r="R13" i="3" s="1"/>
  <c r="CN19" i="3"/>
  <c r="Q33" i="3" s="1"/>
  <c r="CN46" i="3"/>
  <c r="Q86" i="3" s="1"/>
  <c r="CN15" i="3"/>
  <c r="R22" i="3" s="1"/>
  <c r="CN18" i="3"/>
  <c r="Q30" i="3" s="1"/>
  <c r="CN20" i="3"/>
  <c r="R33" i="3" s="1"/>
  <c r="CN41" i="3"/>
  <c r="Q71" i="3" s="1"/>
  <c r="F37" i="48" a="1"/>
  <c r="F37" i="48" s="1"/>
  <c r="E38" i="48"/>
  <c r="R94" i="3"/>
  <c r="Q97" i="3"/>
  <c r="R92" i="3"/>
  <c r="Q93" i="3" l="1"/>
  <c r="R24" i="3"/>
  <c r="Q79" i="3"/>
  <c r="Q95" i="3"/>
  <c r="CO51" i="3" s="1"/>
  <c r="R56" i="3"/>
  <c r="Q53" i="3"/>
  <c r="Q49" i="3"/>
  <c r="R65" i="3"/>
  <c r="Q52" i="3"/>
  <c r="R55" i="3"/>
  <c r="Q87" i="3"/>
  <c r="R85" i="3"/>
  <c r="R87" i="3"/>
  <c r="R76" i="3"/>
  <c r="R93" i="3"/>
  <c r="R88" i="3"/>
  <c r="CP49" i="3" s="1"/>
  <c r="R79" i="3"/>
  <c r="R62" i="3"/>
  <c r="Q89" i="3"/>
  <c r="Q84" i="3"/>
  <c r="R77" i="3"/>
  <c r="R57" i="3"/>
  <c r="R96" i="3"/>
  <c r="Q94" i="3"/>
  <c r="Q47" i="3"/>
  <c r="R69" i="3"/>
  <c r="Q72" i="3"/>
  <c r="Q62" i="3"/>
  <c r="Q85" i="3"/>
  <c r="Q77" i="3"/>
  <c r="Q73" i="3"/>
  <c r="R78" i="3"/>
  <c r="R68" i="3"/>
  <c r="Q9" i="3"/>
  <c r="R89" i="3"/>
  <c r="R52" i="3"/>
  <c r="R72" i="3"/>
  <c r="CO41" i="3" s="1"/>
  <c r="Q64" i="3"/>
  <c r="CO36" i="3" s="1"/>
  <c r="R63" i="3"/>
  <c r="R49" i="3"/>
  <c r="R73" i="3"/>
  <c r="CO39" i="3" s="1"/>
  <c r="Q12" i="3"/>
  <c r="R16" i="3"/>
  <c r="Q39" i="3"/>
  <c r="Q46" i="3"/>
  <c r="Q69" i="3"/>
  <c r="Q70" i="3"/>
  <c r="R39" i="3"/>
  <c r="R64" i="3"/>
  <c r="R61" i="3"/>
  <c r="R36" i="3"/>
  <c r="Q78" i="3"/>
  <c r="Q63" i="3"/>
  <c r="R41" i="3"/>
  <c r="R81" i="3"/>
  <c r="R37" i="3"/>
  <c r="CO24" i="3" s="1"/>
  <c r="Q36" i="3"/>
  <c r="CP23" i="3" s="1"/>
  <c r="Q13" i="3"/>
  <c r="R29" i="3"/>
  <c r="R53" i="3"/>
  <c r="Q55" i="3"/>
  <c r="Q48" i="3"/>
  <c r="R47" i="3"/>
  <c r="R17" i="3"/>
  <c r="CP11" i="3" s="1"/>
  <c r="R48" i="3"/>
  <c r="Q45" i="3"/>
  <c r="Q31" i="3"/>
  <c r="Q5" i="3"/>
  <c r="Q20" i="3"/>
  <c r="R7" i="3"/>
  <c r="R21" i="3"/>
  <c r="Q17" i="3"/>
  <c r="CO12" i="3" s="1"/>
  <c r="Q37" i="3"/>
  <c r="R38" i="3"/>
  <c r="CO38" i="3"/>
  <c r="R28" i="3"/>
  <c r="Q14" i="3"/>
  <c r="Q6" i="3"/>
  <c r="Q29" i="3"/>
  <c r="Q8" i="3"/>
  <c r="R30" i="3"/>
  <c r="R6" i="3"/>
  <c r="CP27" i="3"/>
  <c r="Q16" i="3"/>
  <c r="Q22" i="3"/>
  <c r="Q28" i="3"/>
  <c r="R23" i="3"/>
  <c r="R31" i="3"/>
  <c r="CP21" i="3" s="1"/>
  <c r="Q21" i="3"/>
  <c r="R32" i="3"/>
  <c r="Q25" i="3"/>
  <c r="R20" i="3"/>
  <c r="Q4" i="3"/>
  <c r="Q7" i="3"/>
  <c r="R12" i="3"/>
  <c r="CP30" i="3"/>
  <c r="F38" i="48" a="1"/>
  <c r="F38" i="48" s="1"/>
  <c r="E39" i="48"/>
  <c r="CO40" i="3"/>
  <c r="CP51" i="3"/>
  <c r="CP36" i="3"/>
  <c r="CO19" i="3"/>
  <c r="CP25" i="3"/>
  <c r="CO26" i="3"/>
  <c r="CO21" i="3"/>
  <c r="CO23" i="3"/>
  <c r="CP39" i="3"/>
  <c r="CO27" i="3"/>
  <c r="CP26" i="3"/>
  <c r="CO25" i="3"/>
  <c r="CP34" i="3"/>
  <c r="CP52" i="3"/>
  <c r="CO52" i="3"/>
  <c r="CP35" i="3"/>
  <c r="CO53" i="3"/>
  <c r="CO15" i="3"/>
  <c r="CP44" i="3"/>
  <c r="CP13" i="3"/>
  <c r="CP45" i="3"/>
  <c r="CP40" i="3"/>
  <c r="CO35" i="3"/>
  <c r="CP18" i="3"/>
  <c r="CP46" i="3"/>
  <c r="CP16" i="3"/>
  <c r="CP47" i="3"/>
  <c r="CO16" i="3"/>
  <c r="CO46" i="3"/>
  <c r="CO49" i="3"/>
  <c r="CO45" i="3"/>
  <c r="CP37" i="3"/>
  <c r="CP50" i="3"/>
  <c r="CO13" i="3"/>
  <c r="CO42" i="3"/>
  <c r="CP31" i="3"/>
  <c r="CO17" i="3"/>
  <c r="CO50" i="3"/>
  <c r="CP48" i="3"/>
  <c r="CP32" i="3"/>
  <c r="CP17" i="3"/>
  <c r="CO18" i="3"/>
  <c r="CO20" i="3"/>
  <c r="CP53" i="3"/>
  <c r="CO44" i="3"/>
  <c r="CP33" i="3"/>
  <c r="CO43" i="3"/>
  <c r="CO32" i="3"/>
  <c r="CP41" i="3"/>
  <c r="CP15" i="3"/>
  <c r="CO34" i="3"/>
  <c r="CP14" i="3"/>
  <c r="CP43" i="3"/>
  <c r="CP20" i="3"/>
  <c r="CP19" i="3"/>
  <c r="CP38" i="3"/>
  <c r="CO30" i="3"/>
  <c r="CO31" i="3"/>
  <c r="CO48" i="3"/>
  <c r="CO37" i="3"/>
  <c r="CO47" i="3"/>
  <c r="CP42" i="3"/>
  <c r="CO14" i="3"/>
  <c r="CO33" i="3"/>
  <c r="CQ51" i="3" l="1"/>
  <c r="CQ27" i="3"/>
  <c r="CQ39" i="3"/>
  <c r="CO11" i="3"/>
  <c r="CQ11" i="3" s="1"/>
  <c r="CQ30" i="3"/>
  <c r="CO6" i="3"/>
  <c r="CP24" i="3"/>
  <c r="CQ24" i="3" s="1"/>
  <c r="CP28" i="3"/>
  <c r="CP9" i="3"/>
  <c r="CP6" i="3"/>
  <c r="CP7" i="3"/>
  <c r="CO28" i="3"/>
  <c r="CP29" i="3"/>
  <c r="CP8" i="3"/>
  <c r="CO29" i="3"/>
  <c r="CO7" i="3"/>
  <c r="CO22" i="3"/>
  <c r="CP22" i="3"/>
  <c r="CO10" i="3"/>
  <c r="CP10" i="3"/>
  <c r="CO9" i="3"/>
  <c r="CP12" i="3"/>
  <c r="CQ12" i="3" s="1"/>
  <c r="CQ38" i="3"/>
  <c r="CO8" i="3"/>
  <c r="F39" i="48" a="1"/>
  <c r="F39" i="48" s="1"/>
  <c r="E40" i="48"/>
  <c r="CQ15" i="3"/>
  <c r="CQ40" i="3"/>
  <c r="CQ47" i="3"/>
  <c r="CQ44" i="3"/>
  <c r="CQ14" i="3"/>
  <c r="CQ32" i="3"/>
  <c r="CQ50" i="3"/>
  <c r="CQ48" i="3"/>
  <c r="CQ53" i="3"/>
  <c r="CQ49" i="3"/>
  <c r="CQ46" i="3"/>
  <c r="CQ33" i="3"/>
  <c r="CQ31" i="3"/>
  <c r="CQ13" i="3"/>
  <c r="CQ19" i="3"/>
  <c r="CQ16" i="3"/>
  <c r="CQ35" i="3"/>
  <c r="CQ45" i="3"/>
  <c r="CQ36" i="3"/>
  <c r="CQ25" i="3"/>
  <c r="CQ26" i="3"/>
  <c r="CQ21" i="3"/>
  <c r="CQ23" i="3"/>
  <c r="CQ41" i="3"/>
  <c r="CQ34" i="3"/>
  <c r="CQ52" i="3"/>
  <c r="CQ42" i="3"/>
  <c r="CQ43" i="3"/>
  <c r="CQ17" i="3"/>
  <c r="CQ37" i="3"/>
  <c r="CQ20" i="3"/>
  <c r="CQ18" i="3"/>
  <c r="CQ6" i="3" l="1"/>
  <c r="CQ28" i="3"/>
  <c r="CQ9" i="3"/>
  <c r="CQ29" i="3"/>
  <c r="CQ7" i="3"/>
  <c r="CQ8" i="3"/>
  <c r="CQ22" i="3"/>
  <c r="CQ10" i="3"/>
  <c r="E41" i="48"/>
  <c r="F40" i="48" a="1"/>
  <c r="F40" i="48" s="1"/>
  <c r="CR30" i="3" l="1"/>
  <c r="CR38" i="3"/>
  <c r="CR52" i="3"/>
  <c r="CR35" i="3"/>
  <c r="CR41" i="3"/>
  <c r="CR48" i="3"/>
  <c r="CR27" i="3"/>
  <c r="CR19" i="3"/>
  <c r="CR25" i="3"/>
  <c r="CR39" i="3"/>
  <c r="CR40" i="3"/>
  <c r="CR43" i="3"/>
  <c r="CR14" i="3"/>
  <c r="CR53" i="3"/>
  <c r="CR26" i="3"/>
  <c r="CR15" i="3"/>
  <c r="CR31" i="3"/>
  <c r="CR50" i="3"/>
  <c r="CR49" i="3"/>
  <c r="CR23" i="3"/>
  <c r="CR37" i="3"/>
  <c r="CR34" i="3"/>
  <c r="CR44" i="3"/>
  <c r="CR16" i="3"/>
  <c r="CR20" i="3"/>
  <c r="CR45" i="3"/>
  <c r="CR33" i="3"/>
  <c r="CR47" i="3"/>
  <c r="CR36" i="3"/>
  <c r="CR13" i="3"/>
  <c r="CR11" i="3"/>
  <c r="CR17" i="3"/>
  <c r="CR42" i="3"/>
  <c r="CR46" i="3"/>
  <c r="CR32" i="3"/>
  <c r="CR51" i="3"/>
  <c r="CR21" i="3"/>
  <c r="CR18" i="3"/>
  <c r="CR6" i="3"/>
  <c r="CR8" i="3"/>
  <c r="CR7" i="3"/>
  <c r="CR9" i="3"/>
  <c r="CR29" i="3"/>
  <c r="CR24" i="3"/>
  <c r="CR28" i="3"/>
  <c r="CR12" i="3"/>
  <c r="CR10" i="3"/>
  <c r="CR22" i="3"/>
  <c r="F41" i="48" a="1"/>
  <c r="F41" i="48" s="1"/>
  <c r="E42" i="48"/>
  <c r="CS25" i="3" l="1"/>
  <c r="T41" i="3" s="1"/>
  <c r="CS24" i="3"/>
  <c r="U40" i="3" s="1"/>
  <c r="CS42" i="3"/>
  <c r="T78" i="3" s="1"/>
  <c r="CS32" i="3"/>
  <c r="U54" i="3" s="1"/>
  <c r="CS53" i="3"/>
  <c r="T96" i="3" s="1"/>
  <c r="CS40" i="3"/>
  <c r="T69" i="3" s="1"/>
  <c r="CS23" i="3"/>
  <c r="U36" i="3" s="1"/>
  <c r="CS47" i="3"/>
  <c r="U87" i="3" s="1"/>
  <c r="CS52" i="3"/>
  <c r="U97" i="3" s="1"/>
  <c r="CS39" i="3"/>
  <c r="U71" i="3" s="1"/>
  <c r="CS34" i="3"/>
  <c r="T60" i="3" s="1"/>
  <c r="CS50" i="3"/>
  <c r="T92" i="3" s="1"/>
  <c r="CS16" i="3"/>
  <c r="U25" i="3" s="1"/>
  <c r="CS45" i="3"/>
  <c r="T79" i="3" s="1"/>
  <c r="CS9" i="3"/>
  <c r="U5" i="3" s="1"/>
  <c r="CS46" i="3"/>
  <c r="U88" i="3" s="1"/>
  <c r="CS31" i="3"/>
  <c r="T56" i="3" s="1"/>
  <c r="CS36" i="3"/>
  <c r="U64" i="3" s="1"/>
  <c r="CS19" i="3"/>
  <c r="U28" i="3" s="1"/>
  <c r="CS18" i="3"/>
  <c r="U32" i="3" s="1"/>
  <c r="CS37" i="3"/>
  <c r="T63" i="3" s="1"/>
  <c r="CS41" i="3"/>
  <c r="T71" i="3" s="1"/>
  <c r="CS29" i="3"/>
  <c r="T47" i="3" s="1"/>
  <c r="CS20" i="3"/>
  <c r="U30" i="3" s="1"/>
  <c r="CS44" i="3"/>
  <c r="U80" i="3" s="1"/>
  <c r="CS48" i="3"/>
  <c r="T85" i="3" s="1"/>
  <c r="CS49" i="3"/>
  <c r="T88" i="3" s="1"/>
  <c r="CS28" i="3"/>
  <c r="U48" i="3" s="1"/>
  <c r="CS15" i="3"/>
  <c r="T25" i="3" s="1"/>
  <c r="CS33" i="3"/>
  <c r="U53" i="3" s="1"/>
  <c r="CS35" i="3"/>
  <c r="U60" i="3" s="1"/>
  <c r="CS30" i="3"/>
  <c r="T54" i="3" s="1"/>
  <c r="CS51" i="3"/>
  <c r="T97" i="3" s="1"/>
  <c r="CS17" i="3"/>
  <c r="T22" i="3" s="1"/>
  <c r="CS12" i="3"/>
  <c r="U15" i="3" s="1"/>
  <c r="CS11" i="3"/>
  <c r="U14" i="3" s="1"/>
  <c r="CS22" i="3"/>
  <c r="U41" i="3" s="1"/>
  <c r="CS21" i="3"/>
  <c r="U29" i="3" s="1"/>
  <c r="CS26" i="3"/>
  <c r="T46" i="3" s="1"/>
  <c r="CS27" i="3"/>
  <c r="U44" i="3" s="1"/>
  <c r="CS38" i="3"/>
  <c r="T70" i="3" s="1"/>
  <c r="CS7" i="3"/>
  <c r="U4" i="3" s="1"/>
  <c r="CS14" i="3"/>
  <c r="T23" i="3" s="1"/>
  <c r="CS8" i="3"/>
  <c r="U7" i="3" s="1"/>
  <c r="CS10" i="3"/>
  <c r="T12" i="3" s="1"/>
  <c r="CS43" i="3"/>
  <c r="U76" i="3" s="1"/>
  <c r="CS6" i="3"/>
  <c r="T4" i="3" s="1"/>
  <c r="CS13" i="3"/>
  <c r="T14" i="3" s="1"/>
  <c r="E43" i="48"/>
  <c r="F43" i="48" s="1" a="1"/>
  <c r="F43" i="48" s="1"/>
  <c r="F42" i="48" a="1"/>
  <c r="F42" i="48" s="1"/>
  <c r="U56" i="3" l="1"/>
  <c r="T39" i="3"/>
  <c r="U37" i="3"/>
  <c r="U81" i="3"/>
  <c r="U52" i="3"/>
  <c r="U55" i="3"/>
  <c r="U95" i="3"/>
  <c r="U92" i="3"/>
  <c r="U73" i="3"/>
  <c r="CT39" i="3" s="1"/>
  <c r="T28" i="3"/>
  <c r="T61" i="3"/>
  <c r="U84" i="3"/>
  <c r="T37" i="3"/>
  <c r="U62" i="3"/>
  <c r="U38" i="3"/>
  <c r="CT22" i="3" s="1"/>
  <c r="T24" i="3"/>
  <c r="U21" i="3"/>
  <c r="T17" i="3"/>
  <c r="T53" i="3"/>
  <c r="T89" i="3"/>
  <c r="T95" i="3"/>
  <c r="T29" i="3"/>
  <c r="U33" i="3"/>
  <c r="U47" i="3"/>
  <c r="T30" i="3"/>
  <c r="U12" i="3"/>
  <c r="U94" i="3"/>
  <c r="U70" i="3"/>
  <c r="U93" i="3"/>
  <c r="T72" i="3"/>
  <c r="U69" i="3"/>
  <c r="T31" i="3"/>
  <c r="CT19" i="3" s="1"/>
  <c r="U61" i="3"/>
  <c r="T57" i="3"/>
  <c r="U77" i="3"/>
  <c r="T32" i="3"/>
  <c r="T81" i="3"/>
  <c r="T55" i="3"/>
  <c r="U96" i="3"/>
  <c r="U46" i="3"/>
  <c r="T94" i="3"/>
  <c r="U86" i="3"/>
  <c r="T45" i="3"/>
  <c r="T5" i="3"/>
  <c r="T86" i="3"/>
  <c r="T52" i="3"/>
  <c r="U8" i="3"/>
  <c r="T64" i="3"/>
  <c r="U63" i="3"/>
  <c r="T84" i="3"/>
  <c r="T38" i="3"/>
  <c r="U68" i="3"/>
  <c r="U6" i="3"/>
  <c r="T20" i="3"/>
  <c r="T62" i="3"/>
  <c r="U65" i="3"/>
  <c r="U85" i="3"/>
  <c r="U24" i="3"/>
  <c r="U89" i="3"/>
  <c r="T73" i="3"/>
  <c r="T93" i="3"/>
  <c r="T87" i="3"/>
  <c r="U20" i="3"/>
  <c r="T6" i="3"/>
  <c r="U9" i="3"/>
  <c r="T8" i="3"/>
  <c r="CT6" i="3" s="1"/>
  <c r="U13" i="3"/>
  <c r="U72" i="3"/>
  <c r="U17" i="3"/>
  <c r="CT11" i="3" s="1"/>
  <c r="CT51" i="3"/>
  <c r="U49" i="3"/>
  <c r="T77" i="3"/>
  <c r="T7" i="3"/>
  <c r="U78" i="3"/>
  <c r="T48" i="3"/>
  <c r="U57" i="3"/>
  <c r="T44" i="3"/>
  <c r="T36" i="3"/>
  <c r="T68" i="3"/>
  <c r="T65" i="3"/>
  <c r="CT34" i="3" s="1"/>
  <c r="U79" i="3"/>
  <c r="T33" i="3"/>
  <c r="T49" i="3"/>
  <c r="T13" i="3"/>
  <c r="T76" i="3"/>
  <c r="U16" i="3"/>
  <c r="T15" i="3"/>
  <c r="U39" i="3"/>
  <c r="U22" i="3"/>
  <c r="CT17" i="3" s="1"/>
  <c r="T40" i="3"/>
  <c r="U45" i="3"/>
  <c r="CT28" i="3" s="1"/>
  <c r="T21" i="3"/>
  <c r="U31" i="3"/>
  <c r="CT21" i="3" s="1"/>
  <c r="T9" i="3"/>
  <c r="T16" i="3"/>
  <c r="U23" i="3"/>
  <c r="T80" i="3"/>
  <c r="CT16" i="3"/>
  <c r="CT26" i="3"/>
  <c r="CT30" i="3"/>
  <c r="CT35" i="3"/>
  <c r="CT20" i="3"/>
  <c r="CT43" i="3"/>
  <c r="CT38" i="3"/>
  <c r="CT46" i="3"/>
  <c r="CT40" i="3"/>
  <c r="CT23" i="3"/>
  <c r="CT25" i="3"/>
  <c r="CT41" i="3"/>
  <c r="CT44" i="3"/>
  <c r="CT36" i="3"/>
  <c r="CT49" i="3"/>
  <c r="CT15" i="3"/>
  <c r="CT27" i="3"/>
  <c r="CT45" i="3"/>
  <c r="CT31" i="3"/>
  <c r="CT42" i="3"/>
  <c r="CT53" i="3"/>
  <c r="CT37" i="3"/>
  <c r="CT52" i="3"/>
  <c r="CT50" i="3"/>
  <c r="CT32" i="3"/>
  <c r="CT13" i="3"/>
  <c r="CT33" i="3"/>
  <c r="CT47" i="3"/>
  <c r="CT14" i="3"/>
  <c r="CT48" i="3"/>
  <c r="CT18" i="3"/>
  <c r="CT10" i="3" l="1"/>
  <c r="CT8" i="3"/>
  <c r="CT29" i="3"/>
  <c r="CT24" i="3"/>
  <c r="CT9" i="3"/>
  <c r="CT7" i="3"/>
  <c r="CT12" i="3"/>
  <c r="CU42" i="3" l="1"/>
  <c r="CU26" i="3"/>
  <c r="CU6" i="3"/>
  <c r="CU13" i="3"/>
  <c r="CU11" i="3"/>
  <c r="CU40" i="3"/>
  <c r="CU18" i="3"/>
  <c r="CU53" i="3"/>
  <c r="CU44" i="3"/>
  <c r="CU33" i="3"/>
  <c r="CU51" i="3"/>
  <c r="CU15" i="3"/>
  <c r="CU17" i="3"/>
  <c r="CU14" i="3"/>
  <c r="CU16" i="3"/>
  <c r="CU43" i="3"/>
  <c r="CU31" i="3"/>
  <c r="CU20" i="3"/>
  <c r="CU34" i="3"/>
  <c r="CU36" i="3"/>
  <c r="CU32" i="3"/>
  <c r="CU30" i="3"/>
  <c r="CU46" i="3"/>
  <c r="CU21" i="3"/>
  <c r="CU19" i="3"/>
  <c r="CU25" i="3"/>
  <c r="CU45" i="3"/>
  <c r="CU41" i="3"/>
  <c r="CU39" i="3"/>
  <c r="CU38" i="3"/>
  <c r="CU23" i="3"/>
  <c r="CU47" i="3"/>
  <c r="CU49" i="3"/>
  <c r="CU52" i="3"/>
  <c r="CU27" i="3"/>
  <c r="CU48" i="3"/>
  <c r="CU35" i="3"/>
  <c r="CU50" i="3"/>
  <c r="CU37" i="3"/>
  <c r="CU8" i="3"/>
  <c r="CU12" i="3"/>
  <c r="CU7" i="3"/>
  <c r="CU22" i="3"/>
  <c r="CU10" i="3"/>
  <c r="CU9" i="3"/>
  <c r="CU24" i="3"/>
  <c r="CU28" i="3"/>
  <c r="CU29" i="3"/>
  <c r="CV21" i="3" l="1"/>
  <c r="CW21" i="3" s="1"/>
  <c r="CV44" i="3"/>
  <c r="CW44" i="3" s="1"/>
  <c r="CV48" i="3"/>
  <c r="CW48" i="3" s="1"/>
  <c r="CV19" i="3"/>
  <c r="CW19" i="3" s="1"/>
  <c r="CV24" i="3"/>
  <c r="CW24" i="3" s="1"/>
  <c r="CV37" i="3"/>
  <c r="CW37" i="3" s="1"/>
  <c r="CV8" i="3"/>
  <c r="CW8" i="3" s="1"/>
  <c r="CV51" i="3"/>
  <c r="CW51" i="3" s="1"/>
  <c r="CV32" i="3"/>
  <c r="CW32" i="3" s="1"/>
  <c r="CV30" i="3"/>
  <c r="CW30" i="3" s="1"/>
  <c r="CV18" i="3"/>
  <c r="CW18" i="3" s="1"/>
  <c r="CV52" i="3"/>
  <c r="CW52" i="3" s="1"/>
  <c r="CV43" i="3"/>
  <c r="CW43" i="3" s="1"/>
  <c r="CV53" i="3"/>
  <c r="CW53" i="3" s="1"/>
  <c r="CV26" i="3"/>
  <c r="CW26" i="3" s="1"/>
  <c r="CV50" i="3"/>
  <c r="CW50" i="3" s="1"/>
  <c r="CV31" i="3"/>
  <c r="CW31" i="3" s="1"/>
  <c r="CV17" i="3"/>
  <c r="CW17" i="3" s="1"/>
  <c r="CV12" i="3"/>
  <c r="CW12" i="3" s="1"/>
  <c r="CV6" i="3"/>
  <c r="CW6" i="3" s="1"/>
  <c r="CV41" i="3"/>
  <c r="CW41" i="3" s="1"/>
  <c r="CV45" i="3"/>
  <c r="CW45" i="3" s="1"/>
  <c r="CV23" i="3"/>
  <c r="CW23" i="3" s="1"/>
  <c r="CV42" i="3"/>
  <c r="CW42" i="3" s="1"/>
  <c r="CV38" i="3"/>
  <c r="CW38" i="3" s="1"/>
  <c r="CV20" i="3"/>
  <c r="CW20" i="3" s="1"/>
  <c r="CV29" i="3"/>
  <c r="CW29" i="3" s="1"/>
  <c r="CV15" i="3"/>
  <c r="CW15" i="3" s="1"/>
  <c r="CV27" i="3"/>
  <c r="CW27" i="3" s="1"/>
  <c r="CV10" i="3"/>
  <c r="CW10" i="3" s="1"/>
  <c r="CV22" i="3"/>
  <c r="CW22" i="3" s="1"/>
  <c r="CV39" i="3"/>
  <c r="CW39" i="3" s="1"/>
  <c r="CV36" i="3"/>
  <c r="CW36" i="3" s="1"/>
  <c r="CV33" i="3"/>
  <c r="CW33" i="3" s="1"/>
  <c r="CV47" i="3"/>
  <c r="CW47" i="3" s="1"/>
  <c r="CV9" i="3"/>
  <c r="CW9" i="3" s="1"/>
  <c r="CV34" i="3"/>
  <c r="CW34" i="3" s="1"/>
  <c r="CV40" i="3"/>
  <c r="CW40" i="3" s="1"/>
  <c r="CV49" i="3"/>
  <c r="CW49" i="3" s="1"/>
  <c r="CV16" i="3"/>
  <c r="CW16" i="3" s="1"/>
  <c r="CV11" i="3"/>
  <c r="CW11" i="3" s="1"/>
  <c r="CV46" i="3"/>
  <c r="CW46" i="3" s="1"/>
  <c r="CV35" i="3"/>
  <c r="CW35" i="3" s="1"/>
  <c r="CV14" i="3"/>
  <c r="CW14" i="3" s="1"/>
  <c r="CV25" i="3"/>
  <c r="CW25" i="3" s="1"/>
  <c r="CV13" i="3"/>
  <c r="CW13" i="3" s="1"/>
  <c r="CV28" i="3"/>
  <c r="CW28" i="3" s="1"/>
  <c r="CV7" i="3"/>
  <c r="CW7" i="3" s="1"/>
  <c r="CX50" i="3" l="1"/>
  <c r="CX42" i="3"/>
  <c r="CX49" i="3"/>
  <c r="CX31" i="3"/>
  <c r="CX47" i="3"/>
  <c r="CX46" i="3"/>
  <c r="CX32" i="3"/>
  <c r="CX44" i="3"/>
  <c r="CX38" i="3"/>
  <c r="CX16" i="3"/>
  <c r="CX6" i="3"/>
  <c r="CX20" i="3"/>
  <c r="CX10" i="3"/>
  <c r="CX37" i="3"/>
  <c r="CX18" i="3"/>
  <c r="CX36" i="3"/>
  <c r="CX23" i="3"/>
  <c r="CX9" i="3"/>
  <c r="CX13" i="3"/>
  <c r="CX8" i="3"/>
  <c r="CX53" i="3"/>
  <c r="CX33" i="3"/>
  <c r="CX34" i="3"/>
  <c r="CX17" i="3"/>
  <c r="CX14" i="3"/>
  <c r="CX27" i="3"/>
  <c r="CX21" i="3"/>
  <c r="CX12" i="3"/>
  <c r="CX25" i="3"/>
  <c r="CX7" i="3"/>
  <c r="CX51" i="3"/>
  <c r="CX28" i="3"/>
  <c r="CX43" i="3"/>
  <c r="CX19" i="3"/>
  <c r="CX52" i="3"/>
  <c r="CX29" i="3"/>
  <c r="CX41" i="3"/>
  <c r="CX26" i="3"/>
  <c r="CX40" i="3"/>
  <c r="CX35" i="3"/>
  <c r="CX24" i="3"/>
  <c r="CX30" i="3"/>
  <c r="CX11" i="3"/>
  <c r="CX48" i="3"/>
  <c r="CX39" i="3"/>
  <c r="CX45" i="3"/>
  <c r="CX15" i="3"/>
  <c r="CX22" i="3"/>
  <c r="CY40" i="3" l="1"/>
  <c r="CZ40" i="3" s="1"/>
  <c r="CY22" i="3"/>
  <c r="CZ22" i="3" s="1"/>
  <c r="CY52" i="3"/>
  <c r="CZ52" i="3" s="1"/>
  <c r="CY39" i="3"/>
  <c r="CZ39" i="3" s="1"/>
  <c r="CY23" i="3"/>
  <c r="CZ23" i="3" s="1"/>
  <c r="CY32" i="3"/>
  <c r="CZ32" i="3" s="1"/>
  <c r="CY24" i="3"/>
  <c r="CZ24" i="3" s="1"/>
  <c r="CY30" i="3"/>
  <c r="CZ30" i="3" s="1"/>
  <c r="CY28" i="3"/>
  <c r="CZ28" i="3" s="1"/>
  <c r="CY16" i="3"/>
  <c r="CZ16" i="3" s="1"/>
  <c r="CY10" i="3"/>
  <c r="CZ10" i="3" s="1"/>
  <c r="CY45" i="3"/>
  <c r="CZ45" i="3" s="1"/>
  <c r="CY43" i="3"/>
  <c r="CZ43" i="3" s="1"/>
  <c r="CY11" i="3"/>
  <c r="CZ11" i="3" s="1"/>
  <c r="CY48" i="3"/>
  <c r="CZ48" i="3" s="1"/>
  <c r="CY37" i="3"/>
  <c r="CZ37" i="3" s="1"/>
  <c r="CY6" i="3"/>
  <c r="CZ6" i="3" s="1"/>
  <c r="CY44" i="3"/>
  <c r="CZ44" i="3" s="1"/>
  <c r="CY38" i="3"/>
  <c r="CZ38" i="3" s="1"/>
  <c r="CY15" i="3"/>
  <c r="CZ15" i="3" s="1"/>
  <c r="CY29" i="3"/>
  <c r="CZ29" i="3" s="1"/>
  <c r="CY50" i="3"/>
  <c r="CZ50" i="3" s="1"/>
  <c r="CY9" i="3"/>
  <c r="CZ9" i="3" s="1"/>
  <c r="CY41" i="3"/>
  <c r="CZ41" i="3" s="1"/>
  <c r="CY33" i="3"/>
  <c r="CZ33" i="3" s="1"/>
  <c r="CY26" i="3"/>
  <c r="CZ26" i="3" s="1"/>
  <c r="CY53" i="3"/>
  <c r="CZ53" i="3" s="1"/>
  <c r="CY36" i="3"/>
  <c r="CZ36" i="3" s="1"/>
  <c r="CY46" i="3"/>
  <c r="CZ46" i="3" s="1"/>
  <c r="CY27" i="3"/>
  <c r="CZ27" i="3" s="1"/>
  <c r="CY21" i="3"/>
  <c r="CZ21" i="3" s="1"/>
  <c r="CY18" i="3"/>
  <c r="CZ18" i="3" s="1"/>
  <c r="CY14" i="3"/>
  <c r="CZ14" i="3" s="1"/>
  <c r="CY34" i="3"/>
  <c r="CZ34" i="3" s="1"/>
  <c r="CY17" i="3"/>
  <c r="CZ17" i="3" s="1"/>
  <c r="CY7" i="3"/>
  <c r="CZ7" i="3" s="1"/>
  <c r="CY19" i="3"/>
  <c r="CZ19" i="3" s="1"/>
  <c r="CY49" i="3"/>
  <c r="CZ49" i="3" s="1"/>
  <c r="CY42" i="3"/>
  <c r="CZ42" i="3" s="1"/>
  <c r="CY25" i="3"/>
  <c r="CZ25" i="3" s="1"/>
  <c r="CY35" i="3"/>
  <c r="CZ35" i="3" s="1"/>
  <c r="CY13" i="3"/>
  <c r="CZ13" i="3" s="1"/>
  <c r="CY31" i="3"/>
  <c r="CZ31" i="3" s="1"/>
  <c r="CY20" i="3"/>
  <c r="CZ20" i="3" s="1"/>
  <c r="CY51" i="3"/>
  <c r="CZ51" i="3" s="1"/>
  <c r="CY12" i="3"/>
  <c r="CZ12" i="3" s="1"/>
  <c r="CY47" i="3"/>
  <c r="CZ47" i="3" s="1"/>
  <c r="CY8" i="3"/>
  <c r="CZ8" i="3" s="1"/>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EG96" i="46" s="1"/>
  <c r="M97" i="46"/>
  <c r="EG97" i="46" s="1"/>
  <c r="M99" i="46"/>
  <c r="EG99" i="46" s="1"/>
  <c r="M98" i="46"/>
  <c r="EG98" i="46" s="1"/>
  <c r="K36" i="45"/>
  <c r="C174" i="46"/>
  <c r="D14" i="48" s="1" a="1"/>
  <c r="D14" i="48" s="1"/>
  <c r="AA19" i="45"/>
  <c r="M156" i="46"/>
  <c r="M139" i="46"/>
  <c r="AA21" i="45"/>
  <c r="M132" i="46"/>
  <c r="AA3" i="45"/>
  <c r="C175" i="46"/>
  <c r="D15" i="48" s="1" a="1"/>
  <c r="D15" i="48" s="1"/>
  <c r="M157" i="46"/>
  <c r="D112" i="3"/>
  <c r="AA16" i="45"/>
  <c r="K37" i="45"/>
  <c r="M124" i="46"/>
  <c r="EG124" i="46" s="1"/>
  <c r="M127" i="46"/>
  <c r="EG127" i="46" s="1"/>
  <c r="M125" i="46"/>
  <c r="EG125" i="46" s="1"/>
  <c r="M126" i="46"/>
  <c r="EG126" i="46" s="1"/>
  <c r="W13" i="45"/>
  <c r="M159" i="46"/>
  <c r="AA43" i="45"/>
  <c r="C177" i="46"/>
  <c r="D17" i="48" s="1" a="1"/>
  <c r="D17" i="48" s="1"/>
  <c r="W21" i="45"/>
  <c r="K13" i="45"/>
  <c r="K21" i="45"/>
  <c r="M160" i="46"/>
  <c r="AA40" i="45"/>
  <c r="C178" i="46"/>
  <c r="D18" i="48" s="1" a="1"/>
  <c r="D18" i="48" s="1"/>
  <c r="M119" i="46"/>
  <c r="EG119" i="46" s="1"/>
  <c r="M116" i="46"/>
  <c r="EG116" i="46" s="1"/>
  <c r="M118" i="46"/>
  <c r="EG118" i="46" s="1"/>
  <c r="M117" i="46"/>
  <c r="EG117" i="46" s="1"/>
  <c r="K47" i="45"/>
  <c r="AA33" i="45"/>
  <c r="M136" i="46"/>
  <c r="M150" i="46"/>
  <c r="D105" i="3"/>
  <c r="C168" i="46"/>
  <c r="D8" i="48" s="1" a="1"/>
  <c r="D8" i="48" s="1"/>
  <c r="AA31" i="45"/>
  <c r="M106" i="46"/>
  <c r="EG106" i="46" s="1"/>
  <c r="M107" i="46"/>
  <c r="EG107" i="46" s="1"/>
  <c r="M104" i="46"/>
  <c r="EG104" i="46" s="1"/>
  <c r="M105" i="46"/>
  <c r="EG105" i="46" s="1"/>
  <c r="M114" i="46"/>
  <c r="EG114" i="46" s="1"/>
  <c r="M113" i="46"/>
  <c r="EG113" i="46" s="1"/>
  <c r="M112" i="46"/>
  <c r="EG112" i="46" s="1"/>
  <c r="M115" i="46"/>
  <c r="EG115" i="46" s="1"/>
  <c r="M108" i="46"/>
  <c r="EG108" i="46" s="1"/>
  <c r="M109" i="46"/>
  <c r="EG109" i="46" s="1"/>
  <c r="M110" i="46"/>
  <c r="EG110" i="46" s="1"/>
  <c r="M111" i="46"/>
  <c r="EG111" i="46" s="1"/>
  <c r="M137" i="46"/>
  <c r="AA36" i="45"/>
  <c r="K7" i="45"/>
  <c r="M134" i="46"/>
  <c r="DT105" i="3"/>
  <c r="AA30" i="45"/>
  <c r="K168" i="46"/>
  <c r="M88" i="46"/>
  <c r="EG88" i="46" s="1"/>
  <c r="M90" i="46"/>
  <c r="EG90" i="46" s="1"/>
  <c r="M89" i="46"/>
  <c r="EG89" i="46" s="1"/>
  <c r="M91" i="46"/>
  <c r="EG91" i="46" s="1"/>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EG82" i="46" s="1"/>
  <c r="M83" i="46"/>
  <c r="EG83" i="46" s="1"/>
  <c r="M80" i="46"/>
  <c r="EG80" i="46" s="1"/>
  <c r="M81" i="46"/>
  <c r="EG81" i="46" s="1"/>
  <c r="W45" i="45"/>
  <c r="M135" i="46"/>
  <c r="AA6" i="45"/>
  <c r="AA28" i="45"/>
  <c r="M147" i="46"/>
  <c r="C165" i="46"/>
  <c r="D5" i="48" s="1" a="1"/>
  <c r="D5" i="48" s="1"/>
  <c r="D102" i="3"/>
  <c r="D115" i="3"/>
  <c r="DT115" i="3"/>
  <c r="K178" i="46"/>
  <c r="AA39" i="45"/>
  <c r="M144" i="46"/>
  <c r="W6" i="45"/>
  <c r="M85" i="46"/>
  <c r="EG85" i="46" s="1"/>
  <c r="M87" i="46"/>
  <c r="EG87" i="46" s="1"/>
  <c r="M86" i="46"/>
  <c r="EG86" i="46" s="1"/>
  <c r="M84" i="46"/>
  <c r="EG84" i="46" s="1"/>
  <c r="M94" i="46"/>
  <c r="EG94" i="46" s="1"/>
  <c r="M95" i="46"/>
  <c r="EG95" i="46" s="1"/>
  <c r="M93" i="46"/>
  <c r="EG93" i="46" s="1"/>
  <c r="M92" i="46"/>
  <c r="EG92" i="46" s="1"/>
  <c r="M101" i="46"/>
  <c r="EG101" i="46" s="1"/>
  <c r="M102" i="46"/>
  <c r="EG102" i="46" s="1"/>
  <c r="M103" i="46"/>
  <c r="EG103" i="46" s="1"/>
  <c r="M100" i="46"/>
  <c r="EG100" i="46" s="1"/>
  <c r="AA10" i="45"/>
  <c r="M146" i="46"/>
  <c r="C164" i="46"/>
  <c r="D4" i="48" s="1" a="1"/>
  <c r="D4" i="48" s="1"/>
  <c r="D101" i="3"/>
  <c r="M130" i="46"/>
  <c r="AA9" i="45"/>
  <c r="K164" i="46"/>
  <c r="DT101" i="3"/>
  <c r="M120" i="46"/>
  <c r="EG120" i="46" s="1"/>
  <c r="M121" i="46"/>
  <c r="EG121" i="46" s="1"/>
  <c r="M123" i="46"/>
  <c r="EG123" i="46" s="1"/>
  <c r="M122" i="46"/>
  <c r="EG122" i="46" s="1"/>
  <c r="AA48" i="45"/>
  <c r="M145" i="46"/>
  <c r="M138" i="46"/>
  <c r="AA24" i="45"/>
  <c r="DT102" i="3"/>
  <c r="M131" i="46"/>
  <c r="K165" i="46"/>
  <c r="AA27" i="45"/>
  <c r="EG128" i="46" l="1"/>
  <c r="EA122" i="46"/>
  <c r="ED122" i="46"/>
  <c r="EA93" i="46"/>
  <c r="ED93" i="46"/>
  <c r="EA117" i="46"/>
  <c r="ED117" i="46"/>
  <c r="EA120" i="46"/>
  <c r="ED120" i="46"/>
  <c r="EA94" i="46"/>
  <c r="ED94" i="46"/>
  <c r="EA91" i="46"/>
  <c r="ED91" i="46"/>
  <c r="EA112" i="46"/>
  <c r="ED112" i="46"/>
  <c r="EA116" i="46"/>
  <c r="ED116" i="46"/>
  <c r="EA84" i="46"/>
  <c r="ED84" i="46"/>
  <c r="EA86" i="46"/>
  <c r="ED86" i="46"/>
  <c r="EA81" i="46"/>
  <c r="ED81" i="46"/>
  <c r="EA90" i="46"/>
  <c r="ED90" i="46"/>
  <c r="EA114" i="46"/>
  <c r="ED114" i="46"/>
  <c r="EA88" i="46"/>
  <c r="ED88" i="46"/>
  <c r="EA105" i="46"/>
  <c r="ED105" i="46"/>
  <c r="EA85" i="46"/>
  <c r="ED85" i="46"/>
  <c r="EA83" i="46"/>
  <c r="ED83" i="46"/>
  <c r="EA104" i="46"/>
  <c r="ED104" i="46"/>
  <c r="EA82" i="46"/>
  <c r="ED82" i="46"/>
  <c r="EA107" i="46"/>
  <c r="ED107" i="46"/>
  <c r="EA106" i="46"/>
  <c r="ED106" i="46"/>
  <c r="EA100" i="46"/>
  <c r="ED100" i="46"/>
  <c r="EA87" i="46"/>
  <c r="ED87" i="46"/>
  <c r="EA102" i="46"/>
  <c r="ED102" i="46"/>
  <c r="EA111" i="46"/>
  <c r="ED111" i="46"/>
  <c r="EA101" i="46"/>
  <c r="ED101" i="46"/>
  <c r="EA110" i="46"/>
  <c r="ED110" i="46"/>
  <c r="EA126" i="46"/>
  <c r="ED126" i="46"/>
  <c r="EA92" i="46"/>
  <c r="ED92" i="46"/>
  <c r="EA109" i="46"/>
  <c r="ED109" i="46"/>
  <c r="EA125" i="46"/>
  <c r="ED125" i="46"/>
  <c r="EA98" i="46"/>
  <c r="ED98" i="46"/>
  <c r="EA80" i="46"/>
  <c r="ED80" i="46"/>
  <c r="EA103" i="46"/>
  <c r="ED103" i="46"/>
  <c r="EA123" i="46"/>
  <c r="ED123" i="46"/>
  <c r="EA108" i="46"/>
  <c r="ED108" i="46"/>
  <c r="EA127" i="46"/>
  <c r="ED127" i="46"/>
  <c r="EA99" i="46"/>
  <c r="ED99" i="46"/>
  <c r="EA121" i="46"/>
  <c r="ED121" i="46"/>
  <c r="EA95" i="46"/>
  <c r="ED95" i="46"/>
  <c r="EA115" i="46"/>
  <c r="ED115" i="46"/>
  <c r="EA118" i="46"/>
  <c r="ED118" i="46"/>
  <c r="EA124" i="46"/>
  <c r="ED124" i="46"/>
  <c r="EA97" i="46"/>
  <c r="ED97" i="46"/>
  <c r="EA96" i="46"/>
  <c r="ED96" i="46"/>
  <c r="EA89" i="46"/>
  <c r="ED89" i="46"/>
  <c r="EA113" i="46"/>
  <c r="ED113" i="46"/>
  <c r="EA119" i="46"/>
  <c r="ED119" i="46"/>
  <c r="DU123" i="46"/>
  <c r="DX123" i="46"/>
  <c r="DU93" i="46"/>
  <c r="DX93" i="46"/>
  <c r="DU108" i="46"/>
  <c r="DX108" i="46"/>
  <c r="DU127" i="46"/>
  <c r="DX127" i="46"/>
  <c r="DU120" i="46"/>
  <c r="DX120" i="46"/>
  <c r="DU94" i="46"/>
  <c r="DX94" i="46"/>
  <c r="DU91" i="46"/>
  <c r="DX91" i="46"/>
  <c r="DU112" i="46"/>
  <c r="DX112" i="46"/>
  <c r="DU116" i="46"/>
  <c r="DX116" i="46"/>
  <c r="DU84" i="46"/>
  <c r="DX84" i="46"/>
  <c r="DU86" i="46"/>
  <c r="DX86" i="46"/>
  <c r="DU81" i="46"/>
  <c r="DX81" i="46"/>
  <c r="DU90" i="46"/>
  <c r="DX90" i="46"/>
  <c r="DU114" i="46"/>
  <c r="DX114" i="46"/>
  <c r="DU87" i="46"/>
  <c r="DX87" i="46"/>
  <c r="DU80" i="46"/>
  <c r="DX80" i="46"/>
  <c r="DU88" i="46"/>
  <c r="DX88" i="46"/>
  <c r="DU105" i="46"/>
  <c r="DX105" i="46"/>
  <c r="DU85" i="46"/>
  <c r="DX85" i="46"/>
  <c r="DU83" i="46"/>
  <c r="DX83" i="46"/>
  <c r="DU104" i="46"/>
  <c r="DX104" i="46"/>
  <c r="DU107" i="46"/>
  <c r="DX107" i="46"/>
  <c r="DU82" i="46"/>
  <c r="DX82" i="46"/>
  <c r="DU106" i="46"/>
  <c r="DX106" i="46"/>
  <c r="DU100" i="46"/>
  <c r="DX100" i="46"/>
  <c r="DU102" i="46"/>
  <c r="DX102" i="46"/>
  <c r="DU111" i="46"/>
  <c r="DX111" i="46"/>
  <c r="DU103" i="46"/>
  <c r="DX103" i="46"/>
  <c r="DU101" i="46"/>
  <c r="DX101" i="46"/>
  <c r="DU110" i="46"/>
  <c r="DX110" i="46"/>
  <c r="DU126" i="46"/>
  <c r="DX126" i="46"/>
  <c r="DU122" i="46"/>
  <c r="DX122" i="46"/>
  <c r="DU92" i="46"/>
  <c r="DX92" i="46"/>
  <c r="DU109" i="46"/>
  <c r="DX109" i="46"/>
  <c r="DU125" i="46"/>
  <c r="DX125" i="46"/>
  <c r="DU98" i="46"/>
  <c r="DX98" i="46"/>
  <c r="DU99" i="46"/>
  <c r="DX99" i="46"/>
  <c r="DU121" i="46"/>
  <c r="DX121" i="46"/>
  <c r="DU95" i="46"/>
  <c r="DX95" i="46"/>
  <c r="DU115" i="46"/>
  <c r="DX115" i="46"/>
  <c r="DU118" i="46"/>
  <c r="DX118" i="46"/>
  <c r="DU124" i="46"/>
  <c r="DX124" i="46"/>
  <c r="DU97" i="46"/>
  <c r="DX97" i="46"/>
  <c r="DU117" i="46"/>
  <c r="DX117" i="46"/>
  <c r="DU96" i="46"/>
  <c r="DX96" i="46"/>
  <c r="DU89" i="46"/>
  <c r="DX89" i="46"/>
  <c r="DU113" i="46"/>
  <c r="DX113" i="46"/>
  <c r="DU119" i="46"/>
  <c r="DX119" i="46"/>
  <c r="DO86" i="46"/>
  <c r="DR86" i="46"/>
  <c r="DO81" i="46"/>
  <c r="DR81" i="46"/>
  <c r="DO90" i="46"/>
  <c r="DR90" i="46"/>
  <c r="DO114" i="46"/>
  <c r="DR114" i="46"/>
  <c r="DO80" i="46"/>
  <c r="DR80" i="46"/>
  <c r="DO105" i="46"/>
  <c r="DR105" i="46"/>
  <c r="DO88" i="46"/>
  <c r="DR88" i="46"/>
  <c r="DO85" i="46"/>
  <c r="DR85" i="46"/>
  <c r="DO83" i="46"/>
  <c r="DR83" i="46"/>
  <c r="DO104" i="46"/>
  <c r="DR104" i="46"/>
  <c r="DO82" i="46"/>
  <c r="DR82" i="46"/>
  <c r="DO107" i="46"/>
  <c r="DR107" i="46"/>
  <c r="DO106" i="46"/>
  <c r="DR106" i="46"/>
  <c r="DO87" i="46"/>
  <c r="DR87" i="46"/>
  <c r="DO100" i="46"/>
  <c r="DR100" i="46"/>
  <c r="DO103" i="46"/>
  <c r="DR103" i="46"/>
  <c r="DO102" i="46"/>
  <c r="DR102" i="46"/>
  <c r="DO111" i="46"/>
  <c r="DR111" i="46"/>
  <c r="DO110" i="46"/>
  <c r="DR110" i="46"/>
  <c r="DO126" i="46"/>
  <c r="DR126" i="46"/>
  <c r="DO101" i="46"/>
  <c r="DR101" i="46"/>
  <c r="DO122" i="46"/>
  <c r="DR122" i="46"/>
  <c r="DO92" i="46"/>
  <c r="DR92" i="46"/>
  <c r="DO109" i="46"/>
  <c r="DR109" i="46"/>
  <c r="DO125" i="46"/>
  <c r="DR125" i="46"/>
  <c r="DO98" i="46"/>
  <c r="DR98" i="46"/>
  <c r="DO117" i="46"/>
  <c r="DR117" i="46"/>
  <c r="DO127" i="46"/>
  <c r="DR127" i="46"/>
  <c r="DO99" i="46"/>
  <c r="DR99" i="46"/>
  <c r="DO123" i="46"/>
  <c r="DR123" i="46"/>
  <c r="DO108" i="46"/>
  <c r="DR108" i="46"/>
  <c r="DO121" i="46"/>
  <c r="DR121" i="46"/>
  <c r="DO95" i="46"/>
  <c r="DR95" i="46"/>
  <c r="DO115" i="46"/>
  <c r="DR115" i="46"/>
  <c r="DO118" i="46"/>
  <c r="DR118" i="46"/>
  <c r="DO124" i="46"/>
  <c r="DR124" i="46"/>
  <c r="DO97" i="46"/>
  <c r="DR97" i="46"/>
  <c r="DO120" i="46"/>
  <c r="DR120" i="46"/>
  <c r="DO91" i="46"/>
  <c r="DR91" i="46"/>
  <c r="DO112" i="46"/>
  <c r="DR112" i="46"/>
  <c r="DO116" i="46"/>
  <c r="DR116" i="46"/>
  <c r="DO96" i="46"/>
  <c r="DR96" i="46"/>
  <c r="DO93" i="46"/>
  <c r="DR93" i="46"/>
  <c r="DO94" i="46"/>
  <c r="DR94" i="46"/>
  <c r="DO84" i="46"/>
  <c r="DR84" i="46"/>
  <c r="DO89" i="46"/>
  <c r="DR89" i="46"/>
  <c r="DO113" i="46"/>
  <c r="DR113" i="46"/>
  <c r="DO119" i="46"/>
  <c r="DR119" i="46"/>
  <c r="DI120" i="46"/>
  <c r="DL120" i="46"/>
  <c r="DI94" i="46"/>
  <c r="DL94" i="46"/>
  <c r="DI91" i="46"/>
  <c r="DL91" i="46"/>
  <c r="DI112" i="46"/>
  <c r="DL112" i="46"/>
  <c r="DI116" i="46"/>
  <c r="DL116" i="46"/>
  <c r="DI84" i="46"/>
  <c r="DL84" i="46"/>
  <c r="DI86" i="46"/>
  <c r="DL86" i="46"/>
  <c r="DI81" i="46"/>
  <c r="DL81" i="46"/>
  <c r="DI90" i="46"/>
  <c r="DL90" i="46"/>
  <c r="DI114" i="46"/>
  <c r="DL114" i="46"/>
  <c r="DI87" i="46"/>
  <c r="DL87" i="46"/>
  <c r="DI80" i="46"/>
  <c r="DL80" i="46"/>
  <c r="DI88" i="46"/>
  <c r="DL88" i="46"/>
  <c r="DI105" i="46"/>
  <c r="DL105" i="46"/>
  <c r="DI85" i="46"/>
  <c r="DL85" i="46"/>
  <c r="DI83" i="46"/>
  <c r="DL83" i="46"/>
  <c r="DI104" i="46"/>
  <c r="DL104" i="46"/>
  <c r="DI107" i="46"/>
  <c r="DL107" i="46"/>
  <c r="DI106" i="46"/>
  <c r="DL106" i="46"/>
  <c r="DI100" i="46"/>
  <c r="DL100" i="46"/>
  <c r="DI103" i="46"/>
  <c r="DL103" i="46"/>
  <c r="DI111" i="46"/>
  <c r="DL111" i="46"/>
  <c r="DI110" i="46"/>
  <c r="DL110" i="46"/>
  <c r="DI126" i="46"/>
  <c r="DL126" i="46"/>
  <c r="DI82" i="46"/>
  <c r="DL82" i="46"/>
  <c r="DI102" i="46"/>
  <c r="DL102" i="46"/>
  <c r="DI101" i="46"/>
  <c r="DL101" i="46"/>
  <c r="DI122" i="46"/>
  <c r="DL122" i="46"/>
  <c r="DI92" i="46"/>
  <c r="DL92" i="46"/>
  <c r="DI109" i="46"/>
  <c r="DL109" i="46"/>
  <c r="DI125" i="46"/>
  <c r="DL125" i="46"/>
  <c r="DI98" i="46"/>
  <c r="DL98" i="46"/>
  <c r="DI123" i="46"/>
  <c r="DL123" i="46"/>
  <c r="DI93" i="46"/>
  <c r="DL93" i="46"/>
  <c r="DI108" i="46"/>
  <c r="DL108" i="46"/>
  <c r="DI117" i="46"/>
  <c r="DL117" i="46"/>
  <c r="DI127" i="46"/>
  <c r="DL127" i="46"/>
  <c r="DI99" i="46"/>
  <c r="DL99" i="46"/>
  <c r="DI121" i="46"/>
  <c r="DL121" i="46"/>
  <c r="DI95" i="46"/>
  <c r="DL95" i="46"/>
  <c r="DI115" i="46"/>
  <c r="DL115" i="46"/>
  <c r="DI118" i="46"/>
  <c r="DL118" i="46"/>
  <c r="DI124" i="46"/>
  <c r="DL124" i="46"/>
  <c r="DI97" i="46"/>
  <c r="DL97" i="46"/>
  <c r="DI96" i="46"/>
  <c r="DL96" i="46"/>
  <c r="DI89" i="46"/>
  <c r="DL89" i="46"/>
  <c r="DI113" i="46"/>
  <c r="DL113" i="46"/>
  <c r="DI119" i="46"/>
  <c r="DL119" i="46"/>
  <c r="DC112" i="46"/>
  <c r="DF112" i="46"/>
  <c r="DC88" i="46"/>
  <c r="DF88" i="46"/>
  <c r="DC81" i="46"/>
  <c r="DF81" i="46"/>
  <c r="DC87" i="46"/>
  <c r="DF87" i="46"/>
  <c r="DC83" i="46"/>
  <c r="DF83" i="46"/>
  <c r="DC104" i="46"/>
  <c r="DF104" i="46"/>
  <c r="DC94" i="46"/>
  <c r="DF94" i="46"/>
  <c r="DC86" i="46"/>
  <c r="DF86" i="46"/>
  <c r="DC114" i="46"/>
  <c r="DF114" i="46"/>
  <c r="DC107" i="46"/>
  <c r="DF107" i="46"/>
  <c r="DC120" i="46"/>
  <c r="DF120" i="46"/>
  <c r="DC106" i="46"/>
  <c r="DF106" i="46"/>
  <c r="DC100" i="46"/>
  <c r="DF100" i="46"/>
  <c r="DC105" i="46"/>
  <c r="DF105" i="46"/>
  <c r="DC85" i="46"/>
  <c r="DF85" i="46"/>
  <c r="DC102" i="46"/>
  <c r="DF102" i="46"/>
  <c r="DC111" i="46"/>
  <c r="DF111" i="46"/>
  <c r="DC80" i="46"/>
  <c r="DF80" i="46"/>
  <c r="DC82" i="46"/>
  <c r="DF82" i="46"/>
  <c r="DC103" i="46"/>
  <c r="DF103" i="46"/>
  <c r="DC101" i="46"/>
  <c r="DF101" i="46"/>
  <c r="DC110" i="46"/>
  <c r="DF110" i="46"/>
  <c r="DC126" i="46"/>
  <c r="DF126" i="46"/>
  <c r="DC122" i="46"/>
  <c r="DF122" i="46"/>
  <c r="DC92" i="46"/>
  <c r="DF92" i="46"/>
  <c r="DC109" i="46"/>
  <c r="DF109" i="46"/>
  <c r="DC125" i="46"/>
  <c r="DF125" i="46"/>
  <c r="DC98" i="46"/>
  <c r="DF98" i="46"/>
  <c r="DC91" i="46"/>
  <c r="DF91" i="46"/>
  <c r="DC123" i="46"/>
  <c r="DF123" i="46"/>
  <c r="DC108" i="46"/>
  <c r="DF108" i="46"/>
  <c r="DC117" i="46"/>
  <c r="DF117" i="46"/>
  <c r="DC127" i="46"/>
  <c r="DF127" i="46"/>
  <c r="DC99" i="46"/>
  <c r="DF99" i="46"/>
  <c r="DC90" i="46"/>
  <c r="DF90" i="46"/>
  <c r="DC93" i="46"/>
  <c r="DF93" i="46"/>
  <c r="DC121" i="46"/>
  <c r="DF121" i="46"/>
  <c r="DC95" i="46"/>
  <c r="DF95" i="46"/>
  <c r="DC115" i="46"/>
  <c r="DF115" i="46"/>
  <c r="DC118" i="46"/>
  <c r="DF118" i="46"/>
  <c r="DC124" i="46"/>
  <c r="DF124" i="46"/>
  <c r="DC97" i="46"/>
  <c r="DF97" i="46"/>
  <c r="DC96" i="46"/>
  <c r="DF96" i="46"/>
  <c r="DC116" i="46"/>
  <c r="DF116" i="46"/>
  <c r="DC84" i="46"/>
  <c r="DF84" i="46"/>
  <c r="DC89" i="46"/>
  <c r="DF89" i="46"/>
  <c r="DC113" i="46"/>
  <c r="DF113" i="46"/>
  <c r="DC119" i="46"/>
  <c r="DF119" i="46"/>
  <c r="CW92" i="46"/>
  <c r="CZ92" i="46"/>
  <c r="CW108" i="46"/>
  <c r="CZ108" i="46"/>
  <c r="CW127" i="46"/>
  <c r="CZ127" i="46"/>
  <c r="CW120" i="46"/>
  <c r="CZ120" i="46"/>
  <c r="CW94" i="46"/>
  <c r="CZ94" i="46"/>
  <c r="CW91" i="46"/>
  <c r="CZ91" i="46"/>
  <c r="CW112" i="46"/>
  <c r="CZ112" i="46"/>
  <c r="CW116" i="46"/>
  <c r="CZ116" i="46"/>
  <c r="CW84" i="46"/>
  <c r="CZ84" i="46"/>
  <c r="CW86" i="46"/>
  <c r="CZ86" i="46"/>
  <c r="CW81" i="46"/>
  <c r="CZ81" i="46"/>
  <c r="CW90" i="46"/>
  <c r="CZ90" i="46"/>
  <c r="CW114" i="46"/>
  <c r="CZ114" i="46"/>
  <c r="CW83" i="46"/>
  <c r="CZ83" i="46"/>
  <c r="CW104" i="46"/>
  <c r="CZ104" i="46"/>
  <c r="CW82" i="46"/>
  <c r="CZ82" i="46"/>
  <c r="CW107" i="46"/>
  <c r="CZ107" i="46"/>
  <c r="CW105" i="46"/>
  <c r="CZ105" i="46"/>
  <c r="CW106" i="46"/>
  <c r="CZ106" i="46"/>
  <c r="CW100" i="46"/>
  <c r="CZ100" i="46"/>
  <c r="CW80" i="46"/>
  <c r="CZ80" i="46"/>
  <c r="CW87" i="46"/>
  <c r="CZ87" i="46"/>
  <c r="CW111" i="46"/>
  <c r="CZ111" i="46"/>
  <c r="CW85" i="46"/>
  <c r="CZ85" i="46"/>
  <c r="CW103" i="46"/>
  <c r="CZ103" i="46"/>
  <c r="CW102" i="46"/>
  <c r="CZ102" i="46"/>
  <c r="CW101" i="46"/>
  <c r="CZ101" i="46"/>
  <c r="CW110" i="46"/>
  <c r="CZ110" i="46"/>
  <c r="CW126" i="46"/>
  <c r="CZ126" i="46"/>
  <c r="CW122" i="46"/>
  <c r="CZ122" i="46"/>
  <c r="CW109" i="46"/>
  <c r="CZ109" i="46"/>
  <c r="CW125" i="46"/>
  <c r="CZ125" i="46"/>
  <c r="CW98" i="46"/>
  <c r="CZ98" i="46"/>
  <c r="CW123" i="46"/>
  <c r="CZ123" i="46"/>
  <c r="CW117" i="46"/>
  <c r="CZ117" i="46"/>
  <c r="CW99" i="46"/>
  <c r="CZ99" i="46"/>
  <c r="CW121" i="46"/>
  <c r="CZ121" i="46"/>
  <c r="CW95" i="46"/>
  <c r="CZ95" i="46"/>
  <c r="CW115" i="46"/>
  <c r="CZ115" i="46"/>
  <c r="CW118" i="46"/>
  <c r="CZ118" i="46"/>
  <c r="CW124" i="46"/>
  <c r="CZ124" i="46"/>
  <c r="CW97" i="46"/>
  <c r="CZ97" i="46"/>
  <c r="CW88" i="46"/>
  <c r="CZ88" i="46"/>
  <c r="CW93" i="46"/>
  <c r="CZ93" i="46"/>
  <c r="CW96" i="46"/>
  <c r="CZ96" i="46"/>
  <c r="CW89" i="46"/>
  <c r="CZ89" i="46"/>
  <c r="CW113" i="46"/>
  <c r="CZ113" i="46"/>
  <c r="CW119" i="46"/>
  <c r="CZ119" i="46"/>
  <c r="CQ88" i="46"/>
  <c r="CT88" i="46"/>
  <c r="CQ105" i="46"/>
  <c r="CT105" i="46"/>
  <c r="CQ85" i="46"/>
  <c r="CT85" i="46"/>
  <c r="CQ83" i="46"/>
  <c r="CT83" i="46"/>
  <c r="CQ104" i="46"/>
  <c r="CT104" i="46"/>
  <c r="CQ106" i="46"/>
  <c r="CT106" i="46"/>
  <c r="CQ81" i="46"/>
  <c r="CT81" i="46"/>
  <c r="CQ87" i="46"/>
  <c r="CT87" i="46"/>
  <c r="CQ82" i="46"/>
  <c r="CT82" i="46"/>
  <c r="CQ107" i="46"/>
  <c r="CT107" i="46"/>
  <c r="CQ100" i="46"/>
  <c r="CT100" i="46"/>
  <c r="CQ90" i="46"/>
  <c r="CT90" i="46"/>
  <c r="CQ86" i="46"/>
  <c r="CT86" i="46"/>
  <c r="CQ102" i="46"/>
  <c r="CT102" i="46"/>
  <c r="CQ111" i="46"/>
  <c r="CT111" i="46"/>
  <c r="CQ114" i="46"/>
  <c r="CT114" i="46"/>
  <c r="CQ80" i="46"/>
  <c r="CT80" i="46"/>
  <c r="CQ101" i="46"/>
  <c r="CT101" i="46"/>
  <c r="CQ110" i="46"/>
  <c r="CT110" i="46"/>
  <c r="CQ126" i="46"/>
  <c r="CT126" i="46"/>
  <c r="CQ103" i="46"/>
  <c r="CT103" i="46"/>
  <c r="CQ122" i="46"/>
  <c r="CT122" i="46"/>
  <c r="CQ92" i="46"/>
  <c r="CT92" i="46"/>
  <c r="CQ109" i="46"/>
  <c r="CT109" i="46"/>
  <c r="CQ125" i="46"/>
  <c r="CT125" i="46"/>
  <c r="CQ98" i="46"/>
  <c r="CT98" i="46"/>
  <c r="CQ93" i="46"/>
  <c r="CT93" i="46"/>
  <c r="CQ108" i="46"/>
  <c r="CT108" i="46"/>
  <c r="CQ117" i="46"/>
  <c r="CT117" i="46"/>
  <c r="CQ127" i="46"/>
  <c r="CT127" i="46"/>
  <c r="CQ99" i="46"/>
  <c r="CT99" i="46"/>
  <c r="CQ121" i="46"/>
  <c r="CT121" i="46"/>
  <c r="CQ95" i="46"/>
  <c r="CT95" i="46"/>
  <c r="CQ115" i="46"/>
  <c r="CT115" i="46"/>
  <c r="CQ118" i="46"/>
  <c r="CT118" i="46"/>
  <c r="CQ124" i="46"/>
  <c r="CT124" i="46"/>
  <c r="CQ97" i="46"/>
  <c r="CT97" i="46"/>
  <c r="CQ123" i="46"/>
  <c r="CT123" i="46"/>
  <c r="CQ120" i="46"/>
  <c r="CT120" i="46"/>
  <c r="CQ94" i="46"/>
  <c r="CT94" i="46"/>
  <c r="CQ91" i="46"/>
  <c r="CT91" i="46"/>
  <c r="CQ112" i="46"/>
  <c r="CT112" i="46"/>
  <c r="CQ116" i="46"/>
  <c r="CT116" i="46"/>
  <c r="CQ96" i="46"/>
  <c r="CT96" i="46"/>
  <c r="CQ84" i="46"/>
  <c r="CT84" i="46"/>
  <c r="CQ89" i="46"/>
  <c r="CT89" i="46"/>
  <c r="CQ113" i="46"/>
  <c r="CT113" i="46"/>
  <c r="CQ119" i="46"/>
  <c r="CT119" i="46"/>
  <c r="CK117" i="46"/>
  <c r="CN117" i="46"/>
  <c r="CK120" i="46"/>
  <c r="CN120" i="46"/>
  <c r="CK94" i="46"/>
  <c r="CN94" i="46"/>
  <c r="CK91" i="46"/>
  <c r="CN91" i="46"/>
  <c r="CK112" i="46"/>
  <c r="CN112" i="46"/>
  <c r="CK116" i="46"/>
  <c r="CN116" i="46"/>
  <c r="CK96" i="46"/>
  <c r="CN96" i="46"/>
  <c r="CK84" i="46"/>
  <c r="CN84" i="46"/>
  <c r="CK86" i="46"/>
  <c r="CN86" i="46"/>
  <c r="CK81" i="46"/>
  <c r="CN81" i="46"/>
  <c r="CK90" i="46"/>
  <c r="CN90" i="46"/>
  <c r="CK114" i="46"/>
  <c r="CN114" i="46"/>
  <c r="CK93" i="46"/>
  <c r="CN93" i="46"/>
  <c r="CK87" i="46"/>
  <c r="CN87" i="46"/>
  <c r="CK80" i="46"/>
  <c r="CN80" i="46"/>
  <c r="CK88" i="46"/>
  <c r="CN88" i="46"/>
  <c r="CK105" i="46"/>
  <c r="CN105" i="46"/>
  <c r="CK85" i="46"/>
  <c r="CN85" i="46"/>
  <c r="CK83" i="46"/>
  <c r="CN83" i="46"/>
  <c r="CK104" i="46"/>
  <c r="CN104" i="46"/>
  <c r="CK82" i="46"/>
  <c r="CN82" i="46"/>
  <c r="CK107" i="46"/>
  <c r="CN107" i="46"/>
  <c r="CK106" i="46"/>
  <c r="CN106" i="46"/>
  <c r="CK100" i="46"/>
  <c r="CN100" i="46"/>
  <c r="CK103" i="46"/>
  <c r="CN103" i="46"/>
  <c r="CK102" i="46"/>
  <c r="CN102" i="46"/>
  <c r="CK111" i="46"/>
  <c r="CN111" i="46"/>
  <c r="CK101" i="46"/>
  <c r="CN101" i="46"/>
  <c r="CK110" i="46"/>
  <c r="CN110" i="46"/>
  <c r="CK126" i="46"/>
  <c r="CN126" i="46"/>
  <c r="CK122" i="46"/>
  <c r="CN122" i="46"/>
  <c r="CK92" i="46"/>
  <c r="CN92" i="46"/>
  <c r="CK109" i="46"/>
  <c r="CN109" i="46"/>
  <c r="CK125" i="46"/>
  <c r="CN125" i="46"/>
  <c r="CK98" i="46"/>
  <c r="CN98" i="46"/>
  <c r="CK123" i="46"/>
  <c r="CN123" i="46"/>
  <c r="CK108" i="46"/>
  <c r="CN108" i="46"/>
  <c r="CK127" i="46"/>
  <c r="CN127" i="46"/>
  <c r="CK99" i="46"/>
  <c r="CN99" i="46"/>
  <c r="CK121" i="46"/>
  <c r="CN121" i="46"/>
  <c r="CK95" i="46"/>
  <c r="CN95" i="46"/>
  <c r="CK115" i="46"/>
  <c r="CN115" i="46"/>
  <c r="CK118" i="46"/>
  <c r="CN118" i="46"/>
  <c r="CK124" i="46"/>
  <c r="CN124" i="46"/>
  <c r="CK97" i="46"/>
  <c r="CN97" i="46"/>
  <c r="CK89" i="46"/>
  <c r="CN89" i="46"/>
  <c r="CK113" i="46"/>
  <c r="CN113" i="46"/>
  <c r="CK119" i="46"/>
  <c r="CN119" i="46"/>
  <c r="CE112" i="46"/>
  <c r="CH112" i="46"/>
  <c r="CE86" i="46"/>
  <c r="CH86" i="46"/>
  <c r="CE81" i="46"/>
  <c r="CH81" i="46"/>
  <c r="CE90" i="46"/>
  <c r="CH90" i="46"/>
  <c r="CE114" i="46"/>
  <c r="CH114" i="46"/>
  <c r="CE80" i="46"/>
  <c r="CH80" i="46"/>
  <c r="CE105" i="46"/>
  <c r="CH105" i="46"/>
  <c r="CE85" i="46"/>
  <c r="CH85" i="46"/>
  <c r="CE83" i="46"/>
  <c r="CH83" i="46"/>
  <c r="CE104" i="46"/>
  <c r="CH104" i="46"/>
  <c r="CE93" i="46"/>
  <c r="CH93" i="46"/>
  <c r="CE87" i="46"/>
  <c r="CH87" i="46"/>
  <c r="CE106" i="46"/>
  <c r="CH106" i="46"/>
  <c r="CE120" i="46"/>
  <c r="CH120" i="46"/>
  <c r="CE94" i="46"/>
  <c r="CH94" i="46"/>
  <c r="CE82" i="46"/>
  <c r="CH82" i="46"/>
  <c r="CE100" i="46"/>
  <c r="CH100" i="46"/>
  <c r="CE103" i="46"/>
  <c r="CH103" i="46"/>
  <c r="CE102" i="46"/>
  <c r="CH102" i="46"/>
  <c r="CE111" i="46"/>
  <c r="CH111" i="46"/>
  <c r="CE88" i="46"/>
  <c r="CH88" i="46"/>
  <c r="CE107" i="46"/>
  <c r="CH107" i="46"/>
  <c r="CE101" i="46"/>
  <c r="CH101" i="46"/>
  <c r="CE110" i="46"/>
  <c r="CH110" i="46"/>
  <c r="CE126" i="46"/>
  <c r="CH126" i="46"/>
  <c r="CE123" i="46"/>
  <c r="CH123" i="46"/>
  <c r="CE122" i="46"/>
  <c r="CH122" i="46"/>
  <c r="CE92" i="46"/>
  <c r="CH92" i="46"/>
  <c r="CE109" i="46"/>
  <c r="CH109" i="46"/>
  <c r="CE125" i="46"/>
  <c r="CH125" i="46"/>
  <c r="CE98" i="46"/>
  <c r="CH98" i="46"/>
  <c r="CE108" i="46"/>
  <c r="CH108" i="46"/>
  <c r="CE117" i="46"/>
  <c r="CH117" i="46"/>
  <c r="CE127" i="46"/>
  <c r="CH127" i="46"/>
  <c r="CE99" i="46"/>
  <c r="CH99" i="46"/>
  <c r="CE121" i="46"/>
  <c r="CH121" i="46"/>
  <c r="CE95" i="46"/>
  <c r="CH95" i="46"/>
  <c r="CE115" i="46"/>
  <c r="CH115" i="46"/>
  <c r="CE118" i="46"/>
  <c r="CH118" i="46"/>
  <c r="CE124" i="46"/>
  <c r="CH124" i="46"/>
  <c r="CE97" i="46"/>
  <c r="CH97" i="46"/>
  <c r="CE96" i="46"/>
  <c r="CH96" i="46"/>
  <c r="CE91" i="46"/>
  <c r="CH91" i="46"/>
  <c r="CE116" i="46"/>
  <c r="CH116" i="46"/>
  <c r="CE84" i="46"/>
  <c r="CH84" i="46"/>
  <c r="CE89" i="46"/>
  <c r="CH89" i="46"/>
  <c r="CE113" i="46"/>
  <c r="CH113" i="46"/>
  <c r="CE119" i="46"/>
  <c r="CH119" i="46"/>
  <c r="BY120" i="46"/>
  <c r="CB120" i="46"/>
  <c r="BY116" i="46"/>
  <c r="CB116" i="46"/>
  <c r="BY81" i="46"/>
  <c r="CB81" i="46"/>
  <c r="BY90" i="46"/>
  <c r="CB90" i="46"/>
  <c r="BY114" i="46"/>
  <c r="CB114" i="46"/>
  <c r="BY87" i="46"/>
  <c r="CB87" i="46"/>
  <c r="BY80" i="46"/>
  <c r="CB80" i="46"/>
  <c r="BY88" i="46"/>
  <c r="CB88" i="46"/>
  <c r="BY105" i="46"/>
  <c r="CB105" i="46"/>
  <c r="BY85" i="46"/>
  <c r="CB85" i="46"/>
  <c r="BY83" i="46"/>
  <c r="CB83" i="46"/>
  <c r="BY104" i="46"/>
  <c r="CB104" i="46"/>
  <c r="BY82" i="46"/>
  <c r="CB82" i="46"/>
  <c r="BY106" i="46"/>
  <c r="CB106" i="46"/>
  <c r="BY94" i="46"/>
  <c r="CB94" i="46"/>
  <c r="BY84" i="46"/>
  <c r="CB84" i="46"/>
  <c r="BY100" i="46"/>
  <c r="CB100" i="46"/>
  <c r="BY103" i="46"/>
  <c r="CB103" i="46"/>
  <c r="BY111" i="46"/>
  <c r="CB111" i="46"/>
  <c r="BY112" i="46"/>
  <c r="CB112" i="46"/>
  <c r="BY107" i="46"/>
  <c r="CB107" i="46"/>
  <c r="BY102" i="46"/>
  <c r="CB102" i="46"/>
  <c r="BY101" i="46"/>
  <c r="CB101" i="46"/>
  <c r="BY110" i="46"/>
  <c r="CB110" i="46"/>
  <c r="BY126" i="46"/>
  <c r="CB126" i="46"/>
  <c r="BY91" i="46"/>
  <c r="CB91" i="46"/>
  <c r="BY86" i="46"/>
  <c r="CB86" i="46"/>
  <c r="BY122" i="46"/>
  <c r="CB122" i="46"/>
  <c r="BY92" i="46"/>
  <c r="CB92" i="46"/>
  <c r="BY109" i="46"/>
  <c r="CB109" i="46"/>
  <c r="BY125" i="46"/>
  <c r="CB125" i="46"/>
  <c r="BY98" i="46"/>
  <c r="CB98" i="46"/>
  <c r="BY93" i="46"/>
  <c r="CB93" i="46"/>
  <c r="BY108" i="46"/>
  <c r="CB108" i="46"/>
  <c r="BY123" i="46"/>
  <c r="CB123" i="46"/>
  <c r="BY117" i="46"/>
  <c r="CB117" i="46"/>
  <c r="BY127" i="46"/>
  <c r="CB127" i="46"/>
  <c r="BY99" i="46"/>
  <c r="CB99" i="46"/>
  <c r="BY121" i="46"/>
  <c r="CB121" i="46"/>
  <c r="BY95" i="46"/>
  <c r="CB95" i="46"/>
  <c r="BY115" i="46"/>
  <c r="CB115" i="46"/>
  <c r="BY118" i="46"/>
  <c r="CB118" i="46"/>
  <c r="BY124" i="46"/>
  <c r="CB124" i="46"/>
  <c r="BY97" i="46"/>
  <c r="CB97" i="46"/>
  <c r="BY96" i="46"/>
  <c r="CB96" i="46"/>
  <c r="BY89" i="46"/>
  <c r="CB89" i="46"/>
  <c r="BY113" i="46"/>
  <c r="CB113" i="46"/>
  <c r="BY119" i="46"/>
  <c r="CB119" i="46"/>
  <c r="BS86" i="46"/>
  <c r="BV86" i="46"/>
  <c r="BS81" i="46"/>
  <c r="BV81" i="46"/>
  <c r="BS90" i="46"/>
  <c r="BV90" i="46"/>
  <c r="BS114" i="46"/>
  <c r="BV114" i="46"/>
  <c r="BS87" i="46"/>
  <c r="BV87" i="46"/>
  <c r="BS80" i="46"/>
  <c r="BV80" i="46"/>
  <c r="BS88" i="46"/>
  <c r="BV88" i="46"/>
  <c r="BS105" i="46"/>
  <c r="BV105" i="46"/>
  <c r="BS85" i="46"/>
  <c r="BV85" i="46"/>
  <c r="BS83" i="46"/>
  <c r="BV83" i="46"/>
  <c r="BS104" i="46"/>
  <c r="BV104" i="46"/>
  <c r="BS107" i="46"/>
  <c r="BV107" i="46"/>
  <c r="BS82" i="46"/>
  <c r="BV82" i="46"/>
  <c r="BS106" i="46"/>
  <c r="BV106" i="46"/>
  <c r="BS100" i="46"/>
  <c r="BV100" i="46"/>
  <c r="BS102" i="46"/>
  <c r="BV102" i="46"/>
  <c r="BS111" i="46"/>
  <c r="BV111" i="46"/>
  <c r="BS101" i="46"/>
  <c r="BV101" i="46"/>
  <c r="BS110" i="46"/>
  <c r="BV110" i="46"/>
  <c r="BS126" i="46"/>
  <c r="BV126" i="46"/>
  <c r="BS122" i="46"/>
  <c r="BV122" i="46"/>
  <c r="BS92" i="46"/>
  <c r="BV92" i="46"/>
  <c r="BS109" i="46"/>
  <c r="BV109" i="46"/>
  <c r="BS125" i="46"/>
  <c r="BV125" i="46"/>
  <c r="BS98" i="46"/>
  <c r="BV98" i="46"/>
  <c r="BS123" i="46"/>
  <c r="BV123" i="46"/>
  <c r="BS93" i="46"/>
  <c r="BV93" i="46"/>
  <c r="BS108" i="46"/>
  <c r="BV108" i="46"/>
  <c r="BS117" i="46"/>
  <c r="BV117" i="46"/>
  <c r="BS127" i="46"/>
  <c r="BV127" i="46"/>
  <c r="BS99" i="46"/>
  <c r="BV99" i="46"/>
  <c r="BS121" i="46"/>
  <c r="BV121" i="46"/>
  <c r="BS95" i="46"/>
  <c r="BV95" i="46"/>
  <c r="BS115" i="46"/>
  <c r="BV115" i="46"/>
  <c r="BS118" i="46"/>
  <c r="BV118" i="46"/>
  <c r="BS124" i="46"/>
  <c r="BV124" i="46"/>
  <c r="BS97" i="46"/>
  <c r="BV97" i="46"/>
  <c r="BS103" i="46"/>
  <c r="BV103" i="46"/>
  <c r="BS120" i="46"/>
  <c r="BV120" i="46"/>
  <c r="BS94" i="46"/>
  <c r="BV94" i="46"/>
  <c r="BS91" i="46"/>
  <c r="BV91" i="46"/>
  <c r="BS112" i="46"/>
  <c r="BV112" i="46"/>
  <c r="BS116" i="46"/>
  <c r="BV116" i="46"/>
  <c r="BS96" i="46"/>
  <c r="BV96" i="46"/>
  <c r="BS84" i="46"/>
  <c r="BV84" i="46"/>
  <c r="BS89" i="46"/>
  <c r="BV89" i="46"/>
  <c r="BS113" i="46"/>
  <c r="BV113" i="46"/>
  <c r="BS119" i="46"/>
  <c r="BV119" i="46"/>
  <c r="BM86" i="46"/>
  <c r="BP86" i="46"/>
  <c r="BM114" i="46"/>
  <c r="BP114" i="46"/>
  <c r="BM107" i="46"/>
  <c r="BP107" i="46"/>
  <c r="BM90" i="46"/>
  <c r="BP90" i="46"/>
  <c r="BM105" i="46"/>
  <c r="BP105" i="46"/>
  <c r="BM85" i="46"/>
  <c r="BP85" i="46"/>
  <c r="BM106" i="46"/>
  <c r="BP106" i="46"/>
  <c r="BM104" i="46"/>
  <c r="BP104" i="46"/>
  <c r="BM81" i="46"/>
  <c r="BP81" i="46"/>
  <c r="BM87" i="46"/>
  <c r="BP87" i="46"/>
  <c r="BM100" i="46"/>
  <c r="BP100" i="46"/>
  <c r="BM80" i="46"/>
  <c r="BP80" i="46"/>
  <c r="BM103" i="46"/>
  <c r="BP103" i="46"/>
  <c r="BM111" i="46"/>
  <c r="BP111" i="46"/>
  <c r="BM82" i="46"/>
  <c r="BP82" i="46"/>
  <c r="BM102" i="46"/>
  <c r="BP102" i="46"/>
  <c r="BM101" i="46"/>
  <c r="BP101" i="46"/>
  <c r="BM110" i="46"/>
  <c r="BP110" i="46"/>
  <c r="BM126" i="46"/>
  <c r="BP126" i="46"/>
  <c r="BM88" i="46"/>
  <c r="BP88" i="46"/>
  <c r="BM122" i="46"/>
  <c r="BP122" i="46"/>
  <c r="BM92" i="46"/>
  <c r="BP92" i="46"/>
  <c r="BM109" i="46"/>
  <c r="BP109" i="46"/>
  <c r="BM125" i="46"/>
  <c r="BP125" i="46"/>
  <c r="BM98" i="46"/>
  <c r="BP98" i="46"/>
  <c r="BM123" i="46"/>
  <c r="BP123" i="46"/>
  <c r="BM108" i="46"/>
  <c r="BP108" i="46"/>
  <c r="BM83" i="46"/>
  <c r="BP83" i="46"/>
  <c r="BM93" i="46"/>
  <c r="BP93" i="46"/>
  <c r="BM117" i="46"/>
  <c r="BP117" i="46"/>
  <c r="BM127" i="46"/>
  <c r="BP127" i="46"/>
  <c r="BM99" i="46"/>
  <c r="BP99" i="46"/>
  <c r="BM121" i="46"/>
  <c r="BP121" i="46"/>
  <c r="BM95" i="46"/>
  <c r="BP95" i="46"/>
  <c r="BM115" i="46"/>
  <c r="BP115" i="46"/>
  <c r="BM118" i="46"/>
  <c r="BP118" i="46"/>
  <c r="BM124" i="46"/>
  <c r="BP124" i="46"/>
  <c r="BM97" i="46"/>
  <c r="BP97" i="46"/>
  <c r="BM120" i="46"/>
  <c r="BP120" i="46"/>
  <c r="BM94" i="46"/>
  <c r="BP94" i="46"/>
  <c r="BM91" i="46"/>
  <c r="BP91" i="46"/>
  <c r="BM112" i="46"/>
  <c r="BP112" i="46"/>
  <c r="BM116" i="46"/>
  <c r="BP116" i="46"/>
  <c r="BM96" i="46"/>
  <c r="BP96" i="46"/>
  <c r="BM84" i="46"/>
  <c r="BP84" i="46"/>
  <c r="BM89" i="46"/>
  <c r="BP89" i="46"/>
  <c r="BM113" i="46"/>
  <c r="BP113" i="46"/>
  <c r="BM119" i="46"/>
  <c r="BP119" i="46"/>
  <c r="BG81" i="46"/>
  <c r="BJ81" i="46"/>
  <c r="BG80" i="46"/>
  <c r="BJ80" i="46"/>
  <c r="BG105" i="46"/>
  <c r="BJ105" i="46"/>
  <c r="BG85" i="46"/>
  <c r="BJ85" i="46"/>
  <c r="BG83" i="46"/>
  <c r="BJ83" i="46"/>
  <c r="BG104" i="46"/>
  <c r="BJ104" i="46"/>
  <c r="BG86" i="46"/>
  <c r="BJ86" i="46"/>
  <c r="BG90" i="46"/>
  <c r="BJ90" i="46"/>
  <c r="BG82" i="46"/>
  <c r="BJ82" i="46"/>
  <c r="BG107" i="46"/>
  <c r="BJ107" i="46"/>
  <c r="BG106" i="46"/>
  <c r="BJ106" i="46"/>
  <c r="BG100" i="46"/>
  <c r="BJ100" i="46"/>
  <c r="BG114" i="46"/>
  <c r="BJ114" i="46"/>
  <c r="BG87" i="46"/>
  <c r="BJ87" i="46"/>
  <c r="BG103" i="46"/>
  <c r="BJ103" i="46"/>
  <c r="BG102" i="46"/>
  <c r="BJ102" i="46"/>
  <c r="BG111" i="46"/>
  <c r="BJ111" i="46"/>
  <c r="BG101" i="46"/>
  <c r="BJ101" i="46"/>
  <c r="BG110" i="46"/>
  <c r="BJ110" i="46"/>
  <c r="BG126" i="46"/>
  <c r="BJ126" i="46"/>
  <c r="BG122" i="46"/>
  <c r="BJ122" i="46"/>
  <c r="BG92" i="46"/>
  <c r="BJ92" i="46"/>
  <c r="BG109" i="46"/>
  <c r="BJ109" i="46"/>
  <c r="BG125" i="46"/>
  <c r="BJ125" i="46"/>
  <c r="BG98" i="46"/>
  <c r="BJ98" i="46"/>
  <c r="BG88" i="46"/>
  <c r="BJ88" i="46"/>
  <c r="BG123" i="46"/>
  <c r="BJ123" i="46"/>
  <c r="BG93" i="46"/>
  <c r="BJ93" i="46"/>
  <c r="BG108" i="46"/>
  <c r="BJ108" i="46"/>
  <c r="BG117" i="46"/>
  <c r="BJ117" i="46"/>
  <c r="BG127" i="46"/>
  <c r="BJ127" i="46"/>
  <c r="BG99" i="46"/>
  <c r="BJ99" i="46"/>
  <c r="BG121" i="46"/>
  <c r="BJ121" i="46"/>
  <c r="BG95" i="46"/>
  <c r="BJ95" i="46"/>
  <c r="BG115" i="46"/>
  <c r="BJ115" i="46"/>
  <c r="BG118" i="46"/>
  <c r="BJ118" i="46"/>
  <c r="BG124" i="46"/>
  <c r="BJ124" i="46"/>
  <c r="BG97" i="46"/>
  <c r="BJ97" i="46"/>
  <c r="BG120" i="46"/>
  <c r="BJ120" i="46"/>
  <c r="BG94" i="46"/>
  <c r="BJ94" i="46"/>
  <c r="BG91" i="46"/>
  <c r="BJ91" i="46"/>
  <c r="BG112" i="46"/>
  <c r="BJ112" i="46"/>
  <c r="BG116" i="46"/>
  <c r="BJ116" i="46"/>
  <c r="BG96" i="46"/>
  <c r="BJ96" i="46"/>
  <c r="BG84" i="46"/>
  <c r="BJ84" i="46"/>
  <c r="BG89" i="46"/>
  <c r="BJ89" i="46"/>
  <c r="BG113" i="46"/>
  <c r="BJ113" i="46"/>
  <c r="BG119" i="46"/>
  <c r="BJ119" i="46"/>
  <c r="BA123" i="46"/>
  <c r="BD123" i="46"/>
  <c r="BA120" i="46"/>
  <c r="BD120" i="46"/>
  <c r="BA94" i="46"/>
  <c r="BD94" i="46"/>
  <c r="BA91" i="46"/>
  <c r="BD91" i="46"/>
  <c r="BA112" i="46"/>
  <c r="BD112" i="46"/>
  <c r="BA116" i="46"/>
  <c r="BD116" i="46"/>
  <c r="BA84" i="46"/>
  <c r="BD84" i="46"/>
  <c r="BA86" i="46"/>
  <c r="BD86" i="46"/>
  <c r="BA81" i="46"/>
  <c r="BD81" i="46"/>
  <c r="BA90" i="46"/>
  <c r="BD90" i="46"/>
  <c r="BA114" i="46"/>
  <c r="BD114" i="46"/>
  <c r="BA87" i="46"/>
  <c r="BD87" i="46"/>
  <c r="BA80" i="46"/>
  <c r="BD80" i="46"/>
  <c r="BA88" i="46"/>
  <c r="BD88" i="46"/>
  <c r="BA105" i="46"/>
  <c r="BD105" i="46"/>
  <c r="BA85" i="46"/>
  <c r="BD85" i="46"/>
  <c r="BA83" i="46"/>
  <c r="BD83" i="46"/>
  <c r="BA104" i="46"/>
  <c r="BD104" i="46"/>
  <c r="BA107" i="46"/>
  <c r="BD107" i="46"/>
  <c r="BA82" i="46"/>
  <c r="BD82" i="46"/>
  <c r="BA106" i="46"/>
  <c r="BD106" i="46"/>
  <c r="BA101" i="46"/>
  <c r="BD101" i="46"/>
  <c r="BA100" i="46"/>
  <c r="BD100" i="46"/>
  <c r="BA103" i="46"/>
  <c r="BD103" i="46"/>
  <c r="BA102" i="46"/>
  <c r="BD102" i="46"/>
  <c r="BA111" i="46"/>
  <c r="BD111" i="46"/>
  <c r="BA126" i="46"/>
  <c r="BD126" i="46"/>
  <c r="BA92" i="46"/>
  <c r="BD92" i="46"/>
  <c r="BA109" i="46"/>
  <c r="BD109" i="46"/>
  <c r="BA125" i="46"/>
  <c r="BD125" i="46"/>
  <c r="BA98" i="46"/>
  <c r="BD98" i="46"/>
  <c r="BA93" i="46"/>
  <c r="BD93" i="46"/>
  <c r="BA108" i="46"/>
  <c r="BD108" i="46"/>
  <c r="BA117" i="46"/>
  <c r="BD117" i="46"/>
  <c r="BA127" i="46"/>
  <c r="BD127" i="46"/>
  <c r="BA99" i="46"/>
  <c r="BD99" i="46"/>
  <c r="BA110" i="46"/>
  <c r="BD110" i="46"/>
  <c r="BA121" i="46"/>
  <c r="BD121" i="46"/>
  <c r="BA95" i="46"/>
  <c r="BD95" i="46"/>
  <c r="BA115" i="46"/>
  <c r="BD115" i="46"/>
  <c r="BA118" i="46"/>
  <c r="BD118" i="46"/>
  <c r="BA124" i="46"/>
  <c r="BD124" i="46"/>
  <c r="BA97" i="46"/>
  <c r="BD97" i="46"/>
  <c r="BA122" i="46"/>
  <c r="BD122" i="46"/>
  <c r="BA96" i="46"/>
  <c r="BD96" i="46"/>
  <c r="BA89" i="46"/>
  <c r="BD89" i="46"/>
  <c r="BA113" i="46"/>
  <c r="BD113" i="46"/>
  <c r="BA119" i="46"/>
  <c r="BD119" i="46"/>
  <c r="AU93" i="46"/>
  <c r="AX93" i="46"/>
  <c r="AU108" i="46"/>
  <c r="AX108" i="46"/>
  <c r="AU127" i="46"/>
  <c r="AX127" i="46"/>
  <c r="AU120" i="46"/>
  <c r="AX120" i="46"/>
  <c r="AU94" i="46"/>
  <c r="AX94" i="46"/>
  <c r="AU91" i="46"/>
  <c r="AX91" i="46"/>
  <c r="AU112" i="46"/>
  <c r="AX112" i="46"/>
  <c r="AU116" i="46"/>
  <c r="AX116" i="46"/>
  <c r="AU96" i="46"/>
  <c r="AX96" i="46"/>
  <c r="AU84" i="46"/>
  <c r="AX84" i="46"/>
  <c r="AU86" i="46"/>
  <c r="AX86" i="46"/>
  <c r="AU81" i="46"/>
  <c r="AX81" i="46"/>
  <c r="AU90" i="46"/>
  <c r="AX90" i="46"/>
  <c r="AU114" i="46"/>
  <c r="AX114" i="46"/>
  <c r="AU80" i="46"/>
  <c r="AX80" i="46"/>
  <c r="AU87" i="46"/>
  <c r="AX87" i="46"/>
  <c r="AU88" i="46"/>
  <c r="AX88" i="46"/>
  <c r="AU105" i="46"/>
  <c r="AX105" i="46"/>
  <c r="AU85" i="46"/>
  <c r="AX85" i="46"/>
  <c r="AU83" i="46"/>
  <c r="AX83" i="46"/>
  <c r="AU104" i="46"/>
  <c r="AX104" i="46"/>
  <c r="AU107" i="46"/>
  <c r="AX107" i="46"/>
  <c r="AU82" i="46"/>
  <c r="AX82" i="46"/>
  <c r="AU106" i="46"/>
  <c r="AX106" i="46"/>
  <c r="AU100" i="46"/>
  <c r="AX100" i="46"/>
  <c r="AU103" i="46"/>
  <c r="AX103" i="46"/>
  <c r="AU111" i="46"/>
  <c r="AX111" i="46"/>
  <c r="AU102" i="46"/>
  <c r="AX102" i="46"/>
  <c r="AU101" i="46"/>
  <c r="AX101" i="46"/>
  <c r="AU110" i="46"/>
  <c r="AX110" i="46"/>
  <c r="AU126" i="46"/>
  <c r="AX126" i="46"/>
  <c r="AU122" i="46"/>
  <c r="AX122" i="46"/>
  <c r="AU92" i="46"/>
  <c r="AX92" i="46"/>
  <c r="AU109" i="46"/>
  <c r="AX109" i="46"/>
  <c r="AU125" i="46"/>
  <c r="AX125" i="46"/>
  <c r="AU98" i="46"/>
  <c r="AX98" i="46"/>
  <c r="AU123" i="46"/>
  <c r="AX123" i="46"/>
  <c r="AU117" i="46"/>
  <c r="AX117" i="46"/>
  <c r="AU99" i="46"/>
  <c r="AX99" i="46"/>
  <c r="AU121" i="46"/>
  <c r="AX121" i="46"/>
  <c r="AU95" i="46"/>
  <c r="AX95" i="46"/>
  <c r="AU115" i="46"/>
  <c r="AX115" i="46"/>
  <c r="AU118" i="46"/>
  <c r="AX118" i="46"/>
  <c r="AU124" i="46"/>
  <c r="AX124" i="46"/>
  <c r="AU97" i="46"/>
  <c r="AX97" i="46"/>
  <c r="AU89" i="46"/>
  <c r="AX89" i="46"/>
  <c r="AU113" i="46"/>
  <c r="AX113" i="46"/>
  <c r="AU119" i="46"/>
  <c r="AX119" i="46"/>
  <c r="AO98" i="46"/>
  <c r="AR98" i="46"/>
  <c r="AO108" i="46"/>
  <c r="AR108" i="46"/>
  <c r="AO120" i="46"/>
  <c r="AR120" i="46"/>
  <c r="AO84" i="46"/>
  <c r="AR84" i="46"/>
  <c r="AO86" i="46"/>
  <c r="AR86" i="46"/>
  <c r="AO81" i="46"/>
  <c r="AR81" i="46"/>
  <c r="AO90" i="46"/>
  <c r="AR90" i="46"/>
  <c r="AO114" i="46"/>
  <c r="AR114" i="46"/>
  <c r="AO105" i="46"/>
  <c r="AR105" i="46"/>
  <c r="AO92" i="46"/>
  <c r="AR92" i="46"/>
  <c r="AO85" i="46"/>
  <c r="AR85" i="46"/>
  <c r="AO83" i="46"/>
  <c r="AR83" i="46"/>
  <c r="AO104" i="46"/>
  <c r="AR104" i="46"/>
  <c r="AO122" i="46"/>
  <c r="AR122" i="46"/>
  <c r="AO107" i="46"/>
  <c r="AR107" i="46"/>
  <c r="AO106" i="46"/>
  <c r="AR106" i="46"/>
  <c r="AO80" i="46"/>
  <c r="AR80" i="46"/>
  <c r="AO87" i="46"/>
  <c r="AR87" i="46"/>
  <c r="AO88" i="46"/>
  <c r="AR88" i="46"/>
  <c r="AO82" i="46"/>
  <c r="AR82" i="46"/>
  <c r="AO100" i="46"/>
  <c r="AR100" i="46"/>
  <c r="AO103" i="46"/>
  <c r="AR103" i="46"/>
  <c r="AO102" i="46"/>
  <c r="AR102" i="46"/>
  <c r="AO111" i="46"/>
  <c r="AR111" i="46"/>
  <c r="AO101" i="46"/>
  <c r="AR101" i="46"/>
  <c r="AO110" i="46"/>
  <c r="AR110" i="46"/>
  <c r="AO126" i="46"/>
  <c r="AR126" i="46"/>
  <c r="AO127" i="46"/>
  <c r="AR127" i="46"/>
  <c r="AO99" i="46"/>
  <c r="AR99" i="46"/>
  <c r="AO121" i="46"/>
  <c r="AR121" i="46"/>
  <c r="AO95" i="46"/>
  <c r="AR95" i="46"/>
  <c r="AO115" i="46"/>
  <c r="AR115" i="46"/>
  <c r="AO118" i="46"/>
  <c r="AR118" i="46"/>
  <c r="AO124" i="46"/>
  <c r="AR124" i="46"/>
  <c r="AO97" i="46"/>
  <c r="AR97" i="46"/>
  <c r="AO109" i="46"/>
  <c r="AR109" i="46"/>
  <c r="AO125" i="46"/>
  <c r="AR125" i="46"/>
  <c r="AO123" i="46"/>
  <c r="AR123" i="46"/>
  <c r="AO93" i="46"/>
  <c r="AR93" i="46"/>
  <c r="AO117" i="46"/>
  <c r="AR117" i="46"/>
  <c r="AO94" i="46"/>
  <c r="AR94" i="46"/>
  <c r="AO91" i="46"/>
  <c r="AR91" i="46"/>
  <c r="AO112" i="46"/>
  <c r="AR112" i="46"/>
  <c r="AO116" i="46"/>
  <c r="AR116" i="46"/>
  <c r="AO96" i="46"/>
  <c r="AR96" i="46"/>
  <c r="AO89" i="46"/>
  <c r="AR89" i="46"/>
  <c r="AO113" i="46"/>
  <c r="AR113" i="46"/>
  <c r="AO119" i="46"/>
  <c r="AR119" i="46"/>
  <c r="AI120" i="46"/>
  <c r="AL120" i="46"/>
  <c r="AI96" i="46"/>
  <c r="AL96" i="46"/>
  <c r="AI84" i="46"/>
  <c r="AL84" i="46"/>
  <c r="AI86" i="46"/>
  <c r="AL86" i="46"/>
  <c r="AI81" i="46"/>
  <c r="AL81" i="46"/>
  <c r="AI90" i="46"/>
  <c r="AL90" i="46"/>
  <c r="AI114" i="46"/>
  <c r="AL114" i="46"/>
  <c r="AI102" i="46"/>
  <c r="AL102" i="46"/>
  <c r="AI111" i="46"/>
  <c r="AL111" i="46"/>
  <c r="AI122" i="46"/>
  <c r="AL122" i="46"/>
  <c r="AI98" i="46"/>
  <c r="AL98" i="46"/>
  <c r="AI93" i="46"/>
  <c r="AL93" i="46"/>
  <c r="AI87" i="46"/>
  <c r="AL87" i="46"/>
  <c r="AI80" i="46"/>
  <c r="AL80" i="46"/>
  <c r="AI88" i="46"/>
  <c r="AL88" i="46"/>
  <c r="AI105" i="46"/>
  <c r="AL105" i="46"/>
  <c r="AI104" i="46"/>
  <c r="AL104" i="46"/>
  <c r="AI107" i="46"/>
  <c r="AL107" i="46"/>
  <c r="AI106" i="46"/>
  <c r="AL106" i="46"/>
  <c r="AI83" i="46"/>
  <c r="AL83" i="46"/>
  <c r="AI82" i="46"/>
  <c r="AL82" i="46"/>
  <c r="AI100" i="46"/>
  <c r="AL100" i="46"/>
  <c r="AI103" i="46"/>
  <c r="AL103" i="46"/>
  <c r="AI85" i="46"/>
  <c r="AL85" i="46"/>
  <c r="AI101" i="46"/>
  <c r="AL101" i="46"/>
  <c r="AI126" i="46"/>
  <c r="AL126" i="46"/>
  <c r="AI109" i="46"/>
  <c r="AL109" i="46"/>
  <c r="AI121" i="46"/>
  <c r="AL121" i="46"/>
  <c r="AI95" i="46"/>
  <c r="AL95" i="46"/>
  <c r="AI115" i="46"/>
  <c r="AL115" i="46"/>
  <c r="AI118" i="46"/>
  <c r="AL118" i="46"/>
  <c r="AI124" i="46"/>
  <c r="AL124" i="46"/>
  <c r="AI97" i="46"/>
  <c r="AL97" i="46"/>
  <c r="AI92" i="46"/>
  <c r="AL92" i="46"/>
  <c r="AI125" i="46"/>
  <c r="AL125" i="46"/>
  <c r="AI123" i="46"/>
  <c r="AL123" i="46"/>
  <c r="AI108" i="46"/>
  <c r="AL108" i="46"/>
  <c r="AI117" i="46"/>
  <c r="AL117" i="46"/>
  <c r="AI127" i="46"/>
  <c r="AL127" i="46"/>
  <c r="AI99" i="46"/>
  <c r="AL99" i="46"/>
  <c r="AI94" i="46"/>
  <c r="AL94" i="46"/>
  <c r="AI91" i="46"/>
  <c r="AL91" i="46"/>
  <c r="AI112" i="46"/>
  <c r="AL112" i="46"/>
  <c r="AI116" i="46"/>
  <c r="AL116" i="46"/>
  <c r="AI110" i="46"/>
  <c r="AL110" i="46"/>
  <c r="AI89" i="46"/>
  <c r="AL89" i="46"/>
  <c r="AI113" i="46"/>
  <c r="AL113" i="46"/>
  <c r="AI119" i="46"/>
  <c r="AL119" i="46"/>
  <c r="AC114" i="46"/>
  <c r="AF114" i="46"/>
  <c r="AC81" i="46"/>
  <c r="AF81" i="46"/>
  <c r="AC90" i="46"/>
  <c r="AF90" i="46"/>
  <c r="AC87" i="46"/>
  <c r="AF87" i="46"/>
  <c r="AC80" i="46"/>
  <c r="AF80" i="46"/>
  <c r="AC88" i="46"/>
  <c r="AF88" i="46"/>
  <c r="AC105" i="46"/>
  <c r="AF105" i="46"/>
  <c r="AC85" i="46"/>
  <c r="AF85" i="46"/>
  <c r="AC83" i="46"/>
  <c r="AF83" i="46"/>
  <c r="AC104" i="46"/>
  <c r="AF104" i="46"/>
  <c r="AC106" i="46"/>
  <c r="AF106" i="46"/>
  <c r="AC86" i="46"/>
  <c r="AF86" i="46"/>
  <c r="AC100" i="46"/>
  <c r="AF100" i="46"/>
  <c r="AC82" i="46"/>
  <c r="AF82" i="46"/>
  <c r="AC102" i="46"/>
  <c r="AF102" i="46"/>
  <c r="AC111" i="46"/>
  <c r="AF111" i="46"/>
  <c r="AC103" i="46"/>
  <c r="AF103" i="46"/>
  <c r="AC101" i="46"/>
  <c r="AF101" i="46"/>
  <c r="AC110" i="46"/>
  <c r="AF110" i="46"/>
  <c r="AC126" i="46"/>
  <c r="AF126" i="46"/>
  <c r="AC122" i="46"/>
  <c r="AF122" i="46"/>
  <c r="AC92" i="46"/>
  <c r="AF92" i="46"/>
  <c r="AC109" i="46"/>
  <c r="AF109" i="46"/>
  <c r="AC125" i="46"/>
  <c r="AF125" i="46"/>
  <c r="AC98" i="46"/>
  <c r="AF98" i="46"/>
  <c r="AC93" i="46"/>
  <c r="AF93" i="46"/>
  <c r="AC108" i="46"/>
  <c r="AF108" i="46"/>
  <c r="AC117" i="46"/>
  <c r="AF117" i="46"/>
  <c r="AC127" i="46"/>
  <c r="AF127" i="46"/>
  <c r="AC99" i="46"/>
  <c r="AF99" i="46"/>
  <c r="AC121" i="46"/>
  <c r="AF121" i="46"/>
  <c r="AC95" i="46"/>
  <c r="AF95" i="46"/>
  <c r="AC115" i="46"/>
  <c r="AF115" i="46"/>
  <c r="AC118" i="46"/>
  <c r="AF118" i="46"/>
  <c r="AC124" i="46"/>
  <c r="AF124" i="46"/>
  <c r="AC97" i="46"/>
  <c r="AF97" i="46"/>
  <c r="AC94" i="46"/>
  <c r="AF94" i="46"/>
  <c r="AC91" i="46"/>
  <c r="AF91" i="46"/>
  <c r="AC112" i="46"/>
  <c r="AF112" i="46"/>
  <c r="AC116" i="46"/>
  <c r="AF116" i="46"/>
  <c r="AC96" i="46"/>
  <c r="AF96" i="46"/>
  <c r="AC107" i="46"/>
  <c r="AF107" i="46"/>
  <c r="AC123" i="46"/>
  <c r="AF123" i="46"/>
  <c r="AC120" i="46"/>
  <c r="AF120" i="46"/>
  <c r="AC84" i="46"/>
  <c r="AF84" i="46"/>
  <c r="AC89" i="46"/>
  <c r="AF89" i="46"/>
  <c r="AC113" i="46"/>
  <c r="AF113" i="46"/>
  <c r="AC119" i="46"/>
  <c r="AF119" i="46"/>
  <c r="W122" i="46"/>
  <c r="Z122" i="46"/>
  <c r="W117" i="46"/>
  <c r="Z117" i="46"/>
  <c r="W95" i="46"/>
  <c r="Z95" i="46"/>
  <c r="W115" i="46"/>
  <c r="Z115" i="46"/>
  <c r="W94" i="46"/>
  <c r="Z94" i="46"/>
  <c r="W84" i="46"/>
  <c r="Z84" i="46"/>
  <c r="W86" i="46"/>
  <c r="Z86" i="46"/>
  <c r="W81" i="46"/>
  <c r="Z81" i="46"/>
  <c r="W90" i="46"/>
  <c r="Z90" i="46"/>
  <c r="W114" i="46"/>
  <c r="Z114" i="46"/>
  <c r="W93" i="46"/>
  <c r="Z93" i="46"/>
  <c r="W87" i="46"/>
  <c r="Z87" i="46"/>
  <c r="W88" i="46"/>
  <c r="Z88" i="46"/>
  <c r="W105" i="46"/>
  <c r="Z105" i="46"/>
  <c r="W80" i="46"/>
  <c r="Z80" i="46"/>
  <c r="W85" i="46"/>
  <c r="Z85" i="46"/>
  <c r="W83" i="46"/>
  <c r="Z83" i="46"/>
  <c r="W104" i="46"/>
  <c r="Z104" i="46"/>
  <c r="W92" i="46"/>
  <c r="Z92" i="46"/>
  <c r="W82" i="46"/>
  <c r="Z82" i="46"/>
  <c r="W106" i="46"/>
  <c r="Z106" i="46"/>
  <c r="W107" i="46"/>
  <c r="Z107" i="46"/>
  <c r="W100" i="46"/>
  <c r="Z100" i="46"/>
  <c r="W111" i="46"/>
  <c r="Z111" i="46"/>
  <c r="W103" i="46"/>
  <c r="Z103" i="46"/>
  <c r="W102" i="46"/>
  <c r="Z102" i="46"/>
  <c r="W101" i="46"/>
  <c r="Z101" i="46"/>
  <c r="W110" i="46"/>
  <c r="Z110" i="46"/>
  <c r="W126" i="46"/>
  <c r="Z126" i="46"/>
  <c r="W125" i="46"/>
  <c r="Z125" i="46"/>
  <c r="W98" i="46"/>
  <c r="Z98" i="46"/>
  <c r="W127" i="46"/>
  <c r="Z127" i="46"/>
  <c r="W99" i="46"/>
  <c r="Z99" i="46"/>
  <c r="W118" i="46"/>
  <c r="Z118" i="46"/>
  <c r="W124" i="46"/>
  <c r="Z124" i="46"/>
  <c r="W97" i="46"/>
  <c r="Z97" i="46"/>
  <c r="W123" i="46"/>
  <c r="Z123" i="46"/>
  <c r="W91" i="46"/>
  <c r="Z91" i="46"/>
  <c r="W112" i="46"/>
  <c r="Z112" i="46"/>
  <c r="W116" i="46"/>
  <c r="Z116" i="46"/>
  <c r="W96" i="46"/>
  <c r="Z96" i="46"/>
  <c r="W109" i="46"/>
  <c r="Z109" i="46"/>
  <c r="W108" i="46"/>
  <c r="Z108" i="46"/>
  <c r="W121" i="46"/>
  <c r="Z121" i="46"/>
  <c r="W120" i="46"/>
  <c r="Z120" i="46"/>
  <c r="W89" i="46"/>
  <c r="Z89" i="46"/>
  <c r="W113" i="46"/>
  <c r="Z113" i="46"/>
  <c r="W119" i="46"/>
  <c r="Z119" i="46"/>
  <c r="BJ69" i="3"/>
  <c r="BK69" i="3"/>
  <c r="BK68" i="3"/>
  <c r="BL68" i="3" s="1"/>
  <c r="BL66" i="3"/>
  <c r="T85" i="46"/>
  <c r="T126" i="46"/>
  <c r="T98" i="46"/>
  <c r="T122" i="46"/>
  <c r="T121" i="46"/>
  <c r="T95" i="46"/>
  <c r="T115" i="46"/>
  <c r="T118" i="46"/>
  <c r="T97" i="46"/>
  <c r="T120" i="46"/>
  <c r="T94" i="46"/>
  <c r="T91" i="46"/>
  <c r="T112" i="46"/>
  <c r="T96" i="46"/>
  <c r="T104" i="46"/>
  <c r="T123" i="46"/>
  <c r="T93" i="46"/>
  <c r="T108" i="46"/>
  <c r="T117" i="46"/>
  <c r="T101" i="46"/>
  <c r="T83" i="46"/>
  <c r="T110" i="46"/>
  <c r="T92" i="46"/>
  <c r="T125" i="46"/>
  <c r="T106" i="46"/>
  <c r="T89" i="46"/>
  <c r="T113" i="46"/>
  <c r="T119" i="46"/>
  <c r="T103" i="46"/>
  <c r="T86" i="46"/>
  <c r="T81" i="46"/>
  <c r="T90" i="46"/>
  <c r="T114" i="46"/>
  <c r="T82" i="46"/>
  <c r="T109" i="46"/>
  <c r="T107" i="46"/>
  <c r="T127" i="46"/>
  <c r="T99" i="46"/>
  <c r="T100" i="46"/>
  <c r="T102" i="46"/>
  <c r="T87" i="46"/>
  <c r="T80" i="46"/>
  <c r="T88" i="46"/>
  <c r="T111" i="46"/>
  <c r="T105" i="46"/>
  <c r="T124" i="46"/>
  <c r="T116" i="46"/>
  <c r="T84" i="46"/>
  <c r="A17" i="48" a="1"/>
  <c r="A17" i="48" s="1"/>
  <c r="A8" i="48" a="1"/>
  <c r="A8" i="48" s="1"/>
  <c r="A4" i="50" a="1"/>
  <c r="A4" i="50" s="1"/>
  <c r="A4" i="48" a="1"/>
  <c r="A4" i="48" s="1"/>
  <c r="A18" i="48" a="1"/>
  <c r="A18" i="48" s="1"/>
  <c r="A5" i="48" a="1"/>
  <c r="A5" i="48" s="1"/>
  <c r="A7" i="48" a="1"/>
  <c r="A7" i="48" s="1"/>
  <c r="A14" i="48" a="1"/>
  <c r="A14" i="48" s="1"/>
  <c r="A15" i="48" a="1"/>
  <c r="A15" i="48" s="1"/>
  <c r="BL63" i="3"/>
  <c r="BL65" i="3"/>
  <c r="BL62" i="3"/>
  <c r="BE62" i="3"/>
  <c r="BR62" i="3" s="1"/>
  <c r="BS60" i="3" s="1"/>
  <c r="BL61" i="3"/>
  <c r="BL67" i="3"/>
  <c r="BL59" i="3"/>
  <c r="BL58" i="3"/>
  <c r="C6" i="48" a="1"/>
  <c r="C6" i="48" s="1"/>
  <c r="C5" i="48" a="1"/>
  <c r="C5" i="48" s="1"/>
  <c r="C19" i="48" a="1"/>
  <c r="C19" i="48" s="1"/>
  <c r="B4" i="50" a="1"/>
  <c r="B4" i="50" s="1"/>
  <c r="C4" i="48" a="1"/>
  <c r="C4" i="48" s="1"/>
  <c r="C18" i="48" a="1"/>
  <c r="C18" i="48" s="1"/>
  <c r="C9" i="48" a="1"/>
  <c r="C9" i="48" s="1"/>
  <c r="C17" i="48" a="1"/>
  <c r="C17" i="48" s="1"/>
  <c r="C12" i="48" a="1"/>
  <c r="C12" i="48" s="1"/>
  <c r="C7" i="48" a="1"/>
  <c r="C7" i="48" s="1"/>
  <c r="C8" i="48" a="1"/>
  <c r="C8" i="48" s="1"/>
  <c r="C11" i="48" a="1"/>
  <c r="C11" i="48" s="1"/>
  <c r="C15" i="48" a="1"/>
  <c r="C15" i="48"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EA128" i="46" l="1"/>
  <c r="ED128" i="46"/>
  <c r="DU128" i="46"/>
  <c r="DX128" i="46"/>
  <c r="DO128" i="46"/>
  <c r="DR128" i="46"/>
  <c r="DI128" i="46"/>
  <c r="DL128" i="46"/>
  <c r="DF128" i="46"/>
  <c r="DC128" i="46"/>
  <c r="CW128" i="46"/>
  <c r="CZ128" i="46"/>
  <c r="CQ128" i="46"/>
  <c r="CT128" i="46"/>
  <c r="CK128" i="46"/>
  <c r="CN128" i="46"/>
  <c r="CE128" i="46"/>
  <c r="CH128" i="46"/>
  <c r="BY128" i="46"/>
  <c r="CB128" i="46"/>
  <c r="BS128" i="46"/>
  <c r="BV128" i="46"/>
  <c r="BM128" i="46"/>
  <c r="BP128" i="46"/>
  <c r="BJ128" i="46"/>
  <c r="BG128" i="46"/>
  <c r="BA128" i="46"/>
  <c r="BD128" i="46"/>
  <c r="AX128" i="46"/>
  <c r="AU128" i="46"/>
  <c r="AO128" i="46"/>
  <c r="AR128" i="46"/>
  <c r="AI128" i="46"/>
  <c r="AL128" i="46"/>
  <c r="AC128" i="46"/>
  <c r="AF128" i="46"/>
  <c r="W128" i="46"/>
  <c r="Z128" i="46"/>
  <c r="BL69" i="3"/>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AI31" i="45"/>
  <c r="M212" i="46"/>
  <c r="AI19" i="45"/>
  <c r="M211" i="46"/>
  <c r="AI8" i="45"/>
  <c r="M214" i="46"/>
  <c r="C14" i="48" l="1"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BY69" i="3" l="1"/>
  <c r="BY65" i="3"/>
  <c r="BY58" i="3"/>
  <c r="BY61" i="3"/>
  <c r="BY59" i="3"/>
  <c r="BY64" i="3"/>
  <c r="BY62" i="3"/>
  <c r="BY60" i="3"/>
  <c r="BY68" i="3"/>
  <c r="BY66" i="3"/>
  <c r="BY67" i="3"/>
  <c r="BY63" i="3"/>
  <c r="BZ67" i="3" l="1"/>
  <c r="CA67" i="3" s="1"/>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EG151" i="46" l="1"/>
  <c r="EG145" i="46"/>
  <c r="EG135" i="46"/>
  <c r="EG160" i="46"/>
  <c r="EG150" i="46"/>
  <c r="EG144" i="46"/>
  <c r="EG134" i="46"/>
  <c r="EG141" i="46"/>
  <c r="EG149" i="46"/>
  <c r="EG159" i="46"/>
  <c r="EG133" i="46"/>
  <c r="EG143" i="46"/>
  <c r="EG142" i="46"/>
  <c r="EG156" i="46"/>
  <c r="EG148" i="46"/>
  <c r="EG140" i="46"/>
  <c r="EG132" i="46"/>
  <c r="EG155" i="46"/>
  <c r="EG147" i="46"/>
  <c r="EG139" i="46"/>
  <c r="EG131" i="46"/>
  <c r="EG136" i="46"/>
  <c r="EG158" i="46"/>
  <c r="EG154" i="46"/>
  <c r="EG146" i="46"/>
  <c r="EG138" i="46"/>
  <c r="EG130" i="46"/>
  <c r="EG153" i="46"/>
  <c r="EG157" i="46"/>
  <c r="EG137" i="46"/>
  <c r="EG161" i="46"/>
  <c r="EG152" i="46"/>
  <c r="ED150" i="46"/>
  <c r="ED159" i="46"/>
  <c r="ED134" i="46"/>
  <c r="ED143" i="46"/>
  <c r="ED149" i="46"/>
  <c r="ED137" i="46"/>
  <c r="ED133" i="46"/>
  <c r="ED136" i="46"/>
  <c r="ED148" i="46"/>
  <c r="ED158" i="46"/>
  <c r="ED132" i="46"/>
  <c r="ED142" i="46"/>
  <c r="ED147" i="46"/>
  <c r="ED157" i="46"/>
  <c r="ED131" i="46"/>
  <c r="ED141" i="46"/>
  <c r="ED152" i="46"/>
  <c r="ED156" i="46"/>
  <c r="ED146" i="46"/>
  <c r="ED140" i="46"/>
  <c r="ED130" i="46"/>
  <c r="ED155" i="46"/>
  <c r="ED161" i="46"/>
  <c r="ED139" i="46"/>
  <c r="ED145" i="46"/>
  <c r="ED154" i="46"/>
  <c r="ED160" i="46"/>
  <c r="ED138" i="46"/>
  <c r="ED151" i="46"/>
  <c r="ED144" i="46"/>
  <c r="ED135" i="46"/>
  <c r="ED153" i="46"/>
  <c r="EA138" i="46"/>
  <c r="EA161" i="46"/>
  <c r="EA151" i="46"/>
  <c r="EA159" i="46"/>
  <c r="EA135" i="46"/>
  <c r="EA143" i="46"/>
  <c r="EA150" i="46"/>
  <c r="EA155" i="46"/>
  <c r="EA134" i="46"/>
  <c r="EA158" i="46"/>
  <c r="EA149" i="46"/>
  <c r="EA142" i="46"/>
  <c r="EA133" i="46"/>
  <c r="EA157" i="46"/>
  <c r="EA148" i="46"/>
  <c r="EA141" i="46"/>
  <c r="EA132" i="46"/>
  <c r="EA139" i="46"/>
  <c r="EA147" i="46"/>
  <c r="EA156" i="46"/>
  <c r="EA131" i="46"/>
  <c r="EA140" i="46"/>
  <c r="EA146" i="46"/>
  <c r="EA154" i="46"/>
  <c r="EA130" i="46"/>
  <c r="EA153" i="46"/>
  <c r="EA145" i="46"/>
  <c r="EA137" i="46"/>
  <c r="EA160" i="46"/>
  <c r="EA152" i="46"/>
  <c r="EA144" i="46"/>
  <c r="EA136" i="46"/>
  <c r="DX161" i="46"/>
  <c r="DX152" i="46"/>
  <c r="DX145" i="46"/>
  <c r="DX153" i="46"/>
  <c r="DX160" i="46"/>
  <c r="DX137" i="46"/>
  <c r="DX144" i="46"/>
  <c r="DX136" i="46"/>
  <c r="DX151" i="46"/>
  <c r="DX159" i="46"/>
  <c r="DX135" i="46"/>
  <c r="DX143" i="46"/>
  <c r="DX150" i="46"/>
  <c r="DX158" i="46"/>
  <c r="DX134" i="46"/>
  <c r="DX142" i="46"/>
  <c r="DX133" i="46"/>
  <c r="DX157" i="46"/>
  <c r="DX149" i="46"/>
  <c r="DX141" i="46"/>
  <c r="DX148" i="46"/>
  <c r="DX156" i="46"/>
  <c r="DX132" i="46"/>
  <c r="DX140" i="46"/>
  <c r="DX147" i="46"/>
  <c r="DX155" i="46"/>
  <c r="DX131" i="46"/>
  <c r="DX139" i="46"/>
  <c r="DX146" i="46"/>
  <c r="DX154" i="46"/>
  <c r="DX130" i="46"/>
  <c r="DX138" i="46"/>
  <c r="DU151" i="46"/>
  <c r="DU161" i="46"/>
  <c r="DU135" i="46"/>
  <c r="DU145" i="46"/>
  <c r="DU150" i="46"/>
  <c r="DU160" i="46"/>
  <c r="DU134" i="46"/>
  <c r="DU144" i="46"/>
  <c r="DU159" i="46"/>
  <c r="DU158" i="46"/>
  <c r="DU142" i="46"/>
  <c r="DU141" i="46"/>
  <c r="DU157" i="46"/>
  <c r="DU156" i="46"/>
  <c r="DU149" i="46"/>
  <c r="DU140" i="46"/>
  <c r="DU133" i="46"/>
  <c r="DU155" i="46"/>
  <c r="DU143" i="46"/>
  <c r="DU139" i="46"/>
  <c r="DU148" i="46"/>
  <c r="DU152" i="46"/>
  <c r="DU132" i="46"/>
  <c r="DU136" i="46"/>
  <c r="DU147" i="46"/>
  <c r="DU154" i="46"/>
  <c r="DU131" i="46"/>
  <c r="DU138" i="46"/>
  <c r="DU146" i="46"/>
  <c r="DU153" i="46"/>
  <c r="DU130" i="46"/>
  <c r="DU137" i="46"/>
  <c r="DR150" i="46"/>
  <c r="DR158" i="46"/>
  <c r="DR134" i="46"/>
  <c r="DR142" i="46"/>
  <c r="DR149" i="46"/>
  <c r="DR157" i="46"/>
  <c r="DR133" i="46"/>
  <c r="DR141" i="46"/>
  <c r="DR148" i="46"/>
  <c r="DR156" i="46"/>
  <c r="DR132" i="46"/>
  <c r="DR140" i="46"/>
  <c r="DR147" i="46"/>
  <c r="DR155" i="46"/>
  <c r="DR131" i="46"/>
  <c r="DR139" i="46"/>
  <c r="DR146" i="46"/>
  <c r="DR152" i="46"/>
  <c r="DR130" i="46"/>
  <c r="DR154" i="46"/>
  <c r="DR161" i="46"/>
  <c r="DR138" i="46"/>
  <c r="DR145" i="46"/>
  <c r="DR136" i="46"/>
  <c r="DR160" i="46"/>
  <c r="DR153" i="46"/>
  <c r="DR144" i="46"/>
  <c r="DR137" i="46"/>
  <c r="DR151" i="46"/>
  <c r="DR159" i="46"/>
  <c r="DR135" i="46"/>
  <c r="DR143" i="46"/>
  <c r="DO151" i="46"/>
  <c r="DO145" i="46"/>
  <c r="DO135" i="46"/>
  <c r="DO160" i="46"/>
  <c r="DO137" i="46"/>
  <c r="DO144" i="46"/>
  <c r="DO150" i="46"/>
  <c r="DO138" i="46"/>
  <c r="DO134" i="46"/>
  <c r="DO153" i="46"/>
  <c r="DO149" i="46"/>
  <c r="DO159" i="46"/>
  <c r="DO133" i="46"/>
  <c r="DO143" i="46"/>
  <c r="DO148" i="46"/>
  <c r="DO158" i="46"/>
  <c r="DO132" i="46"/>
  <c r="DO142" i="46"/>
  <c r="DO147" i="46"/>
  <c r="DO152" i="46"/>
  <c r="DO131" i="46"/>
  <c r="DO157" i="46"/>
  <c r="DO146" i="46"/>
  <c r="DO141" i="46"/>
  <c r="DO130" i="46"/>
  <c r="DO156" i="46"/>
  <c r="DO154" i="46"/>
  <c r="DO140" i="46"/>
  <c r="DO136" i="46"/>
  <c r="DO155" i="46"/>
  <c r="DO161" i="46"/>
  <c r="DO139" i="46"/>
  <c r="DL150" i="46"/>
  <c r="DL147" i="46"/>
  <c r="DL134" i="46"/>
  <c r="DL143" i="46"/>
  <c r="DL133" i="46"/>
  <c r="DL155" i="46"/>
  <c r="DL132" i="46"/>
  <c r="DL139" i="46"/>
  <c r="DL159" i="46"/>
  <c r="DL154" i="46"/>
  <c r="DL146" i="46"/>
  <c r="DL138" i="46"/>
  <c r="DL160" i="46"/>
  <c r="DL161" i="46"/>
  <c r="DL144" i="46"/>
  <c r="DL153" i="46"/>
  <c r="DL158" i="46"/>
  <c r="DL137" i="46"/>
  <c r="DL142" i="46"/>
  <c r="DL152" i="46"/>
  <c r="DL157" i="46"/>
  <c r="DL136" i="46"/>
  <c r="DL141" i="46"/>
  <c r="DL145" i="46"/>
  <c r="DL151" i="46"/>
  <c r="DL131" i="46"/>
  <c r="DL135" i="46"/>
  <c r="DL156" i="46"/>
  <c r="DL149" i="46"/>
  <c r="DL140" i="46"/>
  <c r="DL130" i="46"/>
  <c r="DL148" i="46"/>
  <c r="DI157" i="46"/>
  <c r="DI146" i="46"/>
  <c r="DI151" i="46"/>
  <c r="DI141" i="46"/>
  <c r="DI135" i="46"/>
  <c r="DI156" i="46"/>
  <c r="DI149" i="46"/>
  <c r="DI140" i="46"/>
  <c r="DI150" i="46"/>
  <c r="DI148" i="46"/>
  <c r="DI134" i="46"/>
  <c r="DI131" i="46"/>
  <c r="DI133" i="46"/>
  <c r="DI155" i="46"/>
  <c r="DI130" i="46"/>
  <c r="DI139" i="46"/>
  <c r="DI161" i="46"/>
  <c r="DI132" i="46"/>
  <c r="DI145" i="46"/>
  <c r="DI154" i="46"/>
  <c r="DI160" i="46"/>
  <c r="DI138" i="46"/>
  <c r="DI144" i="46"/>
  <c r="DI153" i="46"/>
  <c r="DI159" i="46"/>
  <c r="DI137" i="46"/>
  <c r="DI143" i="46"/>
  <c r="DI152" i="46"/>
  <c r="DI158" i="46"/>
  <c r="DI136" i="46"/>
  <c r="DI142" i="46"/>
  <c r="DI147" i="46"/>
  <c r="DF161" i="46"/>
  <c r="DF154" i="46"/>
  <c r="DF145" i="46"/>
  <c r="DF138" i="46"/>
  <c r="DF160" i="46"/>
  <c r="DF153" i="46"/>
  <c r="DF139" i="46"/>
  <c r="DF144" i="46"/>
  <c r="DF137" i="46"/>
  <c r="DF130" i="46"/>
  <c r="DF151" i="46"/>
  <c r="DF159" i="46"/>
  <c r="DF135" i="46"/>
  <c r="DF143" i="46"/>
  <c r="DF133" i="46"/>
  <c r="DF158" i="46"/>
  <c r="DF150" i="46"/>
  <c r="DF142" i="46"/>
  <c r="DF134" i="46"/>
  <c r="DF152" i="46"/>
  <c r="DF149" i="46"/>
  <c r="DF157" i="46"/>
  <c r="DF148" i="46"/>
  <c r="DF141" i="46"/>
  <c r="DF132" i="46"/>
  <c r="DF136" i="46"/>
  <c r="DF147" i="46"/>
  <c r="DF156" i="46"/>
  <c r="DF131" i="46"/>
  <c r="DF140" i="46"/>
  <c r="DF146" i="46"/>
  <c r="DF155" i="46"/>
  <c r="DC151" i="46"/>
  <c r="DC143" i="46"/>
  <c r="DC135" i="46"/>
  <c r="DC158" i="46"/>
  <c r="DC150" i="46"/>
  <c r="DC142" i="46"/>
  <c r="DC134" i="46"/>
  <c r="DC140" i="46"/>
  <c r="DC133" i="46"/>
  <c r="DC157" i="46"/>
  <c r="DC148" i="46"/>
  <c r="DC141" i="46"/>
  <c r="DC132" i="46"/>
  <c r="DC156" i="46"/>
  <c r="DC147" i="46"/>
  <c r="DC149" i="46"/>
  <c r="DC131" i="46"/>
  <c r="DC155" i="46"/>
  <c r="DC146" i="46"/>
  <c r="DC139" i="46"/>
  <c r="DC130" i="46"/>
  <c r="DC154" i="46"/>
  <c r="DC144" i="46"/>
  <c r="DC138" i="46"/>
  <c r="DC161" i="46"/>
  <c r="DC153" i="46"/>
  <c r="DC145" i="46"/>
  <c r="DC137" i="46"/>
  <c r="DC160" i="46"/>
  <c r="DC152" i="46"/>
  <c r="DC159" i="46"/>
  <c r="DC136" i="46"/>
  <c r="CZ149" i="46"/>
  <c r="CZ141" i="46"/>
  <c r="CZ133" i="46"/>
  <c r="CZ156" i="46"/>
  <c r="CZ148" i="46"/>
  <c r="CZ146" i="46"/>
  <c r="CZ132" i="46"/>
  <c r="CZ130" i="46"/>
  <c r="CZ147" i="46"/>
  <c r="CZ155" i="46"/>
  <c r="CZ131" i="46"/>
  <c r="CZ139" i="46"/>
  <c r="CZ161" i="46"/>
  <c r="CZ153" i="46"/>
  <c r="CZ145" i="46"/>
  <c r="CZ137" i="46"/>
  <c r="CZ144" i="46"/>
  <c r="CZ136" i="46"/>
  <c r="CZ160" i="46"/>
  <c r="CZ154" i="46"/>
  <c r="CZ159" i="46"/>
  <c r="CZ138" i="46"/>
  <c r="CZ143" i="46"/>
  <c r="CZ152" i="46"/>
  <c r="CZ151" i="46"/>
  <c r="CZ158" i="46"/>
  <c r="CZ135" i="46"/>
  <c r="CZ142" i="46"/>
  <c r="CZ150" i="46"/>
  <c r="CZ140" i="46"/>
  <c r="CZ134" i="46"/>
  <c r="CZ157" i="46"/>
  <c r="CW144" i="46"/>
  <c r="CW152" i="46"/>
  <c r="CW151" i="46"/>
  <c r="CW159" i="46"/>
  <c r="CW135" i="46"/>
  <c r="CW143" i="46"/>
  <c r="CW150" i="46"/>
  <c r="CW154" i="46"/>
  <c r="CW134" i="46"/>
  <c r="CW158" i="46"/>
  <c r="CW149" i="46"/>
  <c r="CW142" i="46"/>
  <c r="CW133" i="46"/>
  <c r="CW157" i="46"/>
  <c r="CW148" i="46"/>
  <c r="CW141" i="46"/>
  <c r="CW132" i="46"/>
  <c r="CW136" i="46"/>
  <c r="CW147" i="46"/>
  <c r="CW156" i="46"/>
  <c r="CW131" i="46"/>
  <c r="CW140" i="46"/>
  <c r="CW146" i="46"/>
  <c r="CW153" i="46"/>
  <c r="CW130" i="46"/>
  <c r="CW155" i="46"/>
  <c r="CW161" i="46"/>
  <c r="CW139" i="46"/>
  <c r="CW145" i="46"/>
  <c r="CW138" i="46"/>
  <c r="CW160" i="46"/>
  <c r="CW137" i="46"/>
  <c r="CT151" i="46"/>
  <c r="CT142" i="46"/>
  <c r="CT135" i="46"/>
  <c r="CT157" i="46"/>
  <c r="CT146" i="46"/>
  <c r="CT141" i="46"/>
  <c r="CT150" i="46"/>
  <c r="CT144" i="46"/>
  <c r="CT134" i="46"/>
  <c r="CT156" i="46"/>
  <c r="CT130" i="46"/>
  <c r="CT140" i="46"/>
  <c r="CT161" i="46"/>
  <c r="CT155" i="46"/>
  <c r="CT149" i="46"/>
  <c r="CT139" i="46"/>
  <c r="CT133" i="46"/>
  <c r="CT154" i="46"/>
  <c r="CT148" i="46"/>
  <c r="CT138" i="46"/>
  <c r="CT132" i="46"/>
  <c r="CT153" i="46"/>
  <c r="CT147" i="46"/>
  <c r="CT137" i="46"/>
  <c r="CT131" i="46"/>
  <c r="CT152" i="46"/>
  <c r="CT159" i="46"/>
  <c r="CT136" i="46"/>
  <c r="CT143" i="46"/>
  <c r="CT145" i="46"/>
  <c r="CT158" i="46"/>
  <c r="CT160" i="46"/>
  <c r="CQ159" i="46"/>
  <c r="CQ131" i="46"/>
  <c r="CQ151" i="46"/>
  <c r="CQ143" i="46"/>
  <c r="CQ135" i="46"/>
  <c r="CQ158" i="46"/>
  <c r="CQ132" i="46"/>
  <c r="CQ142" i="46"/>
  <c r="CQ147" i="46"/>
  <c r="CQ153" i="46"/>
  <c r="CQ150" i="46"/>
  <c r="CQ157" i="46"/>
  <c r="CQ134" i="46"/>
  <c r="CQ141" i="46"/>
  <c r="CQ149" i="46"/>
  <c r="CQ156" i="46"/>
  <c r="CQ133" i="46"/>
  <c r="CQ140" i="46"/>
  <c r="CQ148" i="46"/>
  <c r="CQ136" i="46"/>
  <c r="CQ146" i="46"/>
  <c r="CQ155" i="46"/>
  <c r="CQ130" i="46"/>
  <c r="CQ139" i="46"/>
  <c r="CQ161" i="46"/>
  <c r="CQ154" i="46"/>
  <c r="CQ145" i="46"/>
  <c r="CQ138" i="46"/>
  <c r="CQ160" i="46"/>
  <c r="CQ137" i="46"/>
  <c r="CQ144" i="46"/>
  <c r="CQ152" i="46"/>
  <c r="CN161" i="46"/>
  <c r="CN154" i="46"/>
  <c r="CN145" i="46"/>
  <c r="CN138" i="46"/>
  <c r="CN151" i="46"/>
  <c r="CN152" i="46"/>
  <c r="CN135" i="46"/>
  <c r="CN160" i="46"/>
  <c r="CN150" i="46"/>
  <c r="CN144" i="46"/>
  <c r="CN134" i="46"/>
  <c r="CN159" i="46"/>
  <c r="CN133" i="46"/>
  <c r="CN143" i="46"/>
  <c r="CN136" i="46"/>
  <c r="CN158" i="46"/>
  <c r="CN149" i="46"/>
  <c r="CN142" i="46"/>
  <c r="CN148" i="46"/>
  <c r="CN137" i="46"/>
  <c r="CN132" i="46"/>
  <c r="CN157" i="46"/>
  <c r="CN147" i="46"/>
  <c r="CN141" i="46"/>
  <c r="CN131" i="46"/>
  <c r="CN156" i="46"/>
  <c r="CN146" i="46"/>
  <c r="CN140" i="46"/>
  <c r="CN130" i="46"/>
  <c r="CN155" i="46"/>
  <c r="CN153" i="46"/>
  <c r="CN139" i="46"/>
  <c r="CK144" i="46"/>
  <c r="CK153" i="46"/>
  <c r="CK151" i="46"/>
  <c r="CK159" i="46"/>
  <c r="CK135" i="46"/>
  <c r="CK143" i="46"/>
  <c r="CK150" i="46"/>
  <c r="CK158" i="46"/>
  <c r="CK138" i="46"/>
  <c r="CK134" i="46"/>
  <c r="CK142" i="46"/>
  <c r="CK149" i="46"/>
  <c r="CK152" i="46"/>
  <c r="CK133" i="46"/>
  <c r="CK157" i="46"/>
  <c r="CK148" i="46"/>
  <c r="CK141" i="46"/>
  <c r="CK132" i="46"/>
  <c r="CK137" i="46"/>
  <c r="CK147" i="46"/>
  <c r="CK136" i="46"/>
  <c r="CK131" i="46"/>
  <c r="CK156" i="46"/>
  <c r="CK146" i="46"/>
  <c r="CK140" i="46"/>
  <c r="CK130" i="46"/>
  <c r="CK155" i="46"/>
  <c r="CK161" i="46"/>
  <c r="CK139" i="46"/>
  <c r="CK145" i="46"/>
  <c r="CK154" i="46"/>
  <c r="CK160" i="46"/>
  <c r="CH150" i="46"/>
  <c r="CH156" i="46"/>
  <c r="CH134" i="46"/>
  <c r="CH140" i="46"/>
  <c r="CH149" i="46"/>
  <c r="CH131" i="46"/>
  <c r="CH133" i="46"/>
  <c r="CH155" i="46"/>
  <c r="CH146" i="46"/>
  <c r="CH139" i="46"/>
  <c r="CH130" i="46"/>
  <c r="CH136" i="46"/>
  <c r="CH161" i="46"/>
  <c r="CH147" i="46"/>
  <c r="CH145" i="46"/>
  <c r="CH154" i="46"/>
  <c r="CH160" i="46"/>
  <c r="CH138" i="46"/>
  <c r="CH144" i="46"/>
  <c r="CH132" i="46"/>
  <c r="CH159" i="46"/>
  <c r="CH153" i="46"/>
  <c r="CH143" i="46"/>
  <c r="CH137" i="46"/>
  <c r="CH158" i="46"/>
  <c r="CH152" i="46"/>
  <c r="CH142" i="46"/>
  <c r="CH148" i="46"/>
  <c r="CH151" i="46"/>
  <c r="CH157" i="46"/>
  <c r="CH135" i="46"/>
  <c r="CH141" i="46"/>
  <c r="CE151" i="46"/>
  <c r="CE158" i="46"/>
  <c r="CE148" i="46"/>
  <c r="CE143" i="46"/>
  <c r="CE147" i="46"/>
  <c r="CE135" i="46"/>
  <c r="CE142" i="46"/>
  <c r="CE145" i="46"/>
  <c r="CE159" i="46"/>
  <c r="CE157" i="46"/>
  <c r="CE132" i="46"/>
  <c r="CE150" i="46"/>
  <c r="CE141" i="46"/>
  <c r="CE134" i="46"/>
  <c r="CE156" i="46"/>
  <c r="CE154" i="46"/>
  <c r="CE161" i="46"/>
  <c r="CE140" i="46"/>
  <c r="CE149" i="46"/>
  <c r="CE155" i="46"/>
  <c r="CE133" i="46"/>
  <c r="CE139" i="46"/>
  <c r="CE131" i="46"/>
  <c r="CE138" i="46"/>
  <c r="CE146" i="46"/>
  <c r="CE153" i="46"/>
  <c r="CE130" i="46"/>
  <c r="CE137" i="46"/>
  <c r="CE160" i="46"/>
  <c r="CE152" i="46"/>
  <c r="CE144" i="46"/>
  <c r="CE136" i="46"/>
  <c r="CB160" i="46"/>
  <c r="CB153" i="46"/>
  <c r="CB144" i="46"/>
  <c r="CB137" i="46"/>
  <c r="CB151" i="46"/>
  <c r="CB159" i="46"/>
  <c r="CB135" i="46"/>
  <c r="CB143" i="46"/>
  <c r="CB150" i="46"/>
  <c r="CB158" i="46"/>
  <c r="CB134" i="46"/>
  <c r="CB142" i="46"/>
  <c r="CB149" i="46"/>
  <c r="CB157" i="46"/>
  <c r="CB133" i="46"/>
  <c r="CB141" i="46"/>
  <c r="CB148" i="46"/>
  <c r="CB136" i="46"/>
  <c r="CB132" i="46"/>
  <c r="CB156" i="46"/>
  <c r="CB147" i="46"/>
  <c r="CB140" i="46"/>
  <c r="CB131" i="46"/>
  <c r="CB155" i="46"/>
  <c r="CB146" i="46"/>
  <c r="CB139" i="46"/>
  <c r="CB130" i="46"/>
  <c r="CB154" i="46"/>
  <c r="CB161" i="46"/>
  <c r="CB138" i="46"/>
  <c r="CB145" i="46"/>
  <c r="CB152" i="46"/>
  <c r="BY144" i="46"/>
  <c r="BY137" i="46"/>
  <c r="BY151" i="46"/>
  <c r="BY159" i="46"/>
  <c r="BY135" i="46"/>
  <c r="BY143" i="46"/>
  <c r="BY150" i="46"/>
  <c r="BY142" i="46"/>
  <c r="BY134" i="46"/>
  <c r="BY158" i="46"/>
  <c r="BY149" i="46"/>
  <c r="BY157" i="46"/>
  <c r="BY133" i="46"/>
  <c r="BY141" i="46"/>
  <c r="BY148" i="46"/>
  <c r="BY138" i="46"/>
  <c r="BY132" i="46"/>
  <c r="BY136" i="46"/>
  <c r="BY147" i="46"/>
  <c r="BY156" i="46"/>
  <c r="BY131" i="46"/>
  <c r="BY140" i="46"/>
  <c r="BY146" i="46"/>
  <c r="BY152" i="46"/>
  <c r="BY130" i="46"/>
  <c r="BY155" i="46"/>
  <c r="BY161" i="46"/>
  <c r="BY139" i="46"/>
  <c r="BY145" i="46"/>
  <c r="BY153" i="46"/>
  <c r="BY160" i="46"/>
  <c r="BY154" i="46"/>
  <c r="BV151" i="46"/>
  <c r="BV143" i="46"/>
  <c r="BV135" i="46"/>
  <c r="BV158" i="46"/>
  <c r="BV145" i="46"/>
  <c r="BV142" i="46"/>
  <c r="BV150" i="46"/>
  <c r="BV157" i="46"/>
  <c r="BV134" i="46"/>
  <c r="BV141" i="46"/>
  <c r="BV131" i="46"/>
  <c r="BV156" i="46"/>
  <c r="BV149" i="46"/>
  <c r="BV140" i="46"/>
  <c r="BV133" i="46"/>
  <c r="BV155" i="46"/>
  <c r="BV147" i="46"/>
  <c r="BV139" i="46"/>
  <c r="BV148" i="46"/>
  <c r="BV154" i="46"/>
  <c r="BV132" i="46"/>
  <c r="BV138" i="46"/>
  <c r="BV146" i="46"/>
  <c r="BV152" i="46"/>
  <c r="BV130" i="46"/>
  <c r="BV161" i="46"/>
  <c r="BV160" i="46"/>
  <c r="BV153" i="46"/>
  <c r="BV144" i="46"/>
  <c r="BV137" i="46"/>
  <c r="BV159" i="46"/>
  <c r="BV136" i="46"/>
  <c r="BS145" i="46"/>
  <c r="BS137" i="46"/>
  <c r="BS151" i="46"/>
  <c r="BS158" i="46"/>
  <c r="BS135" i="46"/>
  <c r="BS142" i="46"/>
  <c r="BS131" i="46"/>
  <c r="BS157" i="46"/>
  <c r="BS160" i="46"/>
  <c r="BS141" i="46"/>
  <c r="BS150" i="46"/>
  <c r="BS144" i="46"/>
  <c r="BS134" i="46"/>
  <c r="BS156" i="46"/>
  <c r="BS147" i="46"/>
  <c r="BS140" i="46"/>
  <c r="BS159" i="46"/>
  <c r="BS136" i="46"/>
  <c r="BS149" i="46"/>
  <c r="BS143" i="46"/>
  <c r="BS133" i="46"/>
  <c r="BS155" i="46"/>
  <c r="BS148" i="46"/>
  <c r="BS139" i="46"/>
  <c r="BS132" i="46"/>
  <c r="BS154" i="46"/>
  <c r="BS146" i="46"/>
  <c r="BS138" i="46"/>
  <c r="BS130" i="46"/>
  <c r="BS152" i="46"/>
  <c r="BS161" i="46"/>
  <c r="BS153" i="46"/>
  <c r="BP148" i="46"/>
  <c r="BP142" i="46"/>
  <c r="BP149" i="46"/>
  <c r="BP132" i="46"/>
  <c r="BP152" i="46"/>
  <c r="BP136" i="46"/>
  <c r="BP138" i="46"/>
  <c r="BP159" i="46"/>
  <c r="BP160" i="46"/>
  <c r="BP147" i="46"/>
  <c r="BP143" i="46"/>
  <c r="BP131" i="46"/>
  <c r="BP141" i="46"/>
  <c r="BP146" i="46"/>
  <c r="BP156" i="46"/>
  <c r="BP154" i="46"/>
  <c r="BP130" i="46"/>
  <c r="BP140" i="46"/>
  <c r="BP155" i="46"/>
  <c r="BP139" i="46"/>
  <c r="BP151" i="46"/>
  <c r="BP161" i="46"/>
  <c r="BP135" i="46"/>
  <c r="BP145" i="46"/>
  <c r="BP153" i="46"/>
  <c r="BP158" i="46"/>
  <c r="BP150" i="46"/>
  <c r="BP157" i="46"/>
  <c r="BP133" i="46"/>
  <c r="BP134" i="46"/>
  <c r="BP137" i="46"/>
  <c r="BP144" i="46"/>
  <c r="BM144" i="46"/>
  <c r="BM137" i="46"/>
  <c r="BM151" i="46"/>
  <c r="BM159" i="46"/>
  <c r="BM135" i="46"/>
  <c r="BM143" i="46"/>
  <c r="BM150" i="46"/>
  <c r="BM138" i="46"/>
  <c r="BM134" i="46"/>
  <c r="BM158" i="46"/>
  <c r="BM149" i="46"/>
  <c r="BM142" i="46"/>
  <c r="BM133" i="46"/>
  <c r="BM154" i="46"/>
  <c r="BM147" i="46"/>
  <c r="BM153" i="46"/>
  <c r="BM148" i="46"/>
  <c r="BM136" i="46"/>
  <c r="BM132" i="46"/>
  <c r="BM157" i="46"/>
  <c r="BM131" i="46"/>
  <c r="BM141" i="46"/>
  <c r="BM146" i="46"/>
  <c r="BM156" i="46"/>
  <c r="BM130" i="46"/>
  <c r="BM140" i="46"/>
  <c r="BM161" i="46"/>
  <c r="BM152" i="46"/>
  <c r="BM145" i="46"/>
  <c r="BM155" i="46"/>
  <c r="BM160" i="46"/>
  <c r="BM139" i="46"/>
  <c r="BJ147" i="46"/>
  <c r="BJ139" i="46"/>
  <c r="BJ131" i="46"/>
  <c r="BJ154" i="46"/>
  <c r="BJ159" i="46"/>
  <c r="BJ138" i="46"/>
  <c r="BJ146" i="46"/>
  <c r="BJ153" i="46"/>
  <c r="BJ130" i="46"/>
  <c r="BJ137" i="46"/>
  <c r="BJ160" i="46"/>
  <c r="BJ152" i="46"/>
  <c r="BJ151" i="46"/>
  <c r="BJ161" i="46"/>
  <c r="BJ135" i="46"/>
  <c r="BJ145" i="46"/>
  <c r="BJ150" i="46"/>
  <c r="BJ158" i="46"/>
  <c r="BJ134" i="46"/>
  <c r="BJ142" i="46"/>
  <c r="BJ149" i="46"/>
  <c r="BJ157" i="46"/>
  <c r="BJ133" i="46"/>
  <c r="BJ141" i="46"/>
  <c r="BJ143" i="46"/>
  <c r="BJ136" i="46"/>
  <c r="BJ148" i="46"/>
  <c r="BJ156" i="46"/>
  <c r="BJ132" i="46"/>
  <c r="BJ140" i="46"/>
  <c r="BJ144" i="46"/>
  <c r="BJ155" i="46"/>
  <c r="BG151" i="46"/>
  <c r="BG161" i="46"/>
  <c r="BG135" i="46"/>
  <c r="BG145" i="46"/>
  <c r="BG140" i="46"/>
  <c r="BG144" i="46"/>
  <c r="BG150" i="46"/>
  <c r="BG154" i="46"/>
  <c r="BG134" i="46"/>
  <c r="BG153" i="46"/>
  <c r="BG147" i="46"/>
  <c r="BG159" i="46"/>
  <c r="BG131" i="46"/>
  <c r="BG143" i="46"/>
  <c r="BG149" i="46"/>
  <c r="BG152" i="46"/>
  <c r="BG133" i="46"/>
  <c r="BG158" i="46"/>
  <c r="BG148" i="46"/>
  <c r="BG142" i="46"/>
  <c r="BG132" i="46"/>
  <c r="BG157" i="46"/>
  <c r="BG146" i="46"/>
  <c r="BG141" i="46"/>
  <c r="BG130" i="46"/>
  <c r="BG136" i="46"/>
  <c r="BG160" i="46"/>
  <c r="BG155" i="46"/>
  <c r="BG156" i="46"/>
  <c r="BG139" i="46"/>
  <c r="BG138" i="46"/>
  <c r="BG137" i="46"/>
  <c r="BD148" i="46"/>
  <c r="BD141" i="46"/>
  <c r="BD132" i="46"/>
  <c r="BD135" i="46"/>
  <c r="BD149" i="46"/>
  <c r="BD161" i="46"/>
  <c r="BD133" i="46"/>
  <c r="BD156" i="46"/>
  <c r="BD131" i="46"/>
  <c r="BD140" i="46"/>
  <c r="BD147" i="46"/>
  <c r="BD145" i="46"/>
  <c r="BD146" i="46"/>
  <c r="BD155" i="46"/>
  <c r="BD130" i="46"/>
  <c r="BD139" i="46"/>
  <c r="BD160" i="46"/>
  <c r="BD154" i="46"/>
  <c r="BD144" i="46"/>
  <c r="BD138" i="46"/>
  <c r="BD159" i="46"/>
  <c r="BD153" i="46"/>
  <c r="BD143" i="46"/>
  <c r="BD137" i="46"/>
  <c r="BD151" i="46"/>
  <c r="BD152" i="46"/>
  <c r="BD158" i="46"/>
  <c r="BD136" i="46"/>
  <c r="BD150" i="46"/>
  <c r="BD142" i="46"/>
  <c r="BD134" i="46"/>
  <c r="BD157" i="46"/>
  <c r="BA152" i="46"/>
  <c r="BA161" i="46"/>
  <c r="BA151" i="46"/>
  <c r="BA158" i="46"/>
  <c r="BA135" i="46"/>
  <c r="BA142" i="46"/>
  <c r="BA150" i="46"/>
  <c r="BA154" i="46"/>
  <c r="BA145" i="46"/>
  <c r="BA153" i="46"/>
  <c r="BA149" i="46"/>
  <c r="BA157" i="46"/>
  <c r="BA133" i="46"/>
  <c r="BA141" i="46"/>
  <c r="BA148" i="46"/>
  <c r="BA156" i="46"/>
  <c r="BA132" i="46"/>
  <c r="BA140" i="46"/>
  <c r="BA131" i="46"/>
  <c r="BA137" i="46"/>
  <c r="BA147" i="46"/>
  <c r="BA136" i="46"/>
  <c r="BA160" i="46"/>
  <c r="BA130" i="46"/>
  <c r="BA144" i="46"/>
  <c r="BA155" i="46"/>
  <c r="BA159" i="46"/>
  <c r="BA139" i="46"/>
  <c r="BA143" i="46"/>
  <c r="BA134" i="46"/>
  <c r="BA138" i="46"/>
  <c r="BA146" i="46"/>
  <c r="AX143" i="46"/>
  <c r="AX153" i="46"/>
  <c r="AX158" i="46"/>
  <c r="AX137" i="46"/>
  <c r="AX142" i="46"/>
  <c r="AX130" i="46"/>
  <c r="AX157" i="46"/>
  <c r="AX145" i="46"/>
  <c r="AX151" i="46"/>
  <c r="AX141" i="46"/>
  <c r="AX135" i="46"/>
  <c r="AX136" i="46"/>
  <c r="AX149" i="46"/>
  <c r="AX161" i="46"/>
  <c r="AX148" i="46"/>
  <c r="AX156" i="46"/>
  <c r="AX132" i="46"/>
  <c r="AX140" i="46"/>
  <c r="AX131" i="46"/>
  <c r="AX152" i="46"/>
  <c r="AX150" i="46"/>
  <c r="AX155" i="46"/>
  <c r="AX134" i="46"/>
  <c r="AX139" i="46"/>
  <c r="AX133" i="46"/>
  <c r="AX147" i="46"/>
  <c r="AX160" i="46"/>
  <c r="AX146" i="46"/>
  <c r="AX144" i="46"/>
  <c r="AX154" i="46"/>
  <c r="AX159" i="46"/>
  <c r="AX138" i="46"/>
  <c r="AU151" i="46"/>
  <c r="AU160" i="46"/>
  <c r="AU135" i="46"/>
  <c r="AU144" i="46"/>
  <c r="AU132" i="46"/>
  <c r="AU138" i="46"/>
  <c r="AU153" i="46"/>
  <c r="AU159" i="46"/>
  <c r="AU150" i="46"/>
  <c r="AU143" i="46"/>
  <c r="AU134" i="46"/>
  <c r="AU154" i="46"/>
  <c r="AU149" i="46"/>
  <c r="AU158" i="46"/>
  <c r="AU133" i="46"/>
  <c r="AU142" i="46"/>
  <c r="AU148" i="46"/>
  <c r="AU157" i="46"/>
  <c r="AU147" i="46"/>
  <c r="AU141" i="46"/>
  <c r="AU131" i="46"/>
  <c r="AU139" i="46"/>
  <c r="AU146" i="46"/>
  <c r="AU137" i="46"/>
  <c r="AU130" i="46"/>
  <c r="AU156" i="46"/>
  <c r="AU161" i="46"/>
  <c r="AU140" i="46"/>
  <c r="AU145" i="46"/>
  <c r="AU152" i="46"/>
  <c r="AU155" i="46"/>
  <c r="AU136" i="46"/>
  <c r="AR161" i="46"/>
  <c r="AR153" i="46"/>
  <c r="AR145" i="46"/>
  <c r="AR137" i="46"/>
  <c r="AR160" i="46"/>
  <c r="AR152" i="46"/>
  <c r="AR144" i="46"/>
  <c r="AR136" i="46"/>
  <c r="AR151" i="46"/>
  <c r="AR159" i="46"/>
  <c r="AR135" i="46"/>
  <c r="AR143" i="46"/>
  <c r="AR150" i="46"/>
  <c r="AR158" i="46"/>
  <c r="AR134" i="46"/>
  <c r="AR142" i="46"/>
  <c r="AR148" i="46"/>
  <c r="AR157" i="46"/>
  <c r="AR132" i="46"/>
  <c r="AR141" i="46"/>
  <c r="AR149" i="46"/>
  <c r="AR138" i="46"/>
  <c r="AR133" i="46"/>
  <c r="AR156" i="46"/>
  <c r="AR147" i="46"/>
  <c r="AR140" i="46"/>
  <c r="AR131" i="46"/>
  <c r="AR155" i="46"/>
  <c r="AR146" i="46"/>
  <c r="AR139" i="46"/>
  <c r="AR130" i="46"/>
  <c r="AR154" i="46"/>
  <c r="AO147" i="46"/>
  <c r="AO136" i="46"/>
  <c r="AO151" i="46"/>
  <c r="AO131" i="46"/>
  <c r="AO135" i="46"/>
  <c r="AO145" i="46"/>
  <c r="AO143" i="46"/>
  <c r="AO146" i="46"/>
  <c r="AO150" i="46"/>
  <c r="AO130" i="46"/>
  <c r="AO134" i="46"/>
  <c r="AO161" i="46"/>
  <c r="AO160" i="46"/>
  <c r="AO158" i="46"/>
  <c r="AO157" i="46"/>
  <c r="AO156" i="46"/>
  <c r="AO149" i="46"/>
  <c r="AO140" i="46"/>
  <c r="AO133" i="46"/>
  <c r="AO155" i="46"/>
  <c r="AO159" i="46"/>
  <c r="AO139" i="46"/>
  <c r="AO142" i="46"/>
  <c r="AO154" i="46"/>
  <c r="AO148" i="46"/>
  <c r="AO138" i="46"/>
  <c r="AO132" i="46"/>
  <c r="AO153" i="46"/>
  <c r="AO144" i="46"/>
  <c r="AO137" i="46"/>
  <c r="AO141" i="46"/>
  <c r="AO152" i="46"/>
  <c r="AL148" i="46"/>
  <c r="AL139" i="46"/>
  <c r="AL132" i="46"/>
  <c r="AL156" i="46"/>
  <c r="AL131" i="46"/>
  <c r="AL140" i="46"/>
  <c r="AL161" i="46"/>
  <c r="AL138" i="46"/>
  <c r="AL145" i="46"/>
  <c r="AL153" i="46"/>
  <c r="AL160" i="46"/>
  <c r="AL137" i="46"/>
  <c r="AL144" i="46"/>
  <c r="AL152" i="46"/>
  <c r="AL130" i="46"/>
  <c r="AL136" i="46"/>
  <c r="AL151" i="46"/>
  <c r="AL159" i="46"/>
  <c r="AL135" i="46"/>
  <c r="AL143" i="46"/>
  <c r="AL147" i="46"/>
  <c r="AL155" i="46"/>
  <c r="AL150" i="46"/>
  <c r="AL158" i="46"/>
  <c r="AL134" i="46"/>
  <c r="AL142" i="46"/>
  <c r="AL146" i="46"/>
  <c r="AL154" i="46"/>
  <c r="AL149" i="46"/>
  <c r="AL157" i="46"/>
  <c r="AL133" i="46"/>
  <c r="AL141" i="46"/>
  <c r="AI143" i="46"/>
  <c r="AI152" i="46"/>
  <c r="AI151" i="46"/>
  <c r="AI158" i="46"/>
  <c r="AI135" i="46"/>
  <c r="AI142" i="46"/>
  <c r="AI150" i="46"/>
  <c r="AI131" i="46"/>
  <c r="AI134" i="46"/>
  <c r="AI157" i="46"/>
  <c r="AI149" i="46"/>
  <c r="AI141" i="46"/>
  <c r="AI133" i="46"/>
  <c r="AI156" i="46"/>
  <c r="AI147" i="46"/>
  <c r="AI145" i="46"/>
  <c r="AI148" i="46"/>
  <c r="AI136" i="46"/>
  <c r="AI132" i="46"/>
  <c r="AI155" i="46"/>
  <c r="AI146" i="46"/>
  <c r="AI139" i="46"/>
  <c r="AI130" i="46"/>
  <c r="AI154" i="46"/>
  <c r="AI160" i="46"/>
  <c r="AI138" i="46"/>
  <c r="AI144" i="46"/>
  <c r="AI153" i="46"/>
  <c r="AI140" i="46"/>
  <c r="AI137" i="46"/>
  <c r="AI159" i="46"/>
  <c r="AI161" i="46"/>
  <c r="AF159" i="46"/>
  <c r="AF140" i="46"/>
  <c r="AF150" i="46"/>
  <c r="AF148" i="46"/>
  <c r="AF134" i="46"/>
  <c r="AF145" i="46"/>
  <c r="AF149" i="46"/>
  <c r="AF160" i="46"/>
  <c r="AF133" i="46"/>
  <c r="AF155" i="46"/>
  <c r="AF130" i="46"/>
  <c r="AF139" i="46"/>
  <c r="AF161" i="46"/>
  <c r="AF154" i="46"/>
  <c r="AF144" i="46"/>
  <c r="AF138" i="46"/>
  <c r="AF142" i="46"/>
  <c r="AF132" i="46"/>
  <c r="AF146" i="46"/>
  <c r="AF131" i="46"/>
  <c r="AF157" i="46"/>
  <c r="AF143" i="46"/>
  <c r="AF141" i="46"/>
  <c r="AF153" i="46"/>
  <c r="AF152" i="46"/>
  <c r="AF137" i="46"/>
  <c r="AF136" i="46"/>
  <c r="AF158" i="46"/>
  <c r="AF151" i="46"/>
  <c r="AF147" i="46"/>
  <c r="AF135" i="46"/>
  <c r="AF156" i="46"/>
  <c r="AC139" i="46"/>
  <c r="AC154" i="46"/>
  <c r="AC151" i="46"/>
  <c r="AC156" i="46"/>
  <c r="AC135" i="46"/>
  <c r="AC152" i="46"/>
  <c r="AC149" i="46"/>
  <c r="AC160" i="46"/>
  <c r="AC147" i="46"/>
  <c r="AC140" i="46"/>
  <c r="AC131" i="46"/>
  <c r="AC138" i="46"/>
  <c r="AC130" i="46"/>
  <c r="AC136" i="46"/>
  <c r="AC150" i="46"/>
  <c r="AC137" i="46"/>
  <c r="AC134" i="46"/>
  <c r="AC159" i="46"/>
  <c r="AC133" i="46"/>
  <c r="AC143" i="46"/>
  <c r="AC148" i="46"/>
  <c r="AC155" i="46"/>
  <c r="AC132" i="46"/>
  <c r="AC158" i="46"/>
  <c r="AC146" i="46"/>
  <c r="AC142" i="46"/>
  <c r="AC161" i="46"/>
  <c r="AC157" i="46"/>
  <c r="AC145" i="46"/>
  <c r="AC141" i="46"/>
  <c r="AC144" i="46"/>
  <c r="AC153" i="46"/>
  <c r="Z133" i="46"/>
  <c r="Z130" i="46"/>
  <c r="Z147" i="46"/>
  <c r="Z160" i="46"/>
  <c r="Z161" i="46"/>
  <c r="Z156" i="46"/>
  <c r="Z150" i="46"/>
  <c r="Z140" i="46"/>
  <c r="Z134" i="46"/>
  <c r="Z154" i="46"/>
  <c r="Z149" i="46"/>
  <c r="Z138" i="46"/>
  <c r="Z159" i="46"/>
  <c r="Z136" i="46"/>
  <c r="Z131" i="46"/>
  <c r="Z155" i="46"/>
  <c r="Z148" i="46"/>
  <c r="Z139" i="46"/>
  <c r="Z132" i="46"/>
  <c r="Z143" i="46"/>
  <c r="Z146" i="46"/>
  <c r="Z153" i="46"/>
  <c r="Z144" i="46"/>
  <c r="Z137" i="46"/>
  <c r="Z158" i="46"/>
  <c r="Z152" i="46"/>
  <c r="Z142" i="46"/>
  <c r="Z145" i="46"/>
  <c r="Z151" i="46"/>
  <c r="Z157" i="46"/>
  <c r="Z135" i="46"/>
  <c r="Z141" i="46"/>
  <c r="W136" i="46"/>
  <c r="W131" i="46"/>
  <c r="W151" i="46"/>
  <c r="W161" i="46"/>
  <c r="W135" i="46"/>
  <c r="W144" i="46"/>
  <c r="W150" i="46"/>
  <c r="W157" i="46"/>
  <c r="W149" i="46"/>
  <c r="W141" i="46"/>
  <c r="W133" i="46"/>
  <c r="W146" i="46"/>
  <c r="W148" i="46"/>
  <c r="W145" i="46"/>
  <c r="W132" i="46"/>
  <c r="W156" i="46"/>
  <c r="W130" i="46"/>
  <c r="W140" i="46"/>
  <c r="W160" i="46"/>
  <c r="W154" i="46"/>
  <c r="W134" i="46"/>
  <c r="W153" i="46"/>
  <c r="W159" i="46"/>
  <c r="W152" i="46"/>
  <c r="W143" i="46"/>
  <c r="W147" i="46"/>
  <c r="W138" i="46"/>
  <c r="W155" i="46"/>
  <c r="W158" i="46"/>
  <c r="W139" i="46"/>
  <c r="W142" i="46"/>
  <c r="W137" i="46"/>
  <c r="T141" i="46"/>
  <c r="A13" i="48" a="1"/>
  <c r="A13" i="48" s="1"/>
  <c r="B13" i="48" s="1"/>
  <c r="A11" i="48" a="1"/>
  <c r="A11" i="48" s="1"/>
  <c r="B11" i="48" s="1"/>
  <c r="A19" i="48" a="1"/>
  <c r="A19" i="48" s="1"/>
  <c r="B19" i="48" s="1"/>
  <c r="A10" i="48" a="1"/>
  <c r="A10" i="48" s="1"/>
  <c r="B10" i="48" s="1"/>
  <c r="A12" i="48" a="1"/>
  <c r="A12" i="48" s="1"/>
  <c r="B12" i="48" s="1"/>
  <c r="A6" i="48" a="1"/>
  <c r="A6" i="48" s="1"/>
  <c r="A9" i="48" a="1"/>
  <c r="A9" i="48" s="1"/>
  <c r="B9" i="48" s="1"/>
  <c r="A16" i="48" a="1"/>
  <c r="A16" i="48" s="1"/>
  <c r="B16" i="48"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7" i="46"/>
  <c r="T136" i="46"/>
  <c r="T150" i="46"/>
  <c r="T156" i="46"/>
  <c r="T149" i="46"/>
  <c r="T155" i="46"/>
  <c r="M193" i="46"/>
  <c r="AE35" i="45"/>
  <c r="DX162" i="46" l="1"/>
  <c r="EG162" i="46"/>
  <c r="ED162" i="46"/>
  <c r="DU162" i="46"/>
  <c r="EA162" i="46"/>
  <c r="DR162" i="46"/>
  <c r="DO162" i="46"/>
  <c r="DL162" i="46"/>
  <c r="DI162" i="46"/>
  <c r="DF162" i="46"/>
  <c r="DC162" i="46"/>
  <c r="CZ162" i="46"/>
  <c r="CW162" i="46"/>
  <c r="CT162" i="46"/>
  <c r="CQ162" i="46"/>
  <c r="CN162" i="46"/>
  <c r="CK162" i="46"/>
  <c r="CH162" i="46"/>
  <c r="CE162" i="46"/>
  <c r="CB162" i="46"/>
  <c r="BY162" i="46"/>
  <c r="BV162" i="46"/>
  <c r="BS162" i="46"/>
  <c r="BP162" i="46"/>
  <c r="BM162" i="46"/>
  <c r="BJ162" i="46"/>
  <c r="BG162" i="46"/>
  <c r="BD162" i="46"/>
  <c r="BA162" i="46"/>
  <c r="AX162" i="46"/>
  <c r="AR162" i="46"/>
  <c r="AU162" i="46"/>
  <c r="AO162" i="46"/>
  <c r="AL162" i="46"/>
  <c r="AI162" i="46"/>
  <c r="AF162" i="46"/>
  <c r="AC162" i="46"/>
  <c r="Z162" i="46"/>
  <c r="W162" i="46"/>
  <c r="DT125" i="3"/>
  <c r="C203" i="46"/>
  <c r="DT123" i="3"/>
  <c r="C205" i="46"/>
  <c r="AE23" i="45"/>
  <c r="K205" i="46"/>
  <c r="H2" i="50" a="1"/>
  <c r="H2" i="50" s="1"/>
  <c r="B33" i="50" a="1"/>
  <c r="B33" i="50" s="1"/>
  <c r="C33" i="48" a="1"/>
  <c r="C33" i="48" s="1"/>
  <c r="B33" i="48" s="1"/>
  <c r="C31" i="48" a="1"/>
  <c r="C31" i="48" s="1"/>
  <c r="B31" i="48" s="1"/>
  <c r="B31" i="50" a="1"/>
  <c r="B31" i="50" s="1"/>
  <c r="B6" i="48"/>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AG35" i="51" a="1"/>
  <c r="EG185" i="46" l="1"/>
  <c r="EG184" i="46"/>
  <c r="EG183" i="46"/>
  <c r="EG182" i="46"/>
  <c r="EG197" i="46"/>
  <c r="EG196" i="46"/>
  <c r="EG195" i="46"/>
  <c r="EG192" i="46"/>
  <c r="EG191" i="46"/>
  <c r="EG194" i="46"/>
  <c r="EG193" i="46"/>
  <c r="EG190" i="46"/>
  <c r="EG189" i="46"/>
  <c r="EG186" i="46"/>
  <c r="EG188" i="46"/>
  <c r="EG187" i="46"/>
  <c r="ED185" i="46"/>
  <c r="ED184" i="46"/>
  <c r="ED183" i="46"/>
  <c r="ED182" i="46"/>
  <c r="ED197" i="46"/>
  <c r="ED196" i="46"/>
  <c r="ED195" i="46"/>
  <c r="ED194" i="46"/>
  <c r="ED193" i="46"/>
  <c r="ED192" i="46"/>
  <c r="ED186" i="46"/>
  <c r="ED191" i="46"/>
  <c r="ED187" i="46"/>
  <c r="ED190" i="46"/>
  <c r="ED189" i="46"/>
  <c r="ED188" i="46"/>
  <c r="EA185" i="46"/>
  <c r="EA195" i="46"/>
  <c r="EA184" i="46"/>
  <c r="EA183" i="46"/>
  <c r="EA196" i="46"/>
  <c r="EA182" i="46"/>
  <c r="EA197" i="46"/>
  <c r="EA194" i="46"/>
  <c r="EA193" i="46"/>
  <c r="EA192" i="46"/>
  <c r="EA191" i="46"/>
  <c r="EA189" i="46"/>
  <c r="EA188" i="46"/>
  <c r="EA190" i="46"/>
  <c r="EA187" i="46"/>
  <c r="EA186" i="46"/>
  <c r="DX185" i="46"/>
  <c r="DX184" i="46"/>
  <c r="DX183" i="46"/>
  <c r="DX182" i="46"/>
  <c r="DX197" i="46"/>
  <c r="DX196" i="46"/>
  <c r="DX195" i="46"/>
  <c r="DX194" i="46"/>
  <c r="DX193" i="46"/>
  <c r="DX192" i="46"/>
  <c r="DX191" i="46"/>
  <c r="DX187" i="46"/>
  <c r="DX190" i="46"/>
  <c r="DX189" i="46"/>
  <c r="DX186" i="46"/>
  <c r="DX188" i="46"/>
  <c r="DU185" i="46"/>
  <c r="DU184" i="46"/>
  <c r="DU183" i="46"/>
  <c r="DU192" i="46"/>
  <c r="DU182" i="46"/>
  <c r="DU193" i="46"/>
  <c r="DU197" i="46"/>
  <c r="DU191" i="46"/>
  <c r="DU196" i="46"/>
  <c r="DU195" i="46"/>
  <c r="DU194" i="46"/>
  <c r="DU186" i="46"/>
  <c r="DU190" i="46"/>
  <c r="DU189" i="46"/>
  <c r="DU188" i="46"/>
  <c r="DU187" i="46"/>
  <c r="DR185" i="46"/>
  <c r="DR184" i="46"/>
  <c r="DR183" i="46"/>
  <c r="DR182" i="46"/>
  <c r="DR197" i="46"/>
  <c r="DR196" i="46"/>
  <c r="DR195" i="46"/>
  <c r="DR194" i="46"/>
  <c r="DR189" i="46"/>
  <c r="DR187" i="46"/>
  <c r="DR193" i="46"/>
  <c r="DR188" i="46"/>
  <c r="DR186" i="46"/>
  <c r="DR192" i="46"/>
  <c r="DR191" i="46"/>
  <c r="DR190" i="46"/>
  <c r="DO185" i="46"/>
  <c r="DO184" i="46"/>
  <c r="DO183" i="46"/>
  <c r="DO182" i="46"/>
  <c r="DO197" i="46"/>
  <c r="DO196" i="46"/>
  <c r="DO186" i="46"/>
  <c r="DO195" i="46"/>
  <c r="DO194" i="46"/>
  <c r="DO190" i="46"/>
  <c r="DO189" i="46"/>
  <c r="DO193" i="46"/>
  <c r="DO188" i="46"/>
  <c r="DO187" i="46"/>
  <c r="DO192" i="46"/>
  <c r="DO191" i="46"/>
  <c r="DL185" i="46"/>
  <c r="DL184" i="46"/>
  <c r="DL183" i="46"/>
  <c r="DL195" i="46"/>
  <c r="DL194" i="46"/>
  <c r="DL192" i="46"/>
  <c r="DL197" i="46"/>
  <c r="DL196" i="46"/>
  <c r="DL191" i="46"/>
  <c r="DL193" i="46"/>
  <c r="DL190" i="46"/>
  <c r="DL189" i="46"/>
  <c r="DL188" i="46"/>
  <c r="DL187" i="46"/>
  <c r="DL186" i="46"/>
  <c r="DL182" i="46"/>
  <c r="DI185" i="46"/>
  <c r="DI197" i="46"/>
  <c r="DI184" i="46"/>
  <c r="DI183" i="46"/>
  <c r="DI195" i="46"/>
  <c r="DI194" i="46"/>
  <c r="DI193" i="46"/>
  <c r="DI192" i="46"/>
  <c r="DI196" i="46"/>
  <c r="DI191" i="46"/>
  <c r="DI190" i="46"/>
  <c r="DI188" i="46"/>
  <c r="DI189" i="46"/>
  <c r="DI187" i="46"/>
  <c r="DI186" i="46"/>
  <c r="DI182" i="46"/>
  <c r="DF185" i="46"/>
  <c r="DF184" i="46"/>
  <c r="DF183" i="46"/>
  <c r="DF182" i="46"/>
  <c r="DF197" i="46"/>
  <c r="DF196" i="46"/>
  <c r="DF195" i="46"/>
  <c r="DF194" i="46"/>
  <c r="DF193" i="46"/>
  <c r="DF192" i="46"/>
  <c r="DF189" i="46"/>
  <c r="DF191" i="46"/>
  <c r="DF190" i="46"/>
  <c r="DF187" i="46"/>
  <c r="DF186" i="46"/>
  <c r="DF188" i="46"/>
  <c r="DC185" i="46"/>
  <c r="DC184" i="46"/>
  <c r="DC182" i="46"/>
  <c r="DC197" i="46"/>
  <c r="DC196" i="46"/>
  <c r="DC195" i="46"/>
  <c r="DC194" i="46"/>
  <c r="DC193" i="46"/>
  <c r="DC190" i="46"/>
  <c r="DC192" i="46"/>
  <c r="DC191" i="46"/>
  <c r="DC187" i="46"/>
  <c r="DC189" i="46"/>
  <c r="DC188" i="46"/>
  <c r="DC183" i="46"/>
  <c r="DC186" i="46"/>
  <c r="CZ185" i="46"/>
  <c r="CZ184" i="46"/>
  <c r="CZ183" i="46"/>
  <c r="CZ182" i="46"/>
  <c r="CZ197" i="46"/>
  <c r="CZ196" i="46"/>
  <c r="CZ195" i="46"/>
  <c r="CZ194" i="46"/>
  <c r="CZ193" i="46"/>
  <c r="CZ192" i="46"/>
  <c r="CZ186" i="46"/>
  <c r="CZ188" i="46"/>
  <c r="CZ191" i="46"/>
  <c r="CZ190" i="46"/>
  <c r="CZ189" i="46"/>
  <c r="CZ187" i="46"/>
  <c r="CW185" i="46"/>
  <c r="CW184" i="46"/>
  <c r="CW183" i="46"/>
  <c r="CW182" i="46"/>
  <c r="CW197" i="46"/>
  <c r="CW196" i="46"/>
  <c r="CW195" i="46"/>
  <c r="CW194" i="46"/>
  <c r="CW193" i="46"/>
  <c r="CW186" i="46"/>
  <c r="CW192" i="46"/>
  <c r="CW187" i="46"/>
  <c r="CW191" i="46"/>
  <c r="CW188" i="46"/>
  <c r="CW190" i="46"/>
  <c r="CW189" i="46"/>
  <c r="CT185" i="46"/>
  <c r="CT184" i="46"/>
  <c r="CT194" i="46"/>
  <c r="CT183" i="46"/>
  <c r="CT196" i="46"/>
  <c r="CT182" i="46"/>
  <c r="CT197" i="46"/>
  <c r="CT193" i="46"/>
  <c r="CT192" i="46"/>
  <c r="CT191" i="46"/>
  <c r="CT190" i="46"/>
  <c r="CT189" i="46"/>
  <c r="CT188" i="46"/>
  <c r="CT186" i="46"/>
  <c r="CT195" i="46"/>
  <c r="CT187" i="46"/>
  <c r="CQ185" i="46"/>
  <c r="CQ184" i="46"/>
  <c r="CQ183" i="46"/>
  <c r="CQ182" i="46"/>
  <c r="CQ197" i="46"/>
  <c r="CQ196" i="46"/>
  <c r="CQ195" i="46"/>
  <c r="CQ191" i="46"/>
  <c r="CQ187" i="46"/>
  <c r="CQ190" i="46"/>
  <c r="CQ194" i="46"/>
  <c r="CQ193" i="46"/>
  <c r="CQ189" i="46"/>
  <c r="CQ186" i="46"/>
  <c r="CQ192" i="46"/>
  <c r="CQ188" i="46"/>
  <c r="CN185" i="46"/>
  <c r="CN184" i="46"/>
  <c r="CN183" i="46"/>
  <c r="CN182" i="46"/>
  <c r="CN197" i="46"/>
  <c r="CN196" i="46"/>
  <c r="CN195" i="46"/>
  <c r="CN194" i="46"/>
  <c r="CN193" i="46"/>
  <c r="CN187" i="46"/>
  <c r="CN186" i="46"/>
  <c r="CN192" i="46"/>
  <c r="CN191" i="46"/>
  <c r="CN190" i="46"/>
  <c r="CN189" i="46"/>
  <c r="CN188" i="46"/>
  <c r="CK185" i="46"/>
  <c r="CK184" i="46"/>
  <c r="CK183" i="46"/>
  <c r="CK182" i="46"/>
  <c r="CK197" i="46"/>
  <c r="CK196" i="46"/>
  <c r="CK195" i="46"/>
  <c r="CK194" i="46"/>
  <c r="CK193" i="46"/>
  <c r="CK192" i="46"/>
  <c r="CK186" i="46"/>
  <c r="CK189" i="46"/>
  <c r="CK191" i="46"/>
  <c r="CK187" i="46"/>
  <c r="CK190" i="46"/>
  <c r="CK188" i="46"/>
  <c r="CH185" i="46"/>
  <c r="CH184" i="46"/>
  <c r="CH183" i="46"/>
  <c r="CH197" i="46"/>
  <c r="CH196" i="46"/>
  <c r="CH195" i="46"/>
  <c r="CH194" i="46"/>
  <c r="CH193" i="46"/>
  <c r="CH192" i="46"/>
  <c r="CH191" i="46"/>
  <c r="CH190" i="46"/>
  <c r="CH186" i="46"/>
  <c r="CH189" i="46"/>
  <c r="CH182" i="46"/>
  <c r="CH188" i="46"/>
  <c r="CH187" i="46"/>
  <c r="CE185" i="46"/>
  <c r="CE184" i="46"/>
  <c r="CE183" i="46"/>
  <c r="CE182" i="46"/>
  <c r="CE197" i="46"/>
  <c r="CE196" i="46"/>
  <c r="CE195" i="46"/>
  <c r="CE194" i="46"/>
  <c r="CE192" i="46"/>
  <c r="CE186" i="46"/>
  <c r="CE191" i="46"/>
  <c r="CE189" i="46"/>
  <c r="CE190" i="46"/>
  <c r="CE188" i="46"/>
  <c r="CE193" i="46"/>
  <c r="CE187" i="46"/>
  <c r="CB185" i="46"/>
  <c r="CB184" i="46"/>
  <c r="CB183" i="46"/>
  <c r="CB182" i="46"/>
  <c r="CB197" i="46"/>
  <c r="CB196" i="46"/>
  <c r="CB195" i="46"/>
  <c r="CB194" i="46"/>
  <c r="CB193" i="46"/>
  <c r="CB188" i="46"/>
  <c r="CB192" i="46"/>
  <c r="CB186" i="46"/>
  <c r="CB191" i="46"/>
  <c r="CB190" i="46"/>
  <c r="CB187" i="46"/>
  <c r="CB189" i="46"/>
  <c r="BY185" i="46"/>
  <c r="BY184" i="46"/>
  <c r="BY183" i="46"/>
  <c r="BY182" i="46"/>
  <c r="BY197" i="46"/>
  <c r="BY196" i="46"/>
  <c r="BY195" i="46"/>
  <c r="BY194" i="46"/>
  <c r="BY193" i="46"/>
  <c r="BY192" i="46"/>
  <c r="BY191" i="46"/>
  <c r="BY186" i="46"/>
  <c r="BY190" i="46"/>
  <c r="BY189" i="46"/>
  <c r="BY188" i="46"/>
  <c r="BY187" i="46"/>
  <c r="BV185" i="46"/>
  <c r="BV184" i="46"/>
  <c r="BV197" i="46"/>
  <c r="BV195" i="46"/>
  <c r="BV183" i="46"/>
  <c r="BV182" i="46"/>
  <c r="BV196" i="46"/>
  <c r="BV194" i="46"/>
  <c r="BV193" i="46"/>
  <c r="BV192" i="46"/>
  <c r="BV191" i="46"/>
  <c r="BV188" i="46"/>
  <c r="BV187" i="46"/>
  <c r="BV190" i="46"/>
  <c r="BV186" i="46"/>
  <c r="BV189" i="46"/>
  <c r="BS185" i="46"/>
  <c r="BS193" i="46"/>
  <c r="BS184" i="46"/>
  <c r="BS183" i="46"/>
  <c r="BS182" i="46"/>
  <c r="BS197" i="46"/>
  <c r="BS196" i="46"/>
  <c r="BS195" i="46"/>
  <c r="BS192" i="46"/>
  <c r="BS189" i="46"/>
  <c r="BS191" i="46"/>
  <c r="BS190" i="46"/>
  <c r="BS188" i="46"/>
  <c r="BS194" i="46"/>
  <c r="BS186" i="46"/>
  <c r="BS187" i="46"/>
  <c r="BP185" i="46"/>
  <c r="BP184" i="46"/>
  <c r="BP183" i="46"/>
  <c r="BP182" i="46"/>
  <c r="BP197" i="46"/>
  <c r="BP196" i="46"/>
  <c r="BP192" i="46"/>
  <c r="BP188" i="46"/>
  <c r="BP193" i="46"/>
  <c r="BP195" i="46"/>
  <c r="BP187" i="46"/>
  <c r="BP191" i="46"/>
  <c r="BP190" i="46"/>
  <c r="BP189" i="46"/>
  <c r="BP194" i="46"/>
  <c r="BP186" i="46"/>
  <c r="BM185" i="46"/>
  <c r="BM183" i="46"/>
  <c r="BM184" i="46"/>
  <c r="BM182" i="46"/>
  <c r="BM197" i="46"/>
  <c r="BM196" i="46"/>
  <c r="BM195" i="46"/>
  <c r="BM194" i="46"/>
  <c r="BM193" i="46"/>
  <c r="BM192" i="46"/>
  <c r="BM186" i="46"/>
  <c r="BM191" i="46"/>
  <c r="BM187" i="46"/>
  <c r="BM190" i="46"/>
  <c r="BM189" i="46"/>
  <c r="BM188" i="46"/>
  <c r="BJ185" i="46"/>
  <c r="BJ194" i="46"/>
  <c r="BJ184" i="46"/>
  <c r="BJ193" i="46"/>
  <c r="BJ183" i="46"/>
  <c r="BJ182" i="46"/>
  <c r="BJ197" i="46"/>
  <c r="BJ196" i="46"/>
  <c r="BJ195" i="46"/>
  <c r="BJ192" i="46"/>
  <c r="BJ187" i="46"/>
  <c r="BJ191" i="46"/>
  <c r="BJ188" i="46"/>
  <c r="BJ190" i="46"/>
  <c r="BJ189" i="46"/>
  <c r="BJ186" i="46"/>
  <c r="BG185" i="46"/>
  <c r="BG184" i="46"/>
  <c r="BG197" i="46"/>
  <c r="BG190" i="46"/>
  <c r="BG188" i="46"/>
  <c r="BG183" i="46"/>
  <c r="BG182" i="46"/>
  <c r="BG196" i="46"/>
  <c r="BG195" i="46"/>
  <c r="BG194" i="46"/>
  <c r="BG193" i="46"/>
  <c r="BG192" i="46"/>
  <c r="BG189" i="46"/>
  <c r="BG187" i="46"/>
  <c r="BG186" i="46"/>
  <c r="BG191" i="46"/>
  <c r="BD184" i="46"/>
  <c r="BD182" i="46"/>
  <c r="BD197" i="46"/>
  <c r="BD183" i="46"/>
  <c r="BD196" i="46"/>
  <c r="BD194" i="46"/>
  <c r="BD193" i="46"/>
  <c r="BD192" i="46"/>
  <c r="BD195" i="46"/>
  <c r="BD191" i="46"/>
  <c r="BD190" i="46"/>
  <c r="BD187" i="46"/>
  <c r="BD189" i="46"/>
  <c r="BD185" i="46"/>
  <c r="BD188" i="46"/>
  <c r="BD186" i="46"/>
  <c r="BA185" i="46"/>
  <c r="BA183" i="46"/>
  <c r="BA182" i="46"/>
  <c r="BA197" i="46"/>
  <c r="BA196" i="46"/>
  <c r="BA195" i="46"/>
  <c r="BA194" i="46"/>
  <c r="BA193" i="46"/>
  <c r="BA192" i="46"/>
  <c r="BA188" i="46"/>
  <c r="BA191" i="46"/>
  <c r="BA190" i="46"/>
  <c r="BA189" i="46"/>
  <c r="BA184" i="46"/>
  <c r="BA186" i="46"/>
  <c r="BA187" i="46"/>
  <c r="AX185" i="46"/>
  <c r="AX184" i="46"/>
  <c r="AX183" i="46"/>
  <c r="AX197" i="46"/>
  <c r="AX194" i="46"/>
  <c r="AX193" i="46"/>
  <c r="AX192" i="46"/>
  <c r="AX191" i="46"/>
  <c r="AX182" i="46"/>
  <c r="AX196" i="46"/>
  <c r="AX190" i="46"/>
  <c r="AX189" i="46"/>
  <c r="AX195" i="46"/>
  <c r="AX188" i="46"/>
  <c r="AX186" i="46"/>
  <c r="AX187" i="46"/>
  <c r="AU185" i="46"/>
  <c r="AU182" i="46"/>
  <c r="AU184" i="46"/>
  <c r="AU183" i="46"/>
  <c r="AU197" i="46"/>
  <c r="AU196" i="46"/>
  <c r="AU195" i="46"/>
  <c r="AU187" i="46"/>
  <c r="AU194" i="46"/>
  <c r="AU188" i="46"/>
  <c r="AU193" i="46"/>
  <c r="AU192" i="46"/>
  <c r="AU186" i="46"/>
  <c r="AU191" i="46"/>
  <c r="AU190" i="46"/>
  <c r="AU189" i="46"/>
  <c r="AR185" i="46"/>
  <c r="AR184" i="46"/>
  <c r="AR183" i="46"/>
  <c r="AR182" i="46"/>
  <c r="AR197" i="46"/>
  <c r="AR196" i="46"/>
  <c r="AR195" i="46"/>
  <c r="AR194" i="46"/>
  <c r="AR193" i="46"/>
  <c r="AR192" i="46"/>
  <c r="AR191" i="46"/>
  <c r="AR187" i="46"/>
  <c r="AR190" i="46"/>
  <c r="AR188" i="46"/>
  <c r="AR189" i="46"/>
  <c r="AR186" i="46"/>
  <c r="AO185" i="46"/>
  <c r="AO191" i="46"/>
  <c r="AO184" i="46"/>
  <c r="AO182" i="46"/>
  <c r="AO192" i="46"/>
  <c r="AO197" i="46"/>
  <c r="AO193" i="46"/>
  <c r="AO195" i="46"/>
  <c r="AO183" i="46"/>
  <c r="AO196" i="46"/>
  <c r="AO194" i="46"/>
  <c r="AO190" i="46"/>
  <c r="AO189" i="46"/>
  <c r="AO188" i="46"/>
  <c r="AO187" i="46"/>
  <c r="AO186" i="46"/>
  <c r="AL185" i="46"/>
  <c r="AL196" i="46"/>
  <c r="AL184" i="46"/>
  <c r="AL183" i="46"/>
  <c r="AL197" i="46"/>
  <c r="AL194" i="46"/>
  <c r="AL190" i="46"/>
  <c r="AL195" i="46"/>
  <c r="AL193" i="46"/>
  <c r="AL191" i="46"/>
  <c r="AL186" i="46"/>
  <c r="AL182" i="46"/>
  <c r="AL192" i="46"/>
  <c r="AL189" i="46"/>
  <c r="AL188" i="46"/>
  <c r="AL187" i="46"/>
  <c r="AI185" i="46"/>
  <c r="AI183" i="46"/>
  <c r="AI184" i="46"/>
  <c r="AI182" i="46"/>
  <c r="AI196" i="46"/>
  <c r="AI194" i="46"/>
  <c r="AI190" i="46"/>
  <c r="AI197" i="46"/>
  <c r="AI193" i="46"/>
  <c r="AI192" i="46"/>
  <c r="AI186" i="46"/>
  <c r="AI195" i="46"/>
  <c r="AI189" i="46"/>
  <c r="AI191" i="46"/>
  <c r="AI187" i="46"/>
  <c r="AI188" i="46"/>
  <c r="AF185" i="46"/>
  <c r="AF192" i="46"/>
  <c r="AF184" i="46"/>
  <c r="AF183" i="46"/>
  <c r="AF193" i="46"/>
  <c r="AF191" i="46"/>
  <c r="AF188" i="46"/>
  <c r="AF190" i="46"/>
  <c r="AF186" i="46"/>
  <c r="AF182" i="46"/>
  <c r="AF196" i="46"/>
  <c r="AF189" i="46"/>
  <c r="AF197" i="46"/>
  <c r="AF194" i="46"/>
  <c r="AF187" i="46"/>
  <c r="AF195" i="46"/>
  <c r="AC185" i="46"/>
  <c r="AC197" i="46"/>
  <c r="AC184" i="46"/>
  <c r="AC183" i="46"/>
  <c r="AC182" i="46"/>
  <c r="AC195" i="46"/>
  <c r="AC194" i="46"/>
  <c r="AC196" i="46"/>
  <c r="AC189" i="46"/>
  <c r="AC193" i="46"/>
  <c r="AC192" i="46"/>
  <c r="AC188" i="46"/>
  <c r="AC187" i="46"/>
  <c r="AC186" i="46"/>
  <c r="AC191" i="46"/>
  <c r="AC190" i="46"/>
  <c r="Z185" i="46"/>
  <c r="Z184" i="46"/>
  <c r="Z183" i="46"/>
  <c r="Z194" i="46"/>
  <c r="Z196" i="46"/>
  <c r="Z182" i="46"/>
  <c r="Z197" i="46"/>
  <c r="Z192" i="46"/>
  <c r="Z195" i="46"/>
  <c r="Z191" i="46"/>
  <c r="Z190" i="46"/>
  <c r="Z186" i="46"/>
  <c r="Z188" i="46"/>
  <c r="Z193" i="46"/>
  <c r="Z189" i="46"/>
  <c r="Z187" i="46"/>
  <c r="W185" i="46"/>
  <c r="W195" i="46"/>
  <c r="W184" i="46"/>
  <c r="W196" i="46"/>
  <c r="W183" i="46"/>
  <c r="W182" i="46"/>
  <c r="W197" i="46"/>
  <c r="W193" i="46"/>
  <c r="W192" i="46"/>
  <c r="W186" i="46"/>
  <c r="W189" i="46"/>
  <c r="W194" i="46"/>
  <c r="W191" i="46"/>
  <c r="W190" i="46"/>
  <c r="W187" i="46"/>
  <c r="W188" i="46"/>
  <c r="J3" i="47"/>
  <c r="J2" i="47"/>
  <c r="K2" i="47"/>
  <c r="AO44" i="51"/>
  <c r="AO61" i="51"/>
  <c r="AO38" i="51"/>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D134" i="3" s="1"/>
  <c r="AG127" i="3"/>
  <c r="N132" i="3"/>
  <c r="AF132" i="3" s="1"/>
  <c r="D132" i="3" s="1"/>
  <c r="AG125" i="3"/>
  <c r="AG121" i="3"/>
  <c r="M131" i="3"/>
  <c r="AA131" i="3" s="1"/>
  <c r="N133" i="3"/>
  <c r="AF133" i="3" s="1"/>
  <c r="D133" i="3" s="1"/>
  <c r="AG123" i="3"/>
  <c r="EG198" i="46" l="1"/>
  <c r="ED198" i="46"/>
  <c r="EA198" i="46"/>
  <c r="DX198" i="46"/>
  <c r="DU198" i="46"/>
  <c r="DR198" i="46"/>
  <c r="DO198" i="46"/>
  <c r="DL198" i="46"/>
  <c r="DI198" i="46"/>
  <c r="DF198" i="46"/>
  <c r="DC198" i="46"/>
  <c r="CZ198" i="46"/>
  <c r="CW198" i="46"/>
  <c r="CT198" i="46"/>
  <c r="CQ198" i="46"/>
  <c r="CN198" i="46"/>
  <c r="CK198" i="46"/>
  <c r="CH198" i="46"/>
  <c r="CE198" i="46"/>
  <c r="CB198" i="46"/>
  <c r="BY198" i="46"/>
  <c r="BV198" i="46"/>
  <c r="BS198" i="46"/>
  <c r="BP198" i="46"/>
  <c r="BM198" i="46"/>
  <c r="BJ198" i="46"/>
  <c r="BG198" i="46"/>
  <c r="BD198" i="46"/>
  <c r="BA198" i="46"/>
  <c r="AX198" i="46"/>
  <c r="AU198" i="46"/>
  <c r="AR198" i="46"/>
  <c r="AO198" i="46"/>
  <c r="AL198" i="46"/>
  <c r="AI198" i="46"/>
  <c r="AF198" i="46"/>
  <c r="AC198" i="46"/>
  <c r="Z198" i="46"/>
  <c r="W198" i="46"/>
  <c r="AG134" i="3"/>
  <c r="N139" i="3"/>
  <c r="AF139" i="3" s="1"/>
  <c r="G47" i="48"/>
  <c r="G42" i="48"/>
  <c r="G37" i="48"/>
  <c r="G45" i="48"/>
  <c r="G40" i="48"/>
  <c r="G35" i="48"/>
  <c r="G41" i="48"/>
  <c r="G33" i="48"/>
  <c r="G46" i="48"/>
  <c r="G39" i="48"/>
  <c r="G44" i="48"/>
  <c r="G34" i="48"/>
  <c r="G32" i="48"/>
  <c r="G36" i="48"/>
  <c r="G43" i="48"/>
  <c r="G38" i="48"/>
  <c r="G16" i="48"/>
  <c r="G24" i="48"/>
  <c r="G17" i="48"/>
  <c r="G9" i="48"/>
  <c r="G25" i="48"/>
  <c r="G13" i="48"/>
  <c r="G21" i="48"/>
  <c r="G29" i="48"/>
  <c r="G22" i="48"/>
  <c r="G14" i="48"/>
  <c r="G15" i="48"/>
  <c r="G10" i="48"/>
  <c r="G11" i="48"/>
  <c r="G12" i="48"/>
  <c r="G28" i="48"/>
  <c r="G23" i="48"/>
  <c r="G26" i="48"/>
  <c r="G20" i="48"/>
  <c r="G27" i="48"/>
  <c r="G31" i="48"/>
  <c r="G19" i="48"/>
  <c r="G30" i="48"/>
  <c r="G18" i="48"/>
  <c r="T208" i="46"/>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P35" i="51"/>
  <c r="EG217" i="46" l="1"/>
  <c r="EG216" i="46"/>
  <c r="EG215" i="46"/>
  <c r="EG214" i="46"/>
  <c r="EG210" i="46"/>
  <c r="EG213" i="46"/>
  <c r="EG212" i="46"/>
  <c r="EG211" i="46"/>
  <c r="ED217" i="46"/>
  <c r="ED216" i="46"/>
  <c r="ED215" i="46"/>
  <c r="ED214" i="46"/>
  <c r="ED213" i="46"/>
  <c r="ED212" i="46"/>
  <c r="ED211" i="46"/>
  <c r="ED210" i="46"/>
  <c r="EA217" i="46"/>
  <c r="EA216" i="46"/>
  <c r="EA215" i="46"/>
  <c r="EA214" i="46"/>
  <c r="EA213" i="46"/>
  <c r="EA212" i="46"/>
  <c r="EA211" i="46"/>
  <c r="EA210" i="46"/>
  <c r="DX217" i="46"/>
  <c r="DX216" i="46"/>
  <c r="DX215" i="46"/>
  <c r="DX214" i="46"/>
  <c r="DX213" i="46"/>
  <c r="DX212" i="46"/>
  <c r="DX211" i="46"/>
  <c r="DX210" i="46"/>
  <c r="DU217" i="46"/>
  <c r="DU216" i="46"/>
  <c r="DU215" i="46"/>
  <c r="DU210" i="46"/>
  <c r="DU214" i="46"/>
  <c r="DU211" i="46"/>
  <c r="DU213" i="46"/>
  <c r="DU212" i="46"/>
  <c r="DR217" i="46"/>
  <c r="DR216" i="46"/>
  <c r="DR215" i="46"/>
  <c r="DR214" i="46"/>
  <c r="DR213" i="46"/>
  <c r="DR212" i="46"/>
  <c r="DR211" i="46"/>
  <c r="DR210" i="46"/>
  <c r="DO217" i="46"/>
  <c r="DO216" i="46"/>
  <c r="DO215" i="46"/>
  <c r="DO214" i="46"/>
  <c r="DO213" i="46"/>
  <c r="DO212" i="46"/>
  <c r="DO211" i="46"/>
  <c r="DO210" i="46"/>
  <c r="DL217" i="46"/>
  <c r="DL215" i="46"/>
  <c r="DL214" i="46"/>
  <c r="DL213" i="46"/>
  <c r="DL212" i="46"/>
  <c r="DL210" i="46"/>
  <c r="DL216" i="46"/>
  <c r="DL211" i="46"/>
  <c r="DI217" i="46"/>
  <c r="DI216" i="46"/>
  <c r="DI215" i="46"/>
  <c r="DI213" i="46"/>
  <c r="DI212" i="46"/>
  <c r="DI211" i="46"/>
  <c r="DI210" i="46"/>
  <c r="DI214" i="46"/>
  <c r="DF217" i="46"/>
  <c r="DF216" i="46"/>
  <c r="DF215" i="46"/>
  <c r="DF214" i="46"/>
  <c r="DF213" i="46"/>
  <c r="DF212" i="46"/>
  <c r="DF211" i="46"/>
  <c r="DF210" i="46"/>
  <c r="DC216" i="46"/>
  <c r="DC215" i="46"/>
  <c r="DC214" i="46"/>
  <c r="DC212" i="46"/>
  <c r="DC213" i="46"/>
  <c r="DC211" i="46"/>
  <c r="DC210" i="46"/>
  <c r="DC217" i="46"/>
  <c r="CZ214" i="46"/>
  <c r="CZ217" i="46"/>
  <c r="CZ216" i="46"/>
  <c r="CZ215" i="46"/>
  <c r="CZ213" i="46"/>
  <c r="CZ212" i="46"/>
  <c r="CZ211" i="46"/>
  <c r="CZ210" i="46"/>
  <c r="CW217" i="46"/>
  <c r="CW216" i="46"/>
  <c r="CW215" i="46"/>
  <c r="CW214" i="46"/>
  <c r="CW213" i="46"/>
  <c r="CW212" i="46"/>
  <c r="CW211" i="46"/>
  <c r="CW210" i="46"/>
  <c r="CT217" i="46"/>
  <c r="CT216" i="46"/>
  <c r="CT215" i="46"/>
  <c r="CT214" i="46"/>
  <c r="CT211" i="46"/>
  <c r="CT210" i="46"/>
  <c r="CT212" i="46"/>
  <c r="CT213" i="46"/>
  <c r="CQ217" i="46"/>
  <c r="CQ216" i="46"/>
  <c r="CQ215" i="46"/>
  <c r="CQ214" i="46"/>
  <c r="CQ213" i="46"/>
  <c r="CQ212" i="46"/>
  <c r="CQ211" i="46"/>
  <c r="CQ210" i="46"/>
  <c r="CN217" i="46"/>
  <c r="CN216" i="46"/>
  <c r="CN215" i="46"/>
  <c r="CN214" i="46"/>
  <c r="CN213" i="46"/>
  <c r="CN212" i="46"/>
  <c r="CN211" i="46"/>
  <c r="CN210" i="46"/>
  <c r="CK217" i="46"/>
  <c r="CK216" i="46"/>
  <c r="CK215" i="46"/>
  <c r="CK214" i="46"/>
  <c r="CK213" i="46"/>
  <c r="CK212" i="46"/>
  <c r="CK211" i="46"/>
  <c r="CK210" i="46"/>
  <c r="CH217" i="46"/>
  <c r="CH216" i="46"/>
  <c r="CH215" i="46"/>
  <c r="CH214" i="46"/>
  <c r="CH213" i="46"/>
  <c r="CH212" i="46"/>
  <c r="CH211" i="46"/>
  <c r="CH210" i="46"/>
  <c r="CE211" i="46"/>
  <c r="CE217" i="46"/>
  <c r="CE216" i="46"/>
  <c r="CE215" i="46"/>
  <c r="CE213" i="46"/>
  <c r="CE214" i="46"/>
  <c r="CE212" i="46"/>
  <c r="CE210" i="46"/>
  <c r="CB217" i="46"/>
  <c r="CB216" i="46"/>
  <c r="CB215" i="46"/>
  <c r="CB214" i="46"/>
  <c r="CB213" i="46"/>
  <c r="CB212" i="46"/>
  <c r="CB211" i="46"/>
  <c r="CB210" i="46"/>
  <c r="BY217" i="46"/>
  <c r="BY216" i="46"/>
  <c r="BY215" i="46"/>
  <c r="BY214" i="46"/>
  <c r="BY213" i="46"/>
  <c r="BY212" i="46"/>
  <c r="BY211" i="46"/>
  <c r="BY210" i="46"/>
  <c r="BV215" i="46"/>
  <c r="BV217" i="46"/>
  <c r="BV216" i="46"/>
  <c r="BV214" i="46"/>
  <c r="BV212" i="46"/>
  <c r="BV211" i="46"/>
  <c r="BV210" i="46"/>
  <c r="BV213" i="46"/>
  <c r="BS217" i="46"/>
  <c r="BS216" i="46"/>
  <c r="BS215" i="46"/>
  <c r="BS214" i="46"/>
  <c r="BS213" i="46"/>
  <c r="BS210" i="46"/>
  <c r="BS212" i="46"/>
  <c r="BS211" i="46"/>
  <c r="BP217" i="46"/>
  <c r="BP216" i="46"/>
  <c r="BP215" i="46"/>
  <c r="BP214" i="46"/>
  <c r="BP213" i="46"/>
  <c r="BP210" i="46"/>
  <c r="BP212" i="46"/>
  <c r="BP211" i="46"/>
  <c r="BM217" i="46"/>
  <c r="BM216" i="46"/>
  <c r="BM215" i="46"/>
  <c r="BM214" i="46"/>
  <c r="BM213" i="46"/>
  <c r="BM212" i="46"/>
  <c r="BM211" i="46"/>
  <c r="BM210" i="46"/>
  <c r="BJ211" i="46"/>
  <c r="BJ217" i="46"/>
  <c r="BJ212" i="46"/>
  <c r="BJ216" i="46"/>
  <c r="BJ215" i="46"/>
  <c r="BJ214" i="46"/>
  <c r="BJ213" i="46"/>
  <c r="BJ210" i="46"/>
  <c r="BG217" i="46"/>
  <c r="BG216" i="46"/>
  <c r="BG215" i="46"/>
  <c r="BG214" i="46"/>
  <c r="BG213" i="46"/>
  <c r="BG212" i="46"/>
  <c r="BG211" i="46"/>
  <c r="BG210" i="46"/>
  <c r="BD216" i="46"/>
  <c r="BD215" i="46"/>
  <c r="BD217" i="46"/>
  <c r="BD213" i="46"/>
  <c r="BD214" i="46"/>
  <c r="BD212" i="46"/>
  <c r="BD211" i="46"/>
  <c r="BD210" i="46"/>
  <c r="BA217" i="46"/>
  <c r="BA216" i="46"/>
  <c r="BA214" i="46"/>
  <c r="BA215" i="46"/>
  <c r="BA212" i="46"/>
  <c r="BA211" i="46"/>
  <c r="BA210" i="46"/>
  <c r="BA213" i="46"/>
  <c r="AX217" i="46"/>
  <c r="AX215" i="46"/>
  <c r="AX213" i="46"/>
  <c r="AX212" i="46"/>
  <c r="AX211" i="46"/>
  <c r="AX210" i="46"/>
  <c r="AX214" i="46"/>
  <c r="AX216" i="46"/>
  <c r="AU216" i="46"/>
  <c r="AU217" i="46"/>
  <c r="AU215" i="46"/>
  <c r="AU214" i="46"/>
  <c r="AU213" i="46"/>
  <c r="AU212" i="46"/>
  <c r="AU211" i="46"/>
  <c r="AU210" i="46"/>
  <c r="AR217" i="46"/>
  <c r="AR216" i="46"/>
  <c r="AR215" i="46"/>
  <c r="AR214" i="46"/>
  <c r="AR213" i="46"/>
  <c r="AR212" i="46"/>
  <c r="AR211" i="46"/>
  <c r="AR210" i="46"/>
  <c r="AO210" i="46"/>
  <c r="AO217" i="46"/>
  <c r="AO216" i="46"/>
  <c r="AO215" i="46"/>
  <c r="AO214" i="46"/>
  <c r="AO211" i="46"/>
  <c r="AO213" i="46"/>
  <c r="AO212" i="46"/>
  <c r="AL217" i="46"/>
  <c r="AL214" i="46"/>
  <c r="AL216" i="46"/>
  <c r="AL215" i="46"/>
  <c r="AL213" i="46"/>
  <c r="AL212" i="46"/>
  <c r="AL211" i="46"/>
  <c r="AL210" i="46"/>
  <c r="AI217" i="46"/>
  <c r="AI216" i="46"/>
  <c r="AI214" i="46"/>
  <c r="AI212" i="46"/>
  <c r="AI211" i="46"/>
  <c r="AI213" i="46"/>
  <c r="AI210" i="46"/>
  <c r="AI215" i="46"/>
  <c r="AF217" i="46"/>
  <c r="AF214" i="46"/>
  <c r="AF213" i="46"/>
  <c r="AF210" i="46"/>
  <c r="AF211" i="46"/>
  <c r="AF215" i="46"/>
  <c r="AF212" i="46"/>
  <c r="AF216" i="46"/>
  <c r="AC214" i="46"/>
  <c r="AC212" i="46"/>
  <c r="AC217" i="46"/>
  <c r="AC216" i="46"/>
  <c r="AC213" i="46"/>
  <c r="AC215" i="46"/>
  <c r="AC211" i="46"/>
  <c r="AC210" i="46"/>
  <c r="Z211" i="46"/>
  <c r="Z217" i="46"/>
  <c r="Z216" i="46"/>
  <c r="Z214" i="46"/>
  <c r="Z212" i="46"/>
  <c r="Z215" i="46"/>
  <c r="Z210" i="46"/>
  <c r="Z213" i="46"/>
  <c r="W217" i="46"/>
  <c r="W216" i="46"/>
  <c r="W215" i="46"/>
  <c r="W213" i="46"/>
  <c r="W211" i="46"/>
  <c r="W210" i="46"/>
  <c r="W212" i="46"/>
  <c r="W214" i="46"/>
  <c r="H139" i="3"/>
  <c r="AF143" i="3"/>
  <c r="T212" i="46"/>
  <c r="T213" i="46"/>
  <c r="T214" i="46"/>
  <c r="T216" i="46"/>
  <c r="T217" i="46"/>
  <c r="T211" i="46"/>
  <c r="T215" i="46"/>
  <c r="T210" i="46"/>
  <c r="AM38" i="45" a="1"/>
  <c r="AM38" i="45" s="1"/>
  <c r="M229" i="46"/>
  <c r="M228" i="46"/>
  <c r="AM14" i="45"/>
  <c r="AM37" i="45"/>
  <c r="C233" i="46"/>
  <c r="DT139" i="3"/>
  <c r="K233" i="46"/>
  <c r="AF147" i="3"/>
  <c r="D139" i="3"/>
  <c r="M227" i="46"/>
  <c r="M138" i="3"/>
  <c r="AA138" i="3" s="1"/>
  <c r="AA143" i="3" s="1"/>
  <c r="AG131" i="3"/>
  <c r="G7" i="48"/>
  <c r="G4" i="48"/>
  <c r="G8" i="48"/>
  <c r="G6" i="48"/>
  <c r="G5" i="48"/>
  <c r="L3" i="47"/>
  <c r="L2" i="47"/>
  <c r="M2" i="47"/>
  <c r="ED218" i="46" l="1"/>
  <c r="EG218" i="46"/>
  <c r="DX218" i="46"/>
  <c r="EA218" i="46"/>
  <c r="DU218" i="46"/>
  <c r="DO218" i="46"/>
  <c r="DR218" i="46"/>
  <c r="DL218" i="46"/>
  <c r="CZ218" i="46"/>
  <c r="DF218" i="46"/>
  <c r="DI218" i="46"/>
  <c r="CK218" i="46"/>
  <c r="CQ218" i="46"/>
  <c r="DC218" i="46"/>
  <c r="CW218" i="46"/>
  <c r="CT218" i="46"/>
  <c r="CN218" i="46"/>
  <c r="CH218" i="46"/>
  <c r="CB218" i="46"/>
  <c r="CE218" i="46"/>
  <c r="BY218" i="46"/>
  <c r="BV218" i="46"/>
  <c r="BJ218" i="46"/>
  <c r="BP218" i="46"/>
  <c r="BS218" i="46"/>
  <c r="BM218" i="46"/>
  <c r="BG218" i="46"/>
  <c r="BD218" i="46"/>
  <c r="AR218" i="46"/>
  <c r="BA218" i="46"/>
  <c r="AX218" i="46"/>
  <c r="AU218" i="46"/>
  <c r="AO218" i="46"/>
  <c r="AL218" i="46"/>
  <c r="AI218" i="46"/>
  <c r="AC218" i="46"/>
  <c r="AF218" i="46"/>
  <c r="Z218" i="46"/>
  <c r="W218" i="46"/>
  <c r="H138" i="3"/>
  <c r="AQ32" i="45"/>
  <c r="M237" i="46"/>
  <c r="V266" i="46"/>
  <c r="AB266" i="46"/>
  <c r="AE266" i="46"/>
  <c r="Y266" i="46"/>
  <c r="N143" i="3"/>
  <c r="N147" i="3"/>
  <c r="AG139" i="3"/>
  <c r="AU26" i="45"/>
  <c r="M241" i="46"/>
  <c r="AQ31" i="45"/>
  <c r="AA152" i="3"/>
  <c r="DT143" i="3"/>
  <c r="M236" i="46"/>
  <c r="C244" i="46"/>
  <c r="K244" i="46"/>
  <c r="D143" i="3"/>
  <c r="AG143" i="3" s="1"/>
  <c r="K232" i="46"/>
  <c r="AA147" i="3"/>
  <c r="AA151" i="3" s="1"/>
  <c r="C232" i="46"/>
  <c r="AM13" i="45"/>
  <c r="DT138" i="3"/>
  <c r="D138" i="3"/>
  <c r="M226" i="46"/>
  <c r="T218" i="46"/>
  <c r="M218" i="46"/>
  <c r="K3" i="47" s="1"/>
  <c r="T224" i="46"/>
  <c r="S265" i="46" l="1"/>
  <c r="EG237" i="46"/>
  <c r="EG236" i="46"/>
  <c r="EG238" i="46" s="1"/>
  <c r="EG228" i="46"/>
  <c r="EG229" i="46"/>
  <c r="EG227" i="46"/>
  <c r="EG226" i="46"/>
  <c r="ED237" i="46"/>
  <c r="ED236" i="46"/>
  <c r="ED229" i="46"/>
  <c r="ED228" i="46"/>
  <c r="ED227" i="46"/>
  <c r="ED226" i="46"/>
  <c r="EA237" i="46"/>
  <c r="EA236" i="46"/>
  <c r="EA229" i="46"/>
  <c r="EA228" i="46"/>
  <c r="EA227" i="46"/>
  <c r="EA226" i="46"/>
  <c r="DX237" i="46"/>
  <c r="DX236" i="46"/>
  <c r="DX229" i="46"/>
  <c r="DX228" i="46"/>
  <c r="DX227" i="46"/>
  <c r="DX226" i="46"/>
  <c r="DU237" i="46"/>
  <c r="DU236" i="46"/>
  <c r="DU227" i="46"/>
  <c r="DU229" i="46"/>
  <c r="DU228" i="46"/>
  <c r="DU226" i="46"/>
  <c r="DR237" i="46"/>
  <c r="DR236" i="46"/>
  <c r="DR229" i="46"/>
  <c r="DR228" i="46"/>
  <c r="DR227" i="46"/>
  <c r="DR226" i="46"/>
  <c r="DO237" i="46"/>
  <c r="DO236" i="46"/>
  <c r="DO229" i="46"/>
  <c r="DO228" i="46"/>
  <c r="DO227" i="46"/>
  <c r="DO226" i="46"/>
  <c r="DL237" i="46"/>
  <c r="DL236" i="46"/>
  <c r="DL228" i="46"/>
  <c r="DL229" i="46"/>
  <c r="DL227" i="46"/>
  <c r="DL226" i="46"/>
  <c r="DI237" i="46"/>
  <c r="DI236" i="46"/>
  <c r="DI229" i="46"/>
  <c r="DI228" i="46"/>
  <c r="DI227" i="46"/>
  <c r="DI226" i="46"/>
  <c r="DF237" i="46"/>
  <c r="DF236" i="46"/>
  <c r="DF229" i="46"/>
  <c r="DF228" i="46"/>
  <c r="DF227" i="46"/>
  <c r="DF226" i="46"/>
  <c r="DC229" i="46"/>
  <c r="DC228" i="46"/>
  <c r="DC227" i="46"/>
  <c r="DC226" i="46"/>
  <c r="DC236" i="46"/>
  <c r="DC237" i="46"/>
  <c r="CZ237" i="46"/>
  <c r="CZ236" i="46"/>
  <c r="CZ229" i="46"/>
  <c r="CZ228" i="46"/>
  <c r="CZ227" i="46"/>
  <c r="CZ226" i="46"/>
  <c r="CW229" i="46"/>
  <c r="CW228" i="46"/>
  <c r="CW227" i="46"/>
  <c r="CW226" i="46"/>
  <c r="CW237" i="46"/>
  <c r="CW236" i="46"/>
  <c r="CT229" i="46"/>
  <c r="CT228" i="46"/>
  <c r="CT227" i="46"/>
  <c r="CT226" i="46"/>
  <c r="CT237" i="46"/>
  <c r="CT236" i="46"/>
  <c r="CQ229" i="46"/>
  <c r="CQ228" i="46"/>
  <c r="CQ227" i="46"/>
  <c r="CQ226" i="46"/>
  <c r="CQ236" i="46"/>
  <c r="CQ237" i="46"/>
  <c r="CN229" i="46"/>
  <c r="CN228" i="46"/>
  <c r="CN227" i="46"/>
  <c r="CN226" i="46"/>
  <c r="CN237" i="46"/>
  <c r="CN236" i="46"/>
  <c r="CK237" i="46"/>
  <c r="CK236" i="46"/>
  <c r="CK229" i="46"/>
  <c r="CK228" i="46"/>
  <c r="CK227" i="46"/>
  <c r="CK226" i="46"/>
  <c r="CH237" i="46"/>
  <c r="CH236" i="46"/>
  <c r="CH229" i="46"/>
  <c r="CH228" i="46"/>
  <c r="CH227" i="46"/>
  <c r="CH226" i="46"/>
  <c r="CE237" i="46"/>
  <c r="CE236" i="46"/>
  <c r="CE228" i="46"/>
  <c r="CE227" i="46"/>
  <c r="CE229" i="46"/>
  <c r="CE226" i="46"/>
  <c r="CB237" i="46"/>
  <c r="CB236" i="46"/>
  <c r="CB229" i="46"/>
  <c r="CB228" i="46"/>
  <c r="CB227" i="46"/>
  <c r="CB226" i="46"/>
  <c r="BY237" i="46"/>
  <c r="BY236" i="46"/>
  <c r="BY229" i="46"/>
  <c r="BY228" i="46"/>
  <c r="BY227" i="46"/>
  <c r="BY226" i="46"/>
  <c r="BV229" i="46"/>
  <c r="BV228" i="46"/>
  <c r="BV227" i="46"/>
  <c r="BV226" i="46"/>
  <c r="BV237" i="46"/>
  <c r="BV236" i="46"/>
  <c r="BS237" i="46"/>
  <c r="BS236" i="46"/>
  <c r="BS228" i="46"/>
  <c r="BS227" i="46"/>
  <c r="BS226" i="46"/>
  <c r="BS229" i="46"/>
  <c r="BP237" i="46"/>
  <c r="BP236" i="46"/>
  <c r="BP227" i="46"/>
  <c r="BP228" i="46"/>
  <c r="BP229" i="46"/>
  <c r="BP226" i="46"/>
  <c r="BM237" i="46"/>
  <c r="BM236" i="46"/>
  <c r="BM229" i="46"/>
  <c r="BM228" i="46"/>
  <c r="BM227" i="46"/>
  <c r="BM226" i="46"/>
  <c r="BJ237" i="46"/>
  <c r="BJ236" i="46"/>
  <c r="BJ229" i="46"/>
  <c r="BJ228" i="46"/>
  <c r="BJ227" i="46"/>
  <c r="BJ226" i="46"/>
  <c r="BG229" i="46"/>
  <c r="BG227" i="46"/>
  <c r="BG228" i="46"/>
  <c r="BG226" i="46"/>
  <c r="BG237" i="46"/>
  <c r="BG236" i="46"/>
  <c r="BD229" i="46"/>
  <c r="BD228" i="46"/>
  <c r="BD227" i="46"/>
  <c r="BD226" i="46"/>
  <c r="BD237" i="46"/>
  <c r="BD236" i="46"/>
  <c r="BA229" i="46"/>
  <c r="BA228" i="46"/>
  <c r="BA227" i="46"/>
  <c r="BA226" i="46"/>
  <c r="BA237" i="46"/>
  <c r="BA236" i="46"/>
  <c r="AX229" i="46"/>
  <c r="AX228" i="46"/>
  <c r="AX227" i="46"/>
  <c r="AX226" i="46"/>
  <c r="AX237" i="46"/>
  <c r="AX236" i="46"/>
  <c r="AU229" i="46"/>
  <c r="AU228" i="46"/>
  <c r="AU227" i="46"/>
  <c r="AU226" i="46"/>
  <c r="AU237" i="46"/>
  <c r="AU236" i="46"/>
  <c r="AR229" i="46"/>
  <c r="AR228" i="46"/>
  <c r="AR227" i="46"/>
  <c r="AR226" i="46"/>
  <c r="AR237" i="46"/>
  <c r="AR236" i="46"/>
  <c r="AO237" i="46"/>
  <c r="AO236" i="46"/>
  <c r="AO229" i="46"/>
  <c r="AO228" i="46"/>
  <c r="AO227" i="46"/>
  <c r="AO226" i="46"/>
  <c r="AL237" i="46"/>
  <c r="AL236" i="46"/>
  <c r="AL229" i="46"/>
  <c r="AL228" i="46"/>
  <c r="AL227" i="46"/>
  <c r="AL226" i="46"/>
  <c r="AI237" i="46"/>
  <c r="AI236" i="46"/>
  <c r="AI229" i="46"/>
  <c r="AI228" i="46"/>
  <c r="AI227" i="46"/>
  <c r="AI226" i="46"/>
  <c r="AF237" i="46"/>
  <c r="AF236" i="46"/>
  <c r="AF229" i="46"/>
  <c r="AF227" i="46"/>
  <c r="AF226" i="46"/>
  <c r="AF228" i="46"/>
  <c r="AC229" i="46"/>
  <c r="AC228" i="46"/>
  <c r="AC227" i="46"/>
  <c r="AC226" i="46"/>
  <c r="AC237" i="46"/>
  <c r="AC236" i="46"/>
  <c r="Z237" i="46"/>
  <c r="Z236" i="46"/>
  <c r="Z229" i="46"/>
  <c r="Z228" i="46"/>
  <c r="Z227" i="46"/>
  <c r="Z226" i="46"/>
  <c r="W237" i="46"/>
  <c r="W236" i="46"/>
  <c r="W229" i="46"/>
  <c r="W228" i="46"/>
  <c r="W227" i="46"/>
  <c r="W226" i="46"/>
  <c r="H147" i="3"/>
  <c r="CS265" i="46"/>
  <c r="CP265" i="46"/>
  <c r="DQ265" i="46"/>
  <c r="DT265" i="46"/>
  <c r="EF265" i="46"/>
  <c r="CJ265" i="46"/>
  <c r="DW265" i="46"/>
  <c r="DK265" i="46"/>
  <c r="CV265" i="46"/>
  <c r="DZ265" i="46"/>
  <c r="DE265" i="46"/>
  <c r="DH265" i="46"/>
  <c r="CM265" i="46"/>
  <c r="CG265" i="46"/>
  <c r="EC265" i="46"/>
  <c r="CD265" i="46"/>
  <c r="DN265" i="46"/>
  <c r="CA265" i="46"/>
  <c r="DB265" i="46"/>
  <c r="CY265" i="46"/>
  <c r="BL265" i="46"/>
  <c r="BI265" i="46"/>
  <c r="AZ265" i="46"/>
  <c r="BX265" i="46"/>
  <c r="BU265" i="46"/>
  <c r="BR265" i="46"/>
  <c r="BO265" i="46"/>
  <c r="BC265" i="46"/>
  <c r="AW265" i="46"/>
  <c r="BF265" i="46"/>
  <c r="AQ265" i="46"/>
  <c r="AN265" i="46"/>
  <c r="AK265" i="46"/>
  <c r="AT265" i="46"/>
  <c r="AH265" i="46"/>
  <c r="AE264" i="46"/>
  <c r="AE265" i="46"/>
  <c r="Y265" i="46"/>
  <c r="Y264" i="46"/>
  <c r="AB264" i="46"/>
  <c r="AB265" i="46"/>
  <c r="V265" i="46"/>
  <c r="V264" i="46"/>
  <c r="AG151" i="3"/>
  <c r="M251" i="46"/>
  <c r="EG251" i="46" s="1"/>
  <c r="BB23" i="45"/>
  <c r="T236" i="46"/>
  <c r="T237" i="46"/>
  <c r="M252" i="46"/>
  <c r="EG252" i="46" s="1"/>
  <c r="AG152" i="3"/>
  <c r="AZ25" i="45"/>
  <c r="T245" i="46"/>
  <c r="M240" i="46"/>
  <c r="AA150" i="3"/>
  <c r="M250" i="46" s="1"/>
  <c r="K247" i="46"/>
  <c r="C247" i="46"/>
  <c r="D147" i="3"/>
  <c r="AG147" i="3" s="1"/>
  <c r="AU25" i="45"/>
  <c r="DT147" i="3"/>
  <c r="T227" i="46"/>
  <c r="T229" i="46"/>
  <c r="T228" i="46"/>
  <c r="T226" i="46"/>
  <c r="N3" i="47"/>
  <c r="O2" i="47"/>
  <c r="N2" i="47"/>
  <c r="Q2" i="47"/>
  <c r="P2" i="47"/>
  <c r="Q3" i="47"/>
  <c r="AG138" i="3"/>
  <c r="M143" i="3"/>
  <c r="M147" i="3"/>
  <c r="S263" i="46" l="1"/>
  <c r="CB250" i="46"/>
  <c r="BM250" i="46"/>
  <c r="CQ250" i="46"/>
  <c r="CN250" i="46"/>
  <c r="CH250" i="46"/>
  <c r="CE250" i="46"/>
  <c r="CT250" i="46"/>
  <c r="CK250" i="46"/>
  <c r="CW250" i="46"/>
  <c r="DC250" i="46"/>
  <c r="CZ250" i="46"/>
  <c r="DF250" i="46"/>
  <c r="DI250" i="46"/>
  <c r="DU250" i="46"/>
  <c r="DO250" i="46"/>
  <c r="DL250" i="46"/>
  <c r="EG250" i="46"/>
  <c r="DX250" i="46"/>
  <c r="DR250" i="46"/>
  <c r="W250" i="46"/>
  <c r="EA250" i="46"/>
  <c r="AC250" i="46"/>
  <c r="Z250" i="46"/>
  <c r="ED250" i="46"/>
  <c r="AF250" i="46"/>
  <c r="AU250" i="46"/>
  <c r="AR250" i="46"/>
  <c r="AO250" i="46"/>
  <c r="AI250" i="46"/>
  <c r="AX250" i="46"/>
  <c r="AL250" i="46"/>
  <c r="BS250" i="46"/>
  <c r="BA250" i="46"/>
  <c r="BV250" i="46"/>
  <c r="BG250" i="46"/>
  <c r="BD250" i="46"/>
  <c r="BY250" i="46"/>
  <c r="BP250" i="46"/>
  <c r="BJ250" i="46"/>
  <c r="EA238" i="46"/>
  <c r="ED230" i="46"/>
  <c r="EG259" i="46"/>
  <c r="ED238" i="46"/>
  <c r="EG230" i="46"/>
  <c r="EG240" i="46"/>
  <c r="EG241" i="46"/>
  <c r="DO238" i="46"/>
  <c r="EA251" i="46"/>
  <c r="ED251" i="46"/>
  <c r="ED240" i="46"/>
  <c r="ED241" i="46"/>
  <c r="EA252" i="46"/>
  <c r="ED252" i="46"/>
  <c r="DX230" i="46"/>
  <c r="EA240" i="46"/>
  <c r="EA241" i="46"/>
  <c r="DX238" i="46"/>
  <c r="EA230" i="46"/>
  <c r="DL238" i="46"/>
  <c r="DU238" i="46"/>
  <c r="DX240" i="46"/>
  <c r="DX241" i="46"/>
  <c r="DU252" i="46"/>
  <c r="DX252" i="46"/>
  <c r="DU251" i="46"/>
  <c r="DX251" i="46"/>
  <c r="DR230" i="46"/>
  <c r="DI238" i="46"/>
  <c r="DR238" i="46"/>
  <c r="DU240" i="46"/>
  <c r="DU241" i="46"/>
  <c r="DU230" i="46"/>
  <c r="CE238" i="46"/>
  <c r="CW238" i="46"/>
  <c r="DF238" i="46"/>
  <c r="DO251" i="46"/>
  <c r="DR251" i="46"/>
  <c r="DO252" i="46"/>
  <c r="DR252" i="46"/>
  <c r="DR240" i="46"/>
  <c r="DR241" i="46"/>
  <c r="CZ238" i="46"/>
  <c r="DO230" i="46"/>
  <c r="DO240" i="46"/>
  <c r="DO241" i="46"/>
  <c r="DI251" i="46"/>
  <c r="DL251" i="46"/>
  <c r="DI230" i="46"/>
  <c r="DL240" i="46"/>
  <c r="DL241" i="46"/>
  <c r="DL230" i="46"/>
  <c r="DI252" i="46"/>
  <c r="DL252" i="46"/>
  <c r="DC230" i="46"/>
  <c r="DF230" i="46"/>
  <c r="DI240" i="46"/>
  <c r="DI241" i="46"/>
  <c r="CT230" i="46"/>
  <c r="DC252" i="46"/>
  <c r="DF252" i="46"/>
  <c r="DC251" i="46"/>
  <c r="DF251" i="46"/>
  <c r="DF240" i="46"/>
  <c r="DF241" i="46"/>
  <c r="CZ230" i="46"/>
  <c r="DC238" i="46"/>
  <c r="CN230" i="46"/>
  <c r="DC240" i="46"/>
  <c r="DC241" i="46"/>
  <c r="CW251" i="46"/>
  <c r="CZ251" i="46"/>
  <c r="CW230" i="46"/>
  <c r="CW252" i="46"/>
  <c r="CZ252" i="46"/>
  <c r="CZ240" i="46"/>
  <c r="CZ241" i="46"/>
  <c r="CT238" i="46"/>
  <c r="CW240" i="46"/>
  <c r="CW241" i="46"/>
  <c r="CH238" i="46"/>
  <c r="CQ230" i="46"/>
  <c r="CT240" i="46"/>
  <c r="CT241" i="46"/>
  <c r="CQ252" i="46"/>
  <c r="CT252" i="46"/>
  <c r="CQ251" i="46"/>
  <c r="CT251" i="46"/>
  <c r="CN238" i="46"/>
  <c r="CQ240" i="46"/>
  <c r="CQ241" i="46"/>
  <c r="CQ238" i="46"/>
  <c r="CN240" i="46"/>
  <c r="CN241" i="46"/>
  <c r="CK230" i="46"/>
  <c r="BV238" i="46"/>
  <c r="CB238" i="46"/>
  <c r="CK238" i="46"/>
  <c r="CK252" i="46"/>
  <c r="CN252" i="46"/>
  <c r="CK251" i="46"/>
  <c r="CN251" i="46"/>
  <c r="CK240" i="46"/>
  <c r="CK241" i="46"/>
  <c r="CH230" i="46"/>
  <c r="BY238" i="46"/>
  <c r="BS238" i="46"/>
  <c r="CE251" i="46"/>
  <c r="CH251" i="46"/>
  <c r="CH240" i="46"/>
  <c r="CH241" i="46"/>
  <c r="CB230" i="46"/>
  <c r="CE252" i="46"/>
  <c r="CH252" i="46"/>
  <c r="BP238" i="46"/>
  <c r="CE240" i="46"/>
  <c r="CE241" i="46"/>
  <c r="CE230" i="46"/>
  <c r="BY230" i="46"/>
  <c r="CB240" i="46"/>
  <c r="CB241" i="46"/>
  <c r="BY252" i="46"/>
  <c r="CB252" i="46"/>
  <c r="BY251" i="46"/>
  <c r="CB251" i="46"/>
  <c r="BD238" i="46"/>
  <c r="BJ238" i="46"/>
  <c r="BY240" i="46"/>
  <c r="BY241" i="46"/>
  <c r="BV230" i="46"/>
  <c r="BS252" i="46"/>
  <c r="BV252" i="46"/>
  <c r="BS251" i="46"/>
  <c r="BV251" i="46"/>
  <c r="BV240" i="46"/>
  <c r="BV241" i="46"/>
  <c r="BS230" i="46"/>
  <c r="BS240" i="46"/>
  <c r="BS241" i="46"/>
  <c r="BM230" i="46"/>
  <c r="BM251" i="46"/>
  <c r="BP251" i="46"/>
  <c r="BP240" i="46"/>
  <c r="BP241" i="46"/>
  <c r="Z238" i="46"/>
  <c r="AR238" i="46"/>
  <c r="BG230" i="46"/>
  <c r="BP230" i="46"/>
  <c r="BM252" i="46"/>
  <c r="BP252" i="46"/>
  <c r="BJ230" i="46"/>
  <c r="BM240" i="46"/>
  <c r="BM241" i="46"/>
  <c r="BM238" i="46"/>
  <c r="BJ240" i="46"/>
  <c r="BJ241" i="46"/>
  <c r="BG238" i="46"/>
  <c r="BG252" i="46"/>
  <c r="BJ252" i="46"/>
  <c r="BG251" i="46"/>
  <c r="BJ251" i="46"/>
  <c r="BD230" i="46"/>
  <c r="AX238" i="46"/>
  <c r="BG240" i="46"/>
  <c r="BG241" i="46"/>
  <c r="AX230" i="46"/>
  <c r="BA251" i="46"/>
  <c r="BD251" i="46"/>
  <c r="BA230" i="46"/>
  <c r="BA252" i="46"/>
  <c r="BD252" i="46"/>
  <c r="BD240" i="46"/>
  <c r="BD241" i="46"/>
  <c r="AL238" i="46"/>
  <c r="AU230" i="46"/>
  <c r="BA240" i="46"/>
  <c r="BA241" i="46"/>
  <c r="BA238" i="46"/>
  <c r="AU238" i="46"/>
  <c r="AX240" i="46"/>
  <c r="AX241" i="46"/>
  <c r="AU252" i="46"/>
  <c r="AX252" i="46"/>
  <c r="AU251" i="46"/>
  <c r="AX251" i="46"/>
  <c r="AI238" i="46"/>
  <c r="AR230" i="46"/>
  <c r="AU240" i="46"/>
  <c r="AU241" i="46"/>
  <c r="AO252" i="46"/>
  <c r="AR252" i="46"/>
  <c r="AR240" i="46"/>
  <c r="AR241" i="46"/>
  <c r="AO238" i="46"/>
  <c r="AO251" i="46"/>
  <c r="AR251" i="46"/>
  <c r="AL230" i="46"/>
  <c r="AO230" i="46"/>
  <c r="AO240" i="46"/>
  <c r="AO241" i="46"/>
  <c r="AI230" i="46"/>
  <c r="W238" i="46"/>
  <c r="AF238" i="46"/>
  <c r="AI251" i="46"/>
  <c r="AL251" i="46"/>
  <c r="AL240" i="46"/>
  <c r="AL241" i="46"/>
  <c r="AI252" i="46"/>
  <c r="AL252" i="46"/>
  <c r="AF230" i="46"/>
  <c r="AC230" i="46"/>
  <c r="AI240" i="46"/>
  <c r="AI241" i="46"/>
  <c r="AC238" i="46"/>
  <c r="AC252" i="46"/>
  <c r="AF252" i="46"/>
  <c r="AF240" i="46"/>
  <c r="AF241" i="46"/>
  <c r="AC251" i="46"/>
  <c r="AF251" i="46"/>
  <c r="Z230" i="46"/>
  <c r="AC240" i="46"/>
  <c r="AC241" i="46"/>
  <c r="W230" i="46"/>
  <c r="W252" i="46"/>
  <c r="Z252" i="46"/>
  <c r="W251" i="46"/>
  <c r="Z251" i="46"/>
  <c r="Z240" i="46"/>
  <c r="Z241" i="46"/>
  <c r="W240" i="46"/>
  <c r="W241" i="46"/>
  <c r="DQ263" i="46"/>
  <c r="CP263" i="46"/>
  <c r="CS263" i="46"/>
  <c r="DB263" i="46"/>
  <c r="DT263" i="46"/>
  <c r="CJ263" i="46"/>
  <c r="CY263" i="46"/>
  <c r="CA263" i="46"/>
  <c r="DK263" i="46"/>
  <c r="CV263" i="46"/>
  <c r="DN263" i="46"/>
  <c r="EC263" i="46"/>
  <c r="CG263" i="46"/>
  <c r="CM263" i="46"/>
  <c r="EF263" i="46"/>
  <c r="CD263" i="46"/>
  <c r="DW263" i="46"/>
  <c r="DH263" i="46"/>
  <c r="DE263" i="46"/>
  <c r="DZ263" i="46"/>
  <c r="AZ263" i="46"/>
  <c r="BI263" i="46"/>
  <c r="BL263" i="46"/>
  <c r="AW263" i="46"/>
  <c r="BO263" i="46"/>
  <c r="BR263" i="46"/>
  <c r="BF263" i="46"/>
  <c r="BC263" i="46"/>
  <c r="BU263" i="46"/>
  <c r="BX263" i="46"/>
  <c r="AQ263" i="46"/>
  <c r="AH263" i="46"/>
  <c r="AN263" i="46"/>
  <c r="AT263" i="46"/>
  <c r="AK263" i="46"/>
  <c r="BN33" i="45"/>
  <c r="BN24" i="45"/>
  <c r="BN11" i="45"/>
  <c r="BN14" i="45"/>
  <c r="BN18" i="45"/>
  <c r="BN26" i="45"/>
  <c r="BN20" i="45"/>
  <c r="BN47" i="45"/>
  <c r="BN17" i="45"/>
  <c r="BN12" i="45"/>
  <c r="BN36" i="45"/>
  <c r="BN34" i="45"/>
  <c r="BN29" i="45"/>
  <c r="BN42" i="45"/>
  <c r="BN45" i="45"/>
  <c r="BN49" i="45"/>
  <c r="BN46" i="45"/>
  <c r="BN28" i="45"/>
  <c r="BN44" i="45"/>
  <c r="BN40" i="45"/>
  <c r="BN23" i="45"/>
  <c r="BN31" i="45"/>
  <c r="BN39" i="45"/>
  <c r="BN30" i="45"/>
  <c r="BN13" i="45"/>
  <c r="BN4" i="45"/>
  <c r="BN10" i="45"/>
  <c r="BN48" i="45"/>
  <c r="BN7" i="45"/>
  <c r="BN37" i="45"/>
  <c r="BN5" i="45"/>
  <c r="BN25" i="45"/>
  <c r="BN41" i="45"/>
  <c r="BN9" i="45"/>
  <c r="BN50" i="45"/>
  <c r="BN21" i="45"/>
  <c r="BN38" i="45"/>
  <c r="BN22" i="45"/>
  <c r="BN32" i="45"/>
  <c r="BN15" i="45"/>
  <c r="BN19" i="45"/>
  <c r="BN27" i="45"/>
  <c r="BN43" i="45"/>
  <c r="BN51" i="45"/>
  <c r="BN35" i="45"/>
  <c r="BN6" i="45"/>
  <c r="BN8" i="45"/>
  <c r="BN16" i="45"/>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Y263" i="46"/>
  <c r="S3" i="47"/>
  <c r="R2" i="47"/>
  <c r="T252" i="46"/>
  <c r="T238" i="46"/>
  <c r="M238" i="46"/>
  <c r="O3" i="47" s="1"/>
  <c r="T251" i="46"/>
  <c r="S2" i="47"/>
  <c r="R3" i="47"/>
  <c r="T234" i="46"/>
  <c r="M230" i="46"/>
  <c r="M3" i="47" s="1"/>
  <c r="T230" i="46"/>
  <c r="T248" i="46"/>
  <c r="L5" i="51"/>
  <c r="AG150" i="3"/>
  <c r="BA21" i="45"/>
  <c r="T240" i="46"/>
  <c r="T241" i="46"/>
  <c r="DU259" i="46" l="1"/>
  <c r="DX259" i="46"/>
  <c r="EG242" i="46"/>
  <c r="ED242" i="46"/>
  <c r="ED259" i="46"/>
  <c r="EA259" i="46"/>
  <c r="EA242" i="46"/>
  <c r="DU242" i="46"/>
  <c r="DO259" i="46"/>
  <c r="DX242" i="46"/>
  <c r="DW4" i="46" s="1"/>
  <c r="DI259" i="46"/>
  <c r="DR242" i="46"/>
  <c r="DR259" i="46"/>
  <c r="DO242" i="46"/>
  <c r="DL242" i="46"/>
  <c r="DF259" i="46"/>
  <c r="DL259" i="46"/>
  <c r="DC259" i="46"/>
  <c r="DF242" i="46"/>
  <c r="DI242" i="46"/>
  <c r="BS259" i="46"/>
  <c r="CK259" i="46"/>
  <c r="CQ259" i="46"/>
  <c r="DC242" i="46"/>
  <c r="CZ242" i="46"/>
  <c r="CZ259" i="46"/>
  <c r="CW259" i="46"/>
  <c r="CT259" i="46"/>
  <c r="CN259" i="46"/>
  <c r="CW242" i="46"/>
  <c r="CT242" i="46"/>
  <c r="CQ242" i="46"/>
  <c r="CB259" i="46"/>
  <c r="CN242" i="46"/>
  <c r="CK242" i="46"/>
  <c r="CH242" i="46"/>
  <c r="CH259" i="46"/>
  <c r="BY259" i="46"/>
  <c r="CE259" i="46"/>
  <c r="BG259" i="46"/>
  <c r="CE242" i="46"/>
  <c r="BY242" i="46"/>
  <c r="CB242" i="46"/>
  <c r="BV259" i="46"/>
  <c r="AU259" i="46"/>
  <c r="BM259" i="46"/>
  <c r="BV242" i="46"/>
  <c r="BS242" i="46"/>
  <c r="AX259" i="46"/>
  <c r="BP242" i="46"/>
  <c r="BP259" i="46"/>
  <c r="BG242" i="46"/>
  <c r="BM242" i="46"/>
  <c r="BJ259" i="46"/>
  <c r="BJ242" i="46"/>
  <c r="BA242" i="46"/>
  <c r="BD242" i="46"/>
  <c r="BD259" i="46"/>
  <c r="BA259" i="46"/>
  <c r="AR259" i="46"/>
  <c r="AO259" i="46"/>
  <c r="AX242" i="46"/>
  <c r="AU242" i="46"/>
  <c r="AO242" i="46"/>
  <c r="AR242" i="46"/>
  <c r="AL242" i="46"/>
  <c r="AL259" i="46"/>
  <c r="AF259" i="46"/>
  <c r="AI259" i="46"/>
  <c r="AC259" i="46"/>
  <c r="Z259" i="46"/>
  <c r="AI242" i="46"/>
  <c r="W259" i="46"/>
  <c r="AF242" i="46"/>
  <c r="AC242" i="46"/>
  <c r="Z242" i="46"/>
  <c r="W242" i="46"/>
  <c r="AJ155" i="3"/>
  <c r="E9" i="50"/>
  <c r="G11" i="50"/>
  <c r="E17" i="50"/>
  <c r="F22" i="50"/>
  <c r="H22" i="50" s="1"/>
  <c r="G27" i="50"/>
  <c r="E33" i="50"/>
  <c r="F38" i="50"/>
  <c r="H38" i="50" s="1"/>
  <c r="G43" i="50"/>
  <c r="F12" i="50"/>
  <c r="H12" i="50" s="1"/>
  <c r="G17" i="50"/>
  <c r="E23" i="50"/>
  <c r="F28" i="50"/>
  <c r="H28" i="50" s="1"/>
  <c r="G33" i="50"/>
  <c r="E39" i="50"/>
  <c r="F44" i="50"/>
  <c r="H44" i="50" s="1"/>
  <c r="G12" i="50"/>
  <c r="E13" i="50"/>
  <c r="F18" i="50"/>
  <c r="H18" i="50" s="1"/>
  <c r="G13" i="50"/>
  <c r="E19" i="50"/>
  <c r="F24" i="50"/>
  <c r="H24" i="50" s="1"/>
  <c r="G29" i="50"/>
  <c r="E35" i="50"/>
  <c r="F40" i="50"/>
  <c r="H40" i="50" s="1"/>
  <c r="G45" i="50"/>
  <c r="F9" i="50"/>
  <c r="H9" i="50" s="1"/>
  <c r="F16" i="50"/>
  <c r="H16" i="50" s="1"/>
  <c r="E18" i="50"/>
  <c r="G20" i="50"/>
  <c r="E24" i="50"/>
  <c r="G38" i="50"/>
  <c r="E42" i="50"/>
  <c r="F52" i="50"/>
  <c r="H52" i="50" s="1"/>
  <c r="F11" i="50"/>
  <c r="H11" i="50" s="1"/>
  <c r="E14" i="50"/>
  <c r="F14" i="50"/>
  <c r="H14" i="50" s="1"/>
  <c r="G14" i="50"/>
  <c r="E16" i="50"/>
  <c r="G23" i="50"/>
  <c r="F32" i="50"/>
  <c r="H32" i="50" s="1"/>
  <c r="E36" i="50"/>
  <c r="G41" i="50"/>
  <c r="E46" i="50"/>
  <c r="F47" i="50"/>
  <c r="H47" i="50" s="1"/>
  <c r="G48" i="50"/>
  <c r="G9" i="50"/>
  <c r="F10" i="50"/>
  <c r="H10" i="50" s="1"/>
  <c r="E11" i="50"/>
  <c r="G15" i="50"/>
  <c r="F19" i="50"/>
  <c r="H19" i="50" s="1"/>
  <c r="G26" i="50"/>
  <c r="E28" i="50"/>
  <c r="E37" i="50"/>
  <c r="G55" i="50"/>
  <c r="F56" i="50"/>
  <c r="H56" i="50" s="1"/>
  <c r="G10" i="50"/>
  <c r="G16" i="50"/>
  <c r="G19" i="50"/>
  <c r="G28" i="50"/>
  <c r="E30" i="50"/>
  <c r="F37" i="50"/>
  <c r="H37" i="50" s="1"/>
  <c r="G56" i="50"/>
  <c r="E57" i="50"/>
  <c r="F20" i="50"/>
  <c r="H20" i="50" s="1"/>
  <c r="E12" i="50"/>
  <c r="E20" i="50"/>
  <c r="G30" i="50"/>
  <c r="F58" i="50"/>
  <c r="H58" i="50" s="1"/>
  <c r="E59" i="50"/>
  <c r="E66" i="50"/>
  <c r="F71" i="50"/>
  <c r="H71" i="50" s="1"/>
  <c r="G24" i="50"/>
  <c r="E44" i="50"/>
  <c r="E52" i="50"/>
  <c r="F57" i="50"/>
  <c r="H57" i="50" s="1"/>
  <c r="G58" i="50"/>
  <c r="F59" i="50"/>
  <c r="H59" i="50" s="1"/>
  <c r="E60" i="50"/>
  <c r="F66" i="50"/>
  <c r="H66" i="50" s="1"/>
  <c r="F15" i="50"/>
  <c r="H15" i="50" s="1"/>
  <c r="F26" i="50"/>
  <c r="H26" i="50" s="1"/>
  <c r="E29" i="50"/>
  <c r="F13" i="50"/>
  <c r="H13" i="50" s="1"/>
  <c r="E25" i="50"/>
  <c r="F33" i="50"/>
  <c r="H33" i="50" s="1"/>
  <c r="F43" i="50"/>
  <c r="H43" i="50" s="1"/>
  <c r="G47" i="50"/>
  <c r="G51" i="50"/>
  <c r="G66" i="50"/>
  <c r="G67" i="50"/>
  <c r="F68" i="50"/>
  <c r="H68" i="50" s="1"/>
  <c r="E69" i="50"/>
  <c r="F21" i="50"/>
  <c r="H21" i="50" s="1"/>
  <c r="E26" i="50"/>
  <c r="G39" i="50"/>
  <c r="E64" i="50"/>
  <c r="E21" i="50"/>
  <c r="F23" i="50"/>
  <c r="H23" i="50" s="1"/>
  <c r="F25" i="50"/>
  <c r="H25" i="50" s="1"/>
  <c r="E38" i="50"/>
  <c r="F39" i="50"/>
  <c r="H39" i="50" s="1"/>
  <c r="E53" i="50"/>
  <c r="E58" i="50"/>
  <c r="E65" i="50"/>
  <c r="G68" i="50"/>
  <c r="F69" i="50"/>
  <c r="H69" i="50" s="1"/>
  <c r="E70" i="50"/>
  <c r="E22" i="50"/>
  <c r="G25" i="50"/>
  <c r="E34" i="50"/>
  <c r="G44" i="50"/>
  <c r="F53" i="50"/>
  <c r="H53" i="50" s="1"/>
  <c r="G18" i="50"/>
  <c r="G40" i="50"/>
  <c r="F45" i="50"/>
  <c r="H45" i="50" s="1"/>
  <c r="F50" i="50"/>
  <c r="H50" i="50" s="1"/>
  <c r="G57" i="50"/>
  <c r="E61" i="50"/>
  <c r="G62" i="50"/>
  <c r="F17" i="50"/>
  <c r="H17" i="50" s="1"/>
  <c r="F31" i="50"/>
  <c r="H31" i="50" s="1"/>
  <c r="F46" i="50"/>
  <c r="H46" i="50" s="1"/>
  <c r="E54" i="50"/>
  <c r="F60" i="50"/>
  <c r="H60" i="50" s="1"/>
  <c r="F42" i="50"/>
  <c r="H42" i="50" s="1"/>
  <c r="E49" i="50"/>
  <c r="G54" i="50"/>
  <c r="E56" i="50"/>
  <c r="E32" i="50"/>
  <c r="G37" i="50"/>
  <c r="G42" i="50"/>
  <c r="F49" i="50"/>
  <c r="H49" i="50" s="1"/>
  <c r="G32" i="50"/>
  <c r="G49" i="50"/>
  <c r="E51" i="50"/>
  <c r="G59" i="50"/>
  <c r="E67" i="50"/>
  <c r="E43" i="50"/>
  <c r="E47" i="50"/>
  <c r="F51" i="50"/>
  <c r="H51" i="50" s="1"/>
  <c r="G21" i="50"/>
  <c r="F34" i="50"/>
  <c r="H34" i="50" s="1"/>
  <c r="F36" i="50"/>
  <c r="H36" i="50" s="1"/>
  <c r="G36" i="50"/>
  <c r="E40" i="50"/>
  <c r="E10" i="50"/>
  <c r="E55" i="50"/>
  <c r="F55" i="50"/>
  <c r="H55" i="50" s="1"/>
  <c r="G72" i="50"/>
  <c r="F70" i="50"/>
  <c r="H70" i="50" s="1"/>
  <c r="G70" i="50"/>
  <c r="F30" i="50"/>
  <c r="H30" i="50" s="1"/>
  <c r="G34" i="50"/>
  <c r="G69" i="50"/>
  <c r="E15" i="50"/>
  <c r="G60" i="50"/>
  <c r="E72" i="50"/>
  <c r="F65" i="50"/>
  <c r="H65" i="50" s="1"/>
  <c r="F72" i="50"/>
  <c r="H72" i="50" s="1"/>
  <c r="F64" i="50"/>
  <c r="H64" i="50" s="1"/>
  <c r="E48" i="50"/>
  <c r="G63" i="50"/>
  <c r="F48" i="50"/>
  <c r="H48" i="50" s="1"/>
  <c r="G22" i="50"/>
  <c r="G64" i="50"/>
  <c r="G31" i="50"/>
  <c r="F35" i="50"/>
  <c r="H35" i="50" s="1"/>
  <c r="E62" i="50"/>
  <c r="E68" i="50"/>
  <c r="G35" i="50"/>
  <c r="F62" i="50"/>
  <c r="H62" i="50" s="1"/>
  <c r="G65" i="50"/>
  <c r="F27" i="50"/>
  <c r="H27" i="50" s="1"/>
  <c r="E41" i="50"/>
  <c r="F54" i="50"/>
  <c r="H54" i="50" s="1"/>
  <c r="F67" i="50"/>
  <c r="H67" i="50" s="1"/>
  <c r="G46" i="50"/>
  <c r="F29" i="50"/>
  <c r="H29" i="50" s="1"/>
  <c r="F41" i="50"/>
  <c r="H41" i="50" s="1"/>
  <c r="E45" i="50"/>
  <c r="E71" i="50"/>
  <c r="E50" i="50"/>
  <c r="G71" i="50"/>
  <c r="G52" i="50"/>
  <c r="E63" i="50"/>
  <c r="F61" i="50"/>
  <c r="H61" i="50" s="1"/>
  <c r="E31" i="50"/>
  <c r="G50" i="50"/>
  <c r="G53" i="50"/>
  <c r="G61" i="50"/>
  <c r="E27" i="50"/>
  <c r="F63" i="50"/>
  <c r="H63" i="50" s="1"/>
  <c r="EC4"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CY4" i="46" l="1"/>
  <c r="CY2" i="46" s="1"/>
  <c r="AT4" i="46"/>
  <c r="AT2" i="46" s="1"/>
  <c r="BL4" i="46"/>
  <c r="BL2" i="46" s="1"/>
  <c r="DE4" i="46"/>
  <c r="DE2" i="46" s="1"/>
  <c r="BI4" i="46"/>
  <c r="BI2" i="46" s="1"/>
  <c r="CA4" i="46"/>
  <c r="CA2" i="46" s="1"/>
  <c r="DH4" i="46"/>
  <c r="DH2" i="46" s="1"/>
  <c r="CD4" i="46"/>
  <c r="CD2" i="46" s="1"/>
  <c r="BF4" i="46"/>
  <c r="BF2" i="46" s="1"/>
  <c r="DZ4" i="46"/>
  <c r="DZ2" i="46" s="1"/>
  <c r="CS4" i="46"/>
  <c r="CS2" i="46" s="1"/>
  <c r="DK4" i="46"/>
  <c r="DK2" i="46" s="1"/>
  <c r="CJ4" i="46"/>
  <c r="CJ2" i="46" s="1"/>
  <c r="EF4" i="46"/>
  <c r="EF2" i="46" s="1"/>
  <c r="CV4" i="46"/>
  <c r="CV2" i="46" s="1"/>
  <c r="BC4" i="46"/>
  <c r="BC2" i="46" s="1"/>
  <c r="CG4" i="46"/>
  <c r="CG2" i="46" s="1"/>
  <c r="AZ4" i="46"/>
  <c r="AZ2" i="46" s="1"/>
  <c r="AW4" i="46"/>
  <c r="AW2" i="46" s="1"/>
  <c r="DQ4" i="46"/>
  <c r="DQ2" i="46" s="1"/>
  <c r="BR4" i="46"/>
  <c r="BR2" i="46" s="1"/>
  <c r="DN4" i="46"/>
  <c r="DW2" i="46"/>
  <c r="EC2" i="46"/>
  <c r="CM4" i="46"/>
  <c r="DB4" i="46"/>
  <c r="CP4" i="46"/>
  <c r="DT4" i="46"/>
  <c r="BX4" i="46"/>
  <c r="BO4" i="46"/>
  <c r="AH4" i="46"/>
  <c r="AH2" i="46" s="1"/>
  <c r="AK4" i="46"/>
  <c r="AK2" i="46" s="1"/>
  <c r="BU4" i="46"/>
  <c r="AN4" i="46"/>
  <c r="AQ4" i="46"/>
  <c r="BL5" i="45"/>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P2" i="46" l="1"/>
  <c r="DB2" i="46"/>
  <c r="DN2" i="46"/>
  <c r="CM2" i="46"/>
  <c r="DT2" i="46"/>
  <c r="BO2" i="46"/>
  <c r="BX2" i="46"/>
  <c r="BU2" i="46"/>
  <c r="AQ2" i="46"/>
  <c r="AN2" i="46"/>
  <c r="V4" i="46" l="1"/>
  <c r="E36" i="51"/>
  <c r="H8" i="51" a="1"/>
  <c r="Y35" i="51" a="1"/>
  <c r="E35" i="51"/>
  <c r="AB35" i="51" a="1"/>
  <c r="AI35" i="51" a="1"/>
  <c r="E37" i="51"/>
  <c r="W35" i="51" a="1"/>
  <c r="K8" i="51" a="1"/>
  <c r="AH35" i="51" a="1"/>
  <c r="AJ35" i="51" a="1"/>
  <c r="Z33" i="51" a="1"/>
  <c r="AB35" i="51" l="1"/>
  <c r="K8" i="51"/>
  <c r="H8" i="51"/>
  <c r="F37" i="51"/>
  <c r="F36" i="51"/>
  <c r="F35" i="51"/>
  <c r="W35" i="51"/>
  <c r="Z33" i="51"/>
  <c r="AH35" i="51"/>
  <c r="Y35" i="51"/>
  <c r="AI35" i="51"/>
  <c r="AJ35" i="51"/>
  <c r="V2" i="46"/>
  <c r="AA35" i="51" a="1"/>
  <c r="Z35" i="51" a="1"/>
  <c r="J8" i="51" a="1"/>
  <c r="Z35" i="51" l="1"/>
  <c r="AA35" i="51"/>
  <c r="J8" i="51"/>
  <c r="D34" i="51"/>
  <c r="AC35" i="51" a="1"/>
  <c r="AC35" i="51" l="1"/>
  <c r="H7" i="50" l="1"/>
  <c r="H8" i="50"/>
  <c r="H6" i="50"/>
  <c r="H4" i="50"/>
  <c r="H5"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L2" i="50"/>
  <c r="AK2" i="50"/>
  <c r="AJ2" i="50"/>
  <c r="AI2" i="50"/>
  <c r="AH2" i="50"/>
  <c r="AG2" i="50"/>
  <c r="AF2" i="50"/>
  <c r="AE2" i="50"/>
  <c r="AD2" i="50"/>
  <c r="AC2" i="50"/>
  <c r="AB2" i="50"/>
  <c r="AA2" i="50"/>
  <c r="Z2" i="50"/>
  <c r="Y2" i="50"/>
  <c r="X2" i="50"/>
  <c r="W2" i="50"/>
  <c r="V2" i="50"/>
  <c r="U2" i="50"/>
  <c r="T2" i="50"/>
  <c r="S2" i="50"/>
  <c r="R2" i="50"/>
  <c r="Q2" i="50"/>
  <c r="P2" i="50"/>
  <c r="O2" i="50"/>
  <c r="N2" i="50"/>
  <c r="M2" i="50"/>
  <c r="L2" i="50"/>
  <c r="K2" i="50"/>
  <c r="J2" i="50"/>
  <c r="I2" i="50"/>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X35" i="51" a="1"/>
  <c r="V6" i="50" l="1"/>
  <c r="V22" i="50"/>
  <c r="V38" i="50"/>
  <c r="V12" i="50"/>
  <c r="V28" i="50"/>
  <c r="V24" i="50"/>
  <c r="V40" i="50"/>
  <c r="V10" i="50"/>
  <c r="V37" i="50"/>
  <c r="V52" i="50"/>
  <c r="V31" i="50"/>
  <c r="V32" i="50"/>
  <c r="V46" i="50"/>
  <c r="V25" i="50"/>
  <c r="V34" i="50"/>
  <c r="V16" i="50"/>
  <c r="V18" i="50"/>
  <c r="V42" i="50"/>
  <c r="V59" i="50"/>
  <c r="V71" i="50"/>
  <c r="V13" i="50"/>
  <c r="V14" i="50"/>
  <c r="V60" i="50"/>
  <c r="V66" i="50"/>
  <c r="V30" i="50"/>
  <c r="V11" i="50"/>
  <c r="V65" i="50"/>
  <c r="V69" i="50"/>
  <c r="V36" i="50"/>
  <c r="V50" i="50"/>
  <c r="V64" i="50"/>
  <c r="V70" i="50"/>
  <c r="V41" i="50"/>
  <c r="V63" i="50"/>
  <c r="V54" i="50"/>
  <c r="V21" i="50"/>
  <c r="V33" i="50"/>
  <c r="V51" i="50"/>
  <c r="V19" i="50"/>
  <c r="V20" i="50"/>
  <c r="V27" i="50"/>
  <c r="V39" i="50"/>
  <c r="V53" i="50"/>
  <c r="V67" i="50"/>
  <c r="V29" i="50"/>
  <c r="V35" i="50"/>
  <c r="V45" i="50"/>
  <c r="V17" i="50"/>
  <c r="V48" i="50"/>
  <c r="V55" i="50"/>
  <c r="V58" i="50"/>
  <c r="V43" i="50"/>
  <c r="V62" i="50"/>
  <c r="V61" i="50"/>
  <c r="V49" i="50"/>
  <c r="V9" i="50"/>
  <c r="V23" i="50"/>
  <c r="V57" i="50"/>
  <c r="V47" i="50"/>
  <c r="V26" i="50"/>
  <c r="V44" i="50"/>
  <c r="V56" i="50"/>
  <c r="V72" i="50"/>
  <c r="V15" i="50"/>
  <c r="V68" i="50"/>
  <c r="AL7" i="50"/>
  <c r="AL22" i="50"/>
  <c r="AL38" i="50"/>
  <c r="AL12" i="50"/>
  <c r="AL28" i="50"/>
  <c r="AL24" i="50"/>
  <c r="AL40" i="50"/>
  <c r="AL10" i="50"/>
  <c r="AL18" i="50"/>
  <c r="AL36" i="50"/>
  <c r="AL52" i="50"/>
  <c r="AL17" i="50"/>
  <c r="AL30" i="50"/>
  <c r="AL39" i="50"/>
  <c r="AL44" i="50"/>
  <c r="AL15" i="50"/>
  <c r="AL20" i="50"/>
  <c r="AL29" i="50"/>
  <c r="AL9" i="50"/>
  <c r="AL35" i="50"/>
  <c r="AL43" i="50"/>
  <c r="AL56" i="50"/>
  <c r="AL60" i="50"/>
  <c r="AL71" i="50"/>
  <c r="AL11" i="50"/>
  <c r="AL32" i="50"/>
  <c r="AL13" i="50"/>
  <c r="AL23" i="50"/>
  <c r="AL25" i="50"/>
  <c r="AL63" i="50"/>
  <c r="AL70" i="50"/>
  <c r="AL19" i="50"/>
  <c r="AL61" i="50"/>
  <c r="AL14" i="50"/>
  <c r="AL21" i="50"/>
  <c r="AL33" i="50"/>
  <c r="AL54" i="50"/>
  <c r="AL62" i="50"/>
  <c r="AL72" i="50"/>
  <c r="AL26" i="50"/>
  <c r="AL47" i="50"/>
  <c r="AL41" i="50"/>
  <c r="AL48" i="50"/>
  <c r="AL55" i="50"/>
  <c r="AL50" i="50"/>
  <c r="AL58" i="50"/>
  <c r="AL42" i="50"/>
  <c r="AL46" i="50"/>
  <c r="AL67" i="50"/>
  <c r="AL65" i="50"/>
  <c r="AL37" i="50"/>
  <c r="AL57" i="50"/>
  <c r="AL64" i="50"/>
  <c r="AL27" i="50"/>
  <c r="AL59" i="50"/>
  <c r="AL51" i="50"/>
  <c r="AL66" i="50"/>
  <c r="AL31" i="50"/>
  <c r="AL69" i="50"/>
  <c r="AL53" i="50"/>
  <c r="AL16" i="50"/>
  <c r="AL49" i="50"/>
  <c r="AL68" i="50"/>
  <c r="AL45" i="50"/>
  <c r="AL34" i="50"/>
  <c r="AM5" i="50"/>
  <c r="AM11" i="50"/>
  <c r="AM27" i="50"/>
  <c r="AM43" i="50"/>
  <c r="AM17" i="50"/>
  <c r="AM33" i="50"/>
  <c r="AM12" i="50"/>
  <c r="AM13" i="50"/>
  <c r="AM29" i="50"/>
  <c r="AM45" i="50"/>
  <c r="AM32" i="50"/>
  <c r="AM15" i="50"/>
  <c r="AM26" i="50"/>
  <c r="AM56" i="50"/>
  <c r="AM20" i="50"/>
  <c r="AM38" i="50"/>
  <c r="AM21" i="50"/>
  <c r="AM23" i="50"/>
  <c r="AM51" i="50"/>
  <c r="AM59" i="50"/>
  <c r="AM35" i="50"/>
  <c r="AM60" i="50"/>
  <c r="AM9" i="50"/>
  <c r="AM22" i="50"/>
  <c r="AM37" i="50"/>
  <c r="AM52" i="50"/>
  <c r="AM57" i="50"/>
  <c r="AM64" i="50"/>
  <c r="AM69" i="50"/>
  <c r="AM14" i="50"/>
  <c r="AM54" i="50"/>
  <c r="AM62" i="50"/>
  <c r="AM25" i="50"/>
  <c r="AM63" i="50"/>
  <c r="AM70" i="50"/>
  <c r="AM71" i="50"/>
  <c r="AM28" i="50"/>
  <c r="AM34" i="50"/>
  <c r="AM31" i="50"/>
  <c r="AM36" i="50"/>
  <c r="AM50" i="50"/>
  <c r="AM58" i="50"/>
  <c r="AM66" i="50"/>
  <c r="AM42" i="50"/>
  <c r="AM46" i="50"/>
  <c r="AM10" i="50"/>
  <c r="AM24" i="50"/>
  <c r="AM65" i="50"/>
  <c r="AM68" i="50"/>
  <c r="AM48" i="50"/>
  <c r="AM41" i="50"/>
  <c r="AM55" i="50"/>
  <c r="AM39" i="50"/>
  <c r="AM18" i="50"/>
  <c r="AM72" i="50"/>
  <c r="AM61" i="50"/>
  <c r="AM19" i="50"/>
  <c r="AM40" i="50"/>
  <c r="AM53" i="50"/>
  <c r="AM67" i="50"/>
  <c r="AM44" i="50"/>
  <c r="AM47" i="50"/>
  <c r="AM16" i="50"/>
  <c r="AM49" i="50"/>
  <c r="AM30" i="50"/>
  <c r="I6" i="50"/>
  <c r="I13" i="50"/>
  <c r="I9" i="50"/>
  <c r="I21" i="50"/>
  <c r="I37" i="50"/>
  <c r="I11" i="50"/>
  <c r="I27" i="50"/>
  <c r="I43" i="50"/>
  <c r="I17" i="50"/>
  <c r="I23" i="50"/>
  <c r="I39" i="50"/>
  <c r="I15" i="50"/>
  <c r="I25" i="50"/>
  <c r="I51" i="50"/>
  <c r="I19" i="50"/>
  <c r="I28" i="50"/>
  <c r="I42" i="50"/>
  <c r="I53" i="50"/>
  <c r="I35" i="50"/>
  <c r="I44" i="50"/>
  <c r="I47" i="50"/>
  <c r="I54" i="50"/>
  <c r="I38" i="50"/>
  <c r="I70" i="50"/>
  <c r="I41" i="50"/>
  <c r="I46" i="50"/>
  <c r="I48" i="50"/>
  <c r="I65" i="50"/>
  <c r="I22" i="50"/>
  <c r="I10" i="50"/>
  <c r="I49" i="50"/>
  <c r="I59" i="50"/>
  <c r="I24" i="50"/>
  <c r="I33" i="50"/>
  <c r="I64" i="50"/>
  <c r="I72" i="50"/>
  <c r="I52" i="50"/>
  <c r="I31" i="50"/>
  <c r="I60" i="50"/>
  <c r="I16" i="50"/>
  <c r="I56" i="50"/>
  <c r="I32" i="50"/>
  <c r="I14" i="50"/>
  <c r="I61" i="50"/>
  <c r="I71" i="50"/>
  <c r="I30" i="50"/>
  <c r="I34" i="50"/>
  <c r="I69" i="50"/>
  <c r="I66" i="50"/>
  <c r="I18" i="50"/>
  <c r="I26" i="50"/>
  <c r="I50" i="50"/>
  <c r="I36" i="50"/>
  <c r="I58" i="50"/>
  <c r="I55" i="50"/>
  <c r="I67" i="50"/>
  <c r="I29" i="50"/>
  <c r="I63" i="50"/>
  <c r="I20" i="50"/>
  <c r="I68" i="50"/>
  <c r="I12" i="50"/>
  <c r="I62" i="50"/>
  <c r="I57" i="50"/>
  <c r="I40" i="50"/>
  <c r="I45" i="50"/>
  <c r="AA5" i="50"/>
  <c r="AA15" i="50"/>
  <c r="AA31" i="50"/>
  <c r="AA47" i="50"/>
  <c r="AA21" i="50"/>
  <c r="AA37" i="50"/>
  <c r="AA16" i="50"/>
  <c r="AA11" i="50"/>
  <c r="AA17" i="50"/>
  <c r="AA33" i="50"/>
  <c r="AA29" i="50"/>
  <c r="AA38" i="50"/>
  <c r="AA9" i="50"/>
  <c r="AA12" i="50"/>
  <c r="AA14" i="50"/>
  <c r="AA23" i="50"/>
  <c r="AA32" i="50"/>
  <c r="AA19" i="50"/>
  <c r="AA52" i="50"/>
  <c r="AA60" i="50"/>
  <c r="AA39" i="50"/>
  <c r="AA53" i="50"/>
  <c r="AA22" i="50"/>
  <c r="AA36" i="50"/>
  <c r="AA48" i="50"/>
  <c r="AA64" i="50"/>
  <c r="AA20" i="50"/>
  <c r="AA45" i="50"/>
  <c r="AA55" i="50"/>
  <c r="AA58" i="50"/>
  <c r="AA40" i="50"/>
  <c r="AA50" i="50"/>
  <c r="AA57" i="50"/>
  <c r="AA71" i="50"/>
  <c r="AA43" i="50"/>
  <c r="AA10" i="50"/>
  <c r="AA18" i="50"/>
  <c r="AA26" i="50"/>
  <c r="AA27" i="50"/>
  <c r="AA49" i="50"/>
  <c r="AA34" i="50"/>
  <c r="AA51" i="50"/>
  <c r="AA28" i="50"/>
  <c r="AA44" i="50"/>
  <c r="AA59" i="50"/>
  <c r="AA25" i="50"/>
  <c r="AA41" i="50"/>
  <c r="AA72" i="50"/>
  <c r="AA30" i="50"/>
  <c r="AA61" i="50"/>
  <c r="AA63" i="50"/>
  <c r="AA67" i="50"/>
  <c r="AA54" i="50"/>
  <c r="AA62" i="50"/>
  <c r="AA24" i="50"/>
  <c r="AA42" i="50"/>
  <c r="AA70" i="50"/>
  <c r="AA56" i="50"/>
  <c r="AA13" i="50"/>
  <c r="AA46" i="50"/>
  <c r="AA66" i="50"/>
  <c r="AA65" i="50"/>
  <c r="AA68" i="50"/>
  <c r="AA35" i="50"/>
  <c r="AA69" i="50"/>
  <c r="AB7" i="50"/>
  <c r="AB12" i="50"/>
  <c r="AB20" i="50"/>
  <c r="AB36" i="50"/>
  <c r="AB10" i="50"/>
  <c r="AB26" i="50"/>
  <c r="AB42" i="50"/>
  <c r="AB16" i="50"/>
  <c r="AB22" i="50"/>
  <c r="AB38" i="50"/>
  <c r="AB25" i="50"/>
  <c r="AB50" i="50"/>
  <c r="AB9" i="50"/>
  <c r="AB14" i="50"/>
  <c r="AB19" i="50"/>
  <c r="AB17" i="50"/>
  <c r="AB28" i="50"/>
  <c r="AB37" i="50"/>
  <c r="AB51" i="50"/>
  <c r="AB52" i="50"/>
  <c r="AB21" i="50"/>
  <c r="AB44" i="50"/>
  <c r="AB69" i="50"/>
  <c r="AB39" i="50"/>
  <c r="AB48" i="50"/>
  <c r="AB64" i="50"/>
  <c r="AB59" i="50"/>
  <c r="AB29" i="50"/>
  <c r="AB40" i="50"/>
  <c r="AB53" i="50"/>
  <c r="AB31" i="50"/>
  <c r="AB70" i="50"/>
  <c r="AB23" i="50"/>
  <c r="AB54" i="50"/>
  <c r="AB61" i="50"/>
  <c r="AB24" i="50"/>
  <c r="AB47" i="50"/>
  <c r="AB56" i="50"/>
  <c r="AB60" i="50"/>
  <c r="AB33" i="50"/>
  <c r="AB18" i="50"/>
  <c r="AB27" i="50"/>
  <c r="AB49" i="50"/>
  <c r="AB34" i="50"/>
  <c r="AB43" i="50"/>
  <c r="AB72" i="50"/>
  <c r="AB30" i="50"/>
  <c r="AB41" i="50"/>
  <c r="AB45" i="50"/>
  <c r="AB63" i="50"/>
  <c r="AB67" i="50"/>
  <c r="AB57" i="50"/>
  <c r="AB32" i="50"/>
  <c r="AB11" i="50"/>
  <c r="AB55" i="50"/>
  <c r="AB71" i="50"/>
  <c r="AB62" i="50"/>
  <c r="AB15" i="50"/>
  <c r="AB13" i="50"/>
  <c r="AB46" i="50"/>
  <c r="AB66" i="50"/>
  <c r="AB65" i="50"/>
  <c r="AB35" i="50"/>
  <c r="AB58" i="50"/>
  <c r="AB68" i="50"/>
  <c r="M6" i="50"/>
  <c r="M9" i="50"/>
  <c r="M25" i="50"/>
  <c r="M41" i="50"/>
  <c r="M15" i="50"/>
  <c r="M31" i="50"/>
  <c r="M10" i="50"/>
  <c r="M11" i="50"/>
  <c r="M27" i="50"/>
  <c r="M43" i="50"/>
  <c r="M35" i="50"/>
  <c r="M55" i="50"/>
  <c r="M20" i="50"/>
  <c r="M29" i="50"/>
  <c r="M12" i="50"/>
  <c r="M22" i="50"/>
  <c r="M48" i="50"/>
  <c r="M13" i="50"/>
  <c r="M14" i="50"/>
  <c r="M33" i="50"/>
  <c r="M40" i="50"/>
  <c r="M42" i="50"/>
  <c r="M49" i="50"/>
  <c r="M50" i="50"/>
  <c r="M19" i="50"/>
  <c r="M32" i="50"/>
  <c r="M54" i="50"/>
  <c r="M23" i="50"/>
  <c r="M17" i="50"/>
  <c r="M37" i="50"/>
  <c r="M60" i="50"/>
  <c r="M56" i="50"/>
  <c r="M21" i="50"/>
  <c r="M39" i="50"/>
  <c r="M66" i="50"/>
  <c r="M67" i="50"/>
  <c r="M72" i="50"/>
  <c r="M30" i="50"/>
  <c r="M45" i="50"/>
  <c r="M52" i="50"/>
  <c r="M57" i="50"/>
  <c r="M62" i="50"/>
  <c r="M61" i="50"/>
  <c r="M36" i="50"/>
  <c r="M16" i="50"/>
  <c r="M46" i="50"/>
  <c r="M47" i="50"/>
  <c r="M18" i="50"/>
  <c r="M24" i="50"/>
  <c r="M26" i="50"/>
  <c r="M28" i="50"/>
  <c r="M38" i="50"/>
  <c r="M71" i="50"/>
  <c r="M34" i="50"/>
  <c r="M53" i="50"/>
  <c r="M59" i="50"/>
  <c r="M44" i="50"/>
  <c r="M51" i="50"/>
  <c r="M58" i="50"/>
  <c r="M64" i="50"/>
  <c r="M70" i="50"/>
  <c r="M63" i="50"/>
  <c r="M65" i="50"/>
  <c r="M68" i="50"/>
  <c r="M69" i="50"/>
  <c r="N5" i="50"/>
  <c r="N14" i="50"/>
  <c r="N30" i="50"/>
  <c r="N46" i="50"/>
  <c r="N20" i="50"/>
  <c r="N36" i="50"/>
  <c r="N15" i="50"/>
  <c r="N10" i="50"/>
  <c r="N16" i="50"/>
  <c r="N32" i="50"/>
  <c r="N11" i="50"/>
  <c r="N26" i="50"/>
  <c r="N44" i="50"/>
  <c r="N13" i="50"/>
  <c r="N38" i="50"/>
  <c r="N45" i="50"/>
  <c r="N59" i="50"/>
  <c r="N12" i="50"/>
  <c r="N22" i="50"/>
  <c r="N31" i="50"/>
  <c r="N48" i="50"/>
  <c r="N23" i="50"/>
  <c r="N29" i="50"/>
  <c r="N43" i="50"/>
  <c r="N63" i="50"/>
  <c r="N19" i="50"/>
  <c r="N49" i="50"/>
  <c r="N54" i="50"/>
  <c r="N25" i="50"/>
  <c r="N18" i="50"/>
  <c r="N9" i="50"/>
  <c r="N37" i="50"/>
  <c r="N60" i="50"/>
  <c r="N53" i="50"/>
  <c r="N35" i="50"/>
  <c r="N71" i="50"/>
  <c r="N17" i="50"/>
  <c r="N41" i="50"/>
  <c r="N52" i="50"/>
  <c r="N57" i="50"/>
  <c r="N62" i="50"/>
  <c r="N61" i="50"/>
  <c r="N42" i="50"/>
  <c r="N68" i="50"/>
  <c r="N50" i="50"/>
  <c r="N56" i="50"/>
  <c r="N21" i="50"/>
  <c r="N24" i="50"/>
  <c r="N28" i="50"/>
  <c r="N34" i="50"/>
  <c r="N40" i="50"/>
  <c r="N55" i="50"/>
  <c r="N65" i="50"/>
  <c r="N47" i="50"/>
  <c r="N69" i="50"/>
  <c r="N33" i="50"/>
  <c r="N64" i="50"/>
  <c r="N67" i="50"/>
  <c r="N72" i="50"/>
  <c r="N27" i="50"/>
  <c r="N51" i="50"/>
  <c r="N66" i="50"/>
  <c r="N58" i="50"/>
  <c r="N39" i="50"/>
  <c r="N70" i="50"/>
  <c r="AD5" i="50"/>
  <c r="AD14" i="50"/>
  <c r="AD30" i="50"/>
  <c r="AD46" i="50"/>
  <c r="AD20" i="50"/>
  <c r="AD36" i="50"/>
  <c r="AD15" i="50"/>
  <c r="AD10" i="50"/>
  <c r="AD16" i="50"/>
  <c r="AD32" i="50"/>
  <c r="AD9" i="50"/>
  <c r="AD12" i="50"/>
  <c r="AD11" i="50"/>
  <c r="AD43" i="50"/>
  <c r="AD24" i="50"/>
  <c r="AD26" i="50"/>
  <c r="AD48" i="50"/>
  <c r="AD59" i="50"/>
  <c r="AD28" i="50"/>
  <c r="AD35" i="50"/>
  <c r="AD37" i="50"/>
  <c r="AD44" i="50"/>
  <c r="AD47" i="50"/>
  <c r="AD49" i="50"/>
  <c r="AD50" i="50"/>
  <c r="AD63" i="50"/>
  <c r="AD33" i="50"/>
  <c r="AD53" i="50"/>
  <c r="AD23" i="50"/>
  <c r="AD29" i="50"/>
  <c r="AD17" i="50"/>
  <c r="AD18" i="50"/>
  <c r="AD34" i="50"/>
  <c r="AD13" i="50"/>
  <c r="AD41" i="50"/>
  <c r="AD65" i="50"/>
  <c r="AD67" i="50"/>
  <c r="AD72" i="50"/>
  <c r="AD21" i="50"/>
  <c r="AD22" i="50"/>
  <c r="AD25" i="50"/>
  <c r="AD54" i="50"/>
  <c r="AD61" i="50"/>
  <c r="AD38" i="50"/>
  <c r="AD56" i="50"/>
  <c r="AD60" i="50"/>
  <c r="AD19" i="50"/>
  <c r="AD27" i="50"/>
  <c r="AD39" i="50"/>
  <c r="AD51" i="50"/>
  <c r="AD64" i="50"/>
  <c r="AD69" i="50"/>
  <c r="AD45" i="50"/>
  <c r="AD58" i="50"/>
  <c r="AD57" i="50"/>
  <c r="AD62" i="50"/>
  <c r="AD68" i="50"/>
  <c r="AD42" i="50"/>
  <c r="AD70" i="50"/>
  <c r="AD40" i="50"/>
  <c r="AD52" i="50"/>
  <c r="AD55" i="50"/>
  <c r="AD71" i="50"/>
  <c r="AD31" i="50"/>
  <c r="AD66" i="50"/>
  <c r="X4" i="50"/>
  <c r="X16" i="50"/>
  <c r="X32" i="50"/>
  <c r="X22" i="50"/>
  <c r="X38" i="50"/>
  <c r="X12" i="50"/>
  <c r="X18" i="50"/>
  <c r="X34" i="50"/>
  <c r="X42" i="50"/>
  <c r="X27" i="50"/>
  <c r="X36" i="50"/>
  <c r="X47" i="50"/>
  <c r="X21" i="50"/>
  <c r="X55" i="50"/>
  <c r="X23" i="50"/>
  <c r="X41" i="50"/>
  <c r="X46" i="50"/>
  <c r="X56" i="50"/>
  <c r="X24" i="50"/>
  <c r="X17" i="50"/>
  <c r="X28" i="50"/>
  <c r="X39" i="50"/>
  <c r="X52" i="50"/>
  <c r="X65" i="50"/>
  <c r="X10" i="50"/>
  <c r="X15" i="50"/>
  <c r="X31" i="50"/>
  <c r="X57" i="50"/>
  <c r="X58" i="50"/>
  <c r="X11" i="50"/>
  <c r="X13" i="50"/>
  <c r="X35" i="50"/>
  <c r="X67" i="50"/>
  <c r="X48" i="50"/>
  <c r="X68" i="50"/>
  <c r="X30" i="50"/>
  <c r="X61" i="50"/>
  <c r="X25" i="50"/>
  <c r="X49" i="50"/>
  <c r="X14" i="50"/>
  <c r="X19" i="50"/>
  <c r="X20" i="50"/>
  <c r="X51" i="50"/>
  <c r="X59" i="50"/>
  <c r="X44" i="50"/>
  <c r="X40" i="50"/>
  <c r="X29" i="50"/>
  <c r="X45" i="50"/>
  <c r="X53" i="50"/>
  <c r="X66" i="50"/>
  <c r="X72" i="50"/>
  <c r="X9" i="50"/>
  <c r="X62" i="50"/>
  <c r="X50" i="50"/>
  <c r="X70" i="50"/>
  <c r="X43" i="50"/>
  <c r="X54" i="50"/>
  <c r="X71" i="50"/>
  <c r="X69" i="50"/>
  <c r="X64" i="50"/>
  <c r="X26" i="50"/>
  <c r="X60" i="50"/>
  <c r="X33" i="50"/>
  <c r="X37" i="50"/>
  <c r="X63" i="50"/>
  <c r="K7" i="50"/>
  <c r="K15" i="50"/>
  <c r="K31" i="50"/>
  <c r="K47" i="50"/>
  <c r="K21" i="50"/>
  <c r="K37" i="50"/>
  <c r="K16" i="50"/>
  <c r="K11" i="50"/>
  <c r="K17" i="50"/>
  <c r="K33" i="50"/>
  <c r="K10" i="50"/>
  <c r="K13" i="50"/>
  <c r="K30" i="50"/>
  <c r="K24" i="50"/>
  <c r="K42" i="50"/>
  <c r="K50" i="50"/>
  <c r="K51" i="50"/>
  <c r="K60" i="50"/>
  <c r="K52" i="50"/>
  <c r="K25" i="50"/>
  <c r="K35" i="50"/>
  <c r="K49" i="50"/>
  <c r="K64" i="50"/>
  <c r="K9" i="50"/>
  <c r="K53" i="50"/>
  <c r="K18" i="50"/>
  <c r="K14" i="50"/>
  <c r="K32" i="50"/>
  <c r="K59" i="50"/>
  <c r="K38" i="50"/>
  <c r="K43" i="50"/>
  <c r="K12" i="50"/>
  <c r="K19" i="50"/>
  <c r="K20" i="50"/>
  <c r="K28" i="50"/>
  <c r="K34" i="50"/>
  <c r="K69" i="50"/>
  <c r="K70" i="50"/>
  <c r="K29" i="50"/>
  <c r="K40" i="50"/>
  <c r="K45" i="50"/>
  <c r="K57" i="50"/>
  <c r="K62" i="50"/>
  <c r="K36" i="50"/>
  <c r="K46" i="50"/>
  <c r="K54" i="50"/>
  <c r="K56" i="50"/>
  <c r="K71" i="50"/>
  <c r="K26" i="50"/>
  <c r="K67" i="50"/>
  <c r="K61" i="50"/>
  <c r="K44" i="50"/>
  <c r="K22" i="50"/>
  <c r="K66" i="50"/>
  <c r="K27" i="50"/>
  <c r="K48" i="50"/>
  <c r="K58" i="50"/>
  <c r="K39" i="50"/>
  <c r="K63" i="50"/>
  <c r="K23" i="50"/>
  <c r="K41" i="50"/>
  <c r="K68" i="50"/>
  <c r="K72" i="50"/>
  <c r="K55" i="50"/>
  <c r="K65" i="50"/>
  <c r="Y6" i="50"/>
  <c r="Y21" i="50"/>
  <c r="Y37" i="50"/>
  <c r="Y11" i="50"/>
  <c r="Y27" i="50"/>
  <c r="Y43" i="50"/>
  <c r="Y17" i="50"/>
  <c r="Y23" i="50"/>
  <c r="Y39" i="50"/>
  <c r="Y24" i="50"/>
  <c r="Y33" i="50"/>
  <c r="Y51" i="50"/>
  <c r="Y12" i="50"/>
  <c r="Y18" i="50"/>
  <c r="Y30" i="50"/>
  <c r="Y54" i="50"/>
  <c r="Y55" i="50"/>
  <c r="Y9" i="50"/>
  <c r="Y25" i="50"/>
  <c r="Y70" i="50"/>
  <c r="Y16" i="50"/>
  <c r="Y28" i="50"/>
  <c r="Y52" i="50"/>
  <c r="Y65" i="50"/>
  <c r="Y29" i="50"/>
  <c r="Y45" i="50"/>
  <c r="Y53" i="50"/>
  <c r="Y58" i="50"/>
  <c r="Y66" i="50"/>
  <c r="Y48" i="50"/>
  <c r="Y13" i="50"/>
  <c r="Y35" i="50"/>
  <c r="Y67" i="50"/>
  <c r="Y42" i="50"/>
  <c r="Y62" i="50"/>
  <c r="Y10" i="50"/>
  <c r="Y38" i="50"/>
  <c r="Y47" i="50"/>
  <c r="Y60" i="50"/>
  <c r="Y26" i="50"/>
  <c r="Y34" i="50"/>
  <c r="Y14" i="50"/>
  <c r="Y19" i="50"/>
  <c r="Y20" i="50"/>
  <c r="Y59" i="50"/>
  <c r="Y44" i="50"/>
  <c r="Y40" i="50"/>
  <c r="Y63" i="50"/>
  <c r="Y72" i="50"/>
  <c r="Y57" i="50"/>
  <c r="Y50" i="50"/>
  <c r="Y61" i="50"/>
  <c r="Y15" i="50"/>
  <c r="Y36" i="50"/>
  <c r="Y68" i="50"/>
  <c r="Y71" i="50"/>
  <c r="Y22" i="50"/>
  <c r="Y46" i="50"/>
  <c r="Y49" i="50"/>
  <c r="Y56" i="50"/>
  <c r="Y31" i="50"/>
  <c r="Y69" i="50"/>
  <c r="Y64" i="50"/>
  <c r="Y32" i="50"/>
  <c r="Y41" i="50"/>
  <c r="P7" i="50"/>
  <c r="P24" i="50"/>
  <c r="P40" i="50"/>
  <c r="P14" i="50"/>
  <c r="P30" i="50"/>
  <c r="P9" i="50"/>
  <c r="P10" i="50"/>
  <c r="P26" i="50"/>
  <c r="P42" i="50"/>
  <c r="P22" i="50"/>
  <c r="P31" i="50"/>
  <c r="P54" i="50"/>
  <c r="P13" i="50"/>
  <c r="P25" i="50"/>
  <c r="P43" i="50"/>
  <c r="P18" i="50"/>
  <c r="P20" i="50"/>
  <c r="P38" i="50"/>
  <c r="P11" i="50"/>
  <c r="P29" i="50"/>
  <c r="P45" i="50"/>
  <c r="P17" i="50"/>
  <c r="P21" i="50"/>
  <c r="P15" i="50"/>
  <c r="P16" i="50"/>
  <c r="P36" i="50"/>
  <c r="P61" i="50"/>
  <c r="P32" i="50"/>
  <c r="P37" i="50"/>
  <c r="P49" i="50"/>
  <c r="P46" i="50"/>
  <c r="P47" i="50"/>
  <c r="P51" i="50"/>
  <c r="P59" i="50"/>
  <c r="P28" i="50"/>
  <c r="P34" i="50"/>
  <c r="P48" i="50"/>
  <c r="P58" i="50"/>
  <c r="P65" i="50"/>
  <c r="P69" i="50"/>
  <c r="P63" i="50"/>
  <c r="P50" i="50"/>
  <c r="P72" i="50"/>
  <c r="P41" i="50"/>
  <c r="P52" i="50"/>
  <c r="P57" i="50"/>
  <c r="P62" i="50"/>
  <c r="P68" i="50"/>
  <c r="P53" i="50"/>
  <c r="P56" i="50"/>
  <c r="P60" i="50"/>
  <c r="P44" i="50"/>
  <c r="P12" i="50"/>
  <c r="P55" i="50"/>
  <c r="P66" i="50"/>
  <c r="P33" i="50"/>
  <c r="P64" i="50"/>
  <c r="P19" i="50"/>
  <c r="P67" i="50"/>
  <c r="P27" i="50"/>
  <c r="P35" i="50"/>
  <c r="P70" i="50"/>
  <c r="P71" i="50"/>
  <c r="P23" i="50"/>
  <c r="P39" i="50"/>
  <c r="R4" i="50"/>
  <c r="R10" i="50"/>
  <c r="R18" i="50"/>
  <c r="R34" i="50"/>
  <c r="R24" i="50"/>
  <c r="R40" i="50"/>
  <c r="R14" i="50"/>
  <c r="R20" i="50"/>
  <c r="R36" i="50"/>
  <c r="R13" i="50"/>
  <c r="R17" i="50"/>
  <c r="R12" i="50"/>
  <c r="R27" i="50"/>
  <c r="R48" i="50"/>
  <c r="R15" i="50"/>
  <c r="R21" i="50"/>
  <c r="R30" i="50"/>
  <c r="R26" i="50"/>
  <c r="R37" i="50"/>
  <c r="R67" i="50"/>
  <c r="R29" i="50"/>
  <c r="R50" i="50"/>
  <c r="R55" i="50"/>
  <c r="R62" i="50"/>
  <c r="R16" i="50"/>
  <c r="R31" i="50"/>
  <c r="R41" i="50"/>
  <c r="R9" i="50"/>
  <c r="R42" i="50"/>
  <c r="R46" i="50"/>
  <c r="R54" i="50"/>
  <c r="R61" i="50"/>
  <c r="R11" i="50"/>
  <c r="R52" i="50"/>
  <c r="R57" i="50"/>
  <c r="R56" i="50"/>
  <c r="R39" i="50"/>
  <c r="R53" i="50"/>
  <c r="R28" i="50"/>
  <c r="R35" i="50"/>
  <c r="R65" i="50"/>
  <c r="R45" i="50"/>
  <c r="R64" i="50"/>
  <c r="R70" i="50"/>
  <c r="R63" i="50"/>
  <c r="R23" i="50"/>
  <c r="R68" i="50"/>
  <c r="R32" i="50"/>
  <c r="R47" i="50"/>
  <c r="R38" i="50"/>
  <c r="R22" i="50"/>
  <c r="R49" i="50"/>
  <c r="R60" i="50"/>
  <c r="R71" i="50"/>
  <c r="R59" i="50"/>
  <c r="R66" i="50"/>
  <c r="R33" i="50"/>
  <c r="R69" i="50"/>
  <c r="R25" i="50"/>
  <c r="R72" i="50"/>
  <c r="R58" i="50"/>
  <c r="R19" i="50"/>
  <c r="R44" i="50"/>
  <c r="R51" i="50"/>
  <c r="R43" i="50"/>
  <c r="S7" i="50"/>
  <c r="S23" i="50"/>
  <c r="S39" i="50"/>
  <c r="S13" i="50"/>
  <c r="S29" i="50"/>
  <c r="S9" i="50"/>
  <c r="S25" i="50"/>
  <c r="S41" i="50"/>
  <c r="S36" i="50"/>
  <c r="S47" i="50"/>
  <c r="S53" i="50"/>
  <c r="S10" i="50"/>
  <c r="S15" i="50"/>
  <c r="S44" i="50"/>
  <c r="S18" i="50"/>
  <c r="S27" i="50"/>
  <c r="S19" i="50"/>
  <c r="S22" i="50"/>
  <c r="S34" i="50"/>
  <c r="S45" i="50"/>
  <c r="S72" i="50"/>
  <c r="S26" i="50"/>
  <c r="S37" i="50"/>
  <c r="S40" i="50"/>
  <c r="S11" i="50"/>
  <c r="S17" i="50"/>
  <c r="S62" i="50"/>
  <c r="S16" i="50"/>
  <c r="S52" i="50"/>
  <c r="S57" i="50"/>
  <c r="S31" i="50"/>
  <c r="S38" i="50"/>
  <c r="S43" i="50"/>
  <c r="S60" i="50"/>
  <c r="S12" i="50"/>
  <c r="S14" i="50"/>
  <c r="S48" i="50"/>
  <c r="S55" i="50"/>
  <c r="S58" i="50"/>
  <c r="S66" i="50"/>
  <c r="S28" i="50"/>
  <c r="S35" i="50"/>
  <c r="S65" i="50"/>
  <c r="S69" i="50"/>
  <c r="S50" i="50"/>
  <c r="S64" i="50"/>
  <c r="S30" i="50"/>
  <c r="S63" i="50"/>
  <c r="S70" i="50"/>
  <c r="S61" i="50"/>
  <c r="S68" i="50"/>
  <c r="S21" i="50"/>
  <c r="S32" i="50"/>
  <c r="S71" i="50"/>
  <c r="S46" i="50"/>
  <c r="S24" i="50"/>
  <c r="S42" i="50"/>
  <c r="S56" i="50"/>
  <c r="S59" i="50"/>
  <c r="S33" i="50"/>
  <c r="S54" i="50"/>
  <c r="S67" i="50"/>
  <c r="S49" i="50"/>
  <c r="S20" i="50"/>
  <c r="S51" i="50"/>
  <c r="AI8" i="50"/>
  <c r="AI23" i="50"/>
  <c r="AI39" i="50"/>
  <c r="AI13" i="50"/>
  <c r="AI29" i="50"/>
  <c r="AI9" i="50"/>
  <c r="AI25" i="50"/>
  <c r="AI41" i="50"/>
  <c r="AI15" i="50"/>
  <c r="AI22" i="50"/>
  <c r="AI46" i="50"/>
  <c r="AI53" i="50"/>
  <c r="AI11" i="50"/>
  <c r="AI34" i="50"/>
  <c r="AI43" i="50"/>
  <c r="AI16" i="50"/>
  <c r="AI31" i="50"/>
  <c r="AI40" i="50"/>
  <c r="AI24" i="50"/>
  <c r="AI42" i="50"/>
  <c r="AI14" i="50"/>
  <c r="AI20" i="50"/>
  <c r="AI72" i="50"/>
  <c r="AI38" i="50"/>
  <c r="AI26" i="50"/>
  <c r="AI47" i="50"/>
  <c r="AI49" i="50"/>
  <c r="AI44" i="50"/>
  <c r="AI19" i="50"/>
  <c r="AI61" i="50"/>
  <c r="AI27" i="50"/>
  <c r="AI30" i="50"/>
  <c r="AI35" i="50"/>
  <c r="AI59" i="50"/>
  <c r="AI66" i="50"/>
  <c r="AI67" i="50"/>
  <c r="AI37" i="50"/>
  <c r="AI64" i="50"/>
  <c r="AI10" i="50"/>
  <c r="AI52" i="50"/>
  <c r="AI63" i="50"/>
  <c r="AI70" i="50"/>
  <c r="AI12" i="50"/>
  <c r="AI32" i="50"/>
  <c r="AI54" i="50"/>
  <c r="AI57" i="50"/>
  <c r="AI62" i="50"/>
  <c r="AI21" i="50"/>
  <c r="AI33" i="50"/>
  <c r="AI55" i="50"/>
  <c r="AI71" i="50"/>
  <c r="AI65" i="50"/>
  <c r="AI18" i="50"/>
  <c r="AI28" i="50"/>
  <c r="AI48" i="50"/>
  <c r="AI51" i="50"/>
  <c r="AI58" i="50"/>
  <c r="AI69" i="50"/>
  <c r="AI45" i="50"/>
  <c r="AI36" i="50"/>
  <c r="AI56" i="50"/>
  <c r="AI60" i="50"/>
  <c r="AI50" i="50"/>
  <c r="AI68" i="50"/>
  <c r="AI17" i="50"/>
  <c r="Z8" i="50"/>
  <c r="Z10" i="50"/>
  <c r="Z26" i="50"/>
  <c r="Z42" i="50"/>
  <c r="Z16" i="50"/>
  <c r="Z32" i="50"/>
  <c r="Z11" i="50"/>
  <c r="Z12" i="50"/>
  <c r="Z28" i="50"/>
  <c r="Z44" i="50"/>
  <c r="Z20" i="50"/>
  <c r="Z9" i="50"/>
  <c r="Z41" i="50"/>
  <c r="Z39" i="50"/>
  <c r="Z53" i="50"/>
  <c r="Z21" i="50"/>
  <c r="Z30" i="50"/>
  <c r="Z54" i="50"/>
  <c r="Z15" i="50"/>
  <c r="Z17" i="50"/>
  <c r="Z25" i="50"/>
  <c r="Z27" i="50"/>
  <c r="Z40" i="50"/>
  <c r="Z13" i="50"/>
  <c r="Z35" i="50"/>
  <c r="Z29" i="50"/>
  <c r="Z45" i="50"/>
  <c r="Z55" i="50"/>
  <c r="Z58" i="50"/>
  <c r="Z66" i="50"/>
  <c r="Z46" i="50"/>
  <c r="Z52" i="50"/>
  <c r="Z63" i="50"/>
  <c r="Z72" i="50"/>
  <c r="Z22" i="50"/>
  <c r="Z24" i="50"/>
  <c r="Z56" i="50"/>
  <c r="Z18" i="50"/>
  <c r="Z33" i="50"/>
  <c r="Z49" i="50"/>
  <c r="Z34" i="50"/>
  <c r="Z51" i="50"/>
  <c r="Z14" i="50"/>
  <c r="Z19" i="50"/>
  <c r="Z59" i="50"/>
  <c r="Z37" i="50"/>
  <c r="Z67" i="50"/>
  <c r="Z62" i="50"/>
  <c r="Z70" i="50"/>
  <c r="Z38" i="50"/>
  <c r="Z23" i="50"/>
  <c r="Z43" i="50"/>
  <c r="Z57" i="50"/>
  <c r="Z50" i="50"/>
  <c r="Z47" i="50"/>
  <c r="Z61" i="50"/>
  <c r="Z60" i="50"/>
  <c r="Z71" i="50"/>
  <c r="Z65" i="50"/>
  <c r="Z36" i="50"/>
  <c r="Z68" i="50"/>
  <c r="Z31" i="50"/>
  <c r="Z48" i="50"/>
  <c r="Z69" i="50"/>
  <c r="Z64" i="50"/>
  <c r="O8" i="50"/>
  <c r="O11" i="50"/>
  <c r="O19" i="50"/>
  <c r="O35" i="50"/>
  <c r="O9" i="50"/>
  <c r="O25" i="50"/>
  <c r="O41" i="50"/>
  <c r="O15" i="50"/>
  <c r="O21" i="50"/>
  <c r="O37" i="50"/>
  <c r="O40" i="50"/>
  <c r="O45" i="50"/>
  <c r="O49" i="50"/>
  <c r="O13" i="50"/>
  <c r="O34" i="50"/>
  <c r="O29" i="50"/>
  <c r="O68" i="50"/>
  <c r="O32" i="50"/>
  <c r="O43" i="50"/>
  <c r="O63" i="50"/>
  <c r="O16" i="50"/>
  <c r="O28" i="50"/>
  <c r="O22" i="50"/>
  <c r="O10" i="50"/>
  <c r="O42" i="50"/>
  <c r="O46" i="50"/>
  <c r="O54" i="50"/>
  <c r="O60" i="50"/>
  <c r="O26" i="50"/>
  <c r="O44" i="50"/>
  <c r="O14" i="50"/>
  <c r="O18" i="50"/>
  <c r="O55" i="50"/>
  <c r="O64" i="50"/>
  <c r="O70" i="50"/>
  <c r="O50" i="50"/>
  <c r="O17" i="50"/>
  <c r="O30" i="50"/>
  <c r="O52" i="50"/>
  <c r="O57" i="50"/>
  <c r="O62" i="50"/>
  <c r="O31" i="50"/>
  <c r="O36" i="50"/>
  <c r="O61" i="50"/>
  <c r="O56" i="50"/>
  <c r="O38" i="50"/>
  <c r="O71" i="50"/>
  <c r="O59" i="50"/>
  <c r="O47" i="50"/>
  <c r="O53" i="50"/>
  <c r="O33" i="50"/>
  <c r="O65" i="50"/>
  <c r="O67" i="50"/>
  <c r="O72" i="50"/>
  <c r="O12" i="50"/>
  <c r="O27" i="50"/>
  <c r="O48" i="50"/>
  <c r="O51" i="50"/>
  <c r="O20" i="50"/>
  <c r="O58" i="50"/>
  <c r="O66" i="50"/>
  <c r="O23" i="50"/>
  <c r="O39" i="50"/>
  <c r="O24" i="50"/>
  <c r="O69" i="50"/>
  <c r="AE6" i="50"/>
  <c r="AE11" i="50"/>
  <c r="AE19" i="50"/>
  <c r="AE35" i="50"/>
  <c r="AE9" i="50"/>
  <c r="AE25" i="50"/>
  <c r="AE41" i="50"/>
  <c r="AE15" i="50"/>
  <c r="AE21" i="50"/>
  <c r="AE37" i="50"/>
  <c r="AE30" i="50"/>
  <c r="AE39" i="50"/>
  <c r="AE49" i="50"/>
  <c r="AE16" i="50"/>
  <c r="AE33" i="50"/>
  <c r="AE42" i="50"/>
  <c r="AE26" i="50"/>
  <c r="AE48" i="50"/>
  <c r="AE10" i="50"/>
  <c r="AE13" i="50"/>
  <c r="AE18" i="50"/>
  <c r="AE24" i="50"/>
  <c r="AE46" i="50"/>
  <c r="AE68" i="50"/>
  <c r="AE44" i="50"/>
  <c r="AE63" i="50"/>
  <c r="AE27" i="50"/>
  <c r="AE28" i="50"/>
  <c r="AE51" i="50"/>
  <c r="AE53" i="50"/>
  <c r="AE59" i="50"/>
  <c r="AE17" i="50"/>
  <c r="AE34" i="50"/>
  <c r="AE36" i="50"/>
  <c r="AE45" i="50"/>
  <c r="AE58" i="50"/>
  <c r="AE66" i="50"/>
  <c r="AE32" i="50"/>
  <c r="AE57" i="50"/>
  <c r="AE71" i="50"/>
  <c r="AE12" i="50"/>
  <c r="AE23" i="50"/>
  <c r="AE43" i="50"/>
  <c r="AE62" i="50"/>
  <c r="AE22" i="50"/>
  <c r="AE47" i="50"/>
  <c r="AE54" i="50"/>
  <c r="AE61" i="50"/>
  <c r="AE20" i="50"/>
  <c r="AE38" i="50"/>
  <c r="AE14" i="50"/>
  <c r="AE56" i="50"/>
  <c r="AE60" i="50"/>
  <c r="AE65" i="50"/>
  <c r="AE69" i="50"/>
  <c r="AE67" i="50"/>
  <c r="AE64" i="50"/>
  <c r="AE50" i="50"/>
  <c r="AE40" i="50"/>
  <c r="AE70" i="50"/>
  <c r="AE52" i="50"/>
  <c r="AE55" i="50"/>
  <c r="AE29" i="50"/>
  <c r="AE31" i="50"/>
  <c r="AE72" i="50"/>
  <c r="AF4" i="50"/>
  <c r="AF24" i="50"/>
  <c r="AF40" i="50"/>
  <c r="AF14" i="50"/>
  <c r="AF30" i="50"/>
  <c r="AF9" i="50"/>
  <c r="AF10" i="50"/>
  <c r="AF26" i="50"/>
  <c r="AF42" i="50"/>
  <c r="AF16" i="50"/>
  <c r="AF13" i="50"/>
  <c r="AF17" i="50"/>
  <c r="AF21" i="50"/>
  <c r="AF44" i="50"/>
  <c r="AF54" i="50"/>
  <c r="AF29" i="50"/>
  <c r="AF11" i="50"/>
  <c r="AF46" i="50"/>
  <c r="AF12" i="50"/>
  <c r="AF19" i="50"/>
  <c r="AF39" i="50"/>
  <c r="AF56" i="50"/>
  <c r="AF60" i="50"/>
  <c r="AF34" i="50"/>
  <c r="AF18" i="50"/>
  <c r="AF27" i="50"/>
  <c r="AF28" i="50"/>
  <c r="AF51" i="50"/>
  <c r="AF55" i="50"/>
  <c r="AF15" i="50"/>
  <c r="AF52" i="50"/>
  <c r="AF63" i="50"/>
  <c r="AF70" i="50"/>
  <c r="AF23" i="50"/>
  <c r="AF25" i="50"/>
  <c r="AF43" i="50"/>
  <c r="AF62" i="50"/>
  <c r="AF22" i="50"/>
  <c r="AF33" i="50"/>
  <c r="AF47" i="50"/>
  <c r="AF61" i="50"/>
  <c r="AF20" i="50"/>
  <c r="AF38" i="50"/>
  <c r="AF49" i="50"/>
  <c r="AF31" i="50"/>
  <c r="AF35" i="50"/>
  <c r="AF48" i="50"/>
  <c r="AF66" i="50"/>
  <c r="AF64" i="50"/>
  <c r="AF67" i="50"/>
  <c r="AF32" i="50"/>
  <c r="AF37" i="50"/>
  <c r="AF65" i="50"/>
  <c r="AF41" i="50"/>
  <c r="AF58" i="50"/>
  <c r="AF69" i="50"/>
  <c r="AF50" i="50"/>
  <c r="AF36" i="50"/>
  <c r="AF53" i="50"/>
  <c r="AF72" i="50"/>
  <c r="AF68" i="50"/>
  <c r="AF59" i="50"/>
  <c r="AF45" i="50"/>
  <c r="AF57" i="50"/>
  <c r="AF71" i="50"/>
  <c r="AG4" i="50"/>
  <c r="AG13" i="50"/>
  <c r="AG29" i="50"/>
  <c r="AG45" i="50"/>
  <c r="AG19" i="50"/>
  <c r="AG35" i="50"/>
  <c r="AG14" i="50"/>
  <c r="AG9" i="50"/>
  <c r="AG15" i="50"/>
  <c r="AG31" i="50"/>
  <c r="AG47" i="50"/>
  <c r="AG20" i="50"/>
  <c r="AG38" i="50"/>
  <c r="AG24" i="50"/>
  <c r="AG33" i="50"/>
  <c r="AG58" i="50"/>
  <c r="AG11" i="50"/>
  <c r="AG27" i="50"/>
  <c r="AG30" i="50"/>
  <c r="AG41" i="50"/>
  <c r="AG49" i="50"/>
  <c r="AG54" i="50"/>
  <c r="AG62" i="50"/>
  <c r="AG44" i="50"/>
  <c r="AG17" i="50"/>
  <c r="AG51" i="50"/>
  <c r="AG39" i="50"/>
  <c r="AG56" i="50"/>
  <c r="AG60" i="50"/>
  <c r="AG18" i="50"/>
  <c r="AG28" i="50"/>
  <c r="AG40" i="50"/>
  <c r="AG48" i="50"/>
  <c r="AG37" i="50"/>
  <c r="AG42" i="50"/>
  <c r="AG46" i="50"/>
  <c r="AG64" i="50"/>
  <c r="AG69" i="50"/>
  <c r="AG10" i="50"/>
  <c r="AG32" i="50"/>
  <c r="AG57" i="50"/>
  <c r="AG12" i="50"/>
  <c r="AG21" i="50"/>
  <c r="AG72" i="50"/>
  <c r="AG23" i="50"/>
  <c r="AG25" i="50"/>
  <c r="AG43" i="50"/>
  <c r="AG22" i="50"/>
  <c r="AG26" i="50"/>
  <c r="AG61" i="50"/>
  <c r="AG71" i="50"/>
  <c r="AG53" i="50"/>
  <c r="AG70" i="50"/>
  <c r="AG66" i="50"/>
  <c r="AG65" i="50"/>
  <c r="AG63" i="50"/>
  <c r="AG36" i="50"/>
  <c r="AG67" i="50"/>
  <c r="AG16" i="50"/>
  <c r="AG50" i="50"/>
  <c r="AG68" i="50"/>
  <c r="AG52" i="50"/>
  <c r="AG55" i="50"/>
  <c r="AG59" i="50"/>
  <c r="AG34" i="50"/>
  <c r="T5" i="50"/>
  <c r="T12" i="50"/>
  <c r="T28" i="50"/>
  <c r="T44" i="50"/>
  <c r="T18" i="50"/>
  <c r="T34" i="50"/>
  <c r="T13" i="50"/>
  <c r="T14" i="50"/>
  <c r="T30" i="50"/>
  <c r="T46" i="50"/>
  <c r="T15" i="50"/>
  <c r="T23" i="50"/>
  <c r="T32" i="50"/>
  <c r="T10" i="50"/>
  <c r="T26" i="50"/>
  <c r="T35" i="50"/>
  <c r="T43" i="50"/>
  <c r="T57" i="50"/>
  <c r="T36" i="50"/>
  <c r="T47" i="50"/>
  <c r="T51" i="50"/>
  <c r="T56" i="50"/>
  <c r="T61" i="50"/>
  <c r="T22" i="50"/>
  <c r="T45" i="50"/>
  <c r="T63" i="50"/>
  <c r="T71" i="50"/>
  <c r="T72" i="50"/>
  <c r="T41" i="50"/>
  <c r="T62" i="50"/>
  <c r="T11" i="50"/>
  <c r="T31" i="50"/>
  <c r="T49" i="50"/>
  <c r="T19" i="50"/>
  <c r="T27" i="50"/>
  <c r="T59" i="50"/>
  <c r="T29" i="50"/>
  <c r="T40" i="50"/>
  <c r="T48" i="50"/>
  <c r="T55" i="50"/>
  <c r="T58" i="50"/>
  <c r="T66" i="50"/>
  <c r="T68" i="50"/>
  <c r="T17" i="50"/>
  <c r="T65" i="50"/>
  <c r="T50" i="50"/>
  <c r="T64" i="50"/>
  <c r="T9" i="50"/>
  <c r="T39" i="50"/>
  <c r="T70" i="50"/>
  <c r="T53" i="50"/>
  <c r="T24" i="50"/>
  <c r="T16" i="50"/>
  <c r="T38" i="50"/>
  <c r="T69" i="50"/>
  <c r="T21" i="50"/>
  <c r="T42" i="50"/>
  <c r="T60" i="50"/>
  <c r="T37" i="50"/>
  <c r="T54" i="50"/>
  <c r="T67" i="50"/>
  <c r="T52" i="50"/>
  <c r="T25" i="50"/>
  <c r="T33" i="50"/>
  <c r="T20" i="50"/>
  <c r="AJ8" i="50"/>
  <c r="AJ12" i="50"/>
  <c r="AJ28" i="50"/>
  <c r="AJ44" i="50"/>
  <c r="AJ18" i="50"/>
  <c r="AJ34" i="50"/>
  <c r="AJ13" i="50"/>
  <c r="AJ14" i="50"/>
  <c r="AJ30" i="50"/>
  <c r="AJ46" i="50"/>
  <c r="AJ31" i="50"/>
  <c r="AJ40" i="50"/>
  <c r="AJ11" i="50"/>
  <c r="AJ25" i="50"/>
  <c r="AJ45" i="50"/>
  <c r="AJ57" i="50"/>
  <c r="AJ16" i="50"/>
  <c r="AJ22" i="50"/>
  <c r="AJ23" i="50"/>
  <c r="AJ10" i="50"/>
  <c r="AJ50" i="50"/>
  <c r="AJ55" i="50"/>
  <c r="AJ61" i="50"/>
  <c r="AJ20" i="50"/>
  <c r="AJ24" i="50"/>
  <c r="AJ19" i="50"/>
  <c r="AJ21" i="50"/>
  <c r="AJ26" i="50"/>
  <c r="AJ33" i="50"/>
  <c r="AJ38" i="50"/>
  <c r="AJ43" i="50"/>
  <c r="AJ47" i="50"/>
  <c r="AJ49" i="50"/>
  <c r="AJ29" i="50"/>
  <c r="AJ53" i="50"/>
  <c r="AJ36" i="50"/>
  <c r="AJ58" i="50"/>
  <c r="AJ15" i="50"/>
  <c r="AJ65" i="50"/>
  <c r="AJ37" i="50"/>
  <c r="AJ64" i="50"/>
  <c r="AJ69" i="50"/>
  <c r="AJ52" i="50"/>
  <c r="AJ63" i="50"/>
  <c r="AJ32" i="50"/>
  <c r="AJ54" i="50"/>
  <c r="AJ62" i="50"/>
  <c r="AJ17" i="50"/>
  <c r="AJ59" i="50"/>
  <c r="AJ41" i="50"/>
  <c r="AJ51" i="50"/>
  <c r="AJ66" i="50"/>
  <c r="AJ35" i="50"/>
  <c r="AJ39" i="50"/>
  <c r="AJ48" i="50"/>
  <c r="AJ71" i="50"/>
  <c r="AJ9" i="50"/>
  <c r="AJ67" i="50"/>
  <c r="AJ72" i="50"/>
  <c r="AJ56" i="50"/>
  <c r="AJ70" i="50"/>
  <c r="AJ42" i="50"/>
  <c r="AJ60" i="50"/>
  <c r="AJ68" i="50"/>
  <c r="AJ27" i="50"/>
  <c r="W5" i="50"/>
  <c r="W11" i="50"/>
  <c r="W27" i="50"/>
  <c r="W43" i="50"/>
  <c r="W17" i="50"/>
  <c r="W33" i="50"/>
  <c r="W12" i="50"/>
  <c r="W13" i="50"/>
  <c r="W29" i="50"/>
  <c r="W45" i="50"/>
  <c r="W9" i="50"/>
  <c r="W14" i="50"/>
  <c r="W19" i="50"/>
  <c r="W28" i="50"/>
  <c r="W40" i="50"/>
  <c r="W46" i="50"/>
  <c r="W23" i="50"/>
  <c r="W41" i="50"/>
  <c r="W56" i="50"/>
  <c r="W32" i="50"/>
  <c r="W10" i="50"/>
  <c r="W15" i="50"/>
  <c r="W16" i="50"/>
  <c r="W31" i="50"/>
  <c r="W57" i="50"/>
  <c r="W58" i="50"/>
  <c r="W18" i="50"/>
  <c r="W34" i="50"/>
  <c r="W42" i="50"/>
  <c r="W59" i="50"/>
  <c r="W20" i="50"/>
  <c r="W48" i="50"/>
  <c r="W55" i="50"/>
  <c r="W68" i="50"/>
  <c r="W50" i="50"/>
  <c r="W30" i="50"/>
  <c r="W65" i="50"/>
  <c r="W69" i="50"/>
  <c r="W37" i="50"/>
  <c r="W26" i="50"/>
  <c r="W21" i="50"/>
  <c r="W44" i="50"/>
  <c r="W39" i="50"/>
  <c r="W53" i="50"/>
  <c r="W66" i="50"/>
  <c r="W35" i="50"/>
  <c r="W51" i="50"/>
  <c r="W54" i="50"/>
  <c r="W70" i="50"/>
  <c r="W61" i="50"/>
  <c r="W47" i="50"/>
  <c r="W62" i="50"/>
  <c r="W24" i="50"/>
  <c r="W22" i="50"/>
  <c r="W49" i="50"/>
  <c r="W52" i="50"/>
  <c r="W64" i="50"/>
  <c r="W38" i="50"/>
  <c r="W63" i="50"/>
  <c r="W72" i="50"/>
  <c r="W36" i="50"/>
  <c r="W60" i="50"/>
  <c r="W71" i="50"/>
  <c r="W25" i="50"/>
  <c r="W67" i="50"/>
  <c r="J8" i="50"/>
  <c r="J10" i="50"/>
  <c r="J26" i="50"/>
  <c r="J42" i="50"/>
  <c r="J16" i="50"/>
  <c r="J32" i="50"/>
  <c r="J11" i="50"/>
  <c r="J12" i="50"/>
  <c r="J28" i="50"/>
  <c r="J44" i="50"/>
  <c r="J34" i="50"/>
  <c r="J43" i="50"/>
  <c r="J56" i="50"/>
  <c r="J24" i="50"/>
  <c r="J33" i="50"/>
  <c r="J52" i="50"/>
  <c r="J53" i="50"/>
  <c r="J18" i="50"/>
  <c r="J9" i="50"/>
  <c r="J13" i="50"/>
  <c r="J27" i="50"/>
  <c r="J38" i="50"/>
  <c r="J19" i="50"/>
  <c r="J47" i="50"/>
  <c r="J49" i="50"/>
  <c r="J59" i="50"/>
  <c r="J23" i="50"/>
  <c r="J51" i="50"/>
  <c r="J48" i="50"/>
  <c r="J55" i="50"/>
  <c r="J71" i="50"/>
  <c r="J30" i="50"/>
  <c r="J41" i="50"/>
  <c r="J50" i="50"/>
  <c r="J61" i="50"/>
  <c r="J17" i="50"/>
  <c r="J36" i="50"/>
  <c r="J46" i="50"/>
  <c r="J54" i="50"/>
  <c r="J31" i="50"/>
  <c r="J37" i="50"/>
  <c r="J60" i="50"/>
  <c r="J45" i="50"/>
  <c r="J21" i="50"/>
  <c r="J15" i="50"/>
  <c r="J69" i="50"/>
  <c r="J67" i="50"/>
  <c r="J64" i="50"/>
  <c r="J14" i="50"/>
  <c r="J58" i="50"/>
  <c r="J40" i="50"/>
  <c r="J65" i="50"/>
  <c r="J70" i="50"/>
  <c r="J25" i="50"/>
  <c r="J29" i="50"/>
  <c r="J39" i="50"/>
  <c r="J63" i="50"/>
  <c r="J20" i="50"/>
  <c r="J35" i="50"/>
  <c r="J72" i="50"/>
  <c r="J68" i="50"/>
  <c r="J62" i="50"/>
  <c r="J66" i="50"/>
  <c r="J57" i="50"/>
  <c r="J22" i="50"/>
  <c r="L4" i="50"/>
  <c r="L12" i="50"/>
  <c r="L20" i="50"/>
  <c r="L36" i="50"/>
  <c r="L10" i="50"/>
  <c r="L26" i="50"/>
  <c r="L42" i="50"/>
  <c r="L16" i="50"/>
  <c r="L22" i="50"/>
  <c r="L38" i="50"/>
  <c r="L17" i="50"/>
  <c r="L21" i="50"/>
  <c r="L39" i="50"/>
  <c r="L50" i="50"/>
  <c r="L11" i="50"/>
  <c r="L33" i="50"/>
  <c r="L13" i="50"/>
  <c r="L14" i="50"/>
  <c r="L31" i="50"/>
  <c r="L40" i="50"/>
  <c r="L49" i="50"/>
  <c r="L24" i="50"/>
  <c r="L51" i="50"/>
  <c r="L23" i="50"/>
  <c r="L69" i="50"/>
  <c r="L35" i="50"/>
  <c r="L64" i="50"/>
  <c r="L9" i="50"/>
  <c r="L56" i="50"/>
  <c r="L47" i="50"/>
  <c r="L32" i="50"/>
  <c r="L27" i="50"/>
  <c r="L58" i="50"/>
  <c r="L65" i="50"/>
  <c r="L68" i="50"/>
  <c r="L63" i="50"/>
  <c r="L41" i="50"/>
  <c r="L61" i="50"/>
  <c r="L46" i="50"/>
  <c r="L37" i="50"/>
  <c r="L54" i="50"/>
  <c r="L60" i="50"/>
  <c r="L53" i="50"/>
  <c r="L57" i="50"/>
  <c r="L71" i="50"/>
  <c r="L30" i="50"/>
  <c r="L34" i="50"/>
  <c r="L44" i="50"/>
  <c r="L45" i="50"/>
  <c r="L18" i="50"/>
  <c r="L28" i="50"/>
  <c r="L15" i="50"/>
  <c r="L67" i="50"/>
  <c r="L59" i="50"/>
  <c r="L48" i="50"/>
  <c r="L70" i="50"/>
  <c r="L52" i="50"/>
  <c r="L66" i="50"/>
  <c r="L55" i="50"/>
  <c r="L72" i="50"/>
  <c r="L25" i="50"/>
  <c r="L29" i="50"/>
  <c r="L19" i="50"/>
  <c r="L43" i="50"/>
  <c r="L62" i="50"/>
  <c r="AC8" i="50"/>
  <c r="AC9" i="50"/>
  <c r="AC25" i="50"/>
  <c r="AC41" i="50"/>
  <c r="AC15" i="50"/>
  <c r="AC31" i="50"/>
  <c r="AC10" i="50"/>
  <c r="AC11" i="50"/>
  <c r="AC27" i="50"/>
  <c r="AC43" i="50"/>
  <c r="AC14" i="50"/>
  <c r="AC34" i="50"/>
  <c r="AC55" i="50"/>
  <c r="AC12" i="50"/>
  <c r="AC28" i="50"/>
  <c r="AC37" i="50"/>
  <c r="AC35" i="50"/>
  <c r="AC44" i="50"/>
  <c r="AC47" i="50"/>
  <c r="AC49" i="50"/>
  <c r="AC50" i="50"/>
  <c r="AC17" i="50"/>
  <c r="AC19" i="50"/>
  <c r="AC51" i="50"/>
  <c r="AC20" i="50"/>
  <c r="AC33" i="50"/>
  <c r="AC53" i="50"/>
  <c r="AC21" i="50"/>
  <c r="AC36" i="50"/>
  <c r="AC59" i="50"/>
  <c r="AC64" i="50"/>
  <c r="AC68" i="50"/>
  <c r="AC69" i="50"/>
  <c r="AC62" i="50"/>
  <c r="AC23" i="50"/>
  <c r="AC38" i="50"/>
  <c r="AC24" i="50"/>
  <c r="AC56" i="50"/>
  <c r="AC60" i="50"/>
  <c r="AC26" i="50"/>
  <c r="AC39" i="50"/>
  <c r="AC18" i="50"/>
  <c r="AC58" i="50"/>
  <c r="AC54" i="50"/>
  <c r="AC63" i="50"/>
  <c r="AC67" i="50"/>
  <c r="AC72" i="50"/>
  <c r="AC45" i="50"/>
  <c r="AC57" i="50"/>
  <c r="AC32" i="50"/>
  <c r="AC16" i="50"/>
  <c r="AC30" i="50"/>
  <c r="AC70" i="50"/>
  <c r="AC42" i="50"/>
  <c r="AC52" i="50"/>
  <c r="AC40" i="50"/>
  <c r="AC61" i="50"/>
  <c r="AC22" i="50"/>
  <c r="AC29" i="50"/>
  <c r="AC71" i="50"/>
  <c r="AC46" i="50"/>
  <c r="AC66" i="50"/>
  <c r="AC13" i="50"/>
  <c r="AC48" i="50"/>
  <c r="AC65" i="50"/>
  <c r="Q7" i="50"/>
  <c r="Q13" i="50"/>
  <c r="Q29" i="50"/>
  <c r="Q45" i="50"/>
  <c r="Q19" i="50"/>
  <c r="Q35" i="50"/>
  <c r="Q14" i="50"/>
  <c r="Q9" i="50"/>
  <c r="Q15" i="50"/>
  <c r="Q31" i="50"/>
  <c r="Q47" i="50"/>
  <c r="Q18" i="50"/>
  <c r="Q46" i="50"/>
  <c r="Q17" i="50"/>
  <c r="Q39" i="50"/>
  <c r="Q27" i="50"/>
  <c r="Q36" i="50"/>
  <c r="Q58" i="50"/>
  <c r="Q20" i="50"/>
  <c r="Q38" i="50"/>
  <c r="Q21" i="50"/>
  <c r="Q40" i="50"/>
  <c r="Q50" i="50"/>
  <c r="Q55" i="50"/>
  <c r="Q62" i="50"/>
  <c r="Q11" i="50"/>
  <c r="Q52" i="50"/>
  <c r="Q57" i="50"/>
  <c r="Q16" i="50"/>
  <c r="Q42" i="50"/>
  <c r="Q54" i="50"/>
  <c r="Q61" i="50"/>
  <c r="Q22" i="50"/>
  <c r="Q23" i="50"/>
  <c r="Q24" i="50"/>
  <c r="Q25" i="50"/>
  <c r="Q33" i="50"/>
  <c r="Q66" i="50"/>
  <c r="Q67" i="50"/>
  <c r="Q68" i="50"/>
  <c r="Q64" i="50"/>
  <c r="Q63" i="50"/>
  <c r="Q71" i="50"/>
  <c r="Q30" i="50"/>
  <c r="Q41" i="50"/>
  <c r="Q10" i="50"/>
  <c r="Q32" i="50"/>
  <c r="Q26" i="50"/>
  <c r="Q53" i="50"/>
  <c r="Q34" i="50"/>
  <c r="Q12" i="50"/>
  <c r="Q65" i="50"/>
  <c r="Q49" i="50"/>
  <c r="Q56" i="50"/>
  <c r="Q37" i="50"/>
  <c r="Q72" i="50"/>
  <c r="Q69" i="50"/>
  <c r="Q48" i="50"/>
  <c r="Q51" i="50"/>
  <c r="Q43" i="50"/>
  <c r="Q70" i="50"/>
  <c r="Q28" i="50"/>
  <c r="Q44" i="50"/>
  <c r="Q60" i="50"/>
  <c r="Q59" i="50"/>
  <c r="AH5" i="50"/>
  <c r="AH10" i="50"/>
  <c r="AH18" i="50"/>
  <c r="AH34" i="50"/>
  <c r="AH24" i="50"/>
  <c r="AH40" i="50"/>
  <c r="AH14" i="50"/>
  <c r="AH20" i="50"/>
  <c r="AH36" i="50"/>
  <c r="AH26" i="50"/>
  <c r="AH35" i="50"/>
  <c r="AH45" i="50"/>
  <c r="AH48" i="50"/>
  <c r="AH11" i="50"/>
  <c r="AH22" i="50"/>
  <c r="AH42" i="50"/>
  <c r="AH33" i="50"/>
  <c r="AH12" i="50"/>
  <c r="AH25" i="50"/>
  <c r="AH38" i="50"/>
  <c r="AH67" i="50"/>
  <c r="AH27" i="50"/>
  <c r="AH30" i="50"/>
  <c r="AH41" i="50"/>
  <c r="AH49" i="50"/>
  <c r="AH54" i="50"/>
  <c r="AH62" i="50"/>
  <c r="AH19" i="50"/>
  <c r="AH61" i="50"/>
  <c r="AH56" i="50"/>
  <c r="AH44" i="50"/>
  <c r="AH39" i="50"/>
  <c r="AH60" i="50"/>
  <c r="AH9" i="50"/>
  <c r="AH16" i="50"/>
  <c r="AH31" i="50"/>
  <c r="AH50" i="50"/>
  <c r="AH65" i="50"/>
  <c r="AH68" i="50"/>
  <c r="AH15" i="50"/>
  <c r="AH52" i="50"/>
  <c r="AH63" i="50"/>
  <c r="AH32" i="50"/>
  <c r="AH57" i="50"/>
  <c r="AH71" i="50"/>
  <c r="AH21" i="50"/>
  <c r="AH23" i="50"/>
  <c r="AH43" i="50"/>
  <c r="AH47" i="50"/>
  <c r="AH66" i="50"/>
  <c r="AH58" i="50"/>
  <c r="AH64" i="50"/>
  <c r="AH53" i="50"/>
  <c r="AH51" i="50"/>
  <c r="AH37" i="50"/>
  <c r="AH69" i="50"/>
  <c r="AH28" i="50"/>
  <c r="AH70" i="50"/>
  <c r="AH17" i="50"/>
  <c r="AH13" i="50"/>
  <c r="AH29" i="50"/>
  <c r="AH46" i="50"/>
  <c r="AH55" i="50"/>
  <c r="AH59" i="50"/>
  <c r="AH72" i="50"/>
  <c r="U4" i="50"/>
  <c r="U9" i="50"/>
  <c r="U17" i="50"/>
  <c r="U33" i="50"/>
  <c r="U23" i="50"/>
  <c r="U39" i="50"/>
  <c r="U13" i="50"/>
  <c r="U19" i="50"/>
  <c r="U35" i="50"/>
  <c r="U16" i="50"/>
  <c r="U41" i="50"/>
  <c r="U10" i="50"/>
  <c r="U22" i="50"/>
  <c r="U45" i="50"/>
  <c r="U25" i="50"/>
  <c r="U34" i="50"/>
  <c r="U43" i="50"/>
  <c r="U57" i="50"/>
  <c r="U14" i="50"/>
  <c r="U60" i="50"/>
  <c r="U66" i="50"/>
  <c r="U47" i="50"/>
  <c r="U51" i="50"/>
  <c r="U56" i="50"/>
  <c r="U61" i="50"/>
  <c r="U24" i="50"/>
  <c r="U21" i="50"/>
  <c r="U30" i="50"/>
  <c r="U50" i="50"/>
  <c r="U64" i="50"/>
  <c r="U70" i="50"/>
  <c r="U36" i="50"/>
  <c r="U63" i="50"/>
  <c r="U71" i="50"/>
  <c r="U72" i="50"/>
  <c r="U62" i="50"/>
  <c r="U15" i="50"/>
  <c r="U32" i="50"/>
  <c r="U20" i="50"/>
  <c r="U44" i="50"/>
  <c r="U12" i="50"/>
  <c r="U18" i="50"/>
  <c r="U53" i="50"/>
  <c r="U29" i="50"/>
  <c r="U40" i="50"/>
  <c r="U67" i="50"/>
  <c r="U28" i="50"/>
  <c r="U48" i="50"/>
  <c r="U55" i="50"/>
  <c r="U58" i="50"/>
  <c r="U65" i="50"/>
  <c r="U68" i="50"/>
  <c r="U42" i="50"/>
  <c r="U49" i="50"/>
  <c r="U52" i="50"/>
  <c r="U11" i="50"/>
  <c r="U46" i="50"/>
  <c r="U31" i="50"/>
  <c r="U69" i="50"/>
  <c r="U59" i="50"/>
  <c r="U26" i="50"/>
  <c r="U27" i="50"/>
  <c r="U38" i="50"/>
  <c r="U37" i="50"/>
  <c r="U54" i="50"/>
  <c r="AK6" i="50"/>
  <c r="AK9" i="50"/>
  <c r="AK17" i="50"/>
  <c r="AK33" i="50"/>
  <c r="AK23" i="50"/>
  <c r="AK39" i="50"/>
  <c r="AK13" i="50"/>
  <c r="AK19" i="50"/>
  <c r="AK35" i="50"/>
  <c r="AK11" i="50"/>
  <c r="AK27" i="50"/>
  <c r="AK47" i="50"/>
  <c r="AK21" i="50"/>
  <c r="AK38" i="50"/>
  <c r="AK31" i="50"/>
  <c r="AK40" i="50"/>
  <c r="AK45" i="50"/>
  <c r="AK57" i="50"/>
  <c r="AK32" i="50"/>
  <c r="AK66" i="50"/>
  <c r="AK50" i="50"/>
  <c r="AK55" i="50"/>
  <c r="AK61" i="50"/>
  <c r="AK18" i="50"/>
  <c r="AK22" i="50"/>
  <c r="AK12" i="50"/>
  <c r="AK14" i="50"/>
  <c r="AK20" i="50"/>
  <c r="AK54" i="50"/>
  <c r="AK62" i="50"/>
  <c r="AK71" i="50"/>
  <c r="AK72" i="50"/>
  <c r="AK26" i="50"/>
  <c r="AK43" i="50"/>
  <c r="AK49" i="50"/>
  <c r="AK51" i="50"/>
  <c r="AK42" i="50"/>
  <c r="AK46" i="50"/>
  <c r="AK15" i="50"/>
  <c r="AK65" i="50"/>
  <c r="AK68" i="50"/>
  <c r="AK10" i="50"/>
  <c r="AK24" i="50"/>
  <c r="AK37" i="50"/>
  <c r="AK64" i="50"/>
  <c r="AK25" i="50"/>
  <c r="AK52" i="50"/>
  <c r="AK63" i="50"/>
  <c r="AK29" i="50"/>
  <c r="AK48" i="50"/>
  <c r="AK41" i="50"/>
  <c r="AK59" i="50"/>
  <c r="AK69" i="50"/>
  <c r="AK67" i="50"/>
  <c r="AK16" i="50"/>
  <c r="AK36" i="50"/>
  <c r="AK44" i="50"/>
  <c r="AK56" i="50"/>
  <c r="AK70" i="50"/>
  <c r="AK58" i="50"/>
  <c r="AK28" i="50"/>
  <c r="AK60" i="50"/>
  <c r="AK53" i="50"/>
  <c r="AK30" i="50"/>
  <c r="AK34" i="50"/>
  <c r="T32" i="48"/>
  <c r="T43" i="48"/>
  <c r="T38" i="48"/>
  <c r="T46" i="48"/>
  <c r="T41" i="48"/>
  <c r="T36" i="48"/>
  <c r="T42" i="48"/>
  <c r="T39" i="48"/>
  <c r="T44" i="48"/>
  <c r="T47" i="48"/>
  <c r="T45" i="48"/>
  <c r="T34" i="48"/>
  <c r="T40" i="48"/>
  <c r="T35" i="48"/>
  <c r="T33" i="48"/>
  <c r="T37" i="48"/>
  <c r="AJ32" i="48"/>
  <c r="AJ43" i="48"/>
  <c r="AJ38" i="48"/>
  <c r="AJ46" i="48"/>
  <c r="AJ41" i="48"/>
  <c r="AJ36" i="48"/>
  <c r="AJ42" i="48"/>
  <c r="AJ45" i="48"/>
  <c r="AJ34" i="48"/>
  <c r="AJ40" i="48"/>
  <c r="AJ33" i="48"/>
  <c r="AJ35" i="48"/>
  <c r="AJ37" i="48"/>
  <c r="AJ44" i="48"/>
  <c r="AJ47" i="48"/>
  <c r="AJ39" i="48"/>
  <c r="U37" i="48"/>
  <c r="U32" i="48"/>
  <c r="U35" i="48"/>
  <c r="U46" i="48"/>
  <c r="U41" i="48"/>
  <c r="U36" i="48"/>
  <c r="U47" i="48"/>
  <c r="U39" i="48"/>
  <c r="U44" i="48"/>
  <c r="U33" i="48"/>
  <c r="U45" i="48"/>
  <c r="U42" i="48"/>
  <c r="U40" i="48"/>
  <c r="U34" i="48"/>
  <c r="U38" i="48"/>
  <c r="U43" i="48"/>
  <c r="AK37" i="48"/>
  <c r="AK32" i="48"/>
  <c r="AK35" i="48"/>
  <c r="AK46" i="48"/>
  <c r="AK41" i="48"/>
  <c r="AK36" i="48"/>
  <c r="AK47" i="48"/>
  <c r="AK33" i="48"/>
  <c r="AK45" i="48"/>
  <c r="AK34" i="48"/>
  <c r="AK42" i="48"/>
  <c r="AK44" i="48"/>
  <c r="AK40" i="48"/>
  <c r="AK38" i="48"/>
  <c r="AK43" i="48"/>
  <c r="AK39" i="48"/>
  <c r="AI43" i="48"/>
  <c r="AI38" i="48"/>
  <c r="AI33" i="48"/>
  <c r="AI41" i="48"/>
  <c r="AI36" i="48"/>
  <c r="AI47" i="48"/>
  <c r="AI42" i="48"/>
  <c r="AI37" i="48"/>
  <c r="AI45" i="48"/>
  <c r="AI34" i="48"/>
  <c r="AI46" i="48"/>
  <c r="AI35" i="48"/>
  <c r="AI44" i="48"/>
  <c r="AI32" i="48"/>
  <c r="AI40" i="48"/>
  <c r="AI39" i="48"/>
  <c r="V42" i="48"/>
  <c r="V37" i="48"/>
  <c r="V32" i="48"/>
  <c r="V40" i="48"/>
  <c r="V35" i="48"/>
  <c r="V46" i="48"/>
  <c r="V41" i="48"/>
  <c r="V36" i="48"/>
  <c r="V38" i="48"/>
  <c r="V39" i="48"/>
  <c r="V47" i="48"/>
  <c r="V34" i="48"/>
  <c r="V44" i="48"/>
  <c r="V43" i="48"/>
  <c r="V33" i="48"/>
  <c r="V45" i="48"/>
  <c r="J46" i="48"/>
  <c r="J41" i="48"/>
  <c r="J36" i="48"/>
  <c r="J44" i="48"/>
  <c r="J39" i="48"/>
  <c r="J34" i="48"/>
  <c r="J45" i="48"/>
  <c r="J40" i="48"/>
  <c r="J32" i="48"/>
  <c r="J47" i="48"/>
  <c r="J38" i="48"/>
  <c r="J33" i="48"/>
  <c r="J42" i="48"/>
  <c r="J35" i="48"/>
  <c r="J43" i="48"/>
  <c r="J37" i="48"/>
  <c r="Z46" i="48"/>
  <c r="Z41" i="48"/>
  <c r="Z36" i="48"/>
  <c r="Z44" i="48"/>
  <c r="Z39" i="48"/>
  <c r="Z34" i="48"/>
  <c r="Z40" i="48"/>
  <c r="Z37" i="48"/>
  <c r="Z43" i="48"/>
  <c r="Z47" i="48"/>
  <c r="Z42" i="48"/>
  <c r="Z38" i="48"/>
  <c r="Z33" i="48"/>
  <c r="Z45" i="48"/>
  <c r="Z35" i="48"/>
  <c r="Z32" i="48"/>
  <c r="K35" i="48"/>
  <c r="K46" i="48"/>
  <c r="K33" i="48"/>
  <c r="K44" i="48"/>
  <c r="K39" i="48"/>
  <c r="K34" i="48"/>
  <c r="K45" i="48"/>
  <c r="K41" i="48"/>
  <c r="K43" i="48"/>
  <c r="K47" i="48"/>
  <c r="K32" i="48"/>
  <c r="K38" i="48"/>
  <c r="K40" i="48"/>
  <c r="K37" i="48"/>
  <c r="K42" i="48"/>
  <c r="K36" i="48"/>
  <c r="L40" i="48"/>
  <c r="L35" i="48"/>
  <c r="L38" i="48"/>
  <c r="L33" i="48"/>
  <c r="L39" i="48"/>
  <c r="L44" i="48"/>
  <c r="L34" i="48"/>
  <c r="L45" i="48"/>
  <c r="L41" i="48"/>
  <c r="L47" i="48"/>
  <c r="L46" i="48"/>
  <c r="L42" i="48"/>
  <c r="L32" i="48"/>
  <c r="L43" i="48"/>
  <c r="L36" i="48"/>
  <c r="L37" i="48"/>
  <c r="AB40" i="48"/>
  <c r="AB35" i="48"/>
  <c r="AB38" i="48"/>
  <c r="AB33" i="48"/>
  <c r="AB44" i="48"/>
  <c r="AB39" i="48"/>
  <c r="AB34" i="48"/>
  <c r="AB36" i="48"/>
  <c r="AB42" i="48"/>
  <c r="AB46" i="48"/>
  <c r="AB37" i="48"/>
  <c r="AB43" i="48"/>
  <c r="AB47" i="48"/>
  <c r="AB41" i="48"/>
  <c r="AB45" i="48"/>
  <c r="AB32" i="48"/>
  <c r="M45" i="48"/>
  <c r="M40" i="48"/>
  <c r="M35" i="48"/>
  <c r="M43" i="48"/>
  <c r="M38" i="48"/>
  <c r="M44" i="48"/>
  <c r="M33" i="48"/>
  <c r="M39" i="48"/>
  <c r="M37" i="48"/>
  <c r="M41" i="48"/>
  <c r="M32" i="48"/>
  <c r="M34" i="48"/>
  <c r="M42" i="48"/>
  <c r="M47" i="48"/>
  <c r="M46" i="48"/>
  <c r="M36" i="48"/>
  <c r="AD34" i="48"/>
  <c r="AD45" i="48"/>
  <c r="AD32" i="48"/>
  <c r="AD43" i="48"/>
  <c r="AD38" i="48"/>
  <c r="AD33" i="48"/>
  <c r="AD44" i="48"/>
  <c r="AD36" i="48"/>
  <c r="AD42" i="48"/>
  <c r="AD46" i="48"/>
  <c r="AD41" i="48"/>
  <c r="AD37" i="48"/>
  <c r="AD40" i="48"/>
  <c r="AD39" i="48"/>
  <c r="AD35" i="48"/>
  <c r="AD47" i="48"/>
  <c r="AE39" i="48"/>
  <c r="AE34" i="48"/>
  <c r="AE37" i="48"/>
  <c r="AE32" i="48"/>
  <c r="AE43" i="48"/>
  <c r="AE38" i="48"/>
  <c r="AE33" i="48"/>
  <c r="AE35" i="48"/>
  <c r="AE36" i="48"/>
  <c r="AE42" i="48"/>
  <c r="AE46" i="48"/>
  <c r="AE47" i="48"/>
  <c r="AE44" i="48"/>
  <c r="AE41" i="48"/>
  <c r="AE45" i="48"/>
  <c r="AE40" i="48"/>
  <c r="AC45" i="48"/>
  <c r="AC40" i="48"/>
  <c r="AC35" i="48"/>
  <c r="AC43" i="48"/>
  <c r="AC38" i="48"/>
  <c r="AC44" i="48"/>
  <c r="AC33" i="48"/>
  <c r="AC39" i="48"/>
  <c r="AC36" i="48"/>
  <c r="AC42" i="48"/>
  <c r="AC46" i="48"/>
  <c r="AC41" i="48"/>
  <c r="AC32" i="48"/>
  <c r="AC47" i="48"/>
  <c r="AC37" i="48"/>
  <c r="AC34" i="48"/>
  <c r="N34" i="48"/>
  <c r="N45" i="48"/>
  <c r="N32" i="48"/>
  <c r="N43" i="48"/>
  <c r="N38" i="48"/>
  <c r="N33" i="48"/>
  <c r="N44" i="48"/>
  <c r="N41" i="48"/>
  <c r="N40" i="48"/>
  <c r="N39" i="48"/>
  <c r="N35" i="48"/>
  <c r="N46" i="48"/>
  <c r="N36" i="48"/>
  <c r="N47" i="48"/>
  <c r="N42" i="48"/>
  <c r="N37" i="48"/>
  <c r="O39" i="48"/>
  <c r="O34" i="48"/>
  <c r="O37" i="48"/>
  <c r="O32" i="48"/>
  <c r="O43" i="48"/>
  <c r="O38" i="48"/>
  <c r="O33" i="48"/>
  <c r="O40" i="48"/>
  <c r="O47" i="48"/>
  <c r="O45" i="48"/>
  <c r="O36" i="48"/>
  <c r="O44" i="48"/>
  <c r="O41" i="48"/>
  <c r="O35" i="48"/>
  <c r="O42" i="48"/>
  <c r="O46" i="48"/>
  <c r="AA35" i="48"/>
  <c r="AA46" i="48"/>
  <c r="AA33" i="48"/>
  <c r="AA44" i="48"/>
  <c r="AA39" i="48"/>
  <c r="AA34" i="48"/>
  <c r="AA45" i="48"/>
  <c r="AA37" i="48"/>
  <c r="AA32" i="48"/>
  <c r="AA42" i="48"/>
  <c r="AA43" i="48"/>
  <c r="AA38" i="48"/>
  <c r="AA47" i="48"/>
  <c r="AA36" i="48"/>
  <c r="AA40" i="48"/>
  <c r="AA41" i="48"/>
  <c r="P44" i="48"/>
  <c r="P39" i="48"/>
  <c r="P34" i="48"/>
  <c r="P42" i="48"/>
  <c r="P37" i="48"/>
  <c r="P32" i="48"/>
  <c r="P43" i="48"/>
  <c r="P38" i="48"/>
  <c r="P40" i="48"/>
  <c r="P47" i="48"/>
  <c r="P45" i="48"/>
  <c r="P33" i="48"/>
  <c r="P41" i="48"/>
  <c r="P36" i="48"/>
  <c r="P46" i="48"/>
  <c r="P35" i="48"/>
  <c r="AF44" i="48"/>
  <c r="AF39" i="48"/>
  <c r="AF34" i="48"/>
  <c r="AF42" i="48"/>
  <c r="AF37" i="48"/>
  <c r="AF43" i="48"/>
  <c r="AF32" i="48"/>
  <c r="AF38" i="48"/>
  <c r="AF35" i="48"/>
  <c r="AF33" i="48"/>
  <c r="AF46" i="48"/>
  <c r="AF36" i="48"/>
  <c r="AF40" i="48"/>
  <c r="AF45" i="48"/>
  <c r="AF41" i="48"/>
  <c r="AF47" i="48"/>
  <c r="S43" i="48"/>
  <c r="S38" i="48"/>
  <c r="S33" i="48"/>
  <c r="S41" i="48"/>
  <c r="S36" i="48"/>
  <c r="S42" i="48"/>
  <c r="S47" i="48"/>
  <c r="S37" i="48"/>
  <c r="S39" i="48"/>
  <c r="S44" i="48"/>
  <c r="S35" i="48"/>
  <c r="S40" i="48"/>
  <c r="S32" i="48"/>
  <c r="S45" i="48"/>
  <c r="S46" i="48"/>
  <c r="S34" i="48"/>
  <c r="AL42" i="48"/>
  <c r="AL37" i="48"/>
  <c r="AL32" i="48"/>
  <c r="AL40" i="48"/>
  <c r="AL35" i="48"/>
  <c r="AL46" i="48"/>
  <c r="AL41" i="48"/>
  <c r="AL36" i="48"/>
  <c r="AL33" i="48"/>
  <c r="AL45" i="48"/>
  <c r="AL38" i="48"/>
  <c r="AL47" i="48"/>
  <c r="AL34" i="48"/>
  <c r="AL44" i="48"/>
  <c r="AL39" i="48"/>
  <c r="AL43" i="48"/>
  <c r="W47" i="48"/>
  <c r="W42" i="48"/>
  <c r="W37" i="48"/>
  <c r="W45" i="48"/>
  <c r="W40" i="48"/>
  <c r="W35" i="48"/>
  <c r="W41" i="48"/>
  <c r="W43" i="48"/>
  <c r="W38" i="48"/>
  <c r="W44" i="48"/>
  <c r="W36" i="48"/>
  <c r="W39" i="48"/>
  <c r="W46" i="48"/>
  <c r="W32" i="48"/>
  <c r="W34" i="48"/>
  <c r="W33" i="48"/>
  <c r="H36" i="48"/>
  <c r="H47" i="48"/>
  <c r="H34" i="48"/>
  <c r="H45" i="48"/>
  <c r="H40" i="48"/>
  <c r="H35" i="48"/>
  <c r="H46" i="48"/>
  <c r="H32" i="48"/>
  <c r="H41" i="48"/>
  <c r="H39" i="48"/>
  <c r="H44" i="48"/>
  <c r="H33" i="48"/>
  <c r="H42" i="48"/>
  <c r="H43" i="48"/>
  <c r="H38" i="48"/>
  <c r="H37" i="48"/>
  <c r="X36" i="48"/>
  <c r="X47" i="48"/>
  <c r="X34" i="48"/>
  <c r="X45" i="48"/>
  <c r="X40" i="48"/>
  <c r="X35" i="48"/>
  <c r="X46" i="48"/>
  <c r="X43" i="48"/>
  <c r="X38" i="48"/>
  <c r="X42" i="48"/>
  <c r="X44" i="48"/>
  <c r="X32" i="48"/>
  <c r="X37" i="48"/>
  <c r="X39" i="48"/>
  <c r="X33" i="48"/>
  <c r="X41" i="48"/>
  <c r="I41" i="48"/>
  <c r="I36" i="48"/>
  <c r="I39" i="48"/>
  <c r="I34" i="48"/>
  <c r="I45" i="48"/>
  <c r="I40" i="48"/>
  <c r="I35" i="48"/>
  <c r="I32" i="48"/>
  <c r="I46" i="48"/>
  <c r="I37" i="48"/>
  <c r="I33" i="48"/>
  <c r="I42" i="48"/>
  <c r="I47" i="48"/>
  <c r="I38" i="48"/>
  <c r="I44" i="48"/>
  <c r="I43" i="48"/>
  <c r="Y41" i="48"/>
  <c r="Y36" i="48"/>
  <c r="Y39" i="48"/>
  <c r="Y34" i="48"/>
  <c r="Y40" i="48"/>
  <c r="Y45" i="48"/>
  <c r="Y35" i="48"/>
  <c r="Y37" i="48"/>
  <c r="Y43" i="48"/>
  <c r="Y38" i="48"/>
  <c r="Y47" i="48"/>
  <c r="Y44" i="48"/>
  <c r="Y33" i="48"/>
  <c r="Y42" i="48"/>
  <c r="Y46" i="48"/>
  <c r="Y32" i="48"/>
  <c r="Q33" i="48"/>
  <c r="Q44" i="48"/>
  <c r="Q39" i="48"/>
  <c r="Q47" i="48"/>
  <c r="Q42" i="48"/>
  <c r="Q37" i="48"/>
  <c r="Q32" i="48"/>
  <c r="Q43" i="48"/>
  <c r="Q40" i="48"/>
  <c r="Q45" i="48"/>
  <c r="Q41" i="48"/>
  <c r="Q36" i="48"/>
  <c r="Q46" i="48"/>
  <c r="Q34" i="48"/>
  <c r="Q38" i="48"/>
  <c r="Q35" i="48"/>
  <c r="AG33" i="48"/>
  <c r="AG44" i="48"/>
  <c r="AG39" i="48"/>
  <c r="AG47" i="48"/>
  <c r="AG42" i="48"/>
  <c r="AG37" i="48"/>
  <c r="AG32" i="48"/>
  <c r="AG43" i="48"/>
  <c r="AG41" i="48"/>
  <c r="AG35" i="48"/>
  <c r="AG45" i="48"/>
  <c r="AG34" i="48"/>
  <c r="AG46" i="48"/>
  <c r="AG36" i="48"/>
  <c r="AG38" i="48"/>
  <c r="AG40" i="48"/>
  <c r="R38" i="48"/>
  <c r="R33" i="48"/>
  <c r="R36" i="48"/>
  <c r="R47" i="48"/>
  <c r="R42" i="48"/>
  <c r="R37" i="48"/>
  <c r="R32" i="48"/>
  <c r="R44" i="48"/>
  <c r="R39" i="48"/>
  <c r="R40" i="48"/>
  <c r="R45" i="48"/>
  <c r="R46" i="48"/>
  <c r="R41" i="48"/>
  <c r="R34" i="48"/>
  <c r="R35" i="48"/>
  <c r="R43" i="48"/>
  <c r="AH38" i="48"/>
  <c r="AH33" i="48"/>
  <c r="AH36" i="48"/>
  <c r="AH47" i="48"/>
  <c r="AH37" i="48"/>
  <c r="AH42" i="48"/>
  <c r="AH32" i="48"/>
  <c r="AH34" i="48"/>
  <c r="AH41" i="48"/>
  <c r="AH35" i="48"/>
  <c r="AH43" i="48"/>
  <c r="AH46" i="48"/>
  <c r="AH45" i="48"/>
  <c r="AH39" i="48"/>
  <c r="AH40" i="48"/>
  <c r="AH44" i="48"/>
  <c r="S10" i="48"/>
  <c r="S18" i="48"/>
  <c r="S26" i="48"/>
  <c r="S11" i="48"/>
  <c r="S27" i="48"/>
  <c r="S19" i="48"/>
  <c r="S15" i="48"/>
  <c r="S23" i="48"/>
  <c r="S16" i="48"/>
  <c r="S9" i="48"/>
  <c r="S24" i="48"/>
  <c r="S17" i="48"/>
  <c r="S31" i="48"/>
  <c r="S12" i="48"/>
  <c r="S21" i="48"/>
  <c r="S14" i="48"/>
  <c r="S30" i="48"/>
  <c r="S29" i="48"/>
  <c r="S20" i="48"/>
  <c r="S13" i="48"/>
  <c r="S25" i="48"/>
  <c r="S22" i="48"/>
  <c r="S28" i="48"/>
  <c r="AI10" i="48"/>
  <c r="AI18" i="48"/>
  <c r="AI26" i="48"/>
  <c r="AI11" i="48"/>
  <c r="AI27" i="48"/>
  <c r="AI19" i="48"/>
  <c r="AI15" i="48"/>
  <c r="AI23" i="48"/>
  <c r="AI16" i="48"/>
  <c r="AI9" i="48"/>
  <c r="AI30" i="48"/>
  <c r="AI22" i="48"/>
  <c r="AI25" i="48"/>
  <c r="AI12" i="48"/>
  <c r="AI13" i="48"/>
  <c r="AI14" i="48"/>
  <c r="AI24" i="48"/>
  <c r="AI21" i="48"/>
  <c r="AI17" i="48"/>
  <c r="AI28" i="48"/>
  <c r="AI29" i="48"/>
  <c r="AI20" i="48"/>
  <c r="AI31" i="48"/>
  <c r="T11" i="48"/>
  <c r="T10" i="48"/>
  <c r="T18" i="48"/>
  <c r="T26" i="48"/>
  <c r="T14" i="48"/>
  <c r="T22" i="48"/>
  <c r="T30" i="48"/>
  <c r="T15" i="48"/>
  <c r="T23" i="48"/>
  <c r="T31" i="48"/>
  <c r="T20" i="48"/>
  <c r="T24" i="48"/>
  <c r="T12" i="48"/>
  <c r="T13" i="48"/>
  <c r="T19" i="48"/>
  <c r="T16" i="48"/>
  <c r="T21" i="48"/>
  <c r="T9" i="48"/>
  <c r="T29" i="48"/>
  <c r="T27" i="48"/>
  <c r="T17" i="48"/>
  <c r="T25" i="48"/>
  <c r="T28" i="48"/>
  <c r="AJ11" i="48"/>
  <c r="AJ10" i="48"/>
  <c r="AJ18" i="48"/>
  <c r="AJ26" i="48"/>
  <c r="AJ14" i="48"/>
  <c r="AJ22" i="48"/>
  <c r="AJ30" i="48"/>
  <c r="AJ15" i="48"/>
  <c r="AJ23" i="48"/>
  <c r="AJ31" i="48"/>
  <c r="AJ19" i="48"/>
  <c r="AJ20" i="48"/>
  <c r="AJ29" i="48"/>
  <c r="AJ12" i="48"/>
  <c r="AJ24" i="48"/>
  <c r="AJ13" i="48"/>
  <c r="AJ16" i="48"/>
  <c r="AJ27" i="48"/>
  <c r="AJ25" i="48"/>
  <c r="AJ9" i="48"/>
  <c r="AJ21" i="48"/>
  <c r="AJ17" i="48"/>
  <c r="AJ28" i="48"/>
  <c r="U9" i="48"/>
  <c r="U17" i="48"/>
  <c r="U25" i="48"/>
  <c r="U10" i="48"/>
  <c r="U26" i="48"/>
  <c r="U18" i="48"/>
  <c r="U14" i="48"/>
  <c r="U22" i="48"/>
  <c r="U15" i="48"/>
  <c r="U20" i="48"/>
  <c r="U24" i="48"/>
  <c r="U28" i="48"/>
  <c r="U12" i="48"/>
  <c r="U16" i="48"/>
  <c r="U23" i="48"/>
  <c r="U27" i="48"/>
  <c r="U11" i="48"/>
  <c r="U21" i="48"/>
  <c r="U19" i="48"/>
  <c r="U31" i="48"/>
  <c r="U29" i="48"/>
  <c r="U13" i="48"/>
  <c r="U30" i="48"/>
  <c r="AK9" i="48"/>
  <c r="AK17" i="48"/>
  <c r="AK25" i="48"/>
  <c r="AK10" i="48"/>
  <c r="AK26" i="48"/>
  <c r="AK18" i="48"/>
  <c r="AK14" i="48"/>
  <c r="AK22" i="48"/>
  <c r="AK15" i="48"/>
  <c r="AK20" i="48"/>
  <c r="AK29" i="48"/>
  <c r="AK23" i="48"/>
  <c r="AK11" i="48"/>
  <c r="AK12" i="48"/>
  <c r="AK13" i="48"/>
  <c r="AK16" i="48"/>
  <c r="AK24" i="48"/>
  <c r="AK30" i="48"/>
  <c r="AK28" i="48"/>
  <c r="AK27" i="48"/>
  <c r="AK21" i="48"/>
  <c r="AK19" i="48"/>
  <c r="AK31" i="48"/>
  <c r="I15" i="48"/>
  <c r="I23" i="48"/>
  <c r="I31" i="48"/>
  <c r="I16" i="48"/>
  <c r="I24" i="48"/>
  <c r="I20" i="48"/>
  <c r="I28" i="48"/>
  <c r="I12" i="48"/>
  <c r="I13" i="48"/>
  <c r="I21" i="48"/>
  <c r="I14" i="48"/>
  <c r="I9" i="48"/>
  <c r="I25" i="48"/>
  <c r="I22" i="48"/>
  <c r="I11" i="48"/>
  <c r="I30" i="48"/>
  <c r="I17" i="48"/>
  <c r="I18" i="48"/>
  <c r="I27" i="48"/>
  <c r="I10" i="48"/>
  <c r="I19" i="48"/>
  <c r="I29" i="48"/>
  <c r="I26" i="48"/>
  <c r="Y15" i="48"/>
  <c r="Y23" i="48"/>
  <c r="Y31" i="48"/>
  <c r="Y16" i="48"/>
  <c r="Y24" i="48"/>
  <c r="Y12" i="48"/>
  <c r="Y20" i="48"/>
  <c r="Y28" i="48"/>
  <c r="Y21" i="48"/>
  <c r="Y13" i="48"/>
  <c r="Y14" i="48"/>
  <c r="Y19" i="48"/>
  <c r="Y26" i="48"/>
  <c r="Y29" i="48"/>
  <c r="Y10" i="48"/>
  <c r="Y11" i="48"/>
  <c r="Y30" i="48"/>
  <c r="Y22" i="48"/>
  <c r="Y25" i="48"/>
  <c r="Y18" i="48"/>
  <c r="Y27" i="48"/>
  <c r="Y9" i="48"/>
  <c r="Y17" i="48"/>
  <c r="AB15" i="48"/>
  <c r="AB14" i="48"/>
  <c r="AB22" i="48"/>
  <c r="AB30" i="48"/>
  <c r="AB10" i="48"/>
  <c r="AB18" i="48"/>
  <c r="AB26" i="48"/>
  <c r="AB11" i="48"/>
  <c r="AB19" i="48"/>
  <c r="AB27" i="48"/>
  <c r="AB23" i="48"/>
  <c r="AB20" i="48"/>
  <c r="AB9" i="48"/>
  <c r="AB17" i="48"/>
  <c r="AB29" i="48"/>
  <c r="AB25" i="48"/>
  <c r="AB28" i="48"/>
  <c r="AB31" i="48"/>
  <c r="AB24" i="48"/>
  <c r="AB13" i="48"/>
  <c r="AB16" i="48"/>
  <c r="AB21" i="48"/>
  <c r="AB12" i="48"/>
  <c r="Z16" i="48"/>
  <c r="Z15" i="48"/>
  <c r="Z23" i="48"/>
  <c r="Z31" i="48"/>
  <c r="Z11" i="48"/>
  <c r="Z19" i="48"/>
  <c r="Z27" i="48"/>
  <c r="Z12" i="48"/>
  <c r="Z20" i="48"/>
  <c r="Z28" i="48"/>
  <c r="Z26" i="48"/>
  <c r="Z29" i="48"/>
  <c r="Z17" i="48"/>
  <c r="Z10" i="48"/>
  <c r="Z22" i="48"/>
  <c r="Z30" i="48"/>
  <c r="Z25" i="48"/>
  <c r="Z24" i="48"/>
  <c r="Z14" i="48"/>
  <c r="Z18" i="48"/>
  <c r="Z13" i="48"/>
  <c r="Z21" i="48"/>
  <c r="Z9" i="48"/>
  <c r="M13" i="48"/>
  <c r="M21" i="48"/>
  <c r="M29" i="48"/>
  <c r="M30" i="48"/>
  <c r="M14" i="48"/>
  <c r="M22" i="48"/>
  <c r="M10" i="48"/>
  <c r="M18" i="48"/>
  <c r="M26" i="48"/>
  <c r="M19" i="48"/>
  <c r="M11" i="48"/>
  <c r="M12" i="48"/>
  <c r="M16" i="48"/>
  <c r="M25" i="48"/>
  <c r="M28" i="48"/>
  <c r="M20" i="48"/>
  <c r="M15" i="48"/>
  <c r="M24" i="48"/>
  <c r="M27" i="48"/>
  <c r="M17" i="48"/>
  <c r="M9" i="48"/>
  <c r="M31" i="48"/>
  <c r="M23" i="48"/>
  <c r="AC13" i="48"/>
  <c r="AC21" i="48"/>
  <c r="AC29" i="48"/>
  <c r="AC14" i="48"/>
  <c r="AC30" i="48"/>
  <c r="AC22" i="48"/>
  <c r="AC18" i="48"/>
  <c r="AC26" i="48"/>
  <c r="AC10" i="48"/>
  <c r="AC19" i="48"/>
  <c r="AC11" i="48"/>
  <c r="AC12" i="48"/>
  <c r="AC23" i="48"/>
  <c r="AC9" i="48"/>
  <c r="AC20" i="48"/>
  <c r="AC17" i="48"/>
  <c r="AC25" i="48"/>
  <c r="AC28" i="48"/>
  <c r="AC31" i="48"/>
  <c r="AC15" i="48"/>
  <c r="AC24" i="48"/>
  <c r="AC27" i="48"/>
  <c r="AC16" i="48"/>
  <c r="J15" i="48"/>
  <c r="J23" i="48"/>
  <c r="J31" i="48"/>
  <c r="J16" i="48"/>
  <c r="J11" i="48"/>
  <c r="J19" i="48"/>
  <c r="J27" i="48"/>
  <c r="J12" i="48"/>
  <c r="J20" i="48"/>
  <c r="J28" i="48"/>
  <c r="J17" i="48"/>
  <c r="J9" i="48"/>
  <c r="J25" i="48"/>
  <c r="J22" i="48"/>
  <c r="J24" i="48"/>
  <c r="J18" i="48"/>
  <c r="J14" i="48"/>
  <c r="J10" i="48"/>
  <c r="J21" i="48"/>
  <c r="J13" i="48"/>
  <c r="J30" i="48"/>
  <c r="J29" i="48"/>
  <c r="J26" i="48"/>
  <c r="K14" i="48"/>
  <c r="K22" i="48"/>
  <c r="K30" i="48"/>
  <c r="K15" i="48"/>
  <c r="K23" i="48"/>
  <c r="K31" i="48"/>
  <c r="K11" i="48"/>
  <c r="K19" i="48"/>
  <c r="K27" i="48"/>
  <c r="K20" i="48"/>
  <c r="K12" i="48"/>
  <c r="K13" i="48"/>
  <c r="K17" i="48"/>
  <c r="K26" i="48"/>
  <c r="K18" i="48"/>
  <c r="K24" i="48"/>
  <c r="K21" i="48"/>
  <c r="K9" i="48"/>
  <c r="K28" i="48"/>
  <c r="K10" i="48"/>
  <c r="K16" i="48"/>
  <c r="K25" i="48"/>
  <c r="K29" i="48"/>
  <c r="N13" i="48"/>
  <c r="N21" i="48"/>
  <c r="N29" i="48"/>
  <c r="N14" i="48"/>
  <c r="N9" i="48"/>
  <c r="N17" i="48"/>
  <c r="N25" i="48"/>
  <c r="N10" i="48"/>
  <c r="N18" i="48"/>
  <c r="N26" i="48"/>
  <c r="N15" i="48"/>
  <c r="N30" i="48"/>
  <c r="N16" i="48"/>
  <c r="N11" i="48"/>
  <c r="N22" i="48"/>
  <c r="N19" i="48"/>
  <c r="N28" i="48"/>
  <c r="N20" i="48"/>
  <c r="N24" i="48"/>
  <c r="N27" i="48"/>
  <c r="N12" i="48"/>
  <c r="N31" i="48"/>
  <c r="N23" i="48"/>
  <c r="AD14" i="48"/>
  <c r="AD13" i="48"/>
  <c r="AD21" i="48"/>
  <c r="AD29" i="48"/>
  <c r="AD9" i="48"/>
  <c r="AD17" i="48"/>
  <c r="AD25" i="48"/>
  <c r="AD10" i="48"/>
  <c r="AD18" i="48"/>
  <c r="AD26" i="48"/>
  <c r="AD19" i="48"/>
  <c r="AD12" i="48"/>
  <c r="AD16" i="48"/>
  <c r="AD27" i="48"/>
  <c r="AD11" i="48"/>
  <c r="AD30" i="48"/>
  <c r="AD31" i="48"/>
  <c r="AD22" i="48"/>
  <c r="AD23" i="48"/>
  <c r="AD20" i="48"/>
  <c r="AD28" i="48"/>
  <c r="AD15" i="48"/>
  <c r="AD24" i="48"/>
  <c r="V10" i="48"/>
  <c r="V9" i="48"/>
  <c r="V17" i="48"/>
  <c r="V25" i="48"/>
  <c r="V13" i="48"/>
  <c r="V21" i="48"/>
  <c r="V29" i="48"/>
  <c r="V14" i="48"/>
  <c r="V22" i="48"/>
  <c r="V30" i="48"/>
  <c r="V18" i="48"/>
  <c r="V28" i="48"/>
  <c r="V27" i="48"/>
  <c r="V12" i="48"/>
  <c r="V16" i="48"/>
  <c r="V11" i="48"/>
  <c r="V26" i="48"/>
  <c r="V31" i="48"/>
  <c r="V24" i="48"/>
  <c r="V23" i="48"/>
  <c r="V19" i="48"/>
  <c r="V20" i="48"/>
  <c r="V15" i="48"/>
  <c r="L14" i="48"/>
  <c r="L22" i="48"/>
  <c r="L30" i="48"/>
  <c r="L15" i="48"/>
  <c r="L10" i="48"/>
  <c r="L18" i="48"/>
  <c r="L26" i="48"/>
  <c r="L11" i="48"/>
  <c r="L19" i="48"/>
  <c r="L27" i="48"/>
  <c r="L13" i="48"/>
  <c r="L12" i="48"/>
  <c r="L29" i="48"/>
  <c r="L17" i="48"/>
  <c r="L23" i="48"/>
  <c r="L20" i="48"/>
  <c r="L24" i="48"/>
  <c r="L21" i="48"/>
  <c r="L16" i="48"/>
  <c r="L9" i="48"/>
  <c r="L25" i="48"/>
  <c r="L28" i="48"/>
  <c r="L31" i="48"/>
  <c r="O12" i="48"/>
  <c r="O20" i="48"/>
  <c r="O28" i="48"/>
  <c r="O13" i="48"/>
  <c r="O29" i="48"/>
  <c r="O21" i="48"/>
  <c r="O9" i="48"/>
  <c r="O17" i="48"/>
  <c r="O25" i="48"/>
  <c r="O18" i="48"/>
  <c r="O10" i="48"/>
  <c r="O11" i="48"/>
  <c r="O14" i="48"/>
  <c r="O27" i="48"/>
  <c r="O15" i="48"/>
  <c r="O30" i="48"/>
  <c r="O16" i="48"/>
  <c r="O23" i="48"/>
  <c r="O31" i="48"/>
  <c r="O19" i="48"/>
  <c r="O26" i="48"/>
  <c r="O22" i="48"/>
  <c r="O24" i="48"/>
  <c r="AE12" i="48"/>
  <c r="AE20" i="48"/>
  <c r="AE28" i="48"/>
  <c r="AE13" i="48"/>
  <c r="AE29" i="48"/>
  <c r="AE21" i="48"/>
  <c r="AE17" i="48"/>
  <c r="AE25" i="48"/>
  <c r="AE9" i="48"/>
  <c r="AE18" i="48"/>
  <c r="AE10" i="48"/>
  <c r="AE11" i="48"/>
  <c r="AE24" i="48"/>
  <c r="AE16" i="48"/>
  <c r="AE31" i="48"/>
  <c r="AE27" i="48"/>
  <c r="AE23" i="48"/>
  <c r="AE30" i="48"/>
  <c r="AE26" i="48"/>
  <c r="AE22" i="48"/>
  <c r="AE19" i="48"/>
  <c r="AE15" i="48"/>
  <c r="AE14" i="48"/>
  <c r="AA14" i="48"/>
  <c r="AA22" i="48"/>
  <c r="AA30" i="48"/>
  <c r="AA15" i="48"/>
  <c r="AA31" i="48"/>
  <c r="AA23" i="48"/>
  <c r="AA11" i="48"/>
  <c r="AA19" i="48"/>
  <c r="AA27" i="48"/>
  <c r="AA20" i="48"/>
  <c r="AA12" i="48"/>
  <c r="AA13" i="48"/>
  <c r="AA26" i="48"/>
  <c r="AA9" i="48"/>
  <c r="AA17" i="48"/>
  <c r="AA10" i="48"/>
  <c r="AA25" i="48"/>
  <c r="AA28" i="48"/>
  <c r="AA18" i="48"/>
  <c r="AA16" i="48"/>
  <c r="AA29" i="48"/>
  <c r="AA24" i="48"/>
  <c r="AA21" i="48"/>
  <c r="P12" i="48"/>
  <c r="P20" i="48"/>
  <c r="P28" i="48"/>
  <c r="P13" i="48"/>
  <c r="P16" i="48"/>
  <c r="P24" i="48"/>
  <c r="P9" i="48"/>
  <c r="P17" i="48"/>
  <c r="P25" i="48"/>
  <c r="P21" i="48"/>
  <c r="P14" i="48"/>
  <c r="P27" i="48"/>
  <c r="P23" i="48"/>
  <c r="P31" i="48"/>
  <c r="P19" i="48"/>
  <c r="P26" i="48"/>
  <c r="P11" i="48"/>
  <c r="P22" i="48"/>
  <c r="P29" i="48"/>
  <c r="P10" i="48"/>
  <c r="P30" i="48"/>
  <c r="P15" i="48"/>
  <c r="P18" i="48"/>
  <c r="AF13" i="48"/>
  <c r="AF12" i="48"/>
  <c r="AF20" i="48"/>
  <c r="AF28" i="48"/>
  <c r="AF16" i="48"/>
  <c r="AF24" i="48"/>
  <c r="AF9" i="48"/>
  <c r="AF17" i="48"/>
  <c r="AF25" i="48"/>
  <c r="AF18" i="48"/>
  <c r="AF15" i="48"/>
  <c r="AF21" i="48"/>
  <c r="AF27" i="48"/>
  <c r="AF11" i="48"/>
  <c r="AF19" i="48"/>
  <c r="AF23" i="48"/>
  <c r="AF26" i="48"/>
  <c r="AF29" i="48"/>
  <c r="AF31" i="48"/>
  <c r="AF10" i="48"/>
  <c r="AF30" i="48"/>
  <c r="AF22" i="48"/>
  <c r="AF14" i="48"/>
  <c r="W16" i="48"/>
  <c r="W24" i="48"/>
  <c r="W25" i="48"/>
  <c r="W9" i="48"/>
  <c r="W17" i="48"/>
  <c r="W21" i="48"/>
  <c r="W13" i="48"/>
  <c r="W22" i="48"/>
  <c r="W14" i="48"/>
  <c r="W15" i="48"/>
  <c r="W29" i="48"/>
  <c r="W18" i="48"/>
  <c r="W28" i="48"/>
  <c r="W23" i="48"/>
  <c r="W26" i="48"/>
  <c r="W27" i="48"/>
  <c r="W19" i="48"/>
  <c r="W31" i="48"/>
  <c r="W20" i="48"/>
  <c r="W12" i="48"/>
  <c r="W10" i="48"/>
  <c r="W30" i="48"/>
  <c r="W11" i="48"/>
  <c r="H9" i="48"/>
  <c r="H17" i="48"/>
  <c r="H16" i="48"/>
  <c r="H24" i="48"/>
  <c r="H12" i="48"/>
  <c r="H20" i="48"/>
  <c r="H28" i="48"/>
  <c r="H13" i="48"/>
  <c r="H21" i="48"/>
  <c r="H29" i="48"/>
  <c r="H22" i="48"/>
  <c r="H10" i="48"/>
  <c r="H11" i="48"/>
  <c r="H23" i="48"/>
  <c r="H27" i="48"/>
  <c r="H25" i="48"/>
  <c r="H18" i="48"/>
  <c r="H26" i="48"/>
  <c r="H30" i="48"/>
  <c r="H14" i="48"/>
  <c r="H15" i="48"/>
  <c r="H31" i="48"/>
  <c r="H19" i="48"/>
  <c r="X16" i="48"/>
  <c r="X24" i="48"/>
  <c r="X9" i="48"/>
  <c r="X12" i="48"/>
  <c r="X20" i="48"/>
  <c r="X28" i="48"/>
  <c r="X13" i="48"/>
  <c r="X21" i="48"/>
  <c r="X29" i="48"/>
  <c r="X19" i="48"/>
  <c r="X26" i="48"/>
  <c r="X31" i="48"/>
  <c r="X15" i="48"/>
  <c r="X22" i="48"/>
  <c r="X25" i="48"/>
  <c r="X14" i="48"/>
  <c r="X18" i="48"/>
  <c r="X23" i="48"/>
  <c r="X30" i="48"/>
  <c r="X17" i="48"/>
  <c r="X10" i="48"/>
  <c r="X27" i="48"/>
  <c r="X11" i="48"/>
  <c r="Q11" i="48"/>
  <c r="Q19" i="48"/>
  <c r="Q27" i="48"/>
  <c r="Q12" i="48"/>
  <c r="Q28" i="48"/>
  <c r="Q20" i="48"/>
  <c r="Q16" i="48"/>
  <c r="Q24" i="48"/>
  <c r="Q17" i="48"/>
  <c r="Q9" i="48"/>
  <c r="Q10" i="48"/>
  <c r="Q13" i="48"/>
  <c r="Q21" i="48"/>
  <c r="Q23" i="48"/>
  <c r="Q29" i="48"/>
  <c r="Q31" i="48"/>
  <c r="Q26" i="48"/>
  <c r="Q14" i="48"/>
  <c r="Q30" i="48"/>
  <c r="Q25" i="48"/>
  <c r="Q22" i="48"/>
  <c r="Q15" i="48"/>
  <c r="Q18" i="48"/>
  <c r="AG11" i="48"/>
  <c r="AG19" i="48"/>
  <c r="AG27" i="48"/>
  <c r="AG12" i="48"/>
  <c r="AG28" i="48"/>
  <c r="AG20" i="48"/>
  <c r="AG16" i="48"/>
  <c r="AG24" i="48"/>
  <c r="AG17" i="48"/>
  <c r="AG9" i="48"/>
  <c r="AG10" i="48"/>
  <c r="AG18" i="48"/>
  <c r="AG23" i="48"/>
  <c r="AG14" i="48"/>
  <c r="AG15" i="48"/>
  <c r="AG21" i="48"/>
  <c r="AG22" i="48"/>
  <c r="AG30" i="48"/>
  <c r="AG25" i="48"/>
  <c r="AG31" i="48"/>
  <c r="AG29" i="48"/>
  <c r="AG13" i="48"/>
  <c r="AG26" i="48"/>
  <c r="AL9" i="48"/>
  <c r="AL17" i="48"/>
  <c r="AL25" i="48"/>
  <c r="AL10" i="48"/>
  <c r="AL13" i="48"/>
  <c r="AL21" i="48"/>
  <c r="AL29" i="48"/>
  <c r="AL14" i="48"/>
  <c r="AL22" i="48"/>
  <c r="AL30" i="48"/>
  <c r="AL18" i="48"/>
  <c r="AL28" i="48"/>
  <c r="AL31" i="48"/>
  <c r="AL20" i="48"/>
  <c r="AL15" i="48"/>
  <c r="AL27" i="48"/>
  <c r="AL11" i="48"/>
  <c r="AL12" i="48"/>
  <c r="AL16" i="48"/>
  <c r="AL24" i="48"/>
  <c r="AL19" i="48"/>
  <c r="AL26" i="48"/>
  <c r="AL23" i="48"/>
  <c r="R11" i="48"/>
  <c r="R19" i="48"/>
  <c r="R27" i="48"/>
  <c r="R12" i="48"/>
  <c r="R15" i="48"/>
  <c r="R23" i="48"/>
  <c r="R31" i="48"/>
  <c r="R16" i="48"/>
  <c r="R24" i="48"/>
  <c r="R13" i="48"/>
  <c r="R17" i="48"/>
  <c r="R30" i="48"/>
  <c r="R9" i="48"/>
  <c r="R18" i="48"/>
  <c r="R29" i="48"/>
  <c r="R21" i="48"/>
  <c r="R14" i="48"/>
  <c r="R25" i="48"/>
  <c r="R26" i="48"/>
  <c r="R20" i="48"/>
  <c r="R10" i="48"/>
  <c r="R22" i="48"/>
  <c r="R28" i="48"/>
  <c r="AH12" i="48"/>
  <c r="AH11" i="48"/>
  <c r="AH19" i="48"/>
  <c r="AH27" i="48"/>
  <c r="AH15" i="48"/>
  <c r="AH23" i="48"/>
  <c r="AH31" i="48"/>
  <c r="AH16" i="48"/>
  <c r="AH24" i="48"/>
  <c r="AH22" i="48"/>
  <c r="AH25" i="48"/>
  <c r="AH28" i="48"/>
  <c r="AH13" i="48"/>
  <c r="AH14" i="48"/>
  <c r="AH21" i="48"/>
  <c r="AH9" i="48"/>
  <c r="AH18" i="48"/>
  <c r="AH10" i="48"/>
  <c r="AH17" i="48"/>
  <c r="AH30" i="48"/>
  <c r="AH20" i="48"/>
  <c r="AH29" i="48"/>
  <c r="AH26" i="48"/>
  <c r="X35" i="51"/>
  <c r="AB5" i="50"/>
  <c r="L5" i="50"/>
  <c r="W6" i="50"/>
  <c r="AF6" i="50"/>
  <c r="AJ5" i="50"/>
  <c r="AB4" i="50"/>
  <c r="AB6" i="50"/>
  <c r="P5" i="50"/>
  <c r="O4" i="50"/>
  <c r="AE8" i="50"/>
  <c r="AC4" i="50"/>
  <c r="M8" i="50"/>
  <c r="M4" i="50"/>
  <c r="M5" i="50"/>
  <c r="I4" i="50"/>
  <c r="AB8" i="50"/>
  <c r="AI5" i="50"/>
  <c r="Z4" i="50"/>
  <c r="AF8" i="50"/>
  <c r="Z5" i="50"/>
  <c r="P4" i="50"/>
  <c r="P8" i="50"/>
  <c r="AC5" i="50"/>
  <c r="P6" i="50"/>
  <c r="L8" i="50"/>
  <c r="O5" i="50"/>
  <c r="AA6" i="50"/>
  <c r="N7" i="50"/>
  <c r="AE5" i="50"/>
  <c r="Z6" i="50"/>
  <c r="AF7" i="50"/>
  <c r="AF5" i="50"/>
  <c r="AL6" i="50"/>
  <c r="AD4" i="50"/>
  <c r="AC6" i="50"/>
  <c r="AA4" i="50"/>
  <c r="N6" i="50"/>
  <c r="AE7" i="50"/>
  <c r="AE4" i="50"/>
  <c r="AD7" i="50"/>
  <c r="AJ6" i="50"/>
  <c r="V8" i="50"/>
  <c r="W8" i="50"/>
  <c r="J7" i="50"/>
  <c r="AA7" i="50"/>
  <c r="AK8" i="50"/>
  <c r="AG7" i="50"/>
  <c r="P8" i="48"/>
  <c r="P7" i="48"/>
  <c r="P4" i="48"/>
  <c r="P6" i="48"/>
  <c r="P5" i="48"/>
  <c r="AF5" i="48"/>
  <c r="AF4" i="48"/>
  <c r="AF8" i="48"/>
  <c r="AF6" i="48"/>
  <c r="AF7" i="48"/>
  <c r="R5" i="50"/>
  <c r="AJ4" i="50"/>
  <c r="X6" i="50"/>
  <c r="AI6" i="50"/>
  <c r="T8" i="50"/>
  <c r="AA8" i="50"/>
  <c r="L7" i="50"/>
  <c r="U7" i="50"/>
  <c r="W4" i="50"/>
  <c r="AD6" i="50"/>
  <c r="AG6" i="50"/>
  <c r="N8" i="50"/>
  <c r="I8" i="50"/>
  <c r="AC7" i="50"/>
  <c r="X7" i="50"/>
  <c r="AM7" i="50"/>
  <c r="S5" i="48"/>
  <c r="S8" i="48"/>
  <c r="S7" i="48"/>
  <c r="S4" i="48"/>
  <c r="S6" i="48"/>
  <c r="AI4" i="48"/>
  <c r="AI8" i="48"/>
  <c r="AI6" i="48"/>
  <c r="AI5" i="48"/>
  <c r="AI7" i="48"/>
  <c r="X5" i="50"/>
  <c r="T4" i="50"/>
  <c r="L6" i="50"/>
  <c r="AD8" i="50"/>
  <c r="Y8" i="50"/>
  <c r="W7" i="50"/>
  <c r="M7" i="50"/>
  <c r="AK7" i="50"/>
  <c r="AJ7" i="50"/>
  <c r="R6" i="48"/>
  <c r="R8" i="48"/>
  <c r="R7" i="48"/>
  <c r="R5" i="48"/>
  <c r="R4" i="48"/>
  <c r="AH5" i="48"/>
  <c r="AH8" i="48"/>
  <c r="AH6" i="48"/>
  <c r="AH7" i="48"/>
  <c r="AH4" i="48"/>
  <c r="U6" i="50"/>
  <c r="T6" i="50"/>
  <c r="O7" i="48"/>
  <c r="O4" i="48"/>
  <c r="O5" i="48"/>
  <c r="O8" i="48"/>
  <c r="O6" i="48"/>
  <c r="AE7" i="48"/>
  <c r="AE8" i="48"/>
  <c r="AE5" i="48"/>
  <c r="AE6" i="48"/>
  <c r="AE4" i="48"/>
  <c r="AK6" i="48"/>
  <c r="AK5" i="48"/>
  <c r="AK7" i="48"/>
  <c r="AK8" i="48"/>
  <c r="AK4" i="48"/>
  <c r="AH4" i="50"/>
  <c r="AH6" i="50"/>
  <c r="T7" i="50"/>
  <c r="AL5" i="50"/>
  <c r="N4" i="50"/>
  <c r="Q4" i="50"/>
  <c r="O6" i="50"/>
  <c r="K6" i="50"/>
  <c r="K8" i="50"/>
  <c r="AM8" i="50"/>
  <c r="R7" i="50"/>
  <c r="V7" i="48"/>
  <c r="V4" i="48"/>
  <c r="V8" i="48"/>
  <c r="V5" i="48"/>
  <c r="V6" i="48"/>
  <c r="AL4" i="48"/>
  <c r="AL5" i="48"/>
  <c r="AL7" i="48"/>
  <c r="AL6" i="48"/>
  <c r="AL8" i="48"/>
  <c r="AI7" i="50"/>
  <c r="Q5" i="50"/>
  <c r="U8" i="50"/>
  <c r="X8" i="50"/>
  <c r="K5" i="50"/>
  <c r="AI4" i="50"/>
  <c r="AK4" i="50"/>
  <c r="Q6" i="50"/>
  <c r="J6" i="50"/>
  <c r="Q8" i="50"/>
  <c r="AH7" i="50"/>
  <c r="Y7" i="50"/>
  <c r="Q6" i="48"/>
  <c r="Q7" i="48"/>
  <c r="Q4" i="48"/>
  <c r="Q5" i="48"/>
  <c r="Q8" i="48"/>
  <c r="Y5" i="50"/>
  <c r="J4" i="50"/>
  <c r="V4" i="50"/>
  <c r="R8" i="50"/>
  <c r="I5" i="48"/>
  <c r="I4" i="48"/>
  <c r="I8" i="48"/>
  <c r="I7" i="48"/>
  <c r="I6" i="48"/>
  <c r="Y7" i="48"/>
  <c r="Y5" i="48"/>
  <c r="Y4" i="48"/>
  <c r="Y6" i="48"/>
  <c r="Y8" i="48"/>
  <c r="U5" i="50"/>
  <c r="AM4" i="50"/>
  <c r="AL4" i="50"/>
  <c r="R6" i="50"/>
  <c r="AM6" i="50"/>
  <c r="AH8" i="50"/>
  <c r="AL8" i="50"/>
  <c r="Z7" i="50"/>
  <c r="N8" i="48"/>
  <c r="N6" i="48"/>
  <c r="N5" i="48"/>
  <c r="N7" i="48"/>
  <c r="N4" i="48"/>
  <c r="T5" i="48"/>
  <c r="T8" i="48"/>
  <c r="T6" i="48"/>
  <c r="T4" i="48"/>
  <c r="T7" i="48"/>
  <c r="AG5" i="50"/>
  <c r="S8" i="50"/>
  <c r="W7" i="48"/>
  <c r="W6" i="48"/>
  <c r="W5" i="48"/>
  <c r="W8" i="48"/>
  <c r="W4" i="48"/>
  <c r="H7" i="48"/>
  <c r="H6" i="48"/>
  <c r="H4" i="48"/>
  <c r="H5" i="48"/>
  <c r="H8" i="48"/>
  <c r="X7" i="48"/>
  <c r="X4" i="48"/>
  <c r="X8" i="48"/>
  <c r="X6" i="48"/>
  <c r="X5" i="48"/>
  <c r="J7" i="48"/>
  <c r="J5" i="48"/>
  <c r="J8" i="48"/>
  <c r="J6" i="48"/>
  <c r="J4" i="48"/>
  <c r="Z8" i="48"/>
  <c r="Z7" i="48"/>
  <c r="Z5" i="48"/>
  <c r="Z4" i="48"/>
  <c r="Z6" i="48"/>
  <c r="AA6" i="48"/>
  <c r="AA8" i="48"/>
  <c r="AA4" i="48"/>
  <c r="AA5" i="48"/>
  <c r="AA7" i="48"/>
  <c r="J5" i="50"/>
  <c r="Y4" i="50"/>
  <c r="S6" i="50"/>
  <c r="AG8" i="50"/>
  <c r="O7" i="50"/>
  <c r="I7" i="50"/>
  <c r="AG8" i="48"/>
  <c r="AG4" i="48"/>
  <c r="AG7" i="48"/>
  <c r="AG5" i="48"/>
  <c r="AG6" i="48"/>
  <c r="K8" i="48"/>
  <c r="K4" i="48"/>
  <c r="K5" i="48"/>
  <c r="K7" i="48"/>
  <c r="K6" i="48"/>
  <c r="I5" i="50"/>
  <c r="S5" i="50"/>
  <c r="K4" i="50"/>
  <c r="V7" i="50"/>
  <c r="AD6" i="48"/>
  <c r="AD8" i="48"/>
  <c r="AD4" i="48"/>
  <c r="AD7" i="48"/>
  <c r="AD5" i="48"/>
  <c r="AJ6" i="48"/>
  <c r="AJ8" i="48"/>
  <c r="AJ5" i="48"/>
  <c r="AJ4" i="48"/>
  <c r="AJ7" i="48"/>
  <c r="S4" i="50"/>
  <c r="U4" i="48"/>
  <c r="U8" i="48"/>
  <c r="U7" i="48"/>
  <c r="U5" i="48"/>
  <c r="U6" i="48"/>
  <c r="L7" i="48"/>
  <c r="L6" i="48"/>
  <c r="L8" i="48"/>
  <c r="L4" i="48"/>
  <c r="L5" i="48"/>
  <c r="AB4" i="48"/>
  <c r="AB6" i="48"/>
  <c r="AB5" i="48"/>
  <c r="AB8" i="48"/>
  <c r="AB7" i="48"/>
  <c r="M7" i="48"/>
  <c r="M6" i="48"/>
  <c r="M8" i="48"/>
  <c r="M5" i="48"/>
  <c r="M4" i="48"/>
  <c r="AC6" i="48"/>
  <c r="AC8" i="48"/>
  <c r="AC4" i="48"/>
  <c r="AC7" i="48"/>
  <c r="AC5" i="48"/>
  <c r="AK5" i="50"/>
  <c r="V5" i="50"/>
  <c r="T180" i="46" l="1"/>
  <c r="S4" i="46" s="1"/>
  <c r="S3" i="46" l="1"/>
  <c r="S2" i="46"/>
  <c r="S1" i="46" s="1"/>
  <c r="AH3" i="46"/>
  <c r="CG3" i="46"/>
  <c r="DN3" i="46"/>
  <c r="DW3" i="46"/>
  <c r="DK3" i="46"/>
  <c r="DT3" i="46"/>
  <c r="AZ3" i="46"/>
  <c r="AQ3" i="46"/>
  <c r="EF3" i="46"/>
  <c r="DQ3" i="46"/>
  <c r="AW3" i="46"/>
  <c r="CD3" i="46"/>
  <c r="CP3" i="46"/>
  <c r="AK3" i="46"/>
  <c r="AT3" i="46"/>
  <c r="AN3" i="46"/>
  <c r="BL3" i="46"/>
  <c r="CA3" i="46"/>
  <c r="BI3" i="46"/>
  <c r="BX3" i="46"/>
  <c r="CV3" i="46"/>
  <c r="CS3" i="46"/>
  <c r="DZ3" i="46"/>
  <c r="DH3" i="46"/>
  <c r="BC3" i="46"/>
  <c r="CM3" i="46"/>
  <c r="AB3" i="46"/>
  <c r="V3" i="46"/>
  <c r="BF3" i="46"/>
  <c r="Y3" i="46"/>
  <c r="BU3" i="46"/>
  <c r="CY3" i="46"/>
  <c r="DE3" i="46"/>
  <c r="BO3" i="46"/>
  <c r="EC3" i="46"/>
  <c r="CJ3" i="46"/>
  <c r="BR3" i="46"/>
  <c r="AE3" i="46"/>
  <c r="DB3" i="46"/>
  <c r="AZ1" i="46" l="1"/>
  <c r="AK1" i="46"/>
  <c r="BI1" i="46"/>
  <c r="BO1" i="46"/>
  <c r="Y1" i="46"/>
  <c r="BC1" i="46"/>
  <c r="DQ1" i="46"/>
  <c r="CV1" i="46"/>
  <c r="DN1" i="46"/>
  <c r="CJ1" i="46"/>
  <c r="AH1" i="46"/>
  <c r="BL1" i="46"/>
  <c r="DW1" i="46"/>
  <c r="DZ1" i="46"/>
  <c r="BR1" i="46"/>
  <c r="CP1" i="46"/>
  <c r="DH1" i="46"/>
  <c r="EC1" i="46"/>
  <c r="DB1" i="46"/>
  <c r="AW1" i="46"/>
  <c r="AN1" i="46"/>
  <c r="DK1" i="46"/>
  <c r="CS1" i="46"/>
  <c r="AE1" i="46"/>
  <c r="CD1" i="46"/>
  <c r="V1" i="46"/>
  <c r="AQ1" i="46"/>
  <c r="CM1" i="46"/>
  <c r="EF1" i="46"/>
  <c r="BF1" i="46"/>
  <c r="BX1" i="46"/>
  <c r="CG1" i="46"/>
  <c r="DE1" i="46"/>
  <c r="BU1" i="46"/>
  <c r="CA1" i="46"/>
  <c r="AT1" i="46"/>
  <c r="AB1" i="46"/>
  <c r="CY1" i="46"/>
  <c r="DT1" i="46"/>
  <c r="H40" i="47" l="1" a="1"/>
  <c r="H40" i="47" s="1"/>
  <c r="F8" i="47" a="1"/>
  <c r="F8" i="47" s="1"/>
  <c r="H7" i="47" a="1"/>
  <c r="H7" i="47" s="1"/>
  <c r="S7" i="47" a="1"/>
  <c r="S7" i="47" s="1"/>
  <c r="I44" i="47" a="1"/>
  <c r="I44" i="47" s="1"/>
  <c r="H19" i="47" a="1"/>
  <c r="H19" i="47" s="1"/>
  <c r="C20" i="47"/>
  <c r="F37" i="47" a="1"/>
  <c r="F37" i="47" s="1"/>
  <c r="M26" i="47" a="1"/>
  <c r="M26" i="47" s="1"/>
  <c r="B27" i="47"/>
  <c r="N39" i="47" a="1"/>
  <c r="N39" i="47" s="1"/>
  <c r="B26" i="47"/>
  <c r="O11" i="47" a="1"/>
  <c r="O11" i="47" s="1"/>
  <c r="B31" i="47"/>
  <c r="K31" i="47" a="1"/>
  <c r="K31" i="47" s="1"/>
  <c r="G38" i="47" a="1"/>
  <c r="G38" i="47" s="1"/>
  <c r="P38" i="47" a="1"/>
  <c r="P38" i="47" s="1"/>
  <c r="M44" i="47" a="1"/>
  <c r="M44" i="47" s="1"/>
  <c r="I32" i="47" a="1"/>
  <c r="I32" i="47" s="1"/>
  <c r="B28" i="47"/>
  <c r="L13" i="47" a="1"/>
  <c r="L13" i="47" s="1"/>
  <c r="N27" i="47" a="1"/>
  <c r="N27" i="47" s="1"/>
  <c r="K12" i="47" a="1"/>
  <c r="K12" i="47" s="1"/>
  <c r="R16" i="47" a="1"/>
  <c r="R16" i="47" s="1"/>
  <c r="R11" i="47" a="1"/>
  <c r="R11" i="47" s="1"/>
  <c r="C38" i="47"/>
  <c r="O37" i="47" a="1"/>
  <c r="O37" i="47" s="1"/>
  <c r="G12" i="47" a="1"/>
  <c r="G12" i="47" s="1"/>
  <c r="I43" i="47" a="1"/>
  <c r="I43" i="47" s="1"/>
  <c r="G18" i="47" a="1"/>
  <c r="G18" i="47" s="1"/>
  <c r="N38" i="47" a="1"/>
  <c r="N38" i="47" s="1"/>
  <c r="G20" i="47" a="1"/>
  <c r="G20" i="47" s="1"/>
  <c r="M33" i="47" a="1"/>
  <c r="M33" i="47" s="1"/>
  <c r="I7" i="47" a="1"/>
  <c r="I7" i="47" s="1"/>
  <c r="P30" i="47" a="1"/>
  <c r="P30" i="47" s="1"/>
  <c r="B35" i="47"/>
  <c r="E37" i="47" a="1"/>
  <c r="E37" i="47" s="1"/>
  <c r="M17" i="47" a="1"/>
  <c r="M17" i="47" s="1"/>
  <c r="Q21" i="47" a="1"/>
  <c r="Q21" i="47" s="1"/>
  <c r="E19" i="47" a="1"/>
  <c r="E19" i="47" s="1"/>
  <c r="P19" i="47" a="1"/>
  <c r="P19" i="47" s="1"/>
  <c r="O36" i="47" a="1"/>
  <c r="O36" i="47" s="1"/>
  <c r="B23" i="47"/>
  <c r="F5" i="47" a="1"/>
  <c r="F5" i="47" s="1"/>
  <c r="J19" i="47" a="1"/>
  <c r="J19" i="47" s="1"/>
  <c r="F9" i="47" a="1"/>
  <c r="F9" i="47" s="1"/>
  <c r="K29" i="47" a="1"/>
  <c r="K29" i="47" s="1"/>
  <c r="P11" i="47" a="1"/>
  <c r="P11" i="47" s="1"/>
  <c r="J10" i="47" a="1"/>
  <c r="J10" i="47" s="1"/>
  <c r="P43" i="47" a="1"/>
  <c r="P43" i="47" s="1"/>
  <c r="L32" i="47" a="1"/>
  <c r="L32" i="47" s="1"/>
  <c r="B38" i="47"/>
  <c r="S30" i="47" a="1"/>
  <c r="S30" i="47" s="1"/>
  <c r="L25" i="47" a="1"/>
  <c r="L25" i="47" s="1"/>
  <c r="C12" i="47"/>
  <c r="C42" i="47"/>
  <c r="D36" i="47"/>
  <c r="D6" i="47"/>
  <c r="N11" i="47" a="1"/>
  <c r="N11" i="47" s="1"/>
  <c r="O9" i="47" a="1"/>
  <c r="O9" i="47" s="1"/>
  <c r="O8" i="47" a="1"/>
  <c r="O8" i="47" s="1"/>
  <c r="P22" i="47" a="1"/>
  <c r="P22" i="47" s="1"/>
  <c r="H25" i="47" a="1"/>
  <c r="H25" i="47" s="1"/>
  <c r="Q9" i="47" a="1"/>
  <c r="Q9" i="47" s="1"/>
  <c r="B14" i="47"/>
  <c r="D24" i="47"/>
  <c r="D44" i="47"/>
  <c r="B9" i="47"/>
  <c r="E21" i="47" a="1"/>
  <c r="E21" i="47" s="1"/>
  <c r="F21" i="47" a="1"/>
  <c r="F21" i="47" s="1"/>
  <c r="O39" i="47" a="1"/>
  <c r="O39" i="47" s="1"/>
  <c r="E32" i="47" a="1"/>
  <c r="E32" i="47" s="1"/>
  <c r="O27" i="47" a="1"/>
  <c r="O27" i="47" s="1"/>
  <c r="K8" i="47" a="1"/>
  <c r="K8" i="47" s="1"/>
  <c r="C33" i="47"/>
  <c r="P24" i="47" a="1"/>
  <c r="P24" i="47" s="1"/>
  <c r="L36" i="47" a="1"/>
  <c r="L36" i="47" s="1"/>
  <c r="M38" i="47" a="1"/>
  <c r="M38" i="47" s="1"/>
  <c r="Q30" i="47" a="1"/>
  <c r="Q30" i="47" s="1"/>
  <c r="H18" i="47" a="1"/>
  <c r="H18" i="47" s="1"/>
  <c r="Q36" i="47" a="1"/>
  <c r="Q36" i="47" s="1"/>
  <c r="G11" i="47" a="1"/>
  <c r="G11" i="47" s="1"/>
  <c r="E28" i="47" a="1"/>
  <c r="E28" i="47" s="1"/>
  <c r="P36" i="47" a="1"/>
  <c r="P36" i="47" s="1"/>
  <c r="D5" i="47"/>
  <c r="E40" i="47" a="1"/>
  <c r="E40" i="47" s="1"/>
  <c r="F43" i="47" a="1"/>
  <c r="F43" i="47" s="1"/>
  <c r="F42" i="47" a="1"/>
  <c r="F42" i="47" s="1"/>
  <c r="H37" i="47" a="1"/>
  <c r="H37" i="47" s="1"/>
  <c r="P31" i="47" a="1"/>
  <c r="P31" i="47" s="1"/>
  <c r="L18" i="47" a="1"/>
  <c r="L18" i="47" s="1"/>
  <c r="H26" i="47" a="1"/>
  <c r="H26" i="47" s="1"/>
  <c r="G7" i="47" a="1"/>
  <c r="G7" i="47" s="1"/>
  <c r="L6" i="47" a="1"/>
  <c r="L6" i="47" s="1"/>
  <c r="N18" i="47" a="1"/>
  <c r="N18" i="47" s="1"/>
  <c r="M23" i="47" a="1"/>
  <c r="M23" i="47" s="1"/>
  <c r="O40" i="47" a="1"/>
  <c r="O40" i="47" s="1"/>
  <c r="I21" i="47" a="1"/>
  <c r="I21" i="47" s="1"/>
  <c r="N14" i="47" a="1"/>
  <c r="N14" i="47" s="1"/>
  <c r="P25" i="47" a="1"/>
  <c r="P25" i="47" s="1"/>
  <c r="P28" i="47" a="1"/>
  <c r="P28" i="47" s="1"/>
  <c r="H17" i="47" a="1"/>
  <c r="H17" i="47" s="1"/>
  <c r="L33" i="47" a="1"/>
  <c r="L33" i="47" s="1"/>
  <c r="I14" i="47" a="1"/>
  <c r="I14" i="47" s="1"/>
  <c r="O35" i="47" a="1"/>
  <c r="O35" i="47" s="1"/>
  <c r="S13" i="47" a="1"/>
  <c r="S13" i="47" s="1"/>
  <c r="F20" i="47" a="1"/>
  <c r="F20" i="47" s="1"/>
  <c r="D35" i="47"/>
  <c r="B42" i="47"/>
  <c r="E14" i="47" a="1"/>
  <c r="E14" i="47" s="1"/>
  <c r="N26" i="47" a="1"/>
  <c r="N26" i="47" s="1"/>
  <c r="B13" i="47"/>
  <c r="Q16" i="47" a="1"/>
  <c r="Q16" i="47" s="1"/>
  <c r="P32" i="47" a="1"/>
  <c r="P32" i="47" s="1"/>
  <c r="I13" i="47" a="1"/>
  <c r="I13" i="47" s="1"/>
  <c r="E15" i="47" a="1"/>
  <c r="E15" i="47" s="1"/>
  <c r="H24" i="47" a="1"/>
  <c r="H24" i="47" s="1"/>
  <c r="Q5" i="47" a="1"/>
  <c r="Q5" i="47" s="1"/>
  <c r="I31" i="47" a="1"/>
  <c r="I31" i="47" s="1"/>
  <c r="M6" i="47" a="1"/>
  <c r="M6" i="47" s="1"/>
  <c r="H23" i="47" a="1"/>
  <c r="H23" i="47" s="1"/>
  <c r="Q6" i="47" a="1"/>
  <c r="Q6" i="47" s="1"/>
  <c r="S28" i="47" a="1"/>
  <c r="S28" i="47" s="1"/>
  <c r="C25" i="47"/>
  <c r="Q42" i="47" a="1"/>
  <c r="Q42" i="47" s="1"/>
  <c r="R10" i="47" a="1"/>
  <c r="R10" i="47" s="1"/>
  <c r="I26" i="47" a="1"/>
  <c r="I26" i="47" s="1"/>
  <c r="J43" i="47" a="1"/>
  <c r="J43" i="47" s="1"/>
  <c r="C34" i="47"/>
  <c r="J14" i="47" a="1"/>
  <c r="J14" i="47" s="1"/>
  <c r="M41" i="47" a="1"/>
  <c r="M41" i="47" s="1"/>
  <c r="G27" i="47" a="1"/>
  <c r="G27" i="47" s="1"/>
  <c r="E16" i="47" a="1"/>
  <c r="E16" i="47" s="1"/>
  <c r="C14" i="47"/>
  <c r="I6" i="47" a="1"/>
  <c r="I6" i="47" s="1"/>
  <c r="E23" i="47" a="1"/>
  <c r="E23" i="47" s="1"/>
  <c r="B32" i="47"/>
  <c r="Q33" i="47" a="1"/>
  <c r="Q33" i="47" s="1"/>
  <c r="F36" i="47" a="1"/>
  <c r="F36" i="47" s="1"/>
  <c r="J39" i="47" a="1"/>
  <c r="J39" i="47" s="1"/>
  <c r="B21" i="47"/>
  <c r="S18" i="47" a="1"/>
  <c r="S18" i="47" s="1"/>
  <c r="Q35" i="47" a="1"/>
  <c r="Q35" i="47" s="1"/>
  <c r="D42" i="47"/>
  <c r="F41" i="47" a="1"/>
  <c r="F41" i="47" s="1"/>
  <c r="J41" i="47" a="1"/>
  <c r="J41" i="47" s="1"/>
  <c r="F38" i="47" a="1"/>
  <c r="F38" i="47" s="1"/>
  <c r="O15" i="47" a="1"/>
  <c r="O15" i="47" s="1"/>
  <c r="L37" i="47" a="1"/>
  <c r="L37" i="47" s="1"/>
  <c r="O28" i="47" a="1"/>
  <c r="O28" i="47" s="1"/>
  <c r="C21" i="47"/>
  <c r="P40" i="47" a="1"/>
  <c r="P40" i="47" s="1"/>
  <c r="B44" i="47"/>
  <c r="M35" i="47" a="1"/>
  <c r="M35" i="47" s="1"/>
  <c r="R39" i="47" a="1"/>
  <c r="R39" i="47" s="1"/>
  <c r="Q26" i="47" a="1"/>
  <c r="Q26" i="47" s="1"/>
  <c r="J11" i="47" a="1"/>
  <c r="J11" i="47" s="1"/>
  <c r="P10" i="47" a="1"/>
  <c r="P10" i="47" s="1"/>
  <c r="C29" i="47"/>
  <c r="L27" i="47" a="1"/>
  <c r="L27" i="47" s="1"/>
  <c r="I19" i="47" a="1"/>
  <c r="I19" i="47" s="1"/>
  <c r="M34" i="47" a="1"/>
  <c r="M34" i="47" s="1"/>
  <c r="N22" i="47" a="1"/>
  <c r="N22" i="47" s="1"/>
  <c r="G26" i="47" a="1"/>
  <c r="G26" i="47" s="1"/>
  <c r="O20" i="47" a="1"/>
  <c r="O20" i="47" s="1"/>
  <c r="E6" i="47" a="1"/>
  <c r="E6" i="47" s="1"/>
  <c r="R9" i="47" a="1"/>
  <c r="R9" i="47" s="1"/>
  <c r="M43" i="47" a="1"/>
  <c r="M43" i="47" s="1"/>
  <c r="N34" i="47" a="1"/>
  <c r="N34" i="47" s="1"/>
  <c r="M11" i="47" a="1"/>
  <c r="M11" i="47" s="1"/>
  <c r="G37" i="47" a="1"/>
  <c r="G37" i="47" s="1"/>
  <c r="R21" i="47" a="1"/>
  <c r="R21" i="47" s="1"/>
  <c r="C30" i="47"/>
  <c r="F34" i="47" a="1"/>
  <c r="F34" i="47" s="1"/>
  <c r="J34" i="47" a="1"/>
  <c r="J34" i="47" s="1"/>
  <c r="L28" i="47" a="1"/>
  <c r="L28" i="47" s="1"/>
  <c r="G29" i="47" a="1"/>
  <c r="G29" i="47" s="1"/>
  <c r="E41" i="47" a="1"/>
  <c r="E41" i="47" s="1"/>
  <c r="G9" i="47" a="1"/>
  <c r="G9" i="47" s="1"/>
  <c r="G14" i="47" a="1"/>
  <c r="G14" i="47" s="1"/>
  <c r="B30" i="47"/>
  <c r="H27" i="47" a="1"/>
  <c r="H27" i="47" s="1"/>
  <c r="Q23" i="47" a="1"/>
  <c r="Q23" i="47" s="1"/>
  <c r="S20" i="47" a="1"/>
  <c r="S20" i="47" s="1"/>
  <c r="R37" i="47" a="1"/>
  <c r="R37" i="47" s="1"/>
  <c r="B19" i="47"/>
  <c r="G23" i="47" a="1"/>
  <c r="G23" i="47" s="1"/>
  <c r="I28" i="47" a="1"/>
  <c r="I28" i="47" s="1"/>
  <c r="I10" i="47" a="1"/>
  <c r="I10" i="47" s="1"/>
  <c r="L5" i="47" a="1"/>
  <c r="L5" i="47" s="1"/>
  <c r="F28" i="47" a="1"/>
  <c r="F28" i="47" s="1"/>
  <c r="M8" i="47" a="1"/>
  <c r="M8" i="47" s="1"/>
  <c r="C23" i="47"/>
  <c r="E29" i="47" a="1"/>
  <c r="E29" i="47" s="1"/>
  <c r="M12" i="47" a="1"/>
  <c r="M12" i="47" s="1"/>
  <c r="E8" i="47" a="1"/>
  <c r="E8" i="47" s="1"/>
  <c r="D33" i="47"/>
  <c r="Q43" i="47" a="1"/>
  <c r="Q43" i="47" s="1"/>
  <c r="E30" i="47" a="1"/>
  <c r="E30" i="47" s="1"/>
  <c r="F30" i="47" a="1"/>
  <c r="F30" i="47" s="1"/>
  <c r="O25" i="47" a="1"/>
  <c r="O25" i="47" s="1"/>
  <c r="K21" i="47" a="1"/>
  <c r="K21" i="47" s="1"/>
  <c r="Q12" i="47" a="1"/>
  <c r="Q12" i="47" s="1"/>
  <c r="M18" i="47" a="1"/>
  <c r="M18" i="47" s="1"/>
  <c r="F33" i="47" a="1"/>
  <c r="F33" i="47" s="1"/>
  <c r="H43" i="47" a="1"/>
  <c r="H43" i="47" s="1"/>
  <c r="D43" i="47"/>
  <c r="L20" i="47" a="1"/>
  <c r="L20" i="47" s="1"/>
  <c r="J37" i="47" a="1"/>
  <c r="J37" i="47" s="1"/>
  <c r="Q14" i="47" a="1"/>
  <c r="Q14" i="47" s="1"/>
  <c r="K17" i="47" a="1"/>
  <c r="K17" i="47" s="1"/>
  <c r="Q28" i="47" a="1"/>
  <c r="Q28" i="47" s="1"/>
  <c r="Q20" i="47" a="1"/>
  <c r="Q20" i="47" s="1"/>
  <c r="O22" i="47" a="1"/>
  <c r="O22" i="47" s="1"/>
  <c r="F31" i="47" a="1"/>
  <c r="F31" i="47" s="1"/>
  <c r="G35" i="47" a="1"/>
  <c r="G35" i="47" s="1"/>
  <c r="K44" i="47" a="1"/>
  <c r="K44" i="47" s="1"/>
  <c r="F44" i="47" a="1"/>
  <c r="F44" i="47" s="1"/>
  <c r="E5" i="47" a="1"/>
  <c r="E5" i="47" s="1"/>
  <c r="R8" i="47" a="1"/>
  <c r="R8" i="47" s="1"/>
  <c r="L15" i="47" a="1"/>
  <c r="L15" i="47" s="1"/>
  <c r="J6" i="47" a="1"/>
  <c r="J6" i="47" s="1"/>
  <c r="J33" i="47" a="1"/>
  <c r="J33" i="47" s="1"/>
  <c r="G6" i="47" a="1"/>
  <c r="G6" i="47" s="1"/>
  <c r="D15" i="47"/>
  <c r="G39" i="47" a="1"/>
  <c r="G39" i="47" s="1"/>
  <c r="B25" i="47"/>
  <c r="C17" i="47"/>
  <c r="J24" i="47" a="1"/>
  <c r="J24" i="47" s="1"/>
  <c r="B7" i="47"/>
  <c r="C13" i="47"/>
  <c r="G25" i="47" a="1"/>
  <c r="G25" i="47" s="1"/>
  <c r="Q37" i="47" a="1"/>
  <c r="Q37" i="47" s="1"/>
  <c r="F25" i="47" a="1"/>
  <c r="F25" i="47" s="1"/>
  <c r="S43" i="47" a="1"/>
  <c r="S43" i="47" s="1"/>
  <c r="S38" i="47" a="1"/>
  <c r="S38" i="47" s="1"/>
  <c r="Q29" i="47" a="1"/>
  <c r="Q29" i="47" s="1"/>
  <c r="F12" i="47" a="1"/>
  <c r="F12" i="47" s="1"/>
  <c r="C44" i="47"/>
  <c r="C32" i="47"/>
  <c r="Q38" i="47" a="1"/>
  <c r="Q38" i="47" s="1"/>
  <c r="O14" i="47" a="1"/>
  <c r="O14" i="47" s="1"/>
  <c r="C5" i="47"/>
  <c r="O10" i="47" a="1"/>
  <c r="O10" i="47" s="1"/>
  <c r="B34" i="47"/>
  <c r="H5" i="47" a="1"/>
  <c r="H5" i="47" s="1"/>
  <c r="O23" i="47" a="1"/>
  <c r="O23" i="47" s="1"/>
  <c r="P33" i="47" a="1"/>
  <c r="P33" i="47" s="1"/>
  <c r="L31" i="47" a="1"/>
  <c r="L31" i="47" s="1"/>
  <c r="L24" i="47" a="1"/>
  <c r="L24" i="47" s="1"/>
  <c r="R24" i="47" a="1"/>
  <c r="R24" i="47" s="1"/>
  <c r="F22" i="47" a="1"/>
  <c r="F22" i="47" s="1"/>
  <c r="K24" i="47" a="1"/>
  <c r="K24" i="47" s="1"/>
  <c r="G41" i="47" a="1"/>
  <c r="G41" i="47" s="1"/>
  <c r="O6" i="47" a="1"/>
  <c r="O6" i="47" s="1"/>
  <c r="C31" i="47"/>
  <c r="H22" i="47" a="1"/>
  <c r="H22" i="47" s="1"/>
  <c r="D26" i="47"/>
  <c r="Q18" i="47" a="1"/>
  <c r="Q18" i="47" s="1"/>
  <c r="L9" i="47" a="1"/>
  <c r="L9" i="47" s="1"/>
  <c r="J12" i="47" a="1"/>
  <c r="J12" i="47" s="1"/>
  <c r="N13" i="47" a="1"/>
  <c r="N13" i="47" s="1"/>
  <c r="J9" i="47" a="1"/>
  <c r="J9" i="47" s="1"/>
  <c r="O33" i="47" a="1"/>
  <c r="O33" i="47" s="1"/>
  <c r="G43" i="47" a="1"/>
  <c r="G43" i="47" s="1"/>
  <c r="C7" i="47"/>
  <c r="N6" i="47" a="1"/>
  <c r="N6" i="47" s="1"/>
  <c r="N16" i="47" a="1"/>
  <c r="N16" i="47" s="1"/>
  <c r="D9" i="47"/>
  <c r="N32" i="47" a="1"/>
  <c r="N32" i="47" s="1"/>
  <c r="C36" i="47"/>
  <c r="J7" i="47" a="1"/>
  <c r="J7" i="47" s="1"/>
  <c r="N35" i="47" a="1"/>
  <c r="N35" i="47" s="1"/>
  <c r="D40" i="47"/>
  <c r="K37" i="47" a="1"/>
  <c r="K37" i="47" s="1"/>
  <c r="B36" i="47"/>
  <c r="C8" i="47"/>
  <c r="L39" i="47" a="1"/>
  <c r="L39" i="47" s="1"/>
  <c r="F16" i="47" a="1"/>
  <c r="F16" i="47" s="1"/>
  <c r="R35" i="47" a="1"/>
  <c r="R35" i="47" s="1"/>
  <c r="R22" i="47" a="1"/>
  <c r="R22" i="47" s="1"/>
  <c r="N36" i="47" a="1"/>
  <c r="N36" i="47" s="1"/>
  <c r="D21" i="47"/>
  <c r="G44" i="47" a="1"/>
  <c r="G44" i="47" s="1"/>
  <c r="E24" i="47" a="1"/>
  <c r="E24" i="47" s="1"/>
  <c r="S39" i="47" a="1"/>
  <c r="S39" i="47" s="1"/>
  <c r="F19" i="47" a="1"/>
  <c r="F19" i="47" s="1"/>
  <c r="E38" i="47" a="1"/>
  <c r="E38" i="47" s="1"/>
  <c r="N20" i="47" a="1"/>
  <c r="N20" i="47" s="1"/>
  <c r="H38" i="47" a="1"/>
  <c r="H38" i="47" s="1"/>
  <c r="I40" i="47" a="1"/>
  <c r="I40" i="47" s="1"/>
  <c r="D18" i="47"/>
  <c r="O7" i="47" a="1"/>
  <c r="O7" i="47" s="1"/>
  <c r="N23" i="47" a="1"/>
  <c r="N23" i="47" s="1"/>
  <c r="R34" i="47" a="1"/>
  <c r="R34" i="47" s="1"/>
  <c r="B11" i="47"/>
  <c r="E9" i="47" a="1"/>
  <c r="E9" i="47" s="1"/>
  <c r="N40" i="47" a="1"/>
  <c r="N40" i="47" s="1"/>
  <c r="G24" i="47" a="1"/>
  <c r="G24" i="47" s="1"/>
  <c r="G33" i="47" a="1"/>
  <c r="G33" i="47" s="1"/>
  <c r="F40" i="47" a="1"/>
  <c r="F40" i="47" s="1"/>
  <c r="K33" i="47" a="1"/>
  <c r="K33" i="47" s="1"/>
  <c r="P18" i="47" a="1"/>
  <c r="P18" i="47" s="1"/>
  <c r="S37" i="47" a="1"/>
  <c r="S37" i="47" s="1"/>
  <c r="H20" i="47" a="1"/>
  <c r="H20" i="47" s="1"/>
  <c r="O12" i="47" a="1"/>
  <c r="O12" i="47" s="1"/>
  <c r="O5" i="47" a="1"/>
  <c r="O5" i="47" s="1"/>
  <c r="H14" i="47" a="1"/>
  <c r="H14" i="47" s="1"/>
  <c r="J32" i="47" a="1"/>
  <c r="J32" i="47" s="1"/>
  <c r="N5" i="47" a="1"/>
  <c r="N5" i="47" s="1"/>
  <c r="L14" i="47" a="1"/>
  <c r="L14" i="47" s="1"/>
  <c r="J38" i="47" a="1"/>
  <c r="J38" i="47" s="1"/>
  <c r="K18" i="47" a="1"/>
  <c r="K18" i="47" s="1"/>
  <c r="D38" i="47"/>
  <c r="O21" i="47" a="1"/>
  <c r="O21" i="47" s="1"/>
  <c r="O17" i="47" a="1"/>
  <c r="O17" i="47" s="1"/>
  <c r="H12" i="47" a="1"/>
  <c r="H12" i="47" s="1"/>
  <c r="E35" i="47" a="1"/>
  <c r="E35" i="47" s="1"/>
  <c r="R31" i="47" a="1"/>
  <c r="R31" i="47" s="1"/>
  <c r="Q24" i="47" a="1"/>
  <c r="Q24" i="47" s="1"/>
  <c r="C15" i="47"/>
  <c r="N37" i="47" a="1"/>
  <c r="N37" i="47" s="1"/>
  <c r="P7" i="47" a="1"/>
  <c r="P7" i="47" s="1"/>
  <c r="N29" i="47" a="1"/>
  <c r="N29" i="47" s="1"/>
  <c r="E34" i="47" a="1"/>
  <c r="E34" i="47" s="1"/>
  <c r="H21" i="47" a="1"/>
  <c r="H21" i="47" s="1"/>
  <c r="E44" i="47" a="1"/>
  <c r="E44" i="47" s="1"/>
  <c r="N7" i="47" a="1"/>
  <c r="N7" i="47" s="1"/>
  <c r="S17" i="47" a="1"/>
  <c r="S17" i="47" s="1"/>
  <c r="P34" i="47" a="1"/>
  <c r="P34" i="47" s="1"/>
  <c r="C40" i="47"/>
  <c r="F39" i="47" a="1"/>
  <c r="F39" i="47" s="1"/>
  <c r="J17" i="47" a="1"/>
  <c r="J17" i="47" s="1"/>
  <c r="L41" i="47" a="1"/>
  <c r="L41" i="47" s="1"/>
  <c r="H32" i="47" a="1"/>
  <c r="H32" i="47" s="1"/>
  <c r="I33" i="47" a="1"/>
  <c r="I33" i="47" s="1"/>
  <c r="I41" i="47" a="1"/>
  <c r="I41" i="47" s="1"/>
  <c r="M36" i="47" a="1"/>
  <c r="M36" i="47" s="1"/>
  <c r="J15" i="47" a="1"/>
  <c r="J15" i="47" s="1"/>
  <c r="C16" i="47"/>
  <c r="H36" i="47" a="1"/>
  <c r="H36" i="47" s="1"/>
  <c r="L7" i="47" a="1"/>
  <c r="L7" i="47" s="1"/>
  <c r="S16" i="47" a="1"/>
  <c r="S16" i="47" s="1"/>
  <c r="R43" i="47" a="1"/>
  <c r="R43" i="47" s="1"/>
  <c r="O26" i="47" a="1"/>
  <c r="O26" i="47" s="1"/>
  <c r="D29" i="47"/>
  <c r="L26" i="47" a="1"/>
  <c r="L26" i="47" s="1"/>
  <c r="I5" i="47" a="1"/>
  <c r="I5" i="47" s="1"/>
  <c r="R33" i="47" a="1"/>
  <c r="R33" i="47" s="1"/>
  <c r="G30" i="47" a="1"/>
  <c r="G30" i="47" s="1"/>
  <c r="G40" i="47" a="1"/>
  <c r="G40" i="47" s="1"/>
  <c r="N31" i="47" a="1"/>
  <c r="N31" i="47" s="1"/>
  <c r="K43" i="47" a="1"/>
  <c r="K43" i="47" s="1"/>
  <c r="P26" i="47" a="1"/>
  <c r="P26" i="47" s="1"/>
  <c r="M28" i="47" a="1"/>
  <c r="M28" i="47" s="1"/>
  <c r="Q19" i="47" a="1"/>
  <c r="Q19" i="47" s="1"/>
  <c r="R36" i="47" a="1"/>
  <c r="R36" i="47" s="1"/>
  <c r="B43" i="47"/>
  <c r="H9" i="47" a="1"/>
  <c r="H9" i="47" s="1"/>
  <c r="L11" i="47" a="1"/>
  <c r="L11" i="47" s="1"/>
  <c r="M32" i="47" a="1"/>
  <c r="M32" i="47" s="1"/>
  <c r="R13" i="47" a="1"/>
  <c r="R13" i="47" s="1"/>
  <c r="L42" i="47" a="1"/>
  <c r="L42" i="47" s="1"/>
  <c r="J28" i="47" a="1"/>
  <c r="J28" i="47" s="1"/>
  <c r="O38" i="47" a="1"/>
  <c r="O38" i="47" s="1"/>
  <c r="R14" i="47" a="1"/>
  <c r="R14" i="47" s="1"/>
  <c r="I42" i="47" a="1"/>
  <c r="I42" i="47" s="1"/>
  <c r="D12" i="47"/>
  <c r="S36" i="47" a="1"/>
  <c r="S36" i="47" s="1"/>
  <c r="I22" i="47" a="1"/>
  <c r="I22" i="47" s="1"/>
  <c r="G42" i="47" a="1"/>
  <c r="G42" i="47" s="1"/>
  <c r="N8" i="47" a="1"/>
  <c r="N8" i="47" s="1"/>
  <c r="R44" i="47" a="1"/>
  <c r="R44" i="47" s="1"/>
  <c r="I8" i="47" a="1"/>
  <c r="I8" i="47" s="1"/>
  <c r="B18" i="47"/>
  <c r="D20" i="47"/>
  <c r="C28" i="47"/>
  <c r="S25" i="47" a="1"/>
  <c r="S25" i="47" s="1"/>
  <c r="B24" i="47"/>
  <c r="L17" i="47" a="1"/>
  <c r="L17" i="47" s="1"/>
  <c r="F26" i="47" a="1"/>
  <c r="F26" i="47" s="1"/>
  <c r="R25" i="47" a="1"/>
  <c r="R25" i="47" s="1"/>
  <c r="N17" i="47" a="1"/>
  <c r="N17" i="47" s="1"/>
  <c r="K9" i="47" a="1"/>
  <c r="K9" i="47" s="1"/>
  <c r="R27" i="47" a="1"/>
  <c r="R27" i="47" s="1"/>
  <c r="R19" i="47" a="1"/>
  <c r="R19" i="47" s="1"/>
  <c r="S44" i="47" a="1"/>
  <c r="S44" i="47" s="1"/>
  <c r="E12" i="47" a="1"/>
  <c r="E12" i="47" s="1"/>
  <c r="P39" i="47" a="1"/>
  <c r="P39" i="47" s="1"/>
  <c r="D41" i="47"/>
  <c r="R17" i="47" a="1"/>
  <c r="R17" i="47" s="1"/>
  <c r="L35" i="47" a="1"/>
  <c r="L35" i="47" s="1"/>
  <c r="K28" i="47" a="1"/>
  <c r="K28" i="47" s="1"/>
  <c r="K20" i="47" a="1"/>
  <c r="K20" i="47" s="1"/>
  <c r="K14" i="47" a="1"/>
  <c r="K14" i="47" s="1"/>
  <c r="F10" i="47" a="1"/>
  <c r="F10" i="47" s="1"/>
  <c r="P41" i="47" a="1"/>
  <c r="P41" i="47" s="1"/>
  <c r="K38" i="47" a="1"/>
  <c r="K38" i="47" s="1"/>
  <c r="N44" i="47" a="1"/>
  <c r="N44" i="47" s="1"/>
  <c r="J16" i="47" a="1"/>
  <c r="J16" i="47" s="1"/>
  <c r="O19" i="47" a="1"/>
  <c r="O19" i="47" s="1"/>
  <c r="S11" i="47" a="1"/>
  <c r="S11" i="47" s="1"/>
  <c r="R38" i="47" a="1"/>
  <c r="R38" i="47" s="1"/>
  <c r="F15" i="47" a="1"/>
  <c r="F15" i="47" s="1"/>
  <c r="D31" i="47"/>
  <c r="O34" i="47" a="1"/>
  <c r="O34" i="47" s="1"/>
  <c r="L29" i="47" a="1"/>
  <c r="L29" i="47" s="1"/>
  <c r="P29" i="47" a="1"/>
  <c r="P29" i="47" s="1"/>
  <c r="B41" i="47"/>
  <c r="J36" i="47" a="1"/>
  <c r="J36" i="47" s="1"/>
  <c r="L34" i="47" a="1"/>
  <c r="L34" i="47" s="1"/>
  <c r="F23" i="47" a="1"/>
  <c r="F23" i="47" s="1"/>
  <c r="G8" i="47" a="1"/>
  <c r="G8" i="47" s="1"/>
  <c r="M40" i="47" a="1"/>
  <c r="M40" i="47" s="1"/>
  <c r="F11" i="47" a="1"/>
  <c r="F11" i="47" s="1"/>
  <c r="K11" i="47" a="1"/>
  <c r="K11" i="47" s="1"/>
  <c r="Q27" i="47" a="1"/>
  <c r="Q27" i="47" s="1"/>
  <c r="C35" i="47"/>
  <c r="J29" i="47" a="1"/>
  <c r="J29" i="47" s="1"/>
  <c r="H11" i="47" a="1"/>
  <c r="H11" i="47" s="1"/>
  <c r="M21" i="47" a="1"/>
  <c r="M21" i="47" s="1"/>
  <c r="S26" i="47" a="1"/>
  <c r="S26" i="47" s="1"/>
  <c r="B20" i="47"/>
  <c r="D13" i="47"/>
  <c r="L19" i="47" a="1"/>
  <c r="L19" i="47" s="1"/>
  <c r="M13" i="47" a="1"/>
  <c r="M13" i="47" s="1"/>
  <c r="D22" i="47"/>
  <c r="S35" i="47" a="1"/>
  <c r="S35" i="47" s="1"/>
  <c r="M22" i="47" a="1"/>
  <c r="M22" i="47" s="1"/>
  <c r="M42" i="47" a="1"/>
  <c r="M42" i="47" s="1"/>
  <c r="R40" i="47" a="1"/>
  <c r="R40" i="47" s="1"/>
  <c r="K32" i="47" a="1"/>
  <c r="K32" i="47" s="1"/>
  <c r="N12" i="47" a="1"/>
  <c r="N12" i="47" s="1"/>
  <c r="G5" i="47" a="1"/>
  <c r="G5" i="47" s="1"/>
  <c r="H35" i="47" a="1"/>
  <c r="H35" i="47" s="1"/>
  <c r="O32" i="47" a="1"/>
  <c r="O32" i="47" s="1"/>
  <c r="P23" i="47" a="1"/>
  <c r="P23" i="47" s="1"/>
  <c r="P14" i="47" a="1"/>
  <c r="P14" i="47" s="1"/>
  <c r="J13" i="47" a="1"/>
  <c r="J13" i="47" s="1"/>
  <c r="B16" i="47"/>
  <c r="L23" i="47" a="1"/>
  <c r="L23" i="47" s="1"/>
  <c r="I12" i="47" a="1"/>
  <c r="I12" i="47" s="1"/>
  <c r="H41" i="47" a="1"/>
  <c r="H41" i="47" s="1"/>
  <c r="H42" i="47" a="1"/>
  <c r="H42" i="47" s="1"/>
  <c r="S42" i="47" a="1"/>
  <c r="S42" i="47" s="1"/>
  <c r="N33" i="47" a="1"/>
  <c r="N33" i="47" s="1"/>
  <c r="O44" i="47" a="1"/>
  <c r="O44" i="47" s="1"/>
  <c r="B29" i="47"/>
  <c r="S21" i="47" a="1"/>
  <c r="S21" i="47" s="1"/>
  <c r="P17" i="47" a="1"/>
  <c r="P17" i="47" s="1"/>
  <c r="P35" i="47" a="1"/>
  <c r="P35" i="47" s="1"/>
  <c r="O16" i="47" a="1"/>
  <c r="O16" i="47" s="1"/>
  <c r="G31" i="47" a="1"/>
  <c r="G31" i="47" s="1"/>
  <c r="E22" i="47" a="1"/>
  <c r="E22" i="47" s="1"/>
  <c r="S19" i="47" a="1"/>
  <c r="S19" i="47" s="1"/>
  <c r="S31" i="47" a="1"/>
  <c r="S31" i="47" s="1"/>
  <c r="R32" i="47" a="1"/>
  <c r="R32" i="47" s="1"/>
  <c r="L8" i="47" a="1"/>
  <c r="L8" i="47" s="1"/>
  <c r="D23" i="47"/>
  <c r="F6" i="47" a="1"/>
  <c r="F6" i="47" s="1"/>
  <c r="I20" i="47" a="1"/>
  <c r="I20" i="47" s="1"/>
  <c r="P44" i="47" a="1"/>
  <c r="P44" i="47" s="1"/>
  <c r="K36" i="47" a="1"/>
  <c r="K36" i="47" s="1"/>
  <c r="H39" i="47" a="1"/>
  <c r="H39" i="47" s="1"/>
  <c r="C26" i="47"/>
  <c r="K27" i="47" a="1"/>
  <c r="K27" i="47" s="1"/>
  <c r="R6" i="47" a="1"/>
  <c r="R6" i="47" s="1"/>
  <c r="D19" i="47"/>
  <c r="C37" i="47"/>
  <c r="S10" i="47" a="1"/>
  <c r="S10" i="47" s="1"/>
  <c r="D39" i="47"/>
  <c r="N15" i="47" a="1"/>
  <c r="N15" i="47" s="1"/>
  <c r="O13" i="47" a="1"/>
  <c r="O13" i="47" s="1"/>
  <c r="D28" i="47"/>
  <c r="N9" i="47" a="1"/>
  <c r="N9" i="47" s="1"/>
  <c r="M24" i="47" a="1"/>
  <c r="M24" i="47" s="1"/>
  <c r="F27" i="47" a="1"/>
  <c r="F27" i="47" s="1"/>
  <c r="N43" i="47" a="1"/>
  <c r="N43" i="47" s="1"/>
  <c r="K25" i="47" a="1"/>
  <c r="K25" i="47" s="1"/>
  <c r="M31" i="47" a="1"/>
  <c r="M31" i="47" s="1"/>
  <c r="C18" i="47"/>
  <c r="J44" i="47" a="1"/>
  <c r="J44" i="47" s="1"/>
  <c r="G28" i="47" a="1"/>
  <c r="G28" i="47" s="1"/>
  <c r="E42" i="47" a="1"/>
  <c r="E42" i="47" s="1"/>
  <c r="L44" i="47" a="1"/>
  <c r="L44" i="47" s="1"/>
  <c r="B8" i="47"/>
  <c r="I29" i="47" a="1"/>
  <c r="I29" i="47" s="1"/>
  <c r="C24" i="47"/>
  <c r="J18" i="47" a="1"/>
  <c r="J18" i="47" s="1"/>
  <c r="K6" i="47" a="1"/>
  <c r="K6" i="47" s="1"/>
  <c r="S6" i="47" a="1"/>
  <c r="S6" i="47" s="1"/>
  <c r="S9" i="47" a="1"/>
  <c r="S9" i="47" s="1"/>
  <c r="R41" i="47" a="1"/>
  <c r="R41" i="47" s="1"/>
  <c r="S14" i="47" a="1"/>
  <c r="S14" i="47" s="1"/>
  <c r="P9" i="47" a="1"/>
  <c r="P9" i="47" s="1"/>
  <c r="H28" i="47" a="1"/>
  <c r="H28" i="47" s="1"/>
  <c r="K30" i="47" a="1"/>
  <c r="K30" i="47" s="1"/>
  <c r="S27" i="47" a="1"/>
  <c r="S27" i="47" s="1"/>
  <c r="Q32" i="47" a="1"/>
  <c r="Q32" i="47" s="1"/>
  <c r="E36" i="47" a="1"/>
  <c r="E36" i="47" s="1"/>
  <c r="O18" i="47" a="1"/>
  <c r="O18" i="47" s="1"/>
  <c r="S15" i="47" a="1"/>
  <c r="S15" i="47" s="1"/>
  <c r="N28" i="47" a="1"/>
  <c r="N28" i="47" s="1"/>
  <c r="R15" i="47" a="1"/>
  <c r="R15" i="47" s="1"/>
  <c r="K23" i="47" a="1"/>
  <c r="K23" i="47" s="1"/>
  <c r="I24" i="47" a="1"/>
  <c r="I24" i="47" s="1"/>
  <c r="H34" i="47" a="1"/>
  <c r="H34" i="47" s="1"/>
  <c r="G17" i="47" a="1"/>
  <c r="G17" i="47" s="1"/>
  <c r="N10" i="47" a="1"/>
  <c r="N10" i="47" s="1"/>
  <c r="M14" i="47" a="1"/>
  <c r="M14" i="47" s="1"/>
  <c r="K26" i="47" a="1"/>
  <c r="K26" i="47" s="1"/>
  <c r="N21" i="47" a="1"/>
  <c r="N21" i="47" s="1"/>
  <c r="M39" i="47" a="1"/>
  <c r="M39" i="47" s="1"/>
  <c r="S32" i="47" a="1"/>
  <c r="S32" i="47" s="1"/>
  <c r="K7" i="47" a="1"/>
  <c r="K7" i="47" s="1"/>
  <c r="D10" i="47"/>
  <c r="S41" i="47" a="1"/>
  <c r="S41" i="47" s="1"/>
  <c r="L16" i="47" a="1"/>
  <c r="L16" i="47" s="1"/>
  <c r="M16" i="47" a="1"/>
  <c r="M16" i="47" s="1"/>
  <c r="Q40" i="47" a="1"/>
  <c r="Q40" i="47" s="1"/>
  <c r="D14" i="47"/>
  <c r="N19" i="47" a="1"/>
  <c r="N19" i="47" s="1"/>
  <c r="E18" i="47" a="1"/>
  <c r="E18" i="47" s="1"/>
  <c r="S40" i="47" a="1"/>
  <c r="S40" i="47" s="1"/>
  <c r="I15" i="47" a="1"/>
  <c r="I15" i="47" s="1"/>
  <c r="K41" i="47" a="1"/>
  <c r="K41" i="47" s="1"/>
  <c r="G34" i="47" a="1"/>
  <c r="G34" i="47" s="1"/>
  <c r="D37" i="47"/>
  <c r="E39" i="47" a="1"/>
  <c r="E39" i="47" s="1"/>
  <c r="E25" i="47" a="1"/>
  <c r="E25" i="47" s="1"/>
  <c r="E11" i="47" a="1"/>
  <c r="E11" i="47" s="1"/>
  <c r="C43" i="47"/>
  <c r="I16" i="47" a="1"/>
  <c r="I16" i="47" s="1"/>
  <c r="H33" i="47" a="1"/>
  <c r="H33" i="47" s="1"/>
  <c r="H30" i="47" a="1"/>
  <c r="H30" i="47" s="1"/>
  <c r="L40" i="47" a="1"/>
  <c r="L40" i="47" s="1"/>
  <c r="H44" i="47" a="1"/>
  <c r="H44" i="47" s="1"/>
  <c r="P8" i="47" a="1"/>
  <c r="P8" i="47" s="1"/>
  <c r="M25" i="47" a="1"/>
  <c r="M25" i="47" s="1"/>
  <c r="L30" i="47" a="1"/>
  <c r="L30" i="47" s="1"/>
  <c r="K35" i="47" a="1"/>
  <c r="K35" i="47" s="1"/>
  <c r="C6" i="47"/>
  <c r="S8" i="47" a="1"/>
  <c r="S8" i="47" s="1"/>
  <c r="L38" i="47" a="1"/>
  <c r="L38" i="47" s="1"/>
  <c r="N42" i="47" a="1"/>
  <c r="N42" i="47" s="1"/>
  <c r="P42" i="47" a="1"/>
  <c r="P42" i="47" s="1"/>
  <c r="J27" i="47" a="1"/>
  <c r="J27" i="47" s="1"/>
  <c r="M29" i="47" a="1"/>
  <c r="M29" i="47" s="1"/>
  <c r="M27" i="47" a="1"/>
  <c r="M27" i="47" s="1"/>
  <c r="G19" i="47" a="1"/>
  <c r="G19" i="47" s="1"/>
  <c r="L22" i="47" a="1"/>
  <c r="L22" i="47" s="1"/>
  <c r="O29" i="47" a="1"/>
  <c r="O29" i="47" s="1"/>
  <c r="L10" i="47" a="1"/>
  <c r="L10" i="47" s="1"/>
  <c r="O42" i="47" a="1"/>
  <c r="O42" i="47" s="1"/>
  <c r="D30" i="47"/>
  <c r="E43" i="47" a="1"/>
  <c r="E43" i="47" s="1"/>
  <c r="C27" i="47"/>
  <c r="I36" i="47" a="1"/>
  <c r="I36" i="47" s="1"/>
  <c r="R30" i="47" a="1"/>
  <c r="R30" i="47" s="1"/>
  <c r="G15" i="47" a="1"/>
  <c r="G15" i="47" s="1"/>
  <c r="P15" i="47" a="1"/>
  <c r="P15" i="47" s="1"/>
  <c r="G36" i="47" a="1"/>
  <c r="G36" i="47" s="1"/>
  <c r="C11" i="47"/>
  <c r="H13" i="47" a="1"/>
  <c r="H13" i="47" s="1"/>
  <c r="B37" i="47"/>
  <c r="S29" i="47" a="1"/>
  <c r="S29" i="47" s="1"/>
  <c r="O24" i="47" a="1"/>
  <c r="O24" i="47" s="1"/>
  <c r="P27" i="47" a="1"/>
  <c r="P27" i="47" s="1"/>
  <c r="M7" i="47" a="1"/>
  <c r="M7" i="47" s="1"/>
  <c r="C10" i="47"/>
  <c r="J30" i="47" a="1"/>
  <c r="J30" i="47" s="1"/>
  <c r="Q13" i="47" a="1"/>
  <c r="Q13" i="47" s="1"/>
  <c r="J25" i="47" a="1"/>
  <c r="J25" i="47" s="1"/>
  <c r="R18" i="47" a="1"/>
  <c r="R18" i="47" s="1"/>
  <c r="F17" i="47" a="1"/>
  <c r="F17" i="47" s="1"/>
  <c r="Q7" i="47" a="1"/>
  <c r="Q7" i="47" s="1"/>
  <c r="I37" i="47" a="1"/>
  <c r="I37" i="47" s="1"/>
  <c r="D27" i="47"/>
  <c r="H10" i="47" a="1"/>
  <c r="H10" i="47" s="1"/>
  <c r="S22" i="47" a="1"/>
  <c r="S22" i="47" s="1"/>
  <c r="N24" i="47" a="1"/>
  <c r="N24" i="47" s="1"/>
  <c r="K5" i="47" a="1"/>
  <c r="K5" i="47" s="1"/>
  <c r="J8" i="47" a="1"/>
  <c r="J8" i="47" s="1"/>
  <c r="G22" i="47" a="1"/>
  <c r="G22" i="47" s="1"/>
  <c r="R29" i="47" a="1"/>
  <c r="R29" i="47" s="1"/>
  <c r="M30" i="47" a="1"/>
  <c r="M30" i="47" s="1"/>
  <c r="P21" i="47" a="1"/>
  <c r="P21" i="47" s="1"/>
  <c r="J22" i="47" a="1"/>
  <c r="J22" i="47" s="1"/>
  <c r="O30" i="47" a="1"/>
  <c r="O30" i="47" s="1"/>
  <c r="I18" i="47" a="1"/>
  <c r="I18" i="47" s="1"/>
  <c r="J26" i="47" a="1"/>
  <c r="J26" i="47" s="1"/>
  <c r="Q39" i="47" a="1"/>
  <c r="Q39" i="47" s="1"/>
  <c r="S34" i="47" a="1"/>
  <c r="S34" i="47" s="1"/>
  <c r="P13" i="47" a="1"/>
  <c r="P13" i="47" s="1"/>
  <c r="B40" i="47"/>
  <c r="N30" i="47" a="1"/>
  <c r="N30" i="47" s="1"/>
  <c r="B17" i="47"/>
  <c r="J35" i="47" a="1"/>
  <c r="J35" i="47" s="1"/>
  <c r="P5" i="47" a="1"/>
  <c r="P5" i="47" s="1"/>
  <c r="I39" i="47" a="1"/>
  <c r="I39" i="47" s="1"/>
  <c r="D17" i="47"/>
  <c r="F14" i="47" a="1"/>
  <c r="F14" i="47" s="1"/>
  <c r="B33" i="47"/>
  <c r="S24" i="47" a="1"/>
  <c r="S24" i="47" s="1"/>
  <c r="D7" i="47"/>
  <c r="C19" i="47"/>
  <c r="K19" i="47" a="1"/>
  <c r="K19" i="47" s="1"/>
  <c r="H15" i="47" a="1"/>
  <c r="H15" i="47" s="1"/>
  <c r="L12" i="47" a="1"/>
  <c r="L12" i="47" s="1"/>
  <c r="M10" i="47" a="1"/>
  <c r="M10" i="47" s="1"/>
  <c r="F24" i="47" a="1"/>
  <c r="F24" i="47" s="1"/>
  <c r="I25" i="47" a="1"/>
  <c r="I25" i="47" s="1"/>
  <c r="B39" i="47"/>
  <c r="G10" i="47" a="1"/>
  <c r="G10" i="47" s="1"/>
  <c r="I17" i="47" a="1"/>
  <c r="I17" i="47" s="1"/>
  <c r="Q31" i="47" a="1"/>
  <c r="Q31" i="47" s="1"/>
  <c r="D34" i="47"/>
  <c r="K10" i="47" a="1"/>
  <c r="K10" i="47" s="1"/>
  <c r="S5" i="47" a="1"/>
  <c r="S5" i="47" s="1"/>
  <c r="K42" i="47" a="1"/>
  <c r="K42" i="47" s="1"/>
  <c r="S12" i="47" a="1"/>
  <c r="S12" i="47" s="1"/>
  <c r="B22" i="47"/>
  <c r="E33" i="47" a="1"/>
  <c r="E33" i="47" s="1"/>
  <c r="J31" i="47" a="1"/>
  <c r="J31" i="47" s="1"/>
  <c r="Q8" i="47" a="1"/>
  <c r="Q8" i="47" s="1"/>
  <c r="K40" i="47" a="1"/>
  <c r="K40" i="47" s="1"/>
  <c r="M15" i="47" a="1"/>
  <c r="M15" i="47" s="1"/>
  <c r="P20" i="47" a="1"/>
  <c r="P20" i="47" s="1"/>
  <c r="I9" i="47" a="1"/>
  <c r="I9" i="47" s="1"/>
  <c r="R7" i="47" a="1"/>
  <c r="R7" i="47" s="1"/>
  <c r="K15" i="47" a="1"/>
  <c r="K15" i="47" s="1"/>
  <c r="J42" i="47" a="1"/>
  <c r="J42" i="47" s="1"/>
  <c r="Q11" i="47" a="1"/>
  <c r="Q11" i="47" s="1"/>
  <c r="O31" i="47" a="1"/>
  <c r="O31" i="47" s="1"/>
  <c r="K34" i="47" a="1"/>
  <c r="K34" i="47" s="1"/>
  <c r="H6" i="47" a="1"/>
  <c r="H6" i="47" s="1"/>
  <c r="E10" i="47" a="1"/>
  <c r="E10" i="47" s="1"/>
  <c r="F29" i="47" a="1"/>
  <c r="F29" i="47" s="1"/>
  <c r="N41" i="47" a="1"/>
  <c r="N41" i="47" s="1"/>
  <c r="K22" i="47" a="1"/>
  <c r="K22" i="47" s="1"/>
  <c r="G21" i="47" a="1"/>
  <c r="G21" i="47" s="1"/>
  <c r="H16" i="47" a="1"/>
  <c r="H16" i="47" s="1"/>
  <c r="Q25" i="47" a="1"/>
  <c r="Q25" i="47" s="1"/>
  <c r="D11" i="47"/>
  <c r="E26" i="47" a="1"/>
  <c r="E26" i="47" s="1"/>
  <c r="R26" i="47" a="1"/>
  <c r="R26" i="47" s="1"/>
  <c r="R5" i="47" a="1"/>
  <c r="R5" i="47" s="1"/>
  <c r="M37" i="47" a="1"/>
  <c r="M37" i="47" s="1"/>
  <c r="F32" i="47" a="1"/>
  <c r="F32" i="47" s="1"/>
  <c r="R42" i="47" a="1"/>
  <c r="R42" i="47" s="1"/>
  <c r="Q17" i="47" a="1"/>
  <c r="Q17" i="47" s="1"/>
  <c r="I23" i="47" a="1"/>
  <c r="I23" i="47" s="1"/>
  <c r="J21" i="47" a="1"/>
  <c r="J21" i="47" s="1"/>
  <c r="N25" i="47" a="1"/>
  <c r="N25" i="47" s="1"/>
  <c r="J20" i="47" a="1"/>
  <c r="J20" i="47" s="1"/>
  <c r="F18" i="47" a="1"/>
  <c r="F18" i="47" s="1"/>
  <c r="R23" i="47" a="1"/>
  <c r="R23" i="47" s="1"/>
  <c r="I11" i="47" a="1"/>
  <c r="I11" i="47" s="1"/>
  <c r="B15" i="47"/>
  <c r="E17" i="47" a="1"/>
  <c r="E17" i="47" s="1"/>
  <c r="B12" i="47"/>
  <c r="D32" i="47"/>
  <c r="K39" i="47" a="1"/>
  <c r="K39" i="47" s="1"/>
  <c r="F7" i="47" a="1"/>
  <c r="F7" i="47" s="1"/>
  <c r="D16" i="47"/>
  <c r="E13" i="47" a="1"/>
  <c r="E13" i="47" s="1"/>
  <c r="E31" i="47" a="1"/>
  <c r="E31" i="47" s="1"/>
  <c r="P6" i="47" a="1"/>
  <c r="P6" i="47" s="1"/>
  <c r="D8" i="47"/>
  <c r="J23" i="47" a="1"/>
  <c r="J23" i="47" s="1"/>
  <c r="H8" i="47" a="1"/>
  <c r="H8" i="47" s="1"/>
  <c r="E7" i="47" a="1"/>
  <c r="E7" i="47" s="1"/>
  <c r="I35" i="47" a="1"/>
  <c r="I35" i="47" s="1"/>
  <c r="C39" i="47"/>
  <c r="P16" i="47" a="1"/>
  <c r="P16" i="47" s="1"/>
  <c r="M9" i="47" a="1"/>
  <c r="M9" i="47" s="1"/>
  <c r="S23" i="47" a="1"/>
  <c r="S23" i="47" s="1"/>
  <c r="M20" i="47" a="1"/>
  <c r="M20" i="47" s="1"/>
  <c r="G16" i="47" a="1"/>
  <c r="G16" i="47" s="1"/>
  <c r="O43" i="47" a="1"/>
  <c r="O43" i="47" s="1"/>
  <c r="H29" i="47" a="1"/>
  <c r="H29" i="47" s="1"/>
  <c r="I34" i="47" a="1"/>
  <c r="I34" i="47" s="1"/>
  <c r="E20" i="47" a="1"/>
  <c r="E20" i="47" s="1"/>
  <c r="S33" i="47" a="1"/>
  <c r="S33" i="47" s="1"/>
  <c r="G32" i="47" a="1"/>
  <c r="G32" i="47" s="1"/>
  <c r="K13" i="47" a="1"/>
  <c r="K13" i="47" s="1"/>
  <c r="R28" i="47" a="1"/>
  <c r="R28" i="47" s="1"/>
  <c r="B6" i="47"/>
  <c r="C9" i="47"/>
  <c r="B10" i="47"/>
  <c r="M19" i="47" a="1"/>
  <c r="M19" i="47" s="1"/>
  <c r="R12" i="47" a="1"/>
  <c r="R12" i="47" s="1"/>
  <c r="I30" i="47" a="1"/>
  <c r="I30" i="47" s="1"/>
  <c r="P12" i="47" a="1"/>
  <c r="P12" i="47" s="1"/>
  <c r="K16" i="47" a="1"/>
  <c r="K16" i="47" s="1"/>
  <c r="Q34" i="47" a="1"/>
  <c r="Q34" i="47" s="1"/>
  <c r="Q22" i="47" a="1"/>
  <c r="Q22" i="47" s="1"/>
  <c r="F35" i="47" a="1"/>
  <c r="F35" i="47" s="1"/>
  <c r="J40" i="47" a="1"/>
  <c r="J40" i="47" s="1"/>
  <c r="Q10" i="47" a="1"/>
  <c r="Q10" i="47" s="1"/>
  <c r="M5" i="47" a="1"/>
  <c r="M5" i="47" s="1"/>
  <c r="Q15" i="47" a="1"/>
  <c r="Q15" i="47" s="1"/>
  <c r="Q44" i="47" a="1"/>
  <c r="Q44" i="47" s="1"/>
  <c r="O41" i="47" a="1"/>
  <c r="O41" i="47" s="1"/>
  <c r="C22" i="47"/>
  <c r="P37" i="47" a="1"/>
  <c r="P37" i="47" s="1"/>
  <c r="I27" i="47" a="1"/>
  <c r="I27" i="47" s="1"/>
  <c r="F13" i="47" a="1"/>
  <c r="F13" i="47" s="1"/>
  <c r="D25" i="47"/>
  <c r="H31" i="47" a="1"/>
  <c r="H31" i="47" s="1"/>
  <c r="J5" i="47" a="1"/>
  <c r="J5" i="47" s="1"/>
  <c r="C41" i="47"/>
  <c r="B5" i="47"/>
  <c r="L21" i="47" a="1"/>
  <c r="L21" i="47" s="1"/>
  <c r="Q41" i="47" a="1"/>
  <c r="Q41" i="47" s="1"/>
  <c r="R20" i="47" a="1"/>
  <c r="R20" i="47" s="1"/>
  <c r="G13" i="47" a="1"/>
  <c r="G13" i="47" s="1"/>
  <c r="I38" i="47" a="1"/>
  <c r="I38" i="47" s="1"/>
  <c r="L43" i="47" a="1"/>
  <c r="L43" i="47" s="1"/>
  <c r="E27" i="47" a="1"/>
  <c r="E27" i="47" s="1"/>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29"/>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valueMetadata>
</metadata>
</file>

<file path=xl/sharedStrings.xml><?xml version="1.0" encoding="utf-8"?>
<sst xmlns="http://schemas.openxmlformats.org/spreadsheetml/2006/main" count="11668" uniqueCount="2015">
  <si>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</si>
  <si>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</si>
  <si>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</si>
  <si>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</si>
  <si>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</si>
  <si>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</si>
  <si>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</si>
  <si>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</si>
  <si>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</si>
  <si>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</si>
  <si>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</si>
  <si>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</si>
  <si>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</si>
  <si>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</si>
  <si>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</si>
  <si>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</si>
  <si>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</si>
  <si>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</si>
  <si>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</si>
  <si>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</si>
  <si>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</si>
  <si>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</si>
  <si>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</si>
  <si>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</si>
  <si>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</si>
  <si>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</si>
  <si>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</si>
  <si>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</si>
  <si>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</si>
  <si>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</si>
  <si>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</si>
  <si>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</si>
  <si>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</si>
  <si>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</si>
  <si>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</si>
  <si>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</si>
  <si>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</si>
  <si>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</si>
  <si>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</si>
  <si>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</si>
  <si>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</si>
  <si>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</si>
  <si>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</si>
  <si>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</si>
  <si>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</si>
  <si>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</si>
  <si>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</si>
  <si>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</si>
  <si>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</si>
  <si>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</si>
  <si>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</si>
  <si>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</si>
  <si>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</si>
  <si>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</si>
  <si>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</si>
  <si>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</si>
  <si>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</si>
  <si>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</si>
  <si>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</si>
  <si>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</si>
  <si>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</si>
  <si>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</si>
  <si>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</si>
  <si>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</si>
  <si>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</si>
  <si>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</si>
  <si>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</si>
  <si>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</si>
  <si>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</si>
  <si>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</si>
  <si>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</si>
  <si>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</si>
  <si>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</si>
  <si>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</si>
  <si>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</si>
  <si>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</si>
  <si>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</si>
  <si>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</si>
  <si>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</si>
  <si>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</si>
  <si>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</si>
  <si>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</si>
  <si>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</si>
  <si>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</si>
  <si>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</si>
  <si>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</si>
  <si>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</si>
  <si>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</si>
  <si>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</si>
  <si>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</si>
  <si>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</si>
  <si>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</si>
  <si>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</si>
  <si>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</si>
  <si>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</si>
  <si>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</si>
  <si>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</si>
  <si>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</si>
  <si>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</si>
  <si>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</si>
  <si>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</si>
  <si>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</si>
  <si>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</si>
  <si>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</si>
  <si>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</si>
  <si>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</si>
  <si>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</si>
  <si>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</si>
  <si>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</si>
  <si>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</si>
  <si>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</si>
  <si>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</si>
  <si>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</si>
  <si>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</si>
  <si>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</si>
  <si>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</si>
  <si>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</si>
  <si>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</si>
  <si>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</si>
  <si>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</si>
  <si>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</si>
  <si>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</si>
  <si>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</si>
  <si>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</si>
  <si>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</si>
  <si>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</si>
  <si>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</si>
  <si>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</si>
  <si>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</si>
  <si>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</si>
  <si>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</si>
  <si>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</si>
  <si>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</si>
  <si>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</si>
  <si>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</si>
  <si>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</si>
  <si>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</si>
  <si>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</si>
  <si>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</si>
  <si>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</si>
  <si>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</si>
  <si>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</si>
  <si>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</si>
  <si>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</si>
  <si>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</si>
  <si>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</si>
  <si>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</si>
  <si>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</si>
  <si>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</si>
  <si>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</si>
  <si>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</si>
  <si>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</si>
  <si>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</si>
  <si>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</si>
  <si>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</si>
  <si>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</si>
  <si>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</si>
  <si>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</si>
  <si>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</si>
  <si>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</si>
  <si>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</si>
  <si>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</si>
  <si>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</si>
  <si>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</si>
  <si>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</si>
  <si>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</si>
  <si>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</si>
  <si>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</si>
  <si>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</si>
  <si>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</si>
  <si>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</si>
  <si>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</si>
  <si>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</si>
  <si>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</si>
  <si>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</si>
  <si>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</si>
  <si>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</si>
  <si>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</si>
  <si>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</si>
  <si>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</si>
  <si>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</si>
  <si>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</si>
  <si>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</si>
  <si>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</si>
  <si>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</si>
  <si>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</si>
  <si>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</si>
  <si>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</si>
  <si>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</si>
  <si>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</si>
  <si>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</si>
  <si>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</si>
  <si>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</si>
  <si>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</si>
  <si>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</si>
  <si>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</si>
  <si>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</si>
  <si>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</si>
  <si>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</si>
  <si>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</si>
  <si>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</si>
  <si>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</si>
  <si>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</si>
  <si>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</si>
  <si>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</si>
  <si>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</si>
  <si>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</si>
  <si>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</si>
  <si>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</si>
  <si>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</si>
  <si>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</si>
  <si>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</si>
  <si>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</si>
  <si>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</si>
  <si>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</si>
  <si>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</si>
  <si>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</si>
  <si>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</si>
  <si>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</si>
  <si>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</si>
  <si>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</si>
  <si>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</si>
  <si>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</si>
  <si>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</si>
  <si>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</si>
  <si>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</si>
  <si>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</si>
  <si>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</si>
  <si>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</si>
  <si>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</si>
  <si>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</si>
  <si>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</si>
  <si>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</si>
  <si>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</si>
  <si>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</si>
  <si>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</si>
  <si>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</si>
  <si>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</si>
  <si>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</si>
  <si>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</si>
  <si>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</si>
  <si>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</si>
  <si>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</si>
  <si>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</si>
  <si>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</si>
  <si>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</si>
  <si>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</si>
  <si>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</si>
  <si>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</si>
  <si>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</si>
  <si>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</si>
  <si>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</si>
  <si>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</si>
  <si>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</si>
  <si>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</si>
  <si>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</si>
  <si>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</si>
  <si>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</si>
  <si>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</si>
  <si>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</si>
  <si>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</si>
  <si>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</si>
  <si>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</si>
  <si>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</si>
  <si>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</si>
  <si>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</si>
  <si>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</si>
  <si>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</si>
  <si>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</si>
  <si>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</si>
  <si>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</si>
  <si>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</si>
  <si>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</si>
  <si>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</si>
  <si>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</si>
  <si>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</si>
  <si>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</si>
  <si>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</si>
  <si>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</si>
  <si>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</si>
  <si>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</si>
  <si>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</si>
  <si>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</si>
  <si>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</si>
  <si>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</si>
  <si>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</si>
  <si>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</si>
  <si>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</si>
  <si>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</si>
  <si>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</si>
  <si>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</si>
  <si>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</si>
  <si>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</si>
  <si>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</si>
  <si>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</si>
  <si>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</si>
  <si>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</si>
  <si>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</si>
  <si>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</si>
  <si>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</si>
  <si>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</si>
  <si>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</si>
  <si>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</si>
  <si>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</si>
  <si>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</si>
  <si>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</si>
  <si>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</si>
  <si>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</si>
  <si>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</si>
  <si>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</si>
  <si>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</si>
  <si>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</si>
  <si>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</si>
  <si>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</si>
  <si>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</si>
  <si>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</si>
  <si>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</si>
  <si>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</si>
  <si>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</si>
  <si>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</si>
  <si>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</si>
  <si>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</si>
  <si>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</si>
  <si>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</si>
  <si>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</si>
  <si>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</si>
  <si>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</si>
  <si>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</si>
  <si>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</si>
  <si>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</si>
  <si>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</si>
  <si>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</si>
  <si>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</si>
  <si>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</si>
  <si>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</si>
  <si>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</si>
  <si>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</si>
  <si>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</si>
  <si>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</si>
  <si>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</si>
  <si>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</si>
  <si>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</si>
  <si>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</si>
  <si>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</si>
  <si>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</si>
  <si>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</si>
  <si>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</si>
  <si>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</si>
  <si>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</si>
  <si>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</si>
  <si>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</si>
  <si>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</si>
  <si>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</si>
  <si>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</si>
  <si>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</si>
  <si>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</si>
  <si>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</si>
  <si>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</si>
  <si>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</si>
  <si>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</si>
  <si>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</si>
  <si>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</si>
  <si>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</si>
  <si>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</si>
  <si>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</si>
  <si>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</si>
  <si>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</si>
  <si>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</si>
  <si>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</si>
  <si>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</si>
  <si>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</si>
  <si>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</si>
  <si>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</si>
  <si>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</si>
  <si>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</si>
  <si>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</si>
  <si>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</si>
  <si>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</si>
  <si>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</si>
  <si>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</si>
  <si>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</si>
  <si>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</si>
  <si>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</si>
  <si>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</si>
  <si>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</si>
  <si>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</si>
  <si>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</si>
  <si>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</si>
  <si>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</si>
  <si>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</si>
  <si>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</si>
  <si>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</si>
  <si>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</si>
  <si>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</si>
  <si>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</si>
  <si>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</si>
  <si>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</si>
  <si>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</si>
  <si>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</si>
  <si>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</si>
  <si>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</si>
  <si>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</si>
  <si>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</si>
  <si>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</si>
  <si>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</si>
  <si>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</si>
  <si>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</si>
  <si>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</si>
  <si>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</si>
  <si>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</si>
  <si>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</si>
  <si>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</si>
  <si>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</si>
  <si>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</si>
  <si>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</si>
  <si>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</si>
  <si>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</si>
  <si>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</si>
  <si>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</si>
  <si>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</si>
  <si>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</si>
  <si>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</si>
  <si>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</si>
  <si>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</si>
  <si>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</si>
  <si>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</si>
  <si>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</si>
  <si>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</si>
  <si>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</si>
  <si>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</si>
  <si>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</si>
  <si>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</si>
  <si>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</si>
  <si>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</si>
  <si>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</si>
  <si>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</si>
  <si>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</si>
  <si>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</si>
  <si>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</si>
  <si>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</si>
  <si>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</si>
  <si>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</si>
  <si>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</si>
  <si>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</si>
  <si>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</si>
  <si>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</si>
  <si>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</si>
  <si>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</si>
  <si>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</si>
  <si>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</si>
  <si>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</si>
  <si>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</si>
  <si>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</si>
  <si>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</si>
  <si>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</si>
  <si>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</si>
  <si>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</si>
  <si>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</si>
  <si>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</si>
  <si>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</si>
  <si>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</si>
  <si>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</si>
  <si>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</si>
  <si>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</si>
  <si>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</si>
  <si>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</si>
  <si>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</si>
  <si>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</si>
  <si>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</si>
  <si>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</si>
  <si>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</si>
  <si>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</si>
  <si>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</si>
  <si>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</si>
  <si>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</si>
  <si>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</si>
  <si>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</si>
  <si>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</si>
  <si>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</si>
  <si>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</si>
  <si>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</si>
  <si>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</si>
  <si>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</si>
  <si>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</si>
  <si>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</si>
  <si>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</si>
  <si>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</si>
  <si>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</si>
  <si>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</si>
  <si>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</si>
  <si>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</si>
  <si>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</si>
  <si>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</si>
  <si>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</si>
  <si>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</si>
  <si>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</si>
  <si>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</si>
  <si>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</si>
  <si>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</si>
  <si>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</si>
  <si>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</si>
  <si>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</si>
  <si>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</si>
  <si>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</si>
  <si>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</si>
  <si>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</si>
  <si>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</si>
  <si>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</si>
  <si>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</si>
  <si>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</si>
  <si>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</si>
  <si>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</si>
  <si>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</si>
  <si>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</si>
  <si>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</si>
  <si>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</si>
  <si>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</si>
  <si>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</si>
  <si>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</si>
  <si>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</si>
  <si>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</si>
  <si>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</si>
  <si>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</si>
  <si>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</si>
  <si>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</si>
  <si>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</si>
  <si>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</si>
  <si>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</si>
  <si>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</si>
  <si>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</si>
  <si>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</si>
  <si>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</si>
  <si>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</si>
  <si>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</si>
  <si>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</si>
  <si>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</si>
  <si>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</si>
  <si>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</si>
  <si>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</si>
  <si>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</si>
  <si>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</si>
  <si>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</si>
  <si>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</si>
  <si>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</si>
  <si>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</si>
  <si>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</si>
  <si>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</si>
  <si>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</si>
  <si>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</si>
  <si>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</si>
  <si>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</si>
  <si>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</si>
  <si>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</si>
  <si>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</si>
  <si>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</si>
  <si>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</si>
  <si>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</si>
  <si>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</si>
  <si>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</si>
  <si>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</si>
  <si>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</si>
  <si>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</si>
  <si>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</si>
  <si>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</si>
  <si>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</si>
  <si>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</si>
  <si>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</si>
  <si>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</si>
  <si>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</si>
  <si>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</si>
  <si>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</si>
  <si>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</si>
  <si>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</si>
  <si>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</si>
  <si>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</si>
  <si>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</si>
  <si>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</si>
  <si>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</si>
  <si>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</si>
  <si>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</si>
  <si>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</si>
  <si>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</si>
  <si>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</si>
  <si>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</si>
  <si>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</si>
  <si>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</si>
  <si>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</si>
  <si>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</si>
  <si>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</si>
  <si>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</si>
  <si>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</si>
  <si>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</si>
  <si>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</si>
  <si>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</si>
  <si>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</si>
  <si>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</si>
  <si>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</si>
  <si>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</si>
  <si>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</si>
  <si>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</si>
  <si>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</si>
  <si>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</si>
  <si>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</si>
  <si>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</si>
  <si>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</si>
  <si>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</si>
  <si>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</si>
  <si>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</si>
  <si>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</si>
  <si>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</si>
  <si>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</si>
  <si>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</si>
  <si>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</si>
  <si>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</si>
  <si>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</si>
  <si>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</si>
  <si>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</si>
  <si>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</si>
  <si>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</si>
  <si>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</si>
  <si>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</si>
  <si>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</si>
  <si>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</si>
  <si>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</si>
  <si>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</si>
  <si>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</si>
  <si>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</si>
  <si>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</si>
  <si>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</si>
  <si>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</si>
  <si>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</si>
  <si>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</si>
  <si>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</si>
  <si>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</si>
  <si>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</si>
  <si>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</si>
  <si>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</si>
  <si>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</si>
  <si>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</si>
  <si>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</si>
  <si>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</si>
  <si>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</si>
  <si>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</si>
  <si>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</si>
  <si>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</si>
  <si>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</si>
  <si>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</si>
  <si>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</si>
  <si>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</si>
  <si>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</si>
  <si>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</si>
  <si>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</si>
  <si>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</si>
  <si>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</si>
  <si>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</si>
  <si>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</si>
  <si>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</si>
  <si>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</si>
  <si>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</si>
  <si>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</si>
  <si>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</si>
  <si>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</si>
  <si>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</si>
  <si>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</si>
  <si>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</si>
  <si>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</si>
  <si>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</si>
  <si>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</si>
  <si>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</si>
  <si>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</si>
  <si>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</si>
  <si>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</si>
  <si>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</si>
  <si>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</si>
  <si>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</si>
  <si>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</si>
  <si>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</si>
  <si>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</si>
  <si>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</si>
  <si>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</si>
  <si>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</si>
  <si>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</si>
  <si>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</si>
  <si>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</si>
  <si>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</si>
  <si>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</si>
  <si>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</si>
  <si>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</si>
  <si>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</si>
  <si>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</si>
  <si>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</si>
  <si>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</si>
  <si>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</si>
  <si>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</si>
  <si>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</si>
  <si>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</si>
  <si>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</si>
  <si>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</si>
  <si>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</si>
  <si>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</si>
  <si>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</si>
  <si>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</si>
  <si>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</si>
  <si>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</si>
  <si>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</si>
  <si>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</si>
  <si>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</si>
  <si>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</si>
  <si>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</si>
  <si>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</si>
  <si>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</si>
  <si>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</si>
  <si>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</si>
  <si>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</si>
  <si>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</si>
  <si>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</si>
  <si>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</si>
  <si>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</si>
  <si>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</si>
  <si>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</si>
  <si>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</si>
  <si>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</si>
  <si>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</si>
  <si>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</si>
  <si>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</si>
  <si>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</si>
  <si>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</si>
  <si>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</si>
  <si>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</si>
  <si>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</si>
  <si>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</si>
  <si>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</si>
  <si>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</si>
  <si>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</si>
  <si>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</si>
  <si>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</si>
  <si>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</si>
  <si>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</si>
  <si>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</si>
  <si>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</si>
  <si>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</si>
  <si>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</si>
  <si>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</si>
  <si>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</si>
  <si>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</si>
  <si>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</si>
  <si>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</si>
  <si>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</si>
  <si>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</si>
  <si>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</si>
  <si>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</si>
  <si>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</si>
  <si>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</si>
  <si>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</si>
  <si>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</si>
  <si>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</si>
  <si>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</si>
  <si>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</si>
  <si>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</si>
  <si>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</si>
  <si>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</si>
  <si>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</si>
  <si>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</si>
  <si>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</si>
  <si>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</si>
  <si>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</si>
  <si>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</si>
  <si>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</si>
  <si>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</si>
  <si>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</si>
  <si>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</si>
  <si>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</si>
  <si>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</si>
  <si>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</si>
  <si>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</si>
  <si>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</si>
  <si>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</si>
  <si>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</si>
  <si>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</si>
  <si>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</si>
  <si>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</si>
  <si>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</si>
  <si>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</si>
  <si>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</si>
  <si>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</si>
  <si>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</si>
  <si>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</si>
  <si>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</si>
  <si>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</si>
  <si>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</si>
  <si>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</si>
  <si>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</si>
  <si>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</si>
  <si>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</si>
  <si>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</si>
  <si>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</si>
  <si>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</si>
  <si>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</si>
  <si>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</si>
  <si>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</si>
  <si>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</si>
  <si>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</si>
  <si>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</si>
  <si>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</si>
  <si>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</si>
  <si>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</si>
  <si>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</si>
  <si>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</si>
  <si>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</si>
  <si>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</si>
  <si>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</si>
  <si>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</si>
  <si>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</si>
  <si>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</si>
  <si>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</si>
  <si>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</si>
  <si>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</si>
  <si>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</si>
  <si>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</si>
  <si>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</si>
  <si>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</si>
  <si>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</si>
  <si>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</si>
  <si>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</si>
  <si>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</si>
  <si>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</si>
  <si>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</si>
  <si>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</si>
  <si>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</si>
  <si>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</si>
  <si>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</si>
  <si>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</si>
  <si>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</si>
  <si>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</si>
  <si>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</si>
  <si>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</si>
  <si>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</si>
  <si>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</si>
  <si>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</si>
  <si>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</si>
  <si>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</si>
  <si>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</si>
  <si>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</si>
  <si>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</si>
  <si>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</si>
  <si>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</si>
  <si>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</si>
  <si>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</si>
  <si>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</si>
  <si>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</si>
  <si>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</si>
  <si>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</si>
  <si>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</si>
  <si>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</si>
  <si>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</si>
  <si>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</si>
  <si>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</si>
  <si>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</si>
  <si>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</si>
  <si>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</si>
  <si>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</si>
  <si>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</si>
  <si>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</si>
  <si>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</si>
  <si>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</si>
  <si>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</si>
  <si>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</si>
  <si>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</si>
  <si>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</si>
  <si>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</si>
  <si>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</si>
  <si>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</si>
  <si>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</si>
  <si>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</si>
  <si>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</si>
  <si>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</si>
  <si>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</si>
  <si>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</si>
  <si>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</si>
  <si>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</si>
  <si>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</si>
  <si>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</si>
  <si>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</si>
  <si>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</si>
  <si>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</si>
  <si>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</si>
  <si>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</si>
  <si>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</si>
  <si>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</si>
  <si>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</si>
  <si>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</si>
  <si>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</si>
  <si>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</si>
  <si>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</si>
  <si>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</si>
  <si>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</si>
  <si>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</si>
  <si>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</si>
  <si>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</si>
  <si>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</si>
  <si>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</si>
  <si>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</si>
  <si>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</si>
  <si>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</si>
  <si>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</si>
  <si>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</si>
  <si>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</si>
  <si>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</si>
  <si>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</si>
  <si>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</si>
  <si>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</si>
  <si>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</si>
  <si>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</si>
  <si>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</si>
  <si>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</si>
  <si>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</si>
  <si>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</si>
  <si>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</si>
  <si>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</si>
  <si>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</si>
  <si>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</si>
  <si>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</si>
  <si>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</si>
  <si>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</si>
  <si>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</si>
  <si>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</si>
  <si>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</si>
  <si>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</si>
  <si>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</si>
  <si>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</si>
  <si>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</si>
  <si>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</si>
  <si>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</si>
  <si>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</si>
  <si>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</si>
  <si>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</si>
  <si>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</si>
  <si>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</si>
  <si>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</si>
  <si>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</si>
  <si>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</si>
  <si>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</si>
  <si>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</si>
  <si>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</si>
  <si>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</si>
  <si>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</si>
  <si>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</si>
  <si>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</si>
  <si>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</si>
  <si>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</si>
  <si>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</si>
  <si>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</si>
  <si>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</si>
  <si>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</si>
  <si>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</si>
  <si>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</si>
  <si>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</si>
  <si>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</si>
  <si>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</si>
  <si>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</si>
  <si>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</si>
  <si>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</si>
  <si>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</si>
  <si>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</si>
  <si>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</si>
  <si>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</si>
  <si>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</si>
  <si>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</si>
  <si>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</si>
  <si>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</si>
  <si>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</si>
  <si>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</si>
  <si>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</si>
  <si>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</si>
  <si>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</si>
  <si>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</si>
  <si>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</si>
  <si>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</si>
  <si>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</si>
  <si>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</si>
  <si>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</si>
  <si>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</si>
  <si>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</si>
  <si>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</si>
  <si>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</si>
  <si>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</si>
  <si>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</si>
  <si>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</si>
  <si>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</si>
  <si>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</si>
  <si>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</si>
  <si>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</si>
  <si>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</si>
  <si>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</si>
  <si>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</si>
  <si>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</si>
  <si>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</si>
  <si>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</si>
  <si>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</si>
  <si>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</si>
  <si>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</si>
  <si>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</si>
  <si>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</si>
  <si>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</si>
  <si>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</si>
  <si>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</si>
  <si>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</si>
  <si>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</si>
  <si>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</si>
  <si>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</si>
  <si>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</si>
  <si>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</si>
  <si>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</si>
  <si>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</si>
  <si>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</si>
  <si>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</si>
  <si>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</si>
  <si>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</si>
  <si>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</si>
  <si>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</si>
  <si>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</si>
  <si>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</si>
  <si>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</si>
  <si>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</si>
  <si>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</si>
  <si>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</si>
  <si>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</si>
  <si>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</si>
  <si>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</si>
  <si>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</si>
  <si>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</si>
  <si>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</si>
  <si>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</si>
  <si>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</si>
  <si>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</si>
  <si>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</si>
  <si>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</si>
  <si>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</si>
  <si>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</si>
  <si>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</si>
  <si>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</si>
  <si>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</si>
  <si>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</si>
  <si>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</si>
  <si>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</si>
  <si>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</si>
  <si>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</si>
  <si>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</si>
  <si>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</si>
  <si>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</si>
  <si>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</si>
  <si>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</si>
  <si>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</si>
  <si>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</si>
  <si>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</si>
  <si>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</si>
  <si>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</si>
  <si>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</si>
  <si>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</si>
  <si>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</si>
  <si>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</si>
  <si>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</si>
  <si>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</si>
  <si>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</si>
  <si>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</si>
  <si>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</si>
  <si>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</si>
  <si>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</si>
  <si>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</si>
  <si>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</si>
  <si>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</si>
  <si>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</si>
  <si>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</si>
  <si>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</si>
  <si>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</si>
  <si>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</si>
  <si>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</si>
  <si>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</si>
  <si>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</si>
  <si>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</si>
  <si>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</si>
  <si>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</si>
  <si>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</si>
  <si>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</si>
  <si>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</si>
  <si>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</si>
  <si>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</si>
  <si>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</si>
  <si>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</si>
  <si>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</si>
  <si>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</si>
  <si>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</si>
  <si>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</si>
  <si>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</si>
  <si>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</si>
  <si>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</si>
  <si>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</si>
  <si>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</si>
  <si>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</si>
  <si>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</si>
  <si>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</si>
  <si>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</si>
  <si>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</si>
  <si>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</si>
  <si>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</si>
  <si>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</si>
  <si>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</si>
  <si>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</si>
  <si>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</si>
  <si>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</si>
  <si>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</si>
  <si>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</si>
  <si>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</si>
  <si>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</si>
  <si>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</si>
  <si>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</si>
  <si>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</si>
  <si>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</si>
  <si>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</si>
  <si>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</si>
  <si>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</si>
  <si>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</si>
  <si>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</si>
  <si>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</si>
  <si>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</si>
  <si>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</si>
  <si>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</si>
  <si>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</si>
  <si>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</si>
  <si>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</si>
  <si>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</si>
  <si>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</si>
  <si>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</si>
  <si>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</si>
  <si>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</si>
  <si>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</si>
  <si>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</si>
  <si>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</si>
  <si>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</si>
  <si>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</si>
  <si>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</si>
  <si>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</si>
  <si>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</si>
  <si>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</si>
  <si>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</si>
  <si>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</si>
  <si>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</si>
  <si>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</si>
  <si>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</si>
  <si>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</si>
  <si>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</si>
  <si>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</si>
  <si>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</si>
  <si>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</si>
  <si>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</si>
  <si>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</si>
  <si>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</si>
  <si>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</si>
  <si>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</si>
  <si>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</si>
  <si>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</si>
  <si>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</si>
  <si>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</si>
  <si>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</si>
  <si>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</si>
  <si>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</si>
  <si>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</si>
  <si>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</si>
  <si>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</si>
  <si>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</si>
  <si>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</si>
  <si>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</si>
  <si>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</si>
  <si>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</si>
  <si>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</si>
  <si>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</si>
  <si>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</si>
  <si>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</si>
  <si>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</si>
  <si>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</si>
  <si>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</si>
  <si>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</si>
  <si>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</si>
  <si>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</si>
  <si>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</si>
  <si>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</si>
  <si>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</si>
  <si>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</si>
  <si>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</si>
  <si>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</si>
  <si>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</si>
  <si>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</si>
  <si>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</si>
  <si>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</si>
  <si>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</si>
  <si>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</si>
  <si>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</si>
  <si>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</si>
  <si>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</si>
  <si>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</si>
  <si>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</si>
  <si>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</si>
  <si>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</si>
  <si>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</si>
  <si>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</si>
  <si>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</si>
  <si>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</si>
  <si>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</si>
  <si>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</si>
  <si>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</si>
  <si>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</si>
  <si>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</si>
  <si>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</si>
  <si>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</si>
  <si>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</si>
  <si>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</si>
  <si>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</si>
  <si>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</si>
  <si>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</si>
  <si>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</si>
  <si>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</si>
  <si>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</si>
  <si>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</si>
  <si>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</si>
  <si>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</si>
  <si>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</si>
  <si>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</si>
  <si>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</si>
  <si>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</si>
  <si>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</si>
  <si>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</si>
  <si>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</si>
  <si>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</si>
  <si>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</si>
  <si>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</si>
  <si>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</si>
  <si>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</si>
  <si>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</si>
  <si>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</si>
  <si>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</si>
  <si>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</si>
  <si>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</si>
  <si>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</si>
  <si>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</si>
  <si>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</si>
  <si>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</si>
  <si>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</si>
  <si>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</si>
  <si>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</si>
  <si>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</si>
  <si>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</si>
  <si>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</si>
  <si>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</si>
  <si>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</si>
  <si>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</si>
  <si>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</si>
  <si>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</si>
  <si>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</si>
  <si>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</si>
  <si>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</si>
  <si>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</si>
  <si>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</si>
  <si>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</si>
  <si>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</si>
  <si>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</si>
  <si>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</si>
  <si>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</si>
  <si>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</si>
  <si>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</si>
  <si>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</si>
  <si>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</si>
  <si>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</si>
  <si>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</si>
  <si>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</si>
  <si>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</si>
  <si>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</si>
  <si>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</si>
  <si>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</si>
  <si>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</si>
  <si>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</si>
  <si>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</si>
  <si>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</si>
  <si>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</si>
  <si>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</si>
  <si>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</si>
  <si>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</si>
  <si>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</si>
  <si>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</si>
  <si>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</si>
  <si>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</si>
  <si>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</si>
  <si>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</si>
  <si>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</si>
  <si>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</si>
  <si>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</si>
  <si>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</si>
  <si>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</si>
  <si>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</si>
  <si>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</si>
  <si>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</si>
  <si>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</si>
  <si>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</si>
  <si>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</si>
  <si>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</si>
  <si>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</si>
  <si>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</si>
  <si>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</si>
  <si>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</si>
  <si>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</si>
  <si>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</si>
  <si>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</si>
  <si>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</si>
  <si>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</si>
  <si>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</si>
  <si>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</si>
  <si>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</si>
  <si>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</si>
  <si>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</si>
  <si>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</si>
  <si>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</si>
  <si>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</si>
  <si>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</si>
  <si>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</si>
  <si>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</si>
  <si>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</si>
  <si>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</si>
  <si>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</si>
  <si>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</si>
  <si>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</si>
  <si>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</si>
  <si>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</si>
  <si>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</si>
  <si>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</si>
  <si>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</si>
  <si>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</si>
  <si>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</si>
  <si>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</si>
  <si>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</si>
  <si>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</si>
  <si>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</si>
  <si>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</si>
  <si>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</si>
  <si>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</si>
  <si>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</si>
  <si>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</si>
  <si>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</si>
  <si>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</si>
  <si>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</si>
  <si>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</si>
  <si>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</si>
  <si>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</si>
  <si>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</si>
  <si>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</si>
  <si>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</si>
  <si>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</si>
  <si>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</si>
  <si>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</si>
  <si>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</si>
  <si>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</si>
  <si>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</si>
  <si>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</si>
  <si>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</si>
  <si>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</si>
  <si>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</si>
  <si>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</si>
  <si>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</si>
  <si>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</si>
  <si>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</si>
  <si>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</si>
  <si>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</si>
  <si>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</si>
  <si>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</si>
  <si>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</si>
  <si>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</si>
  <si>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</si>
  <si>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</si>
  <si>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</si>
  <si>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</si>
  <si>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</si>
  <si>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</si>
  <si>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</si>
  <si>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</si>
  <si>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</si>
  <si>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</si>
  <si>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</si>
  <si>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</si>
  <si>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</si>
  <si>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</si>
  <si>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</si>
  <si>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</si>
  <si>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</si>
  <si>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</si>
  <si>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</si>
  <si>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</si>
  <si>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</si>
  <si>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</si>
  <si>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</si>
  <si>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</si>
  <si>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</si>
  <si>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</si>
  <si>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</si>
  <si>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</si>
  <si>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</si>
  <si>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</si>
  <si>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</si>
  <si>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</si>
  <si>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</si>
  <si>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</si>
  <si>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</si>
  <si>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</si>
  <si>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</si>
  <si>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</si>
  <si>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</si>
  <si>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</si>
  <si>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</si>
  <si>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</si>
  <si>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</si>
  <si>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</si>
  <si>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</si>
  <si>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</si>
  <si>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</si>
  <si>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</si>
  <si>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</si>
  <si>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</si>
  <si>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</si>
  <si>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</si>
  <si>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</si>
  <si>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</si>
  <si>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</si>
  <si>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</si>
  <si>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</si>
  <si>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</si>
  <si>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</si>
  <si>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</si>
  <si>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</si>
  <si>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</si>
  <si>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</si>
  <si>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</si>
  <si>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</si>
  <si>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</si>
  <si>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</si>
  <si>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</si>
  <si>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</si>
  <si>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</si>
  <si>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</si>
  <si>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</si>
  <si>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</si>
  <si>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</si>
  <si>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</si>
  <si>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</si>
  <si>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</si>
  <si>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</si>
  <si>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</si>
  <si>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</si>
  <si>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</si>
  <si>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</si>
  <si>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</si>
  <si>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</si>
  <si>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</si>
  <si>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</si>
  <si>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</si>
  <si>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</si>
  <si>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</si>
  <si>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</si>
  <si>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</si>
  <si>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</si>
  <si>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</si>
  <si>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</si>
  <si>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</si>
  <si>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</si>
  <si>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</si>
  <si>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</si>
  <si>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</si>
  <si>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</si>
  <si>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</si>
  <si>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</si>
  <si>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</si>
  <si>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</si>
  <si>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</si>
  <si>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</si>
  <si>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</si>
  <si>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</si>
  <si>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</si>
  <si>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</si>
  <si>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</si>
  <si>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</si>
  <si>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</si>
  <si>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</si>
  <si>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</si>
  <si>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</si>
  <si>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</si>
  <si>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</si>
  <si>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</si>
  <si>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</si>
  <si>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</si>
  <si>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</si>
  <si>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</si>
  <si>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</si>
  <si>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</si>
  <si>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</si>
  <si>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</si>
  <si>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</si>
  <si>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</si>
  <si>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</si>
  <si>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</si>
  <si>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</si>
  <si>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</si>
  <si>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</si>
  <si>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</si>
  <si>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</si>
  <si>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</si>
  <si>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</si>
  <si>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</si>
  <si>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</si>
  <si>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</si>
  <si>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</si>
  <si>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</si>
  <si>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</si>
  <si>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</si>
  <si>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</si>
  <si>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</si>
  <si>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</si>
  <si>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</si>
  <si>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</si>
  <si>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</si>
  <si>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</si>
  <si>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</si>
  <si>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</si>
  <si>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</si>
  <si>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</si>
  <si>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</si>
  <si>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</si>
  <si>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</si>
  <si>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</si>
  <si>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</si>
  <si>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</si>
  <si>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</si>
  <si>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</si>
  <si>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</si>
  <si>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</si>
  <si>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</si>
  <si>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</si>
  <si>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</si>
  <si>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</si>
  <si>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</si>
  <si>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</si>
  <si>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</si>
  <si>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</si>
  <si>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</si>
  <si>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</si>
  <si>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</si>
  <si>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</si>
  <si>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</si>
  <si>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</si>
  <si>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</si>
  <si>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</si>
  <si>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</si>
  <si>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</si>
  <si>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</si>
  <si>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</si>
  <si>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</si>
  <si>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</si>
  <si>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</si>
  <si>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</si>
  <si>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</si>
  <si>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</si>
  <si>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</si>
  <si>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</si>
  <si>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</si>
  <si>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</si>
  <si>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</si>
  <si>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</si>
  <si>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</si>
  <si>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</si>
  <si>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</si>
  <si>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</si>
  <si>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</si>
  <si>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</si>
  <si>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</si>
  <si>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</si>
  <si>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</si>
  <si>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</si>
  <si>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</si>
  <si>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</si>
  <si>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</si>
  <si>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</si>
  <si>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</si>
  <si>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</si>
  <si>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</si>
  <si>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</si>
  <si>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</si>
  <si>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</si>
  <si>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</si>
  <si>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</si>
  <si>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</si>
  <si>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</si>
  <si>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</si>
  <si>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</si>
  <si>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</si>
  <si>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</si>
  <si>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</si>
  <si>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</si>
  <si>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</si>
  <si>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</si>
  <si>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</si>
  <si>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</si>
  <si>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</si>
  <si>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</si>
  <si>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</si>
  <si>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</si>
  <si>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</si>
  <si>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</si>
  <si>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</si>
  <si>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</si>
  <si>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</si>
  <si>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</si>
  <si>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</si>
  <si>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</si>
  <si>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</si>
  <si>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</si>
  <si>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</si>
  <si>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</si>
  <si>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</si>
  <si>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</si>
  <si>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</si>
  <si>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</si>
  <si>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</si>
  <si>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</si>
  <si>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</si>
  <si>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</si>
  <si>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</si>
  <si>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</si>
  <si>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</si>
  <si>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</si>
  <si>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</si>
  <si>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</si>
  <si>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</si>
  <si>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</si>
  <si>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</si>
  <si>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</si>
  <si>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</si>
  <si>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</si>
  <si>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</si>
  <si>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</si>
  <si>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</si>
  <si>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</si>
  <si>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</si>
  <si>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</si>
  <si>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</si>
  <si>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</si>
  <si>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</si>
  <si>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</si>
  <si>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</si>
  <si>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</si>
  <si>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</si>
  <si>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</si>
  <si>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</si>
  <si>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</si>
  <si>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</si>
  <si>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</si>
  <si>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</si>
  <si>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</si>
  <si>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</si>
  <si>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</si>
  <si>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</si>
  <si>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</si>
  <si>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</si>
  <si>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</si>
  <si>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</si>
  <si>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</si>
  <si>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</si>
  <si>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</si>
  <si>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</si>
  <si>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</si>
  <si>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</si>
  <si>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</si>
  <si>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</si>
  <si>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</si>
  <si>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</si>
  <si>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</si>
  <si>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</si>
  <si>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</si>
  <si>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</si>
  <si>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</si>
  <si>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</si>
  <si>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</si>
  <si>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</si>
  <si>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</si>
  <si>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</si>
  <si>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</si>
  <si>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</si>
  <si>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</si>
  <si>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</si>
  <si>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</si>
  <si>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</si>
  <si>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</si>
  <si>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</si>
  <si>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</si>
  <si>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</si>
  <si>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</si>
  <si>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</si>
  <si>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</si>
  <si>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</si>
  <si>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</si>
  <si>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</si>
  <si>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</si>
  <si>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</si>
  <si>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</si>
  <si>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</si>
  <si>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</si>
  <si>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</si>
  <si>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</si>
  <si>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</si>
  <si>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</si>
  <si>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</si>
  <si>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</si>
  <si>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</si>
  <si>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</si>
  <si>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</si>
  <si>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</si>
  <si>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</si>
  <si>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</si>
  <si>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</si>
  <si>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</si>
  <si>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</si>
  <si>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</si>
  <si>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</si>
  <si>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</si>
  <si>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</si>
  <si>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</si>
  <si>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</si>
  <si>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</si>
  <si>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</si>
  <si>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</si>
  <si>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</si>
  <si>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</si>
  <si>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</si>
  <si>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</si>
  <si>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</si>
  <si>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</si>
  <si>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</si>
  <si>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</si>
  <si>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</si>
  <si>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</si>
  <si>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</si>
  <si>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</si>
  <si>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</si>
  <si>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</si>
  <si>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</si>
  <si>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</si>
  <si>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</si>
  <si>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</si>
  <si>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</si>
  <si>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</si>
  <si>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</si>
  <si>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</si>
  <si>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</si>
  <si>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</si>
  <si>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</si>
  <si>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</si>
  <si>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</si>
  <si>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</si>
  <si>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</si>
  <si>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</si>
  <si>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</si>
  <si>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</si>
  <si>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</si>
  <si>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</si>
  <si>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</si>
  <si>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</si>
  <si>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</si>
  <si>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</si>
  <si>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</si>
  <si>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</si>
  <si>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</si>
  <si>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</si>
  <si>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</si>
  <si>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</si>
  <si>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</si>
  <si>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</si>
  <si>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</si>
  <si>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</si>
  <si>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</si>
  <si>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</si>
  <si>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</si>
  <si>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</si>
  <si>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</si>
  <si>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</si>
  <si>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</si>
  <si>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</si>
  <si>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</si>
  <si>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</si>
  <si>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</si>
  <si>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</si>
  <si>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</si>
  <si>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</si>
  <si>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</si>
  <si>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</si>
  <si>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</si>
  <si>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</si>
  <si>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</si>
  <si>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</si>
  <si>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</si>
  <si>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</si>
  <si>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</si>
  <si>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</si>
  <si>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</si>
  <si>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</si>
  <si>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</si>
  <si>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</si>
  <si>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</si>
  <si>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</si>
  <si>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</si>
  <si>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</si>
  <si>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</si>
  <si>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</si>
  <si>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</si>
  <si>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</si>
  <si>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</si>
  <si>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</si>
  <si>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</si>
  <si>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</si>
  <si>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</si>
  <si>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</si>
  <si>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</si>
  <si>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</si>
  <si>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</si>
  <si>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</si>
  <si>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</si>
  <si>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</si>
  <si>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</si>
  <si>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</si>
  <si>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</si>
  <si>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</si>
  <si>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</si>
  <si>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</si>
  <si>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</si>
  <si>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</si>
  <si>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</si>
  <si>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</si>
  <si>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</si>
  <si>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</si>
  <si>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</si>
  <si>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</si>
  <si>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</si>
  <si>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</si>
  <si>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</si>
  <si>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</si>
  <si>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</si>
  <si>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</si>
  <si>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</si>
  <si>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</si>
  <si>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</si>
  <si>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</si>
  <si>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</si>
  <si>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</si>
  <si>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</si>
  <si>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</si>
  <si>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</si>
  <si>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</si>
  <si>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</si>
  <si>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</si>
  <si>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</si>
  <si>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</si>
  <si>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</si>
  <si>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</si>
  <si>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</si>
  <si>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</si>
  <si>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</si>
  <si>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</si>
  <si>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</si>
  <si>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</si>
  <si>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</si>
  <si>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</si>
  <si>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</si>
  <si>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</si>
  <si>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</si>
  <si>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</si>
  <si>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</si>
  <si>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</si>
  <si>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</si>
  <si>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</si>
  <si>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</si>
  <si>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</si>
  <si>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</si>
  <si>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</si>
  <si>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</si>
  <si>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</si>
  <si>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</si>
  <si>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</si>
  <si>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</si>
  <si>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</si>
  <si>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</si>
  <si>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</si>
  <si>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</si>
  <si>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</si>
  <si>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</si>
  <si>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</si>
  <si>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</si>
  <si>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</si>
  <si>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</si>
  <si>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</si>
  <si>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</si>
  <si>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</si>
  <si>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</si>
  <si>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</si>
  <si>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</si>
  <si>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</si>
  <si>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</si>
  <si>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</si>
  <si>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</si>
  <si>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</si>
  <si>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</si>
  <si>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</si>
  <si>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</si>
  <si>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</si>
  <si>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</si>
  <si>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</si>
  <si>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</si>
  <si>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</si>
  <si>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</si>
  <si>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</si>
  <si>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</si>
  <si>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</si>
  <si>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</si>
  <si>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</si>
  <si>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</si>
  <si>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</si>
  <si>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</si>
  <si>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</si>
  <si>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t>México-Sudáfrica</t>
  </si>
  <si>
    <t>Sistema de puntuación</t>
  </si>
  <si>
    <t>Scoring system</t>
  </si>
  <si>
    <r>
      <t xml:space="preserve">·Si haceis todo el Mundial de golpe, </t>
    </r>
    <r>
      <rPr>
        <b/>
        <sz val="11"/>
        <rFont val="Calibri"/>
        <family val="2"/>
        <scheme val="minor"/>
      </rPr>
      <t>incluido el predictor</t>
    </r>
    <r>
      <rPr>
        <sz val="11"/>
        <rFont val="Calibri"/>
        <family val="2"/>
        <scheme val="minor"/>
      </rPr>
      <t xml:space="preserve">, copiar de la </t>
    </r>
    <r>
      <rPr>
        <b/>
        <sz val="11"/>
        <rFont val="Calibri"/>
        <family val="2"/>
        <scheme val="minor"/>
      </rPr>
      <t xml:space="preserve">C5 a la C308 </t>
    </r>
    <r>
      <rPr>
        <sz val="11"/>
        <rFont val="Calibri"/>
        <family val="2"/>
        <scheme val="minor"/>
      </rPr>
      <t>y pegar valores en la plantilla de Administrador.</t>
    </r>
  </si>
  <si>
    <t>Equipo máximo goleador</t>
  </si>
  <si>
    <t>Escribe el equipo máximo goleador</t>
  </si>
  <si>
    <t>nombre</t>
  </si>
  <si>
    <t>partido1</t>
  </si>
  <si>
    <t>partido2</t>
  </si>
  <si>
    <t>partido3</t>
  </si>
  <si>
    <t>dieciseisavos</t>
  </si>
  <si>
    <t>octavos</t>
  </si>
  <si>
    <t>cuartos</t>
  </si>
  <si>
    <t>semifinales</t>
  </si>
  <si>
    <t>final</t>
  </si>
  <si>
    <t>goles</t>
  </si>
  <si>
    <t>GORKA</t>
  </si>
  <si>
    <t>1|2-1</t>
  </si>
  <si>
    <t>X|1-1</t>
  </si>
  <si>
    <t>2|0-3</t>
  </si>
  <si>
    <t>2|0-1</t>
  </si>
  <si>
    <t>2|1-3</t>
  </si>
  <si>
    <t>1|4-0</t>
  </si>
  <si>
    <t>1|2-0</t>
  </si>
  <si>
    <t>1|3-1</t>
  </si>
  <si>
    <t>2|1-2</t>
  </si>
  <si>
    <t>1|1-0</t>
  </si>
  <si>
    <t>2|0-5</t>
  </si>
  <si>
    <t>1|5-0</t>
  </si>
  <si>
    <t>1|3-0</t>
  </si>
  <si>
    <t>2|0-2</t>
  </si>
  <si>
    <t>1|6-1</t>
  </si>
  <si>
    <t>X|0-0</t>
  </si>
  <si>
    <t>X|2-2</t>
  </si>
  <si>
    <t>2|2-3</t>
  </si>
  <si>
    <t>2|1-4</t>
  </si>
  <si>
    <t>1|3-2</t>
  </si>
  <si>
    <t>NOVE</t>
  </si>
  <si>
    <t>Mbappé</t>
  </si>
  <si>
    <t>Havertz</t>
  </si>
  <si>
    <t>Cristiano Ronaldo</t>
  </si>
  <si>
    <t>Lamine Yamal</t>
  </si>
  <si>
    <t>Julián Alvarez</t>
  </si>
  <si>
    <t>SERGIO</t>
  </si>
  <si>
    <t>2|0-4</t>
  </si>
  <si>
    <t>Oyarzabal</t>
  </si>
  <si>
    <t>JUANJO</t>
  </si>
  <si>
    <t>Dembelè</t>
  </si>
  <si>
    <t>Oliseh</t>
  </si>
  <si>
    <t>1|6-0</t>
  </si>
  <si>
    <t>GARBAN</t>
  </si>
  <si>
    <t>Messi</t>
  </si>
  <si>
    <t>JAVI</t>
  </si>
  <si>
    <t>Mbappe</t>
  </si>
  <si>
    <t>Kane</t>
  </si>
  <si>
    <t>LAURA</t>
  </si>
  <si>
    <t>JUANMI</t>
  </si>
  <si>
    <t>JORGE</t>
  </si>
  <si>
    <t>1|5-1</t>
  </si>
  <si>
    <t>1|4-1</t>
  </si>
  <si>
    <t>Romelu Lukaku</t>
  </si>
  <si>
    <t>Woltemade</t>
  </si>
  <si>
    <t>MUNDOPANDA</t>
  </si>
  <si>
    <t>ANDER</t>
  </si>
  <si>
    <t>Halland</t>
  </si>
  <si>
    <t>BORJA</t>
  </si>
  <si>
    <t>MIKEL</t>
  </si>
  <si>
    <t>1|9-0</t>
  </si>
  <si>
    <t>1|8-0</t>
  </si>
  <si>
    <t>2|0-7</t>
  </si>
  <si>
    <t>JON</t>
  </si>
  <si>
    <t>Dumfries</t>
  </si>
  <si>
    <t xml:space="preserve">Portugal </t>
  </si>
  <si>
    <t>X|3-3</t>
  </si>
  <si>
    <t>2|0-6</t>
  </si>
  <si>
    <t>ASIER</t>
  </si>
  <si>
    <t>GALDER</t>
  </si>
  <si>
    <t>PEIO</t>
  </si>
  <si>
    <t>2|2-4</t>
  </si>
  <si>
    <t>GANEKO</t>
  </si>
  <si>
    <t>Max: 96</t>
  </si>
  <si>
    <t>Max: 272</t>
  </si>
  <si>
    <t>Julian Alvarez</t>
  </si>
  <si>
    <t>AITOR</t>
  </si>
  <si>
    <t>Haaland</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</si>
</sst>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h:mm;@"/>
    <numFmt numFmtId="165" formatCode="&quot;&quot;;"/>
    <numFmt numFmtId="166" formatCode=";;;"/>
  </numFmts>
  <fonts count="103">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name val="Calibri"/>
      <family val="2"/>
      <scheme val="minor"/>
    </font>
    <font>
      <b/>
      <sz val="14"/>
      <name val="Calibri"/>
      <family val="2"/>
      <scheme val="minor"/>
    </font>
    <font>
      <sz val="11"/>
      <name val="Cambria"/>
      <family val="1"/>
      <scheme val="major"/>
    </font>
    <font>
      <sz val="11"/>
      <color theme="2"/>
      <name val="Calibri"/>
      <family val="2"/>
      <scheme val="minor"/>
    </font>
    <font>
      <b/>
      <sz val="11"/>
      <color theme="2"/>
      <name val="Cambria"/>
      <family val="1"/>
      <scheme val="major"/>
    </font>
    <font>
      <sz val="11"/>
      <color rgb="FF003087"/>
      <name val="Arial"/>
      <family val="2"/>
    </font>
  </fonts>
  <fills count="43">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theme="9" tint="0.39997558519241921"/>
        <bgColor indexed="64"/>
      </patternFill>
    </fill>
    <fill>
      <patternFill patternType="solid">
        <fgColor theme="9" tint="0.59999389629810485"/>
        <bgColor indexed="64"/>
      </patternFill>
    </fill>
  </fills>
  <borders count="20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theme="0"/>
      </left>
      <right/>
      <top style="thin">
        <color theme="0"/>
      </top>
      <bottom style="thin">
        <color theme="0"/>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3" fillId="0" borderId="0"/>
    <xf numFmtId="0" fontId="3" fillId="0" borderId="0"/>
    <xf numFmtId="0" fontId="23" fillId="0" borderId="0"/>
    <xf numFmtId="0" fontId="2" fillId="0" borderId="0"/>
    <xf numFmtId="0" fontId="6" fillId="0" borderId="0" applyNumberFormat="0" applyFill="0" applyBorder="0" applyAlignment="0" applyProtection="0"/>
    <xf numFmtId="0" fontId="23" fillId="0" borderId="0"/>
    <xf numFmtId="0" fontId="1" fillId="0" borderId="0"/>
    <xf numFmtId="9" fontId="23" fillId="0" borderId="0" applyFont="0" applyFill="0" applyBorder="0" applyAlignment="0" applyProtection="0"/>
    <xf numFmtId="0" fontId="1" fillId="0" borderId="0"/>
    <xf numFmtId="0" fontId="1" fillId="0" borderId="0"/>
  </cellStyleXfs>
  <cellXfs count="883">
    <xf numFmtId="0" fontId="0" fillId="0" borderId="0" xfId="0"/>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 fillId="30" borderId="0" xfId="0" applyFont="1" applyFill="1" applyAlignment="1" applyProtection="1">
      <alignment vertical="center"/>
      <protection hidden="1"/>
    </xf>
    <xf numFmtId="0" fontId="0" fillId="30" borderId="0" xfId="0" applyFill="1"/>
    <xf numFmtId="0" fontId="51" fillId="30" borderId="0" xfId="0" applyFont="1" applyFill="1" applyProtection="1">
      <protection hidden="1"/>
    </xf>
    <xf numFmtId="0" fontId="52" fillId="30" borderId="0" xfId="0" applyFont="1" applyFill="1" applyProtection="1">
      <protection hidden="1"/>
    </xf>
    <xf numFmtId="0" fontId="52" fillId="0" borderId="0" xfId="0" applyFont="1" applyProtection="1">
      <protection hidden="1"/>
    </xf>
    <xf numFmtId="0" fontId="52" fillId="0" borderId="0" xfId="0" applyFont="1"/>
    <xf numFmtId="0" fontId="51" fillId="30" borderId="0" xfId="0" applyFont="1" applyFill="1" applyAlignment="1" applyProtection="1">
      <alignment horizontal="center"/>
      <protection hidden="1"/>
    </xf>
    <xf numFmtId="0" fontId="52" fillId="0" borderId="0" xfId="0" applyFont="1" applyAlignment="1">
      <alignment horizontal="center"/>
    </xf>
    <xf numFmtId="0" fontId="52" fillId="0" borderId="0" xfId="0" applyFont="1" applyAlignment="1" applyProtection="1">
      <alignment horizontal="center"/>
      <protection hidden="1"/>
    </xf>
    <xf numFmtId="0" fontId="52" fillId="30" borderId="0" xfId="0" applyFont="1" applyFill="1"/>
    <xf numFmtId="0" fontId="43" fillId="0" borderId="0" xfId="90" applyFont="1" applyProtection="1">
      <protection hidden="1"/>
    </xf>
    <xf numFmtId="0" fontId="43" fillId="0" borderId="0" xfId="90" applyFont="1"/>
    <xf numFmtId="0" fontId="43" fillId="0" borderId="0" xfId="90" applyFont="1" applyAlignment="1" applyProtection="1">
      <alignment vertical="top" wrapText="1"/>
      <protection hidden="1"/>
    </xf>
    <xf numFmtId="0" fontId="44" fillId="0" borderId="0" xfId="90" applyFont="1" applyAlignment="1" applyProtection="1">
      <alignment vertical="top"/>
      <protection hidden="1"/>
    </xf>
    <xf numFmtId="0" fontId="43" fillId="0" borderId="0" xfId="90" applyFont="1" applyAlignment="1" applyProtection="1">
      <alignment vertical="top"/>
      <protection hidden="1"/>
    </xf>
    <xf numFmtId="0" fontId="43" fillId="0" borderId="0" xfId="90" applyFont="1" applyAlignment="1" applyProtection="1">
      <alignment vertical="center" wrapText="1"/>
      <protection hidden="1"/>
    </xf>
    <xf numFmtId="0" fontId="43" fillId="0" borderId="0" xfId="27" applyFont="1" applyFill="1" applyProtection="1">
      <protection hidden="1"/>
    </xf>
    <xf numFmtId="0" fontId="43" fillId="0" borderId="0" xfId="27" applyFont="1" applyFill="1"/>
    <xf numFmtId="0" fontId="43" fillId="0" borderId="0" xfId="90" applyFont="1" applyAlignment="1">
      <alignment vertical="center"/>
    </xf>
    <xf numFmtId="0" fontId="45"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5" fillId="0" borderId="25" xfId="27" applyFont="1" applyFill="1" applyBorder="1" applyAlignment="1" applyProtection="1">
      <alignment horizontal="center" vertical="center"/>
      <protection hidden="1"/>
    </xf>
    <xf numFmtId="0" fontId="43" fillId="0" borderId="25" xfId="90" applyFont="1" applyBorder="1" applyAlignment="1" applyProtection="1">
      <alignment horizontal="center" vertical="center"/>
      <protection hidden="1"/>
    </xf>
    <xf numFmtId="0" fontId="57" fillId="3" borderId="72" xfId="0" applyFont="1" applyFill="1" applyBorder="1" applyAlignment="1">
      <alignment horizontal="center" vertical="center"/>
    </xf>
    <xf numFmtId="0" fontId="41" fillId="2" borderId="71" xfId="0" applyFont="1" applyFill="1" applyBorder="1" applyAlignment="1" applyProtection="1">
      <alignment horizontal="left" vertical="center"/>
      <protection locked="0" hidden="1"/>
    </xf>
    <xf numFmtId="0" fontId="61" fillId="31" borderId="70" xfId="0" applyFont="1" applyFill="1" applyBorder="1" applyAlignment="1" applyProtection="1">
      <alignment horizontal="center" vertical="center"/>
      <protection hidden="1"/>
    </xf>
    <xf numFmtId="0" fontId="43" fillId="2" borderId="95" xfId="0" applyFont="1" applyFill="1" applyBorder="1" applyAlignment="1" applyProtection="1">
      <alignment horizontal="center" vertical="center"/>
      <protection locked="0" hidden="1"/>
    </xf>
    <xf numFmtId="0" fontId="43" fillId="2" borderId="97" xfId="0" applyFont="1" applyFill="1" applyBorder="1" applyAlignment="1" applyProtection="1">
      <alignment horizontal="center" vertical="center"/>
      <protection locked="0" hidden="1"/>
    </xf>
    <xf numFmtId="0" fontId="42" fillId="0" borderId="96" xfId="0" applyFont="1" applyBorder="1" applyAlignment="1" applyProtection="1">
      <alignment horizontal="left" vertical="center"/>
      <protection hidden="1"/>
    </xf>
    <xf numFmtId="0" fontId="42" fillId="4" borderId="96" xfId="0" applyFont="1" applyFill="1" applyBorder="1" applyAlignment="1" applyProtection="1">
      <alignment horizontal="left" vertical="center"/>
      <protection hidden="1"/>
    </xf>
    <xf numFmtId="0" fontId="43" fillId="7" borderId="2" xfId="0" applyFont="1" applyFill="1" applyBorder="1" applyAlignment="1" applyProtection="1">
      <alignment horizontal="center" vertical="center"/>
      <protection locked="0" hidden="1"/>
    </xf>
    <xf numFmtId="0" fontId="13" fillId="30" borderId="0" xfId="93" applyFont="1" applyFill="1" applyProtection="1">
      <protection hidden="1"/>
    </xf>
    <xf numFmtId="0" fontId="43" fillId="30" borderId="0" xfId="93" applyFont="1" applyFill="1" applyProtection="1">
      <protection hidden="1"/>
    </xf>
    <xf numFmtId="0" fontId="66" fillId="30" borderId="0" xfId="93" applyFont="1" applyFill="1" applyAlignment="1" applyProtection="1">
      <alignment horizontal="center" vertical="center"/>
      <protection hidden="1"/>
    </xf>
    <xf numFmtId="0" fontId="43" fillId="0" borderId="81" xfId="96" applyFont="1" applyBorder="1" applyAlignment="1" applyProtection="1">
      <alignment horizontal="left" vertical="center"/>
      <protection hidden="1"/>
    </xf>
    <xf numFmtId="0" fontId="45" fillId="7" borderId="98" xfId="0" applyFont="1" applyFill="1" applyBorder="1" applyAlignment="1" applyProtection="1">
      <alignment horizontal="center" vertical="top"/>
      <protection hidden="1"/>
    </xf>
    <xf numFmtId="0" fontId="43" fillId="0" borderId="82" xfId="96" applyFont="1" applyBorder="1" applyAlignment="1" applyProtection="1">
      <alignment horizontal="left" vertical="center"/>
      <protection hidden="1"/>
    </xf>
    <xf numFmtId="0" fontId="43" fillId="0" borderId="83" xfId="96" applyFont="1" applyBorder="1" applyAlignment="1" applyProtection="1">
      <alignment horizontal="left" vertical="center"/>
      <protection hidden="1"/>
    </xf>
    <xf numFmtId="0" fontId="43" fillId="0" borderId="91" xfId="96" applyFont="1" applyBorder="1" applyAlignment="1" applyProtection="1">
      <alignment horizontal="left" vertical="center"/>
      <protection hidden="1"/>
    </xf>
    <xf numFmtId="0" fontId="43" fillId="0" borderId="92" xfId="96" applyFont="1" applyBorder="1" applyAlignment="1" applyProtection="1">
      <alignment horizontal="left" vertical="center"/>
      <protection hidden="1"/>
    </xf>
    <xf numFmtId="0" fontId="43" fillId="0" borderId="90" xfId="96" applyFont="1" applyBorder="1" applyAlignment="1" applyProtection="1">
      <alignment horizontal="left" vertical="center"/>
      <protection hidden="1"/>
    </xf>
    <xf numFmtId="0" fontId="43" fillId="30" borderId="0" xfId="95" applyFont="1" applyFill="1" applyProtection="1">
      <protection hidden="1"/>
    </xf>
    <xf numFmtId="0" fontId="43" fillId="0" borderId="0" xfId="0" applyFont="1" applyProtection="1">
      <protection hidden="1"/>
    </xf>
    <xf numFmtId="0" fontId="43" fillId="4" borderId="95" xfId="0" applyFont="1" applyFill="1" applyBorder="1" applyAlignment="1" applyProtection="1">
      <alignment horizontal="center" vertical="center"/>
      <protection locked="0" hidden="1"/>
    </xf>
    <xf numFmtId="0" fontId="43" fillId="4" borderId="97" xfId="0" applyFont="1" applyFill="1" applyBorder="1" applyAlignment="1" applyProtection="1">
      <alignment horizontal="center" vertical="center"/>
      <protection locked="0" hidden="1"/>
    </xf>
    <xf numFmtId="0" fontId="52" fillId="30" borderId="0" xfId="95" applyFont="1" applyFill="1" applyProtection="1">
      <protection hidden="1"/>
    </xf>
    <xf numFmtId="0" fontId="52" fillId="30" borderId="0" xfId="93" applyFont="1" applyFill="1" applyProtection="1">
      <protection hidden="1"/>
    </xf>
    <xf numFmtId="0" fontId="43" fillId="2" borderId="26" xfId="95" applyFont="1" applyFill="1" applyBorder="1" applyAlignment="1" applyProtection="1">
      <alignment vertical="center"/>
      <protection locked="0" hidden="1"/>
    </xf>
    <xf numFmtId="0" fontId="44" fillId="0" borderId="84" xfId="90" applyFont="1" applyBorder="1" applyAlignment="1" applyProtection="1">
      <alignment horizontal="center" vertical="center"/>
      <protection hidden="1"/>
    </xf>
    <xf numFmtId="0" fontId="43" fillId="0" borderId="84" xfId="90" applyFont="1" applyBorder="1" applyAlignment="1" applyProtection="1">
      <alignment horizontal="center" vertical="center"/>
      <protection hidden="1"/>
    </xf>
    <xf numFmtId="0" fontId="44" fillId="0" borderId="85" xfId="90" applyFont="1" applyBorder="1" applyAlignment="1" applyProtection="1">
      <alignment horizontal="center" vertical="center"/>
      <protection locked="0" hidden="1"/>
    </xf>
    <xf numFmtId="0" fontId="43" fillId="0" borderId="85" xfId="90" applyFont="1" applyBorder="1" applyAlignment="1" applyProtection="1">
      <alignment horizontal="center" vertical="center"/>
      <protection hidden="1"/>
    </xf>
    <xf numFmtId="0" fontId="43" fillId="30" borderId="0" xfId="93" applyFont="1" applyFill="1" applyAlignment="1" applyProtection="1">
      <alignment vertical="center"/>
      <protection hidden="1"/>
    </xf>
    <xf numFmtId="0" fontId="43" fillId="2" borderId="86" xfId="95" applyFont="1" applyFill="1" applyBorder="1" applyAlignment="1" applyProtection="1">
      <alignment horizontal="left" vertical="center"/>
      <protection locked="0" hidden="1"/>
    </xf>
    <xf numFmtId="0" fontId="43" fillId="2" borderId="87" xfId="95" applyFont="1" applyFill="1" applyBorder="1" applyAlignment="1" applyProtection="1">
      <alignment vertical="center"/>
      <protection hidden="1"/>
    </xf>
    <xf numFmtId="0" fontId="43" fillId="2" borderId="86" xfId="95" applyFont="1" applyFill="1" applyBorder="1" applyAlignment="1" applyProtection="1">
      <alignment vertical="center"/>
      <protection locked="0" hidden="1"/>
    </xf>
    <xf numFmtId="16" fontId="43" fillId="2" borderId="86" xfId="95" applyNumberFormat="1" applyFont="1" applyFill="1" applyBorder="1" applyAlignment="1" applyProtection="1">
      <alignment vertical="center"/>
      <protection locked="0" hidden="1"/>
    </xf>
    <xf numFmtId="0" fontId="43" fillId="2" borderId="80" xfId="95" applyFont="1" applyFill="1" applyBorder="1" applyAlignment="1" applyProtection="1">
      <alignment vertical="center"/>
      <protection locked="0" hidden="1"/>
    </xf>
    <xf numFmtId="0" fontId="43" fillId="2" borderId="78" xfId="95" applyFont="1" applyFill="1" applyBorder="1" applyAlignment="1" applyProtection="1">
      <alignment vertical="center"/>
      <protection hidden="1"/>
    </xf>
    <xf numFmtId="0" fontId="43" fillId="2" borderId="93" xfId="95" applyFont="1" applyFill="1" applyBorder="1" applyAlignment="1" applyProtection="1">
      <alignment vertical="center"/>
      <protection locked="0" hidden="1"/>
    </xf>
    <xf numFmtId="0" fontId="43" fillId="2" borderId="94" xfId="95" applyFont="1" applyFill="1" applyBorder="1" applyAlignment="1" applyProtection="1">
      <alignment vertical="center"/>
      <protection hidden="1"/>
    </xf>
    <xf numFmtId="0" fontId="43" fillId="2" borderId="88" xfId="95" applyFont="1" applyFill="1" applyBorder="1" applyAlignment="1" applyProtection="1">
      <alignment vertical="center"/>
      <protection locked="0" hidden="1"/>
    </xf>
    <xf numFmtId="0" fontId="43" fillId="2" borderId="89" xfId="95" applyFont="1" applyFill="1" applyBorder="1" applyAlignment="1" applyProtection="1">
      <alignment vertical="center"/>
      <protection hidden="1"/>
    </xf>
    <xf numFmtId="0" fontId="43" fillId="30" borderId="0" xfId="95" applyFont="1" applyFill="1" applyAlignment="1" applyProtection="1">
      <alignment vertical="center"/>
      <protection locked="0" hidden="1"/>
    </xf>
    <xf numFmtId="0" fontId="43" fillId="30" borderId="0" xfId="95" applyFont="1" applyFill="1" applyAlignment="1" applyProtection="1">
      <alignment vertical="center"/>
      <protection hidden="1"/>
    </xf>
    <xf numFmtId="0" fontId="43" fillId="30" borderId="0" xfId="93" applyFont="1" applyFill="1" applyAlignment="1" applyProtection="1">
      <alignment vertical="center"/>
      <protection locked="0" hidden="1"/>
    </xf>
    <xf numFmtId="0" fontId="43" fillId="0" borderId="0" xfId="0" applyFont="1" applyAlignment="1" applyProtection="1">
      <alignment vertical="center"/>
      <protection hidden="1"/>
    </xf>
    <xf numFmtId="0" fontId="52" fillId="30" borderId="0" xfId="93" applyFont="1" applyFill="1" applyAlignment="1" applyProtection="1">
      <alignment vertical="center"/>
      <protection hidden="1"/>
    </xf>
    <xf numFmtId="0" fontId="45" fillId="30" borderId="101" xfId="90" applyFont="1" applyFill="1" applyBorder="1" applyAlignment="1" applyProtection="1">
      <alignment horizontal="center" vertical="center" wrapText="1"/>
      <protection hidden="1"/>
    </xf>
    <xf numFmtId="0" fontId="8" fillId="30" borderId="0" xfId="0" applyFont="1" applyFill="1"/>
    <xf numFmtId="0" fontId="8" fillId="30" borderId="0" xfId="0" applyFont="1" applyFill="1" applyProtection="1">
      <protection hidden="1"/>
    </xf>
    <xf numFmtId="0" fontId="51" fillId="30" borderId="0" xfId="0" applyFont="1" applyFill="1" applyAlignment="1" applyProtection="1">
      <alignment horizontal="center" vertical="center"/>
      <protection hidden="1"/>
    </xf>
    <xf numFmtId="0" fontId="52" fillId="30" borderId="0" xfId="0" applyFont="1" applyFill="1" applyAlignment="1" applyProtection="1">
      <alignment horizontal="center" vertical="center"/>
      <protection hidden="1"/>
    </xf>
    <xf numFmtId="0" fontId="68" fillId="30" borderId="0" xfId="93" applyFont="1" applyFill="1" applyProtection="1">
      <protection hidden="1"/>
    </xf>
    <xf numFmtId="0" fontId="69" fillId="30" borderId="0" xfId="93" applyFont="1" applyFill="1" applyProtection="1">
      <protection hidden="1"/>
    </xf>
    <xf numFmtId="0" fontId="45" fillId="3"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69" fillId="30" borderId="0" xfId="95" applyFont="1" applyFill="1" applyProtection="1">
      <protection hidden="1"/>
    </xf>
    <xf numFmtId="14" fontId="71" fillId="7" borderId="0" xfId="0" quotePrefix="1" applyNumberFormat="1" applyFont="1" applyFill="1" applyAlignment="1" applyProtection="1">
      <alignment horizontal="center" vertical="center"/>
      <protection hidden="1"/>
    </xf>
    <xf numFmtId="0" fontId="69" fillId="4" borderId="0" xfId="93" applyFont="1" applyFill="1" applyProtection="1">
      <protection hidden="1"/>
    </xf>
    <xf numFmtId="0" fontId="72" fillId="3" borderId="0" xfId="0" applyFont="1" applyFill="1" applyAlignment="1" applyProtection="1">
      <alignment horizontal="left" vertical="center"/>
      <protection hidden="1"/>
    </xf>
    <xf numFmtId="0" fontId="73" fillId="3" borderId="0" xfId="0" applyFont="1" applyFill="1" applyAlignment="1" applyProtection="1">
      <alignment horizontal="left" vertical="center"/>
      <protection hidden="1"/>
    </xf>
    <xf numFmtId="0" fontId="72" fillId="7" borderId="0" xfId="0" applyFont="1" applyFill="1" applyAlignment="1" applyProtection="1">
      <alignment horizontal="left" vertical="center"/>
      <protection hidden="1"/>
    </xf>
    <xf numFmtId="0" fontId="73" fillId="7" borderId="0" xfId="0" applyFont="1" applyFill="1" applyAlignment="1" applyProtection="1">
      <alignment horizontal="left" vertical="center"/>
      <protection hidden="1"/>
    </xf>
    <xf numFmtId="0" fontId="69" fillId="0" borderId="0" xfId="0" applyFont="1" applyProtection="1">
      <protection hidden="1"/>
    </xf>
    <xf numFmtId="0" fontId="74" fillId="30" borderId="101" xfId="90" applyFont="1" applyFill="1" applyBorder="1" applyAlignment="1" applyProtection="1">
      <alignment horizontal="center" vertical="center" wrapText="1"/>
      <protection hidden="1"/>
    </xf>
    <xf numFmtId="0" fontId="75" fillId="30" borderId="101" xfId="90" applyFont="1" applyFill="1" applyBorder="1" applyAlignment="1" applyProtection="1">
      <alignment horizontal="center" vertical="center" wrapText="1"/>
      <protection hidden="1"/>
    </xf>
    <xf numFmtId="0" fontId="0" fillId="30" borderId="102" xfId="0" applyFill="1" applyBorder="1" applyProtection="1">
      <protection hidden="1"/>
    </xf>
    <xf numFmtId="0" fontId="52" fillId="30" borderId="102" xfId="0" applyFont="1" applyFill="1" applyBorder="1" applyProtection="1">
      <protection hidden="1"/>
    </xf>
    <xf numFmtId="0" fontId="45" fillId="30" borderId="101" xfId="90" applyFont="1" applyFill="1" applyBorder="1" applyAlignment="1" applyProtection="1">
      <alignment horizontal="left" vertical="center" wrapText="1"/>
      <protection hidden="1"/>
    </xf>
    <xf numFmtId="0" fontId="13" fillId="30" borderId="0" xfId="95" applyFont="1" applyFill="1" applyProtection="1">
      <protection hidden="1"/>
    </xf>
    <xf numFmtId="0" fontId="8" fillId="30" borderId="0" xfId="93" applyFont="1" applyFill="1" applyProtection="1">
      <protection hidden="1"/>
    </xf>
    <xf numFmtId="0" fontId="43" fillId="30" borderId="0" xfId="93" applyFont="1" applyFill="1" applyAlignment="1" applyProtection="1">
      <alignment vertical="center" wrapText="1"/>
      <protection hidden="1"/>
    </xf>
    <xf numFmtId="0" fontId="45" fillId="30" borderId="0" xfId="93" applyFont="1" applyFill="1" applyAlignment="1" applyProtection="1">
      <alignment vertical="center"/>
      <protection hidden="1"/>
    </xf>
    <xf numFmtId="0" fontId="43" fillId="0" borderId="103" xfId="96" applyFont="1" applyBorder="1" applyAlignment="1" applyProtection="1">
      <alignment horizontal="left" vertical="center"/>
      <protection hidden="1"/>
    </xf>
    <xf numFmtId="0" fontId="43" fillId="0" borderId="104" xfId="96" applyFont="1" applyBorder="1" applyAlignment="1" applyProtection="1">
      <alignment horizontal="left" vertical="center"/>
      <protection hidden="1"/>
    </xf>
    <xf numFmtId="0" fontId="43" fillId="0" borderId="105" xfId="96" applyFont="1" applyBorder="1" applyAlignment="1" applyProtection="1">
      <alignment horizontal="left" vertical="center"/>
      <protection hidden="1"/>
    </xf>
    <xf numFmtId="0" fontId="45" fillId="30" borderId="0" xfId="95" applyFont="1" applyFill="1" applyAlignment="1" applyProtection="1">
      <alignment vertical="center"/>
      <protection hidden="1"/>
    </xf>
    <xf numFmtId="0" fontId="42" fillId="4" borderId="106" xfId="0" applyFont="1" applyFill="1" applyBorder="1" applyAlignment="1" applyProtection="1">
      <alignment horizontal="left" vertical="center"/>
      <protection hidden="1"/>
    </xf>
    <xf numFmtId="0" fontId="42" fillId="0" borderId="108" xfId="0" applyFont="1" applyBorder="1" applyAlignment="1" applyProtection="1">
      <alignment horizontal="left" vertical="center"/>
      <protection hidden="1"/>
    </xf>
    <xf numFmtId="0" fontId="42" fillId="4" borderId="108" xfId="0" applyFont="1" applyFill="1" applyBorder="1" applyAlignment="1" applyProtection="1">
      <alignment horizontal="left" vertical="center"/>
      <protection hidden="1"/>
    </xf>
    <xf numFmtId="0" fontId="43" fillId="4" borderId="107" xfId="0" applyFont="1" applyFill="1" applyBorder="1" applyAlignment="1" applyProtection="1">
      <alignment horizontal="center" vertical="center"/>
      <protection hidden="1"/>
    </xf>
    <xf numFmtId="0" fontId="43" fillId="2" borderId="95" xfId="0" applyFont="1" applyFill="1" applyBorder="1" applyAlignment="1" applyProtection="1">
      <alignment horizontal="center" vertical="center"/>
      <protection hidden="1"/>
    </xf>
    <xf numFmtId="0" fontId="43" fillId="4" borderId="95" xfId="0" applyFont="1" applyFill="1" applyBorder="1" applyAlignment="1" applyProtection="1">
      <alignment horizontal="center" vertical="center"/>
      <protection hidden="1"/>
    </xf>
    <xf numFmtId="0" fontId="43" fillId="2" borderId="97" xfId="0" applyFont="1" applyFill="1" applyBorder="1" applyAlignment="1" applyProtection="1">
      <alignment horizontal="center" vertical="center"/>
      <protection hidden="1"/>
    </xf>
    <xf numFmtId="0" fontId="43" fillId="4" borderId="97" xfId="0" applyFont="1" applyFill="1" applyBorder="1" applyAlignment="1" applyProtection="1">
      <alignment horizontal="center" vertical="center"/>
      <protection hidden="1"/>
    </xf>
    <xf numFmtId="0" fontId="9" fillId="34" borderId="109" xfId="0" applyFont="1" applyFill="1" applyBorder="1"/>
    <xf numFmtId="0" fontId="9" fillId="34" borderId="110" xfId="0" applyFont="1" applyFill="1" applyBorder="1"/>
    <xf numFmtId="0" fontId="9" fillId="34" borderId="111" xfId="0" applyFont="1" applyFill="1" applyBorder="1"/>
    <xf numFmtId="0" fontId="43" fillId="38" borderId="123" xfId="0" applyFont="1" applyFill="1" applyBorder="1" applyAlignment="1" applyProtection="1">
      <alignment horizontal="left" vertical="center"/>
      <protection hidden="1"/>
    </xf>
    <xf numFmtId="0" fontId="43" fillId="39" borderId="118" xfId="0" applyFont="1" applyFill="1" applyBorder="1" applyAlignment="1" applyProtection="1">
      <alignment horizontal="left" vertical="center"/>
      <protection hidden="1"/>
    </xf>
    <xf numFmtId="0" fontId="43" fillId="38" borderId="118" xfId="0" applyFont="1" applyFill="1" applyBorder="1" applyAlignment="1" applyProtection="1">
      <alignment horizontal="left" vertical="center"/>
      <protection hidden="1"/>
    </xf>
    <xf numFmtId="0" fontId="0" fillId="37" borderId="117" xfId="0" applyFill="1" applyBorder="1"/>
    <xf numFmtId="0" fontId="43" fillId="39" borderId="120" xfId="0" applyFont="1" applyFill="1" applyBorder="1" applyAlignment="1" applyProtection="1">
      <alignment horizontal="left" vertical="center"/>
      <protection hidden="1"/>
    </xf>
    <xf numFmtId="0" fontId="23" fillId="30" borderId="60" xfId="90" applyFill="1" applyBorder="1"/>
    <xf numFmtId="0" fontId="23" fillId="30" borderId="61" xfId="90" applyFill="1" applyBorder="1"/>
    <xf numFmtId="0" fontId="23" fillId="30" borderId="62" xfId="90" applyFill="1" applyBorder="1"/>
    <xf numFmtId="0" fontId="45" fillId="30" borderId="63" xfId="90" applyFont="1" applyFill="1" applyBorder="1" applyAlignment="1" applyProtection="1">
      <alignment horizontal="right" vertical="center"/>
      <protection hidden="1"/>
    </xf>
    <xf numFmtId="0" fontId="43" fillId="30" borderId="0" xfId="27" applyFont="1" applyFill="1" applyBorder="1" applyAlignment="1" applyProtection="1">
      <alignment vertical="center"/>
      <protection hidden="1"/>
    </xf>
    <xf numFmtId="0" fontId="43" fillId="30" borderId="0" xfId="90" applyFont="1" applyFill="1" applyAlignment="1" applyProtection="1">
      <alignment vertical="center"/>
      <protection hidden="1"/>
    </xf>
    <xf numFmtId="0" fontId="43" fillId="30" borderId="0" xfId="90" applyFont="1" applyFill="1" applyAlignment="1" applyProtection="1">
      <alignment vertical="center" wrapText="1"/>
      <protection hidden="1"/>
    </xf>
    <xf numFmtId="0" fontId="43" fillId="30" borderId="64" xfId="90" applyFont="1" applyFill="1" applyBorder="1" applyAlignment="1" applyProtection="1">
      <alignment vertical="center" wrapText="1"/>
      <protection hidden="1"/>
    </xf>
    <xf numFmtId="0" fontId="45" fillId="30" borderId="63" xfId="90" applyFont="1" applyFill="1" applyBorder="1" applyAlignment="1" applyProtection="1">
      <alignment horizontal="right" vertical="top"/>
      <protection hidden="1"/>
    </xf>
    <xf numFmtId="14" fontId="43" fillId="30" borderId="0" xfId="90" applyNumberFormat="1" applyFont="1" applyFill="1" applyAlignment="1" applyProtection="1">
      <alignment horizontal="left" vertical="top"/>
      <protection hidden="1"/>
    </xf>
    <xf numFmtId="0" fontId="43" fillId="30" borderId="0" xfId="90" applyFont="1" applyFill="1" applyAlignment="1" applyProtection="1">
      <alignment vertical="top"/>
      <protection hidden="1"/>
    </xf>
    <xf numFmtId="0" fontId="43" fillId="30" borderId="0" xfId="90" applyFont="1" applyFill="1" applyAlignment="1" applyProtection="1">
      <alignment vertical="top" wrapText="1"/>
      <protection hidden="1"/>
    </xf>
    <xf numFmtId="0" fontId="43" fillId="30" borderId="64" xfId="90" applyFont="1" applyFill="1" applyBorder="1"/>
    <xf numFmtId="0" fontId="43" fillId="30" borderId="65" xfId="90" applyFont="1" applyFill="1" applyBorder="1" applyProtection="1">
      <protection hidden="1"/>
    </xf>
    <xf numFmtId="0" fontId="43" fillId="30" borderId="66" xfId="90" applyFont="1" applyFill="1" applyBorder="1" applyProtection="1">
      <protection hidden="1"/>
    </xf>
    <xf numFmtId="0" fontId="43" fillId="30" borderId="67" xfId="90" applyFont="1" applyFill="1" applyBorder="1" applyProtection="1">
      <protection hidden="1"/>
    </xf>
    <xf numFmtId="0" fontId="43" fillId="30" borderId="60" xfId="90" applyFont="1" applyFill="1" applyBorder="1" applyAlignment="1" applyProtection="1">
      <alignment horizontal="right"/>
      <protection hidden="1"/>
    </xf>
    <xf numFmtId="0" fontId="43" fillId="30" borderId="61" xfId="90" applyFont="1" applyFill="1" applyBorder="1" applyAlignment="1" applyProtection="1">
      <alignment horizontal="right"/>
      <protection hidden="1"/>
    </xf>
    <xf numFmtId="0" fontId="63" fillId="30" borderId="61" xfId="90" applyFont="1" applyFill="1" applyBorder="1" applyAlignment="1" applyProtection="1">
      <alignment horizontal="left"/>
      <protection hidden="1"/>
    </xf>
    <xf numFmtId="0" fontId="43" fillId="30" borderId="61" xfId="90" applyFont="1" applyFill="1" applyBorder="1" applyAlignment="1" applyProtection="1">
      <alignment horizontal="left"/>
      <protection hidden="1"/>
    </xf>
    <xf numFmtId="0" fontId="43" fillId="30" borderId="61" xfId="90" applyFont="1" applyFill="1" applyBorder="1"/>
    <xf numFmtId="0" fontId="43" fillId="30" borderId="62" xfId="90" applyFont="1" applyFill="1" applyBorder="1"/>
    <xf numFmtId="0" fontId="23" fillId="30" borderId="63" xfId="90" applyFill="1" applyBorder="1"/>
    <xf numFmtId="0" fontId="45" fillId="30" borderId="0" xfId="90" applyFont="1" applyFill="1" applyAlignment="1" applyProtection="1">
      <alignment horizontal="left" vertical="center"/>
      <protection hidden="1"/>
    </xf>
    <xf numFmtId="0" fontId="45" fillId="30" borderId="0" xfId="90" applyFont="1" applyFill="1" applyAlignment="1" applyProtection="1">
      <alignment horizontal="center" vertical="center"/>
      <protection hidden="1"/>
    </xf>
    <xf numFmtId="0" fontId="43" fillId="30" borderId="0" xfId="90" applyFont="1" applyFill="1"/>
    <xf numFmtId="0" fontId="23" fillId="30" borderId="63" xfId="90" applyFill="1" applyBorder="1" applyAlignment="1">
      <alignment vertical="center"/>
    </xf>
    <xf numFmtId="0" fontId="43" fillId="30" borderId="25" xfId="90" applyFont="1" applyFill="1" applyBorder="1" applyAlignment="1" applyProtection="1">
      <alignment vertical="center"/>
      <protection hidden="1"/>
    </xf>
    <xf numFmtId="0" fontId="43" fillId="30" borderId="68" xfId="90" applyFont="1" applyFill="1" applyBorder="1" applyAlignment="1" applyProtection="1">
      <alignment vertical="center"/>
      <protection hidden="1"/>
    </xf>
    <xf numFmtId="0" fontId="43" fillId="30" borderId="0" xfId="90" applyFont="1" applyFill="1" applyAlignment="1">
      <alignment vertical="center"/>
    </xf>
    <xf numFmtId="0" fontId="43" fillId="30" borderId="64" xfId="90" applyFont="1" applyFill="1" applyBorder="1" applyAlignment="1">
      <alignment vertical="center"/>
    </xf>
    <xf numFmtId="0" fontId="43" fillId="30" borderId="65" xfId="90" applyFont="1" applyFill="1" applyBorder="1"/>
    <xf numFmtId="0" fontId="43" fillId="30" borderId="66" xfId="90" applyFont="1" applyFill="1" applyBorder="1"/>
    <xf numFmtId="0" fontId="43" fillId="30" borderId="67" xfId="90" applyFont="1" applyFill="1" applyBorder="1"/>
    <xf numFmtId="0" fontId="32" fillId="30" borderId="0" xfId="0" applyFont="1" applyFill="1" applyAlignment="1">
      <alignment vertical="center"/>
    </xf>
    <xf numFmtId="0" fontId="51" fillId="30" borderId="0" xfId="0" applyFont="1" applyFill="1" applyAlignment="1" applyProtection="1">
      <alignment vertical="center"/>
      <protection hidden="1"/>
    </xf>
    <xf numFmtId="0" fontId="32" fillId="30" borderId="0" xfId="0" applyFont="1" applyFill="1"/>
    <xf numFmtId="0" fontId="4" fillId="30" borderId="0" xfId="0" applyFont="1" applyFill="1" applyAlignment="1" applyProtection="1">
      <alignment horizontal="centerContinuous" vertical="center"/>
      <protection hidden="1"/>
    </xf>
    <xf numFmtId="0" fontId="4" fillId="30" borderId="0" xfId="0" applyFont="1" applyFill="1" applyAlignment="1">
      <alignment horizontal="centerContinuous" vertical="center"/>
    </xf>
    <xf numFmtId="0" fontId="4" fillId="30" borderId="0" xfId="0" applyFont="1" applyFill="1" applyProtection="1">
      <protection hidden="1"/>
    </xf>
    <xf numFmtId="0" fontId="4" fillId="30" borderId="0" xfId="0" applyFont="1" applyFill="1" applyAlignment="1" applyProtection="1">
      <alignment horizontal="left"/>
      <protection hidden="1"/>
    </xf>
    <xf numFmtId="0" fontId="11" fillId="30" borderId="0" xfId="0" applyFont="1" applyFill="1" applyAlignment="1" applyProtection="1">
      <alignment horizontal="center"/>
      <protection hidden="1"/>
    </xf>
    <xf numFmtId="0" fontId="4" fillId="30" borderId="0" xfId="0" applyFont="1" applyFill="1" applyAlignment="1" applyProtection="1">
      <alignment horizontal="center"/>
      <protection hidden="1"/>
    </xf>
    <xf numFmtId="0" fontId="4" fillId="7" borderId="16" xfId="0" applyFont="1" applyFill="1" applyBorder="1" applyAlignment="1">
      <alignment horizontal="left" vertical="top"/>
    </xf>
    <xf numFmtId="0" fontId="45" fillId="7" borderId="17" xfId="0" applyFont="1" applyFill="1" applyBorder="1" applyAlignment="1">
      <alignment horizontal="center" vertical="top"/>
    </xf>
    <xf numFmtId="0" fontId="45" fillId="7" borderId="17" xfId="0" applyFont="1" applyFill="1" applyBorder="1" applyAlignment="1">
      <alignment horizontal="center"/>
    </xf>
    <xf numFmtId="0" fontId="45" fillId="7" borderId="17" xfId="0" applyFont="1" applyFill="1" applyBorder="1" applyAlignment="1">
      <alignment horizontal="right"/>
    </xf>
    <xf numFmtId="0" fontId="45" fillId="7" borderId="17" xfId="0" applyFont="1" applyFill="1" applyBorder="1" applyAlignment="1">
      <alignment horizontal="left"/>
    </xf>
    <xf numFmtId="0" fontId="45" fillId="7" borderId="132" xfId="0" applyFont="1" applyFill="1" applyBorder="1" applyAlignment="1">
      <alignment horizontal="left"/>
    </xf>
    <xf numFmtId="0" fontId="24" fillId="30" borderId="0" xfId="0" applyFont="1" applyFill="1" applyProtection="1">
      <protection hidden="1"/>
    </xf>
    <xf numFmtId="0" fontId="5" fillId="30" borderId="0" xfId="0" applyFont="1" applyFill="1" applyProtection="1">
      <protection hidden="1"/>
    </xf>
    <xf numFmtId="0" fontId="77" fillId="30" borderId="0" xfId="0" applyFont="1" applyFill="1" applyAlignment="1" applyProtection="1">
      <alignment horizontal="left"/>
      <protection hidden="1"/>
    </xf>
    <xf numFmtId="0" fontId="5" fillId="30" borderId="0" xfId="0" applyFont="1" applyFill="1" applyAlignment="1" applyProtection="1">
      <alignment horizontal="center"/>
      <protection hidden="1"/>
    </xf>
    <xf numFmtId="14" fontId="42" fillId="4" borderId="0" xfId="0" applyNumberFormat="1" applyFont="1" applyFill="1" applyAlignment="1" applyProtection="1">
      <alignment horizontal="center" vertical="center"/>
      <protection hidden="1"/>
    </xf>
    <xf numFmtId="164" fontId="42" fillId="4" borderId="0" xfId="0" applyNumberFormat="1" applyFont="1" applyFill="1" applyAlignment="1" applyProtection="1">
      <alignment horizontal="center" vertical="center"/>
      <protection hidden="1"/>
    </xf>
    <xf numFmtId="14" fontId="42" fillId="4" borderId="133" xfId="0" applyNumberFormat="1" applyFont="1" applyFill="1" applyBorder="1" applyAlignment="1" applyProtection="1">
      <alignment horizontal="center" vertical="center"/>
      <protection hidden="1"/>
    </xf>
    <xf numFmtId="0" fontId="43" fillId="4" borderId="0" xfId="0" applyFont="1" applyFill="1" applyAlignment="1" applyProtection="1">
      <alignment horizontal="right"/>
      <protection hidden="1"/>
    </xf>
    <xf numFmtId="0" fontId="43" fillId="4" borderId="24" xfId="0" applyFont="1" applyFill="1" applyBorder="1" applyAlignment="1" applyProtection="1">
      <alignment horizontal="center"/>
      <protection locked="0"/>
    </xf>
    <xf numFmtId="0" fontId="43" fillId="4" borderId="134" xfId="0" applyFont="1" applyFill="1" applyBorder="1" applyAlignment="1" applyProtection="1">
      <alignment horizontal="center"/>
      <protection locked="0"/>
    </xf>
    <xf numFmtId="0" fontId="43" fillId="4" borderId="19" xfId="0" applyFont="1" applyFill="1" applyBorder="1" applyAlignment="1" applyProtection="1">
      <alignment horizontal="left"/>
      <protection hidden="1"/>
    </xf>
    <xf numFmtId="0" fontId="54" fillId="30" borderId="0" xfId="0" applyFont="1" applyFill="1" applyAlignment="1" applyProtection="1">
      <alignment horizontal="left" vertical="center"/>
      <protection hidden="1"/>
    </xf>
    <xf numFmtId="0" fontId="45" fillId="7" borderId="16" xfId="0" applyFont="1" applyFill="1" applyBorder="1" applyAlignment="1" applyProtection="1">
      <alignment horizontal="centerContinuous"/>
      <protection hidden="1"/>
    </xf>
    <xf numFmtId="0" fontId="45" fillId="7" borderId="17" xfId="0" applyFont="1" applyFill="1" applyBorder="1" applyAlignment="1" applyProtection="1">
      <alignment horizontal="centerContinuous"/>
      <protection hidden="1"/>
    </xf>
    <xf numFmtId="0" fontId="45" fillId="7" borderId="132" xfId="0" applyFont="1" applyFill="1" applyBorder="1" applyAlignment="1" applyProtection="1">
      <alignment horizontal="centerContinuous"/>
      <protection hidden="1"/>
    </xf>
    <xf numFmtId="0" fontId="78" fillId="30" borderId="0" xfId="0" applyFont="1" applyFill="1" applyAlignment="1" applyProtection="1">
      <alignment vertical="center"/>
      <protection hidden="1"/>
    </xf>
    <xf numFmtId="0" fontId="20" fillId="30" borderId="0" xfId="0" applyFont="1" applyFill="1" applyAlignment="1" applyProtection="1">
      <alignment vertical="center"/>
      <protection hidden="1"/>
    </xf>
    <xf numFmtId="0" fontId="13" fillId="30" borderId="0" xfId="0" applyFont="1" applyFill="1" applyAlignment="1">
      <alignment horizontal="center"/>
    </xf>
    <xf numFmtId="0" fontId="0" fillId="30" borderId="0" xfId="0" applyFill="1" applyAlignment="1">
      <alignment horizontal="center"/>
    </xf>
    <xf numFmtId="0" fontId="45" fillId="7" borderId="135" xfId="0" applyFont="1" applyFill="1" applyBorder="1" applyAlignment="1" applyProtection="1">
      <alignment horizontal="center" vertical="center"/>
      <protection hidden="1"/>
    </xf>
    <xf numFmtId="0" fontId="45" fillId="7" borderId="14" xfId="0" applyFont="1" applyFill="1" applyBorder="1" applyAlignment="1" applyProtection="1">
      <alignment horizontal="center" vertical="center"/>
      <protection hidden="1"/>
    </xf>
    <xf numFmtId="0" fontId="45" fillId="7" borderId="14" xfId="0" applyFont="1" applyFill="1" applyBorder="1" applyAlignment="1" applyProtection="1">
      <alignment horizontal="left" vertical="center"/>
      <protection hidden="1"/>
    </xf>
    <xf numFmtId="0" fontId="45" fillId="7" borderId="136" xfId="0" applyFont="1" applyFill="1" applyBorder="1" applyAlignment="1" applyProtection="1">
      <alignment horizontal="center" vertical="center"/>
      <protection hidden="1"/>
    </xf>
    <xf numFmtId="0" fontId="77" fillId="30" borderId="0" xfId="0" applyFont="1" applyFill="1" applyAlignment="1" applyProtection="1">
      <alignment vertical="center"/>
      <protection hidden="1"/>
    </xf>
    <xf numFmtId="0" fontId="49" fillId="7" borderId="137" xfId="0" applyFont="1" applyFill="1" applyBorder="1" applyAlignment="1" applyProtection="1">
      <alignment horizontal="left" vertical="center"/>
      <protection hidden="1"/>
    </xf>
    <xf numFmtId="0" fontId="49" fillId="7" borderId="138" xfId="0" applyFont="1" applyFill="1" applyBorder="1" applyAlignment="1" applyProtection="1">
      <alignment horizontal="center" vertical="center"/>
      <protection hidden="1"/>
    </xf>
    <xf numFmtId="0" fontId="43" fillId="4" borderId="139" xfId="0" applyFont="1" applyFill="1" applyBorder="1" applyAlignment="1" applyProtection="1">
      <alignment horizontal="center" vertical="center"/>
      <protection hidden="1"/>
    </xf>
    <xf numFmtId="0" fontId="43" fillId="4" borderId="15" xfId="0" applyFont="1" applyFill="1" applyBorder="1" applyAlignment="1" applyProtection="1">
      <alignment horizontal="left" vertical="center"/>
      <protection hidden="1"/>
    </xf>
    <xf numFmtId="0" fontId="44" fillId="4" borderId="15" xfId="0" applyFont="1" applyFill="1" applyBorder="1" applyAlignment="1" applyProtection="1">
      <alignment horizontal="center" vertical="center"/>
      <protection hidden="1"/>
    </xf>
    <xf numFmtId="0" fontId="43" fillId="4" borderId="15" xfId="0" applyFont="1" applyFill="1" applyBorder="1" applyAlignment="1" applyProtection="1">
      <alignment horizontal="center" vertical="center"/>
      <protection hidden="1"/>
    </xf>
    <xf numFmtId="0" fontId="43" fillId="4" borderId="140" xfId="0" applyFont="1" applyFill="1" applyBorder="1" applyAlignment="1" applyProtection="1">
      <alignment horizontal="center" vertical="center"/>
      <protection hidden="1"/>
    </xf>
    <xf numFmtId="0" fontId="53" fillId="30" borderId="0" xfId="0" applyFont="1" applyFill="1" applyAlignment="1" applyProtection="1">
      <alignment horizontal="center" vertical="center"/>
      <protection hidden="1"/>
    </xf>
    <xf numFmtId="0" fontId="53" fillId="30" borderId="0" xfId="0" applyFont="1" applyFill="1" applyAlignment="1" applyProtection="1">
      <alignment horizontal="left" vertical="center"/>
      <protection hidden="1"/>
    </xf>
    <xf numFmtId="0" fontId="27" fillId="30" borderId="0" xfId="0" applyFont="1" applyFill="1" applyAlignment="1" applyProtection="1">
      <alignment horizontal="center" vertical="center"/>
      <protection hidden="1"/>
    </xf>
    <xf numFmtId="0" fontId="43" fillId="0" borderId="141" xfId="0" applyFont="1" applyBorder="1" applyAlignment="1" applyProtection="1">
      <alignment horizontal="left" vertical="center"/>
      <protection hidden="1"/>
    </xf>
    <xf numFmtId="0" fontId="43" fillId="0" borderId="142" xfId="0" applyFont="1" applyBorder="1" applyAlignment="1" applyProtection="1">
      <alignment horizontal="center" vertical="center"/>
      <protection locked="0" hidden="1"/>
    </xf>
    <xf numFmtId="0" fontId="43" fillId="4" borderId="18" xfId="0" applyFont="1" applyFill="1" applyBorder="1" applyAlignment="1" applyProtection="1">
      <alignment horizontal="center" vertical="center"/>
      <protection hidden="1"/>
    </xf>
    <xf numFmtId="0" fontId="43" fillId="4" borderId="0" xfId="0" applyFont="1" applyFill="1" applyAlignment="1" applyProtection="1">
      <alignment horizontal="left" vertical="center"/>
      <protection hidden="1"/>
    </xf>
    <xf numFmtId="0" fontId="44" fillId="4" borderId="0" xfId="0" applyFont="1" applyFill="1" applyAlignment="1" applyProtection="1">
      <alignment horizontal="center" vertical="center"/>
      <protection hidden="1"/>
    </xf>
    <xf numFmtId="0" fontId="43" fillId="4" borderId="0" xfId="0" applyFont="1" applyFill="1" applyAlignment="1" applyProtection="1">
      <alignment horizontal="center" vertical="center"/>
      <protection hidden="1"/>
    </xf>
    <xf numFmtId="0" fontId="43" fillId="4" borderId="19" xfId="0" applyFont="1" applyFill="1" applyBorder="1" applyAlignment="1" applyProtection="1">
      <alignment horizontal="center" vertical="center"/>
      <protection hidden="1"/>
    </xf>
    <xf numFmtId="0" fontId="43" fillId="40" borderId="141" xfId="0" applyFont="1" applyFill="1" applyBorder="1" applyAlignment="1" applyProtection="1">
      <alignment horizontal="left" vertical="center"/>
      <protection hidden="1"/>
    </xf>
    <xf numFmtId="0" fontId="43" fillId="40" borderId="142" xfId="0" applyFont="1" applyFill="1" applyBorder="1" applyAlignment="1" applyProtection="1">
      <alignment horizontal="center" vertical="center"/>
      <protection locked="0" hidden="1"/>
    </xf>
    <xf numFmtId="14" fontId="42" fillId="4" borderId="21" xfId="0" applyNumberFormat="1" applyFont="1" applyFill="1" applyBorder="1" applyAlignment="1" applyProtection="1">
      <alignment horizontal="center" vertical="center"/>
      <protection hidden="1"/>
    </xf>
    <xf numFmtId="164" fontId="42" fillId="4" borderId="21" xfId="0" applyNumberFormat="1" applyFont="1" applyFill="1" applyBorder="1" applyAlignment="1" applyProtection="1">
      <alignment horizontal="center" vertical="center"/>
      <protection hidden="1"/>
    </xf>
    <xf numFmtId="14" fontId="42" fillId="4" borderId="143" xfId="0" applyNumberFormat="1" applyFont="1" applyFill="1" applyBorder="1" applyAlignment="1" applyProtection="1">
      <alignment horizontal="center" vertical="center"/>
      <protection hidden="1"/>
    </xf>
    <xf numFmtId="0" fontId="43" fillId="4" borderId="21" xfId="0" applyFont="1" applyFill="1" applyBorder="1" applyAlignment="1" applyProtection="1">
      <alignment horizontal="right"/>
      <protection hidden="1"/>
    </xf>
    <xf numFmtId="0" fontId="43" fillId="4" borderId="144" xfId="0" applyFont="1" applyFill="1" applyBorder="1" applyAlignment="1" applyProtection="1">
      <alignment horizontal="center"/>
      <protection locked="0"/>
    </xf>
    <xf numFmtId="0" fontId="43" fillId="4" borderId="22" xfId="0" applyFont="1" applyFill="1" applyBorder="1" applyAlignment="1" applyProtection="1">
      <alignment horizontal="center"/>
      <protection locked="0"/>
    </xf>
    <xf numFmtId="0" fontId="43" fillId="4" borderId="23" xfId="0" applyFont="1" applyFill="1" applyBorder="1" applyAlignment="1" applyProtection="1">
      <alignment horizontal="left"/>
      <protection hidden="1"/>
    </xf>
    <xf numFmtId="0" fontId="43" fillId="4" borderId="20" xfId="0" applyFont="1" applyFill="1" applyBorder="1" applyAlignment="1" applyProtection="1">
      <alignment horizontal="center" vertical="center"/>
      <protection hidden="1"/>
    </xf>
    <xf numFmtId="0" fontId="43" fillId="4" borderId="21" xfId="0" applyFont="1" applyFill="1" applyBorder="1" applyAlignment="1" applyProtection="1">
      <alignment horizontal="left" vertical="center"/>
      <protection hidden="1"/>
    </xf>
    <xf numFmtId="0" fontId="44" fillId="4" borderId="21" xfId="0" applyFont="1" applyFill="1" applyBorder="1" applyAlignment="1" applyProtection="1">
      <alignment horizontal="center" vertical="center"/>
      <protection hidden="1"/>
    </xf>
    <xf numFmtId="0" fontId="43" fillId="4" borderId="21" xfId="0" applyFont="1" applyFill="1" applyBorder="1" applyAlignment="1" applyProtection="1">
      <alignment horizontal="center" vertical="center"/>
      <protection hidden="1"/>
    </xf>
    <xf numFmtId="0" fontId="43" fillId="4" borderId="23" xfId="0" applyFont="1" applyFill="1" applyBorder="1" applyAlignment="1" applyProtection="1">
      <alignment horizontal="center" vertical="center"/>
      <protection hidden="1"/>
    </xf>
    <xf numFmtId="0" fontId="43" fillId="40" borderId="145" xfId="0" applyFont="1" applyFill="1" applyBorder="1" applyAlignment="1" applyProtection="1">
      <alignment horizontal="left" vertical="center"/>
      <protection hidden="1"/>
    </xf>
    <xf numFmtId="0" fontId="43" fillId="40" borderId="146" xfId="0" applyFont="1" applyFill="1" applyBorder="1" applyAlignment="1" applyProtection="1">
      <alignment horizontal="center" vertical="center"/>
      <protection locked="0" hidden="1"/>
    </xf>
    <xf numFmtId="14" fontId="9" fillId="30" borderId="0" xfId="0" applyNumberFormat="1" applyFont="1" applyFill="1" applyProtection="1">
      <protection hidden="1"/>
    </xf>
    <xf numFmtId="14" fontId="15" fillId="30" borderId="0" xfId="0" applyNumberFormat="1" applyFont="1" applyFill="1" applyProtection="1">
      <protection hidden="1"/>
    </xf>
    <xf numFmtId="14" fontId="9" fillId="30" borderId="0" xfId="0" applyNumberFormat="1" applyFont="1" applyFill="1" applyAlignment="1" applyProtection="1">
      <alignment horizontal="center" vertical="center"/>
      <protection hidden="1"/>
    </xf>
    <xf numFmtId="0" fontId="9" fillId="30" borderId="0" xfId="0" applyFont="1" applyFill="1" applyAlignment="1" applyProtection="1">
      <alignment horizontal="right"/>
      <protection hidden="1"/>
    </xf>
    <xf numFmtId="0" fontId="9" fillId="30" borderId="0" xfId="0" applyFont="1" applyFill="1" applyAlignment="1" applyProtection="1">
      <alignment wrapText="1"/>
      <protection hidden="1"/>
    </xf>
    <xf numFmtId="0" fontId="9" fillId="30" borderId="0" xfId="0" applyFont="1" applyFill="1" applyProtection="1">
      <protection hidden="1"/>
    </xf>
    <xf numFmtId="0" fontId="9" fillId="30" borderId="0" xfId="0" applyFont="1" applyFill="1" applyAlignment="1" applyProtection="1">
      <alignment horizontal="left"/>
      <protection hidden="1"/>
    </xf>
    <xf numFmtId="0" fontId="9" fillId="30" borderId="0" xfId="0" applyFont="1" applyFill="1" applyAlignment="1" applyProtection="1">
      <alignment horizontal="center" vertical="center"/>
      <protection hidden="1"/>
    </xf>
    <xf numFmtId="0" fontId="9" fillId="30" borderId="0" xfId="0" applyFont="1" applyFill="1" applyAlignment="1" applyProtection="1">
      <alignment horizontal="center" vertical="center" wrapText="1"/>
      <protection hidden="1"/>
    </xf>
    <xf numFmtId="0" fontId="10" fillId="30" borderId="0" xfId="0" applyFont="1" applyFill="1" applyAlignment="1" applyProtection="1">
      <alignment horizontal="center" vertical="center"/>
      <protection hidden="1"/>
    </xf>
    <xf numFmtId="0" fontId="5" fillId="30" borderId="0" xfId="0" applyFont="1" applyFill="1" applyAlignment="1" applyProtection="1">
      <alignment wrapText="1"/>
      <protection hidden="1"/>
    </xf>
    <xf numFmtId="0" fontId="26" fillId="30" borderId="0" xfId="0" applyFont="1" applyFill="1" applyAlignment="1" applyProtection="1">
      <alignment horizontal="center"/>
      <protection hidden="1"/>
    </xf>
    <xf numFmtId="0" fontId="28" fillId="30" borderId="0" xfId="0" applyFont="1" applyFill="1" applyAlignment="1" applyProtection="1">
      <alignment vertical="center" wrapText="1"/>
      <protection hidden="1"/>
    </xf>
    <xf numFmtId="0" fontId="28" fillId="30" borderId="0" xfId="0" applyFont="1" applyFill="1" applyAlignment="1" applyProtection="1">
      <alignment vertical="center"/>
      <protection hidden="1"/>
    </xf>
    <xf numFmtId="0" fontId="43" fillId="4" borderId="147" xfId="0" applyFont="1" applyFill="1" applyBorder="1" applyAlignment="1" applyProtection="1">
      <alignment horizontal="center" vertical="center"/>
      <protection hidden="1"/>
    </xf>
    <xf numFmtId="0" fontId="43" fillId="4" borderId="148" xfId="0" applyFont="1" applyFill="1" applyBorder="1" applyAlignment="1" applyProtection="1">
      <alignment horizontal="center" vertical="center"/>
      <protection hidden="1"/>
    </xf>
    <xf numFmtId="0" fontId="43" fillId="4" borderId="149" xfId="0" applyFont="1" applyFill="1" applyBorder="1" applyAlignment="1" applyProtection="1">
      <alignment horizontal="center" vertical="center"/>
      <protection hidden="1"/>
    </xf>
    <xf numFmtId="0" fontId="43" fillId="4" borderId="150" xfId="0" applyFont="1" applyFill="1" applyBorder="1" applyAlignment="1" applyProtection="1">
      <alignment horizontal="center" vertical="center"/>
      <protection hidden="1"/>
    </xf>
    <xf numFmtId="0" fontId="43" fillId="4" borderId="151" xfId="0" applyFont="1" applyFill="1" applyBorder="1" applyAlignment="1" applyProtection="1">
      <alignment horizontal="center" vertical="center"/>
      <protection hidden="1"/>
    </xf>
    <xf numFmtId="0" fontId="43" fillId="4" borderId="152" xfId="0" applyFont="1" applyFill="1" applyBorder="1" applyAlignment="1" applyProtection="1">
      <alignment horizontal="left" vertical="center"/>
      <protection hidden="1"/>
    </xf>
    <xf numFmtId="0" fontId="44" fillId="4" borderId="152" xfId="0" applyFont="1" applyFill="1" applyBorder="1" applyAlignment="1" applyProtection="1">
      <alignment horizontal="center" vertical="center"/>
      <protection hidden="1"/>
    </xf>
    <xf numFmtId="0" fontId="43" fillId="4" borderId="152" xfId="0" applyFont="1" applyFill="1" applyBorder="1" applyAlignment="1" applyProtection="1">
      <alignment horizontal="center" vertical="center"/>
      <protection hidden="1"/>
    </xf>
    <xf numFmtId="0" fontId="43" fillId="4" borderId="153" xfId="0" applyFont="1" applyFill="1" applyBorder="1" applyAlignment="1" applyProtection="1">
      <alignment horizontal="center" vertical="center"/>
      <protection hidden="1"/>
    </xf>
    <xf numFmtId="0" fontId="45" fillId="7" borderId="17" xfId="0" applyFont="1" applyFill="1" applyBorder="1" applyAlignment="1">
      <alignment horizontal="left" vertical="top"/>
    </xf>
    <xf numFmtId="0" fontId="45" fillId="7" borderId="17" xfId="0" applyFont="1" applyFill="1" applyBorder="1" applyAlignment="1">
      <alignment horizontal="right" vertical="top"/>
    </xf>
    <xf numFmtId="0" fontId="45" fillId="7" borderId="132" xfId="0" applyFont="1" applyFill="1" applyBorder="1" applyAlignment="1">
      <alignment horizontal="left" vertical="top"/>
    </xf>
    <xf numFmtId="0" fontId="16" fillId="30" borderId="0" xfId="0" applyFont="1" applyFill="1" applyAlignment="1" applyProtection="1">
      <alignment horizontal="center" vertical="center"/>
      <protection hidden="1"/>
    </xf>
    <xf numFmtId="0" fontId="45"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2" xfId="0" applyFont="1" applyFill="1" applyBorder="1" applyAlignment="1" applyProtection="1">
      <alignment horizontal="centerContinuous" vertical="center"/>
      <protection hidden="1"/>
    </xf>
    <xf numFmtId="0" fontId="56" fillId="30" borderId="0" xfId="0" applyFont="1" applyFill="1" applyProtection="1">
      <protection hidden="1"/>
    </xf>
    <xf numFmtId="0" fontId="9" fillId="30" borderId="0" xfId="0" applyFont="1" applyFill="1" applyAlignment="1" applyProtection="1">
      <alignment horizontal="center"/>
      <protection hidden="1"/>
    </xf>
    <xf numFmtId="0" fontId="10" fillId="30" borderId="0" xfId="0" applyFont="1" applyFill="1" applyAlignment="1" applyProtection="1">
      <alignment horizontal="center"/>
      <protection hidden="1"/>
    </xf>
    <xf numFmtId="0" fontId="42" fillId="4" borderId="133" xfId="0" applyFont="1" applyFill="1" applyBorder="1" applyAlignment="1" applyProtection="1">
      <alignment horizontal="center" vertical="center"/>
      <protection hidden="1"/>
    </xf>
    <xf numFmtId="0" fontId="43" fillId="4" borderId="0" xfId="0" applyFont="1" applyFill="1" applyAlignment="1" applyProtection="1">
      <alignment horizontal="right" vertical="center"/>
      <protection hidden="1"/>
    </xf>
    <xf numFmtId="0" fontId="43" fillId="4" borderId="0" xfId="0" applyFont="1" applyFill="1" applyAlignment="1" applyProtection="1">
      <alignment horizontal="center"/>
      <protection locked="0" hidden="1"/>
    </xf>
    <xf numFmtId="0" fontId="43" fillId="4" borderId="154" xfId="0" applyFont="1" applyFill="1" applyBorder="1" applyAlignment="1" applyProtection="1">
      <alignment horizontal="center"/>
      <protection locked="0" hidden="1"/>
    </xf>
    <xf numFmtId="0" fontId="43" fillId="4" borderId="19" xfId="0" applyFont="1" applyFill="1" applyBorder="1" applyAlignment="1">
      <alignment horizontal="left" vertical="center"/>
    </xf>
    <xf numFmtId="0" fontId="43" fillId="4" borderId="25" xfId="0" applyFont="1" applyFill="1" applyBorder="1" applyAlignment="1" applyProtection="1">
      <alignment horizontal="center"/>
      <protection locked="0"/>
    </xf>
    <xf numFmtId="0" fontId="43" fillId="4" borderId="16" xfId="0" applyFont="1" applyFill="1" applyBorder="1" applyAlignment="1" applyProtection="1">
      <alignment horizontal="center" vertical="center"/>
      <protection hidden="1"/>
    </xf>
    <xf numFmtId="0" fontId="43" fillId="4" borderId="17" xfId="0" applyFont="1" applyFill="1" applyBorder="1" applyAlignment="1" applyProtection="1">
      <alignment horizontal="left" vertical="center"/>
      <protection hidden="1"/>
    </xf>
    <xf numFmtId="0" fontId="44" fillId="4" borderId="17" xfId="0" applyFont="1" applyFill="1" applyBorder="1" applyAlignment="1" applyProtection="1">
      <alignment horizontal="center" vertical="center"/>
      <protection hidden="1"/>
    </xf>
    <xf numFmtId="0" fontId="43" fillId="4" borderId="17" xfId="0" applyFont="1" applyFill="1" applyBorder="1" applyAlignment="1" applyProtection="1">
      <alignment horizontal="center" vertical="center"/>
      <protection hidden="1"/>
    </xf>
    <xf numFmtId="0" fontId="43" fillId="4" borderId="17" xfId="0" quotePrefix="1" applyFont="1" applyFill="1" applyBorder="1" applyAlignment="1" applyProtection="1">
      <alignment horizontal="center" vertical="center"/>
      <protection hidden="1"/>
    </xf>
    <xf numFmtId="0" fontId="43" fillId="4" borderId="132" xfId="0" quotePrefix="1" applyFont="1" applyFill="1" applyBorder="1" applyAlignment="1" applyProtection="1">
      <alignment horizontal="center" vertical="center"/>
      <protection hidden="1"/>
    </xf>
    <xf numFmtId="0" fontId="12" fillId="30" borderId="0" xfId="0" applyFont="1" applyFill="1" applyAlignment="1" applyProtection="1">
      <alignment horizontal="center" vertical="center"/>
      <protection hidden="1"/>
    </xf>
    <xf numFmtId="0" fontId="43" fillId="4" borderId="0" xfId="0" quotePrefix="1" applyFont="1" applyFill="1" applyAlignment="1" applyProtection="1">
      <alignment horizontal="left" vertical="center"/>
      <protection hidden="1"/>
    </xf>
    <xf numFmtId="0" fontId="44" fillId="4" borderId="0" xfId="0" quotePrefix="1" applyFont="1" applyFill="1" applyAlignment="1" applyProtection="1">
      <alignment horizontal="center" vertical="center"/>
      <protection hidden="1"/>
    </xf>
    <xf numFmtId="0" fontId="43" fillId="4" borderId="0" xfId="0" quotePrefix="1" applyFont="1" applyFill="1" applyAlignment="1" applyProtection="1">
      <alignment horizontal="center" vertical="center"/>
      <protection hidden="1"/>
    </xf>
    <xf numFmtId="0" fontId="43" fillId="4" borderId="19" xfId="0" quotePrefix="1" applyFont="1" applyFill="1" applyBorder="1" applyAlignment="1" applyProtection="1">
      <alignment horizontal="center" vertical="center"/>
      <protection hidden="1"/>
    </xf>
    <xf numFmtId="14" fontId="43" fillId="30" borderId="0" xfId="0" applyNumberFormat="1" applyFont="1" applyFill="1" applyAlignment="1" applyProtection="1">
      <alignment horizontal="right"/>
      <protection hidden="1"/>
    </xf>
    <xf numFmtId="14" fontId="43" fillId="30" borderId="0" xfId="0" applyNumberFormat="1" applyFont="1" applyFill="1" applyAlignment="1" applyProtection="1">
      <alignment horizontal="left"/>
      <protection hidden="1"/>
    </xf>
    <xf numFmtId="14" fontId="43" fillId="30" borderId="0" xfId="0" applyNumberFormat="1" applyFont="1" applyFill="1" applyProtection="1">
      <protection hidden="1"/>
    </xf>
    <xf numFmtId="0" fontId="21" fillId="30" borderId="0" xfId="0" applyFont="1" applyFill="1" applyAlignment="1" applyProtection="1">
      <alignment horizontal="center" vertical="center"/>
      <protection hidden="1"/>
    </xf>
    <xf numFmtId="0" fontId="0" fillId="30" borderId="0" xfId="0" applyFill="1" applyProtection="1">
      <protection hidden="1"/>
    </xf>
    <xf numFmtId="0" fontId="19" fillId="30" borderId="0" xfId="0" applyFont="1" applyFill="1" applyAlignment="1" applyProtection="1">
      <alignment horizontal="center"/>
      <protection hidden="1"/>
    </xf>
    <xf numFmtId="0" fontId="42" fillId="4" borderId="143" xfId="0" applyFont="1" applyFill="1" applyBorder="1" applyAlignment="1" applyProtection="1">
      <alignment horizontal="center" vertical="center"/>
      <protection hidden="1"/>
    </xf>
    <xf numFmtId="0" fontId="43" fillId="4" borderId="21" xfId="0" applyFont="1" applyFill="1" applyBorder="1" applyAlignment="1" applyProtection="1">
      <alignment horizontal="right" vertical="center"/>
      <protection hidden="1"/>
    </xf>
    <xf numFmtId="0" fontId="43" fillId="4" borderId="21" xfId="0" applyFont="1" applyFill="1" applyBorder="1" applyAlignment="1" applyProtection="1">
      <alignment horizontal="center"/>
      <protection locked="0" hidden="1"/>
    </xf>
    <xf numFmtId="0" fontId="43" fillId="4" borderId="155" xfId="0" applyFont="1" applyFill="1" applyBorder="1" applyAlignment="1" applyProtection="1">
      <alignment horizontal="center"/>
      <protection locked="0"/>
    </xf>
    <xf numFmtId="0" fontId="43" fillId="4" borderId="23" xfId="0" applyFont="1" applyFill="1" applyBorder="1" applyAlignment="1">
      <alignment horizontal="left" vertical="center"/>
    </xf>
    <xf numFmtId="0" fontId="43" fillId="30" borderId="0" xfId="0" applyFont="1" applyFill="1" applyAlignment="1" applyProtection="1">
      <alignment horizontal="left"/>
      <protection hidden="1"/>
    </xf>
    <xf numFmtId="0" fontId="43" fillId="4" borderId="12" xfId="0" applyFont="1" applyFill="1" applyBorder="1" applyAlignment="1" applyProtection="1">
      <alignment horizontal="center"/>
      <protection locked="0"/>
    </xf>
    <xf numFmtId="0" fontId="6" fillId="30" borderId="0" xfId="27" applyFill="1" applyAlignment="1" applyProtection="1">
      <alignment horizontal="center"/>
      <protection hidden="1"/>
    </xf>
    <xf numFmtId="0" fontId="43" fillId="4" borderId="157" xfId="0" applyFont="1" applyFill="1" applyBorder="1" applyAlignment="1" applyProtection="1">
      <alignment horizontal="center"/>
      <protection locked="0"/>
    </xf>
    <xf numFmtId="0" fontId="43" fillId="4" borderId="3" xfId="0" applyFont="1" applyFill="1" applyBorder="1" applyAlignment="1" applyProtection="1">
      <alignment horizontal="center"/>
      <protection locked="0" hidden="1"/>
    </xf>
    <xf numFmtId="0" fontId="43" fillId="4" borderId="2" xfId="0" applyFont="1" applyFill="1" applyBorder="1" applyAlignment="1" applyProtection="1">
      <alignment horizontal="center"/>
      <protection locked="0"/>
    </xf>
    <xf numFmtId="0" fontId="43" fillId="4" borderId="159" xfId="0" applyFont="1" applyFill="1" applyBorder="1" applyAlignment="1" applyProtection="1">
      <alignment horizontal="center"/>
      <protection locked="0"/>
    </xf>
    <xf numFmtId="0" fontId="42" fillId="4" borderId="26" xfId="0" applyFont="1" applyFill="1" applyBorder="1" applyAlignment="1" applyProtection="1">
      <alignment horizontal="center" vertical="center"/>
      <protection hidden="1"/>
    </xf>
    <xf numFmtId="0" fontId="43" fillId="4" borderId="160" xfId="0" applyFont="1" applyFill="1" applyBorder="1" applyAlignment="1">
      <alignment horizontal="left" vertical="center"/>
    </xf>
    <xf numFmtId="0" fontId="54" fillId="30" borderId="0" xfId="0" applyFont="1" applyFill="1" applyAlignment="1">
      <alignment horizontal="left" vertical="center"/>
    </xf>
    <xf numFmtId="0" fontId="42" fillId="4" borderId="161" xfId="0" applyFont="1" applyFill="1" applyBorder="1" applyAlignment="1" applyProtection="1">
      <alignment horizontal="center" vertical="center"/>
      <protection hidden="1"/>
    </xf>
    <xf numFmtId="0" fontId="43" fillId="4" borderId="162" xfId="0" applyFont="1" applyFill="1" applyBorder="1" applyAlignment="1">
      <alignment horizontal="left" vertical="center"/>
    </xf>
    <xf numFmtId="0" fontId="54" fillId="30" borderId="0" xfId="0" applyFont="1" applyFill="1" applyAlignment="1">
      <alignment horizontal="center" vertical="center"/>
    </xf>
    <xf numFmtId="0" fontId="45" fillId="7" borderId="163" xfId="0" applyFont="1" applyFill="1" applyBorder="1" applyAlignment="1" applyProtection="1">
      <alignment horizontal="centerContinuous" vertical="center"/>
      <protection hidden="1"/>
    </xf>
    <xf numFmtId="0" fontId="18" fillId="7" borderId="164" xfId="0" applyFont="1" applyFill="1" applyBorder="1" applyAlignment="1" applyProtection="1">
      <alignment horizontal="centerContinuous" vertical="center"/>
      <protection hidden="1"/>
    </xf>
    <xf numFmtId="0" fontId="10" fillId="7" borderId="164" xfId="0" applyFont="1" applyFill="1" applyBorder="1" applyAlignment="1" applyProtection="1">
      <alignment horizontal="centerContinuous" vertical="center"/>
      <protection hidden="1"/>
    </xf>
    <xf numFmtId="0" fontId="10" fillId="7" borderId="165" xfId="0" applyFont="1" applyFill="1" applyBorder="1" applyAlignment="1" applyProtection="1">
      <alignment horizontal="centerContinuous" vertical="center"/>
      <protection hidden="1"/>
    </xf>
    <xf numFmtId="0" fontId="4" fillId="7" borderId="166" xfId="0" applyFont="1" applyFill="1" applyBorder="1" applyAlignment="1">
      <alignment horizontal="left" vertical="top"/>
    </xf>
    <xf numFmtId="0" fontId="45" fillId="7" borderId="167" xfId="0" applyFont="1" applyFill="1" applyBorder="1" applyAlignment="1">
      <alignment horizontal="left" vertical="top"/>
    </xf>
    <xf numFmtId="0" fontId="43" fillId="4" borderId="1" xfId="0" applyFont="1" applyFill="1" applyBorder="1" applyAlignment="1" applyProtection="1">
      <alignment horizontal="center"/>
      <protection locked="0"/>
    </xf>
    <xf numFmtId="14" fontId="42" fillId="4" borderId="170" xfId="0" applyNumberFormat="1" applyFont="1" applyFill="1" applyBorder="1" applyAlignment="1" applyProtection="1">
      <alignment horizontal="center" vertical="center"/>
      <protection hidden="1"/>
    </xf>
    <xf numFmtId="164" fontId="42" fillId="4" borderId="170" xfId="0" applyNumberFormat="1" applyFont="1" applyFill="1" applyBorder="1" applyAlignment="1" applyProtection="1">
      <alignment horizontal="center" vertical="center"/>
      <protection hidden="1"/>
    </xf>
    <xf numFmtId="0" fontId="42" fillId="4" borderId="171" xfId="0" applyFont="1" applyFill="1" applyBorder="1" applyAlignment="1" applyProtection="1">
      <alignment horizontal="center" vertical="center"/>
      <protection hidden="1"/>
    </xf>
    <xf numFmtId="0" fontId="43" fillId="4" borderId="170" xfId="0" applyFont="1" applyFill="1" applyBorder="1" applyAlignment="1" applyProtection="1">
      <alignment horizontal="right" vertical="center"/>
      <protection hidden="1"/>
    </xf>
    <xf numFmtId="0" fontId="43" fillId="4" borderId="170" xfId="0" applyFont="1" applyFill="1" applyBorder="1" applyAlignment="1" applyProtection="1">
      <alignment horizontal="center"/>
      <protection locked="0" hidden="1"/>
    </xf>
    <xf numFmtId="0" fontId="43" fillId="4" borderId="172" xfId="0" applyFont="1" applyFill="1" applyBorder="1" applyAlignment="1">
      <alignment horizontal="left" vertical="center"/>
    </xf>
    <xf numFmtId="0" fontId="26" fillId="7" borderId="166" xfId="0" applyFont="1" applyFill="1" applyBorder="1" applyAlignment="1">
      <alignment horizontal="left" vertical="top"/>
    </xf>
    <xf numFmtId="14" fontId="22" fillId="28" borderId="173" xfId="0" quotePrefix="1" applyNumberFormat="1" applyFont="1" applyFill="1" applyBorder="1" applyAlignment="1" applyProtection="1">
      <alignment horizontal="center" vertical="center"/>
      <protection hidden="1"/>
    </xf>
    <xf numFmtId="0" fontId="42" fillId="4" borderId="170" xfId="0" applyFont="1" applyFill="1" applyBorder="1" applyAlignment="1" applyProtection="1">
      <alignment horizontal="center" vertical="center"/>
      <protection hidden="1"/>
    </xf>
    <xf numFmtId="0" fontId="43" fillId="4" borderId="174" xfId="0" applyFont="1" applyFill="1" applyBorder="1" applyAlignment="1" applyProtection="1">
      <alignment horizontal="right" vertical="center"/>
      <protection hidden="1"/>
    </xf>
    <xf numFmtId="0" fontId="43" fillId="4" borderId="170" xfId="0" applyFont="1" applyFill="1" applyBorder="1" applyAlignment="1" applyProtection="1">
      <alignment horizontal="center" vertical="center"/>
      <protection locked="0"/>
    </xf>
    <xf numFmtId="0" fontId="43" fillId="4" borderId="175" xfId="0" applyFont="1" applyFill="1" applyBorder="1" applyAlignment="1" applyProtection="1">
      <alignment horizontal="center" vertical="center"/>
      <protection locked="0"/>
    </xf>
    <xf numFmtId="0" fontId="43" fillId="4" borderId="172" xfId="0" applyFont="1" applyFill="1" applyBorder="1" applyAlignment="1">
      <alignment vertical="center"/>
    </xf>
    <xf numFmtId="0" fontId="50" fillId="7" borderId="164" xfId="0" applyFont="1" applyFill="1" applyBorder="1" applyAlignment="1" applyProtection="1">
      <alignment horizontal="centerContinuous" vertical="center"/>
      <protection hidden="1"/>
    </xf>
    <xf numFmtId="14" fontId="31" fillId="28" borderId="173" xfId="0" quotePrefix="1" applyNumberFormat="1" applyFont="1" applyFill="1" applyBorder="1" applyAlignment="1" applyProtection="1">
      <alignment horizontal="center" vertical="center"/>
      <protection hidden="1"/>
    </xf>
    <xf numFmtId="0" fontId="53" fillId="30" borderId="0" xfId="0" applyFont="1" applyFill="1" applyAlignment="1">
      <alignment horizontal="center" vertical="center"/>
    </xf>
    <xf numFmtId="0" fontId="45" fillId="7" borderId="163" xfId="0" applyFont="1" applyFill="1" applyBorder="1" applyAlignment="1" applyProtection="1">
      <alignment horizontal="left" vertical="center"/>
      <protection hidden="1"/>
    </xf>
    <xf numFmtId="0" fontId="26" fillId="7" borderId="164" xfId="0" applyFont="1" applyFill="1" applyBorder="1" applyAlignment="1">
      <alignment horizontal="center"/>
    </xf>
    <xf numFmtId="0" fontId="26" fillId="7" borderId="164" xfId="0" applyFont="1" applyFill="1" applyBorder="1" applyAlignment="1">
      <alignment horizontal="left"/>
    </xf>
    <xf numFmtId="0" fontId="45" fillId="7" borderId="164" xfId="0" applyFont="1" applyFill="1" applyBorder="1" applyAlignment="1">
      <alignment horizontal="right"/>
    </xf>
    <xf numFmtId="0" fontId="26" fillId="7" borderId="165" xfId="0" applyFont="1" applyFill="1" applyBorder="1" applyAlignment="1">
      <alignment horizontal="left"/>
    </xf>
    <xf numFmtId="0" fontId="51" fillId="30" borderId="0" xfId="0" applyFont="1" applyFill="1" applyAlignment="1" applyProtection="1">
      <alignment horizontal="centerContinuous" vertical="center"/>
      <protection hidden="1"/>
    </xf>
    <xf numFmtId="0" fontId="49" fillId="7" borderId="176" xfId="0" applyFont="1" applyFill="1" applyBorder="1" applyAlignment="1" applyProtection="1">
      <alignment horizontal="left" vertical="center"/>
      <protection hidden="1"/>
    </xf>
    <xf numFmtId="0" fontId="48" fillId="7" borderId="0" xfId="0" applyFont="1" applyFill="1" applyAlignment="1" applyProtection="1">
      <alignment horizontal="left" vertical="center"/>
      <protection hidden="1"/>
    </xf>
    <xf numFmtId="0" fontId="26" fillId="7" borderId="0" xfId="0" applyFont="1" applyFill="1" applyAlignment="1" applyProtection="1">
      <alignment horizontal="left" vertical="center"/>
      <protection hidden="1"/>
    </xf>
    <xf numFmtId="0" fontId="43" fillId="4" borderId="163" xfId="0" applyFont="1" applyFill="1" applyBorder="1" applyAlignment="1">
      <alignment vertical="center"/>
    </xf>
    <xf numFmtId="0" fontId="0" fillId="4" borderId="164" xfId="0" applyFill="1" applyBorder="1" applyAlignment="1">
      <alignment vertical="center"/>
    </xf>
    <xf numFmtId="0" fontId="0" fillId="4" borderId="165" xfId="0" applyFill="1" applyBorder="1" applyAlignment="1">
      <alignment vertical="center"/>
    </xf>
    <xf numFmtId="0" fontId="43" fillId="4" borderId="176" xfId="0" applyFont="1" applyFill="1" applyBorder="1" applyAlignment="1">
      <alignment vertical="center"/>
    </xf>
    <xf numFmtId="0" fontId="0" fillId="4" borderId="0" xfId="0" applyFill="1" applyAlignment="1">
      <alignment vertical="center"/>
    </xf>
    <xf numFmtId="0" fontId="0" fillId="4" borderId="160" xfId="0" applyFill="1" applyBorder="1" applyAlignment="1">
      <alignment vertical="center"/>
    </xf>
    <xf numFmtId="14" fontId="52" fillId="30" borderId="0" xfId="0" applyNumberFormat="1" applyFont="1" applyFill="1" applyProtection="1">
      <protection hidden="1"/>
    </xf>
    <xf numFmtId="0" fontId="49" fillId="7" borderId="177" xfId="0" applyFont="1" applyFill="1" applyBorder="1" applyAlignment="1" applyProtection="1">
      <alignment horizontal="left" vertical="center"/>
      <protection hidden="1"/>
    </xf>
    <xf numFmtId="0" fontId="48" fillId="7" borderId="170" xfId="0" applyFont="1" applyFill="1" applyBorder="1" applyAlignment="1" applyProtection="1">
      <alignment horizontal="left" vertical="center"/>
      <protection hidden="1"/>
    </xf>
    <xf numFmtId="0" fontId="26" fillId="7" borderId="170" xfId="0" applyFont="1" applyFill="1" applyBorder="1" applyAlignment="1" applyProtection="1">
      <alignment horizontal="left" vertical="center"/>
      <protection hidden="1"/>
    </xf>
    <xf numFmtId="0" fontId="43" fillId="4" borderId="177" xfId="0" applyFont="1" applyFill="1" applyBorder="1" applyAlignment="1">
      <alignment vertical="center"/>
    </xf>
    <xf numFmtId="0" fontId="0" fillId="4" borderId="170" xfId="0" applyFill="1" applyBorder="1" applyAlignment="1">
      <alignment vertical="center"/>
    </xf>
    <xf numFmtId="0" fontId="0" fillId="4" borderId="172" xfId="0" applyFill="1" applyBorder="1" applyAlignment="1">
      <alignment vertical="center"/>
    </xf>
    <xf numFmtId="0" fontId="49" fillId="7" borderId="163" xfId="0" applyFont="1" applyFill="1" applyBorder="1" applyAlignment="1" applyProtection="1">
      <alignment horizontal="left" vertical="center"/>
      <protection hidden="1"/>
    </xf>
    <xf numFmtId="0" fontId="26" fillId="7" borderId="164" xfId="0" applyFont="1" applyFill="1" applyBorder="1" applyAlignment="1" applyProtection="1">
      <alignment horizontal="left" vertical="center"/>
      <protection hidden="1"/>
    </xf>
    <xf numFmtId="0" fontId="26" fillId="7" borderId="165" xfId="0" applyFont="1" applyFill="1" applyBorder="1" applyAlignment="1" applyProtection="1">
      <alignment horizontal="left" vertical="center"/>
      <protection hidden="1"/>
    </xf>
    <xf numFmtId="0" fontId="43" fillId="4" borderId="164" xfId="0" applyFont="1" applyFill="1" applyBorder="1" applyAlignment="1" applyProtection="1">
      <alignment vertical="center"/>
      <protection locked="0" hidden="1"/>
    </xf>
    <xf numFmtId="0" fontId="0" fillId="4" borderId="164" xfId="0" applyFill="1" applyBorder="1" applyAlignment="1" applyProtection="1">
      <alignment vertical="center"/>
      <protection locked="0" hidden="1"/>
    </xf>
    <xf numFmtId="0" fontId="0" fillId="4" borderId="165" xfId="0" applyFill="1" applyBorder="1" applyAlignment="1" applyProtection="1">
      <alignment vertical="center"/>
      <protection locked="0" hidden="1"/>
    </xf>
    <xf numFmtId="0" fontId="52" fillId="30" borderId="0" xfId="0" applyFont="1" applyFill="1" applyAlignment="1" applyProtection="1">
      <alignment horizontal="centerContinuous" vertical="center"/>
      <protection hidden="1"/>
    </xf>
    <xf numFmtId="0" fontId="26" fillId="7" borderId="160" xfId="0" applyFont="1" applyFill="1" applyBorder="1" applyAlignment="1" applyProtection="1">
      <alignment horizontal="left" vertical="center"/>
      <protection hidden="1"/>
    </xf>
    <xf numFmtId="0" fontId="43"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0" xfId="0" applyFill="1" applyBorder="1" applyAlignment="1" applyProtection="1">
      <alignment vertical="center"/>
      <protection locked="0" hidden="1"/>
    </xf>
    <xf numFmtId="0" fontId="4" fillId="30" borderId="0" xfId="0" applyFont="1" applyFill="1" applyAlignment="1" applyProtection="1">
      <alignment horizontal="centerContinuous" wrapText="1"/>
      <protection hidden="1"/>
    </xf>
    <xf numFmtId="0" fontId="26" fillId="7" borderId="172" xfId="0" applyFont="1" applyFill="1" applyBorder="1" applyAlignment="1" applyProtection="1">
      <alignment horizontal="left" vertical="center"/>
      <protection hidden="1"/>
    </xf>
    <xf numFmtId="0" fontId="43" fillId="4" borderId="170" xfId="0" applyFont="1"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0" fillId="4" borderId="172" xfId="0" applyFill="1" applyBorder="1" applyAlignment="1" applyProtection="1">
      <alignment vertical="center"/>
      <protection locked="0" hidden="1"/>
    </xf>
    <xf numFmtId="0" fontId="51" fillId="30" borderId="0" xfId="0" applyFont="1" applyFill="1" applyAlignment="1" applyProtection="1">
      <alignment horizontal="left" vertical="center"/>
      <protection hidden="1"/>
    </xf>
    <xf numFmtId="0" fontId="0" fillId="30" borderId="0" xfId="0" applyFill="1" applyAlignment="1" applyProtection="1">
      <alignment vertical="center"/>
      <protection hidden="1"/>
    </xf>
    <xf numFmtId="0" fontId="52" fillId="30" borderId="0" xfId="0" applyFont="1" applyFill="1" applyAlignment="1" applyProtection="1">
      <alignment horizontal="left" vertical="center"/>
      <protection hidden="1"/>
    </xf>
    <xf numFmtId="0" fontId="32" fillId="30" borderId="0" xfId="0" applyFont="1" applyFill="1" applyProtection="1">
      <protection hidden="1"/>
    </xf>
    <xf numFmtId="0" fontId="62" fillId="30" borderId="0" xfId="0" applyFont="1" applyFill="1" applyProtection="1">
      <protection hidden="1"/>
    </xf>
    <xf numFmtId="0" fontId="32" fillId="30" borderId="0" xfId="0" applyFont="1" applyFill="1" applyAlignment="1" applyProtection="1">
      <alignment horizontal="center" vertical="center"/>
      <protection hidden="1"/>
    </xf>
    <xf numFmtId="0" fontId="33" fillId="30" borderId="0" xfId="27" applyFont="1" applyFill="1" applyProtection="1">
      <protection hidden="1"/>
    </xf>
    <xf numFmtId="0" fontId="40" fillId="30" borderId="0" xfId="0" applyFont="1" applyFill="1" applyProtection="1">
      <protection hidden="1"/>
    </xf>
    <xf numFmtId="0" fontId="32" fillId="30" borderId="0" xfId="0" applyFont="1" applyFill="1" applyAlignment="1" applyProtection="1">
      <alignment horizontal="center"/>
      <protection hidden="1"/>
    </xf>
    <xf numFmtId="0" fontId="34" fillId="30" borderId="0" xfId="0" applyFont="1" applyFill="1" applyAlignment="1" applyProtection="1">
      <alignment horizontal="center"/>
      <protection hidden="1"/>
    </xf>
    <xf numFmtId="0" fontId="32" fillId="30" borderId="0" xfId="0" applyFont="1" applyFill="1" applyAlignment="1" applyProtection="1">
      <alignment horizontal="center" wrapText="1"/>
      <protection hidden="1"/>
    </xf>
    <xf numFmtId="0" fontId="35" fillId="30" borderId="0" xfId="0" applyFont="1" applyFill="1" applyAlignment="1" applyProtection="1">
      <alignment horizontal="left" vertical="center"/>
      <protection hidden="1"/>
    </xf>
    <xf numFmtId="0" fontId="35" fillId="30" borderId="0" xfId="0" applyFont="1" applyFill="1" applyAlignment="1" applyProtection="1">
      <alignment horizontal="left"/>
      <protection hidden="1"/>
    </xf>
    <xf numFmtId="0" fontId="36" fillId="30" borderId="0" xfId="0" applyFont="1" applyFill="1" applyProtection="1">
      <protection hidden="1"/>
    </xf>
    <xf numFmtId="0" fontId="37" fillId="30" borderId="0" xfId="27" applyFont="1" applyFill="1" applyBorder="1" applyAlignment="1" applyProtection="1">
      <alignment vertical="center" wrapText="1"/>
      <protection hidden="1"/>
    </xf>
    <xf numFmtId="0" fontId="37" fillId="30" borderId="0" xfId="27" applyFont="1" applyFill="1" applyBorder="1" applyAlignment="1" applyProtection="1">
      <alignment vertical="center"/>
      <protection hidden="1"/>
    </xf>
    <xf numFmtId="0" fontId="38" fillId="30" borderId="0" xfId="0" applyFont="1" applyFill="1" applyProtection="1">
      <protection hidden="1"/>
    </xf>
    <xf numFmtId="0" fontId="59" fillId="30" borderId="0" xfId="0" applyFont="1" applyFill="1" applyAlignment="1" applyProtection="1">
      <alignment horizontal="center" vertical="center"/>
      <protection hidden="1"/>
    </xf>
    <xf numFmtId="0" fontId="60" fillId="30" borderId="0" xfId="0" applyFont="1" applyFill="1" applyAlignment="1" applyProtection="1">
      <alignment horizontal="center" vertical="center"/>
      <protection hidden="1"/>
    </xf>
    <xf numFmtId="0" fontId="58" fillId="30" borderId="0" xfId="0" applyFont="1" applyFill="1" applyAlignment="1" applyProtection="1">
      <alignment horizontal="center" vertical="center"/>
      <protection hidden="1"/>
    </xf>
    <xf numFmtId="0" fontId="39" fillId="30" borderId="0" xfId="27" applyFont="1" applyFill="1" applyAlignment="1" applyProtection="1">
      <alignment horizontal="left" vertical="center"/>
      <protection hidden="1"/>
    </xf>
    <xf numFmtId="0" fontId="36" fillId="30" borderId="0" xfId="0" applyFont="1" applyFill="1" applyAlignment="1" applyProtection="1">
      <alignment horizontal="center" vertical="center"/>
      <protection hidden="1"/>
    </xf>
    <xf numFmtId="0" fontId="51" fillId="30" borderId="0" xfId="0" applyFont="1" applyFill="1"/>
    <xf numFmtId="0" fontId="52" fillId="30" borderId="0" xfId="0" applyFont="1" applyFill="1" applyAlignment="1">
      <alignment horizontal="center" vertical="center"/>
    </xf>
    <xf numFmtId="0" fontId="43" fillId="30" borderId="0" xfId="0" applyFont="1" applyFill="1" applyAlignment="1">
      <alignment horizontal="center"/>
    </xf>
    <xf numFmtId="0" fontId="76" fillId="30" borderId="0" xfId="0" applyFont="1" applyFill="1" applyAlignment="1" applyProtection="1">
      <alignment horizontal="left"/>
      <protection hidden="1"/>
    </xf>
    <xf numFmtId="0" fontId="66" fillId="30" borderId="0" xfId="93" applyFont="1" applyFill="1" applyAlignment="1" applyProtection="1">
      <alignment horizontal="center" vertical="center" wrapText="1"/>
      <protection hidden="1"/>
    </xf>
    <xf numFmtId="0" fontId="51" fillId="30" borderId="0" xfId="0" applyFont="1" applyFill="1" applyAlignment="1" applyProtection="1">
      <alignment horizontal="right"/>
      <protection hidden="1"/>
    </xf>
    <xf numFmtId="0" fontId="81" fillId="30" borderId="0" xfId="0" applyFont="1" applyFill="1" applyAlignment="1" applyProtection="1">
      <alignment horizontal="center" vertical="center"/>
      <protection hidden="1"/>
    </xf>
    <xf numFmtId="0" fontId="82" fillId="30" borderId="0" xfId="0" applyFont="1" applyFill="1" applyProtection="1">
      <protection hidden="1"/>
    </xf>
    <xf numFmtId="0" fontId="82" fillId="30" borderId="0" xfId="0" applyFont="1" applyFill="1" applyAlignment="1" applyProtection="1">
      <alignment vertical="center"/>
      <protection hidden="1"/>
    </xf>
    <xf numFmtId="0" fontId="82" fillId="30" borderId="0" xfId="0" applyFont="1" applyFill="1" applyAlignment="1" applyProtection="1">
      <alignment horizontal="center" vertical="center"/>
      <protection hidden="1"/>
    </xf>
    <xf numFmtId="0" fontId="81" fillId="30" borderId="0" xfId="0" applyFont="1" applyFill="1" applyAlignment="1">
      <alignment horizontal="center" vertical="center"/>
    </xf>
    <xf numFmtId="0" fontId="82" fillId="30" borderId="0" xfId="0" applyFont="1" applyFill="1" applyAlignment="1">
      <alignment horizontal="center" vertical="center"/>
    </xf>
    <xf numFmtId="0" fontId="82" fillId="30" borderId="0" xfId="0" applyFont="1" applyFill="1" applyAlignment="1" applyProtection="1">
      <alignment horizontal="left" vertical="center"/>
      <protection hidden="1"/>
    </xf>
    <xf numFmtId="0" fontId="83" fillId="30" borderId="0" xfId="0" applyFont="1" applyFill="1" applyAlignment="1" applyProtection="1">
      <alignment horizontal="center" vertical="center"/>
      <protection hidden="1"/>
    </xf>
    <xf numFmtId="0" fontId="83" fillId="30" borderId="0" xfId="0" applyFont="1" applyFill="1" applyAlignment="1" applyProtection="1">
      <alignment horizontal="center"/>
      <protection hidden="1"/>
    </xf>
    <xf numFmtId="0" fontId="77" fillId="30" borderId="0" xfId="0" applyFont="1" applyFill="1" applyProtection="1">
      <protection hidden="1"/>
    </xf>
    <xf numFmtId="0" fontId="44" fillId="30" borderId="0" xfId="0" applyFont="1" applyFill="1" applyProtection="1">
      <protection hidden="1"/>
    </xf>
    <xf numFmtId="14" fontId="43" fillId="30" borderId="0" xfId="0" applyNumberFormat="1" applyFont="1" applyFill="1" applyAlignment="1" applyProtection="1">
      <alignment horizontal="center"/>
      <protection hidden="1"/>
    </xf>
    <xf numFmtId="0" fontId="42" fillId="30" borderId="0" xfId="0" applyFont="1" applyFill="1" applyAlignment="1" applyProtection="1">
      <alignment horizontal="right" vertical="center"/>
      <protection hidden="1"/>
    </xf>
    <xf numFmtId="0" fontId="84" fillId="2" borderId="71" xfId="0" applyFont="1" applyFill="1" applyBorder="1" applyAlignment="1" applyProtection="1">
      <alignment horizontal="center" vertical="center"/>
      <protection locked="0" hidden="1"/>
    </xf>
    <xf numFmtId="0" fontId="54" fillId="30" borderId="0" xfId="0" applyFont="1" applyFill="1" applyAlignment="1" applyProtection="1">
      <alignment horizontal="center" vertical="center"/>
      <protection locked="0" hidden="1"/>
    </xf>
    <xf numFmtId="0" fontId="54" fillId="30" borderId="0" xfId="0" applyFont="1" applyFill="1" applyAlignment="1" applyProtection="1">
      <alignment horizontal="center" vertical="center"/>
      <protection hidden="1"/>
    </xf>
    <xf numFmtId="0" fontId="52" fillId="30" borderId="0" xfId="0" applyFont="1" applyFill="1" applyAlignment="1" applyProtection="1">
      <alignment horizontal="center"/>
      <protection hidden="1"/>
    </xf>
    <xf numFmtId="0" fontId="77" fillId="30" borderId="0" xfId="0" applyFont="1" applyFill="1" applyAlignment="1" applyProtection="1">
      <alignment vertical="center" wrapText="1"/>
      <protection hidden="1"/>
    </xf>
    <xf numFmtId="0" fontId="43" fillId="30" borderId="55" xfId="95" applyFont="1" applyFill="1" applyBorder="1" applyAlignment="1" applyProtection="1">
      <alignment vertical="center"/>
      <protection hidden="1"/>
    </xf>
    <xf numFmtId="0" fontId="43" fillId="30" borderId="55" xfId="95" applyFont="1" applyFill="1" applyBorder="1" applyProtection="1">
      <protection hidden="1"/>
    </xf>
    <xf numFmtId="0" fontId="43" fillId="30" borderId="55" xfId="93" applyFont="1" applyFill="1" applyBorder="1" applyAlignment="1" applyProtection="1">
      <alignment vertical="center"/>
      <protection hidden="1"/>
    </xf>
    <xf numFmtId="0" fontId="43" fillId="30" borderId="55" xfId="93" applyFont="1" applyFill="1" applyBorder="1" applyProtection="1">
      <protection hidden="1"/>
    </xf>
    <xf numFmtId="0" fontId="43" fillId="30" borderId="0" xfId="93" applyFont="1" applyFill="1" applyAlignment="1" applyProtection="1">
      <alignment horizontal="right"/>
      <protection hidden="1"/>
    </xf>
    <xf numFmtId="0" fontId="42" fillId="4" borderId="180" xfId="0" applyFont="1" applyFill="1" applyBorder="1" applyAlignment="1" applyProtection="1">
      <alignment horizontal="left" vertical="center"/>
      <protection hidden="1"/>
    </xf>
    <xf numFmtId="0" fontId="42" fillId="0" borderId="180" xfId="0" applyFont="1" applyBorder="1" applyAlignment="1" applyProtection="1">
      <alignment horizontal="left" vertical="center"/>
      <protection hidden="1"/>
    </xf>
    <xf numFmtId="0" fontId="42" fillId="0" borderId="179" xfId="0" applyFont="1" applyBorder="1" applyAlignment="1" applyProtection="1">
      <alignment horizontal="left" vertical="center"/>
      <protection hidden="1"/>
    </xf>
    <xf numFmtId="0" fontId="42" fillId="4" borderId="179" xfId="0" applyFont="1" applyFill="1" applyBorder="1" applyAlignment="1" applyProtection="1">
      <alignment horizontal="left" vertical="center"/>
      <protection hidden="1"/>
    </xf>
    <xf numFmtId="0" fontId="0" fillId="30" borderId="0" xfId="0" applyFill="1" applyAlignment="1" applyProtection="1">
      <alignment horizontal="center"/>
      <protection hidden="1"/>
    </xf>
    <xf numFmtId="0" fontId="43" fillId="30" borderId="0" xfId="93" applyFont="1" applyFill="1" applyAlignment="1" applyProtection="1">
      <alignment vertical="center" wrapText="1"/>
      <protection locked="0" hidden="1"/>
    </xf>
    <xf numFmtId="0" fontId="13" fillId="30" borderId="0" xfId="95" applyFont="1" applyFill="1" applyAlignment="1" applyProtection="1">
      <alignment wrapText="1"/>
      <protection hidden="1"/>
    </xf>
    <xf numFmtId="0" fontId="52" fillId="30" borderId="0" xfId="95" applyFont="1" applyFill="1" applyAlignment="1" applyProtection="1">
      <alignment horizontal="center"/>
      <protection hidden="1"/>
    </xf>
    <xf numFmtId="14" fontId="52" fillId="30" borderId="0" xfId="95" applyNumberFormat="1" applyFont="1" applyFill="1" applyAlignment="1" applyProtection="1">
      <alignment horizontal="center"/>
      <protection hidden="1"/>
    </xf>
    <xf numFmtId="0" fontId="51" fillId="30" borderId="0" xfId="0" applyFont="1" applyFill="1" applyAlignment="1" applyProtection="1">
      <alignment horizontal="left"/>
      <protection hidden="1"/>
    </xf>
    <xf numFmtId="0" fontId="45" fillId="30" borderId="101" xfId="90" applyFont="1" applyFill="1" applyBorder="1" applyAlignment="1" applyProtection="1">
      <alignment horizontal="center" wrapText="1"/>
      <protection hidden="1"/>
    </xf>
    <xf numFmtId="14" fontId="44" fillId="2" borderId="181" xfId="90" applyNumberFormat="1" applyFont="1" applyFill="1" applyBorder="1" applyAlignment="1" applyProtection="1">
      <alignment horizontal="center" vertical="center"/>
      <protection locked="0" hidden="1"/>
    </xf>
    <xf numFmtId="0" fontId="66" fillId="2" borderId="181" xfId="90" applyFont="1" applyFill="1" applyBorder="1" applyAlignment="1" applyProtection="1">
      <alignment horizontal="center" vertical="center"/>
      <protection locked="0" hidden="1"/>
    </xf>
    <xf numFmtId="0" fontId="43" fillId="30" borderId="0" xfId="0" applyFont="1" applyFill="1"/>
    <xf numFmtId="0" fontId="43" fillId="35" borderId="112" xfId="0" applyFont="1" applyFill="1" applyBorder="1" applyAlignment="1">
      <alignment vertical="center"/>
    </xf>
    <xf numFmtId="0" fontId="43" fillId="2" borderId="0" xfId="0" applyFont="1" applyFill="1" applyAlignment="1">
      <alignment vertical="center"/>
    </xf>
    <xf numFmtId="10" fontId="43" fillId="36" borderId="113" xfId="97" applyNumberFormat="1" applyFont="1" applyFill="1" applyBorder="1" applyAlignment="1">
      <alignment vertical="center"/>
    </xf>
    <xf numFmtId="0" fontId="43" fillId="37" borderId="112" xfId="0" applyFont="1" applyFill="1" applyBorder="1" applyAlignment="1">
      <alignment vertical="center"/>
    </xf>
    <xf numFmtId="0" fontId="43" fillId="37" borderId="114" xfId="0" applyFont="1" applyFill="1" applyBorder="1" applyAlignment="1">
      <alignment vertical="center"/>
    </xf>
    <xf numFmtId="2" fontId="43" fillId="2" borderId="115" xfId="0" applyNumberFormat="1" applyFont="1" applyFill="1" applyBorder="1" applyAlignment="1">
      <alignment vertical="center"/>
    </xf>
    <xf numFmtId="0" fontId="43" fillId="36" borderId="116" xfId="0" applyFont="1" applyFill="1" applyBorder="1" applyAlignment="1">
      <alignment vertical="center"/>
    </xf>
    <xf numFmtId="0" fontId="87" fillId="33" borderId="130" xfId="0" applyFont="1" applyFill="1" applyBorder="1" applyAlignment="1">
      <alignment horizontal="center"/>
    </xf>
    <xf numFmtId="0" fontId="87" fillId="5" borderId="130" xfId="0" quotePrefix="1" applyFont="1" applyFill="1" applyBorder="1" applyAlignment="1">
      <alignment horizontal="center"/>
    </xf>
    <xf numFmtId="0" fontId="87" fillId="9" borderId="130" xfId="0" quotePrefix="1" applyFont="1" applyFill="1" applyBorder="1" applyAlignment="1">
      <alignment horizontal="center"/>
    </xf>
    <xf numFmtId="0" fontId="87" fillId="6" borderId="130" xfId="0" quotePrefix="1" applyFont="1" applyFill="1" applyBorder="1" applyAlignment="1">
      <alignment horizontal="center"/>
    </xf>
    <xf numFmtId="0" fontId="87" fillId="8" borderId="130" xfId="0" quotePrefix="1" applyFont="1" applyFill="1" applyBorder="1" applyAlignment="1">
      <alignment horizontal="center"/>
    </xf>
    <xf numFmtId="0" fontId="87" fillId="25" borderId="130" xfId="0" applyFont="1" applyFill="1" applyBorder="1" applyAlignment="1">
      <alignment horizontal="center"/>
    </xf>
    <xf numFmtId="0" fontId="87" fillId="24" borderId="130" xfId="0" applyFont="1" applyFill="1" applyBorder="1" applyAlignment="1">
      <alignment horizontal="center"/>
    </xf>
    <xf numFmtId="0" fontId="87" fillId="23" borderId="131" xfId="0" applyFont="1" applyFill="1" applyBorder="1" applyAlignment="1">
      <alignment horizontal="center"/>
    </xf>
    <xf numFmtId="0" fontId="43" fillId="38" borderId="0" xfId="0" applyFont="1" applyFill="1" applyAlignment="1">
      <alignment horizontal="center" vertical="center"/>
    </xf>
    <xf numFmtId="0" fontId="43" fillId="38" borderId="119" xfId="0" applyFont="1" applyFill="1" applyBorder="1" applyAlignment="1">
      <alignment horizontal="center" vertical="center"/>
    </xf>
    <xf numFmtId="0" fontId="43" fillId="39" borderId="0" xfId="0" applyFont="1" applyFill="1" applyAlignment="1">
      <alignment horizontal="center" vertical="center"/>
    </xf>
    <xf numFmtId="0" fontId="43" fillId="39" borderId="119" xfId="0" applyFont="1" applyFill="1" applyBorder="1" applyAlignment="1">
      <alignment horizontal="center" vertical="center"/>
    </xf>
    <xf numFmtId="0" fontId="43" fillId="39" borderId="121" xfId="0" applyFont="1" applyFill="1" applyBorder="1" applyAlignment="1">
      <alignment horizontal="center" vertical="center"/>
    </xf>
    <xf numFmtId="0" fontId="43" fillId="39" borderId="122" xfId="0" applyFont="1" applyFill="1" applyBorder="1" applyAlignment="1">
      <alignment horizontal="center" vertical="center"/>
    </xf>
    <xf numFmtId="0" fontId="52" fillId="30" borderId="0" xfId="0" applyFont="1" applyFill="1" applyAlignment="1">
      <alignment vertical="center"/>
    </xf>
    <xf numFmtId="0" fontId="43" fillId="30" borderId="0" xfId="0" applyFont="1" applyFill="1" applyAlignment="1">
      <alignment horizontal="center" vertical="center"/>
    </xf>
    <xf numFmtId="0" fontId="43" fillId="30" borderId="0" xfId="0" applyFont="1" applyFill="1" applyAlignment="1">
      <alignment horizontal="right" vertical="center"/>
    </xf>
    <xf numFmtId="0" fontId="43" fillId="4" borderId="133" xfId="0" applyFont="1" applyFill="1" applyBorder="1" applyAlignment="1" applyProtection="1">
      <alignment horizontal="center" wrapText="1"/>
      <protection hidden="1"/>
    </xf>
    <xf numFmtId="0" fontId="43" fillId="4" borderId="143" xfId="0" applyFont="1" applyFill="1" applyBorder="1" applyAlignment="1" applyProtection="1">
      <alignment horizontal="center" wrapText="1"/>
      <protection hidden="1"/>
    </xf>
    <xf numFmtId="0" fontId="43" fillId="4" borderId="133" xfId="0" applyFont="1" applyFill="1" applyBorder="1" applyAlignment="1" applyProtection="1">
      <alignment horizontal="center" vertical="center" wrapText="1"/>
      <protection hidden="1"/>
    </xf>
    <xf numFmtId="0" fontId="43" fillId="4" borderId="143" xfId="0" applyFont="1" applyFill="1" applyBorder="1" applyAlignment="1" applyProtection="1">
      <alignment horizontal="center" vertical="center" wrapText="1"/>
      <protection hidden="1"/>
    </xf>
    <xf numFmtId="0" fontId="9" fillId="30" borderId="0" xfId="0" applyFont="1" applyFill="1" applyAlignment="1" applyProtection="1">
      <alignment horizontal="center" wrapText="1"/>
      <protection hidden="1"/>
    </xf>
    <xf numFmtId="0" fontId="43" fillId="4" borderId="0" xfId="0" applyFont="1" applyFill="1" applyAlignment="1" applyProtection="1">
      <alignment horizontal="center" wrapText="1"/>
      <protection hidden="1"/>
    </xf>
    <xf numFmtId="0" fontId="43" fillId="4" borderId="21" xfId="0" applyFont="1" applyFill="1" applyBorder="1" applyAlignment="1" applyProtection="1">
      <alignment horizontal="center" wrapText="1"/>
      <protection hidden="1"/>
    </xf>
    <xf numFmtId="0" fontId="43" fillId="4" borderId="17" xfId="0" applyFont="1" applyFill="1" applyBorder="1" applyAlignment="1" applyProtection="1">
      <alignment vertical="center"/>
      <protection hidden="1"/>
    </xf>
    <xf numFmtId="0" fontId="43" fillId="4" borderId="0" xfId="0" applyFont="1" applyFill="1" applyAlignment="1" applyProtection="1">
      <alignment vertical="center"/>
      <protection hidden="1"/>
    </xf>
    <xf numFmtId="0" fontId="43" fillId="4" borderId="21" xfId="0" applyFont="1" applyFill="1" applyBorder="1" applyAlignment="1" applyProtection="1">
      <alignment vertical="center"/>
      <protection hidden="1"/>
    </xf>
    <xf numFmtId="0" fontId="43" fillId="4" borderId="15" xfId="0" applyFont="1" applyFill="1" applyBorder="1" applyAlignment="1" applyProtection="1">
      <alignment vertical="center"/>
      <protection hidden="1"/>
    </xf>
    <xf numFmtId="0" fontId="43" fillId="4" borderId="152" xfId="0" applyFont="1" applyFill="1" applyBorder="1" applyAlignment="1" applyProtection="1">
      <alignment vertical="center"/>
      <protection hidden="1"/>
    </xf>
    <xf numFmtId="0" fontId="43" fillId="4" borderId="15" xfId="0" applyFont="1" applyFill="1" applyBorder="1" applyAlignment="1" applyProtection="1">
      <alignment vertical="center" wrapText="1"/>
      <protection hidden="1"/>
    </xf>
    <xf numFmtId="0" fontId="43" fillId="4" borderId="0" xfId="0" applyFont="1" applyFill="1" applyAlignment="1" applyProtection="1">
      <alignment vertical="center" wrapText="1"/>
      <protection hidden="1"/>
    </xf>
    <xf numFmtId="0" fontId="43"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2" fillId="30" borderId="0" xfId="0" applyFont="1" applyFill="1" applyAlignment="1" applyProtection="1">
      <alignment horizontal="left"/>
      <protection locked="0"/>
    </xf>
    <xf numFmtId="0" fontId="56" fillId="30" borderId="0" xfId="0" applyFont="1" applyFill="1" applyProtection="1">
      <protection locked="0" hidden="1"/>
    </xf>
    <xf numFmtId="0" fontId="10" fillId="30" borderId="0" xfId="0" applyFont="1" applyFill="1" applyProtection="1">
      <protection hidden="1"/>
    </xf>
    <xf numFmtId="16" fontId="4" fillId="30" borderId="0" xfId="0" quotePrefix="1" applyNumberFormat="1" applyFont="1" applyFill="1" applyProtection="1">
      <protection hidden="1"/>
    </xf>
    <xf numFmtId="0" fontId="4" fillId="30" borderId="0" xfId="0" quotePrefix="1" applyFont="1" applyFill="1" applyProtection="1">
      <protection hidden="1"/>
    </xf>
    <xf numFmtId="0" fontId="0" fillId="30"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3" fillId="4" borderId="27" xfId="0" applyFont="1" applyFill="1" applyBorder="1" applyAlignment="1" applyProtection="1">
      <alignment horizontal="left"/>
      <protection hidden="1"/>
    </xf>
    <xf numFmtId="0" fontId="43" fillId="4" borderId="27" xfId="0" applyFont="1" applyFill="1" applyBorder="1" applyAlignment="1" applyProtection="1">
      <alignment horizontal="center"/>
      <protection hidden="1"/>
    </xf>
    <xf numFmtId="0" fontId="43" fillId="4" borderId="27" xfId="0" applyFont="1" applyFill="1" applyBorder="1" applyProtection="1">
      <protection hidden="1"/>
    </xf>
    <xf numFmtId="0" fontId="44" fillId="3" borderId="28" xfId="0" applyFont="1" applyFill="1" applyBorder="1" applyAlignment="1" applyProtection="1">
      <alignment horizontal="left" vertical="center"/>
      <protection hidden="1"/>
    </xf>
    <xf numFmtId="0" fontId="44" fillId="3" borderId="56" xfId="0" applyFont="1" applyFill="1" applyBorder="1" applyAlignment="1" applyProtection="1">
      <alignment horizontal="left" vertical="center"/>
      <protection hidden="1"/>
    </xf>
    <xf numFmtId="0" fontId="44" fillId="3" borderId="56" xfId="0" applyFont="1" applyFill="1" applyBorder="1" applyAlignment="1" applyProtection="1">
      <alignment horizontal="center" vertical="center"/>
      <protection hidden="1"/>
    </xf>
    <xf numFmtId="0" fontId="44" fillId="3" borderId="57"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3" fillId="30" borderId="0" xfId="0" applyFont="1" applyFill="1" applyAlignment="1" applyProtection="1">
      <alignment horizontal="center"/>
      <protection hidden="1"/>
    </xf>
    <xf numFmtId="0" fontId="44" fillId="5" borderId="29" xfId="0" applyFont="1" applyFill="1" applyBorder="1" applyAlignment="1" applyProtection="1">
      <alignment horizontal="center" vertical="center"/>
      <protection hidden="1"/>
    </xf>
    <xf numFmtId="0" fontId="43" fillId="5" borderId="29" xfId="0" applyFont="1" applyFill="1" applyBorder="1" applyAlignment="1" applyProtection="1">
      <alignment horizontal="center" vertical="center"/>
      <protection hidden="1"/>
    </xf>
    <xf numFmtId="0" fontId="43" fillId="5" borderId="34" xfId="0" applyFont="1" applyFill="1" applyBorder="1" applyAlignment="1" applyProtection="1">
      <alignment horizontal="center" vertical="top"/>
      <protection hidden="1"/>
    </xf>
    <xf numFmtId="0" fontId="43" fillId="9" borderId="0" xfId="0" applyFont="1" applyFill="1" applyProtection="1">
      <protection hidden="1"/>
    </xf>
    <xf numFmtId="0" fontId="0" fillId="6" borderId="0" xfId="0" applyFill="1" applyAlignment="1" applyProtection="1">
      <alignment horizontal="center" vertical="center"/>
      <protection hidden="1"/>
    </xf>
    <xf numFmtId="0" fontId="43"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3" fillId="3" borderId="0" xfId="0" applyFont="1" applyFill="1" applyAlignment="1" applyProtection="1">
      <alignment horizontal="center" vertical="center"/>
      <protection hidden="1"/>
    </xf>
    <xf numFmtId="0" fontId="0" fillId="0" borderId="73" xfId="0" applyBorder="1" applyAlignment="1" applyProtection="1">
      <alignment horizontal="right"/>
      <protection hidden="1"/>
    </xf>
    <xf numFmtId="0" fontId="4" fillId="33" borderId="74" xfId="0" applyFont="1" applyFill="1" applyBorder="1" applyAlignment="1" applyProtection="1">
      <alignment horizontal="center"/>
      <protection hidden="1"/>
    </xf>
    <xf numFmtId="0" fontId="4" fillId="5" borderId="74" xfId="0" quotePrefix="1" applyFont="1" applyFill="1" applyBorder="1" applyAlignment="1" applyProtection="1">
      <alignment horizontal="center"/>
      <protection hidden="1"/>
    </xf>
    <xf numFmtId="0" fontId="4" fillId="9" borderId="74" xfId="0" quotePrefix="1" applyFont="1" applyFill="1" applyBorder="1" applyAlignment="1" applyProtection="1">
      <alignment horizontal="center"/>
      <protection hidden="1"/>
    </xf>
    <xf numFmtId="0" fontId="4" fillId="6" borderId="74" xfId="0" quotePrefix="1" applyFont="1" applyFill="1" applyBorder="1" applyAlignment="1" applyProtection="1">
      <alignment horizontal="center"/>
      <protection hidden="1"/>
    </xf>
    <xf numFmtId="0" fontId="4" fillId="8" borderId="74" xfId="0" quotePrefix="1" applyFont="1" applyFill="1" applyBorder="1" applyAlignment="1" applyProtection="1">
      <alignment horizontal="center"/>
      <protection hidden="1"/>
    </xf>
    <xf numFmtId="0" fontId="4" fillId="25" borderId="74" xfId="0" applyFont="1" applyFill="1" applyBorder="1" applyAlignment="1" applyProtection="1">
      <alignment horizontal="center"/>
      <protection hidden="1"/>
    </xf>
    <xf numFmtId="0" fontId="4" fillId="24" borderId="74" xfId="0" applyFont="1" applyFill="1" applyBorder="1" applyAlignment="1" applyProtection="1">
      <alignment horizontal="center"/>
      <protection hidden="1"/>
    </xf>
    <xf numFmtId="0" fontId="4" fillId="23" borderId="75"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3" fillId="4" borderId="25" xfId="0" applyFont="1" applyFill="1" applyBorder="1" applyAlignment="1" applyProtection="1">
      <alignment horizontal="left"/>
      <protection hidden="1"/>
    </xf>
    <xf numFmtId="0" fontId="43" fillId="4" borderId="25" xfId="0" applyFont="1" applyFill="1" applyBorder="1" applyAlignment="1" applyProtection="1">
      <alignment horizontal="center"/>
      <protection hidden="1"/>
    </xf>
    <xf numFmtId="0" fontId="43" fillId="4" borderId="25" xfId="0" applyFont="1" applyFill="1" applyBorder="1" applyProtection="1">
      <protection hidden="1"/>
    </xf>
    <xf numFmtId="0" fontId="43" fillId="4" borderId="52" xfId="0" applyFont="1" applyFill="1" applyBorder="1" applyProtection="1">
      <protection hidden="1"/>
    </xf>
    <xf numFmtId="0" fontId="44" fillId="4" borderId="54" xfId="0" applyFont="1" applyFill="1" applyBorder="1" applyAlignment="1" applyProtection="1">
      <alignment horizontal="left"/>
      <protection hidden="1"/>
    </xf>
    <xf numFmtId="0" fontId="44" fillId="4" borderId="54" xfId="0" applyFont="1" applyFill="1" applyBorder="1" applyAlignment="1" applyProtection="1">
      <alignment horizontal="center" vertical="center"/>
      <protection hidden="1"/>
    </xf>
    <xf numFmtId="0" fontId="43" fillId="4" borderId="54" xfId="0" applyFont="1" applyFill="1" applyBorder="1" applyAlignment="1" applyProtection="1">
      <alignment horizontal="center" vertical="center"/>
      <protection hidden="1"/>
    </xf>
    <xf numFmtId="0" fontId="43" fillId="4" borderId="58"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3" fillId="5" borderId="30" xfId="0" applyFont="1" applyFill="1" applyBorder="1" applyAlignment="1" applyProtection="1">
      <alignment horizontal="center" vertical="center"/>
      <protection hidden="1"/>
    </xf>
    <xf numFmtId="0" fontId="43" fillId="5" borderId="35" xfId="0" applyFont="1" applyFill="1" applyBorder="1" applyAlignment="1" applyProtection="1">
      <alignment horizontal="center" vertical="center"/>
      <protection hidden="1"/>
    </xf>
    <xf numFmtId="0" fontId="52" fillId="30" borderId="38" xfId="0" applyFont="1" applyFill="1" applyBorder="1" applyAlignment="1" applyProtection="1">
      <alignment horizontal="right" vertical="center"/>
      <protection hidden="1"/>
    </xf>
    <xf numFmtId="0" fontId="44" fillId="9" borderId="29" xfId="0" applyFont="1" applyFill="1" applyBorder="1" applyAlignment="1" applyProtection="1">
      <alignment horizontal="center" vertical="center"/>
      <protection hidden="1"/>
    </xf>
    <xf numFmtId="0" fontId="43" fillId="9" borderId="29" xfId="0" applyFont="1" applyFill="1" applyBorder="1" applyAlignment="1" applyProtection="1">
      <alignment horizontal="center" vertical="center"/>
      <protection hidden="1"/>
    </xf>
    <xf numFmtId="0" fontId="43" fillId="9" borderId="34" xfId="0" applyFont="1" applyFill="1" applyBorder="1" applyAlignment="1" applyProtection="1">
      <alignment horizontal="center" vertical="center"/>
      <protection hidden="1"/>
    </xf>
    <xf numFmtId="0" fontId="43" fillId="6" borderId="0" xfId="0" applyFont="1" applyFill="1" applyAlignment="1" applyProtection="1">
      <alignment horizontal="center" vertical="center"/>
      <protection hidden="1"/>
    </xf>
    <xf numFmtId="0" fontId="43" fillId="10" borderId="0" xfId="0" applyFont="1" applyFill="1" applyAlignment="1" applyProtection="1">
      <alignment horizontal="center" vertical="center"/>
      <protection hidden="1"/>
    </xf>
    <xf numFmtId="0" fontId="45" fillId="30" borderId="0" xfId="0" applyFont="1" applyFill="1" applyProtection="1">
      <protection hidden="1"/>
    </xf>
    <xf numFmtId="0" fontId="0" fillId="0" borderId="76" xfId="0" applyBorder="1" applyAlignment="1" applyProtection="1">
      <alignment horizontal="right"/>
      <protection hidden="1"/>
    </xf>
    <xf numFmtId="165" fontId="0" fillId="0" borderId="69" xfId="0" applyNumberFormat="1" applyBorder="1" applyProtection="1">
      <protection hidden="1"/>
    </xf>
    <xf numFmtId="165" fontId="52" fillId="0" borderId="69" xfId="0" applyNumberFormat="1" applyFont="1" applyBorder="1" applyProtection="1">
      <protection hidden="1"/>
    </xf>
    <xf numFmtId="165" fontId="9" fillId="0" borderId="69" xfId="0" applyNumberFormat="1" applyFont="1" applyBorder="1" applyProtection="1">
      <protection hidden="1"/>
    </xf>
    <xf numFmtId="165" fontId="0" fillId="0" borderId="77" xfId="0" applyNumberFormat="1" applyBorder="1" applyProtection="1">
      <protection hidden="1"/>
    </xf>
    <xf numFmtId="0" fontId="43" fillId="4" borderId="53" xfId="0" applyFont="1" applyFill="1" applyBorder="1" applyProtection="1">
      <protection hidden="1"/>
    </xf>
    <xf numFmtId="0" fontId="44" fillId="4" borderId="0" xfId="0" applyFont="1" applyFill="1" applyAlignment="1" applyProtection="1">
      <alignment horizontal="left"/>
      <protection hidden="1"/>
    </xf>
    <xf numFmtId="0" fontId="43" fillId="5" borderId="31" xfId="0" applyFont="1" applyFill="1" applyBorder="1" applyAlignment="1" applyProtection="1">
      <alignment horizontal="center" vertical="center"/>
      <protection hidden="1"/>
    </xf>
    <xf numFmtId="0" fontId="43" fillId="5" borderId="36" xfId="0" applyFont="1" applyFill="1" applyBorder="1" applyAlignment="1" applyProtection="1">
      <alignment horizontal="center" vertical="center"/>
      <protection hidden="1"/>
    </xf>
    <xf numFmtId="0" fontId="43" fillId="9" borderId="40" xfId="0" applyFont="1" applyFill="1" applyBorder="1" applyAlignment="1" applyProtection="1">
      <alignment horizontal="center" vertical="center"/>
      <protection hidden="1"/>
    </xf>
    <xf numFmtId="0" fontId="43" fillId="5" borderId="33" xfId="0" applyFont="1" applyFill="1" applyBorder="1" applyAlignment="1" applyProtection="1">
      <alignment horizontal="center" vertical="center"/>
      <protection hidden="1"/>
    </xf>
    <xf numFmtId="0" fontId="43" fillId="5" borderId="37" xfId="0" applyFont="1" applyFill="1" applyBorder="1" applyAlignment="1" applyProtection="1">
      <alignment horizontal="center" vertical="top"/>
      <protection hidden="1"/>
    </xf>
    <xf numFmtId="0" fontId="43" fillId="9" borderId="0" xfId="0" applyFont="1" applyFill="1" applyAlignment="1" applyProtection="1">
      <alignment horizontal="center" vertical="center"/>
      <protection hidden="1"/>
    </xf>
    <xf numFmtId="0" fontId="43" fillId="9" borderId="36" xfId="0" applyFont="1" applyFill="1" applyBorder="1" applyAlignment="1" applyProtection="1">
      <alignment horizontal="center" vertical="center"/>
      <protection hidden="1"/>
    </xf>
    <xf numFmtId="0" fontId="44" fillId="4" borderId="55" xfId="0" applyFont="1" applyFill="1" applyBorder="1" applyAlignment="1" applyProtection="1">
      <alignment horizontal="left"/>
      <protection hidden="1"/>
    </xf>
    <xf numFmtId="0" fontId="44" fillId="4" borderId="55" xfId="0" applyFont="1" applyFill="1" applyBorder="1" applyAlignment="1" applyProtection="1">
      <alignment horizontal="center" vertical="center"/>
      <protection hidden="1"/>
    </xf>
    <xf numFmtId="0" fontId="43" fillId="4" borderId="55" xfId="0" applyFont="1" applyFill="1" applyBorder="1" applyAlignment="1" applyProtection="1">
      <alignment horizontal="center" vertical="center"/>
      <protection hidden="1"/>
    </xf>
    <xf numFmtId="0" fontId="43" fillId="4" borderId="59" xfId="0" applyFont="1" applyFill="1" applyBorder="1" applyAlignment="1" applyProtection="1">
      <alignment horizontal="center" vertical="center"/>
      <protection hidden="1"/>
    </xf>
    <xf numFmtId="0" fontId="44" fillId="5" borderId="30" xfId="0" applyFont="1" applyFill="1" applyBorder="1" applyAlignment="1" applyProtection="1">
      <alignment horizontal="center" vertical="center"/>
      <protection hidden="1"/>
    </xf>
    <xf numFmtId="0" fontId="43" fillId="5" borderId="32" xfId="0" applyFont="1" applyFill="1" applyBorder="1" applyAlignment="1" applyProtection="1">
      <alignment horizontal="center" vertical="center"/>
      <protection hidden="1"/>
    </xf>
    <xf numFmtId="0" fontId="43" fillId="5" borderId="0" xfId="0" applyFont="1" applyFill="1" applyAlignment="1" applyProtection="1">
      <alignment horizontal="center"/>
      <protection hidden="1"/>
    </xf>
    <xf numFmtId="0" fontId="44" fillId="6" borderId="29" xfId="0" applyFont="1" applyFill="1" applyBorder="1" applyAlignment="1" applyProtection="1">
      <alignment horizontal="center" vertical="center"/>
      <protection hidden="1"/>
    </xf>
    <xf numFmtId="0" fontId="43" fillId="6" borderId="29" xfId="0" applyFont="1" applyFill="1" applyBorder="1" applyAlignment="1" applyProtection="1">
      <alignment horizontal="center" vertical="center"/>
      <protection hidden="1"/>
    </xf>
    <xf numFmtId="0" fontId="43"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3" fillId="4" borderId="22" xfId="0" applyFont="1" applyFill="1" applyBorder="1" applyAlignment="1" applyProtection="1">
      <alignment horizontal="left"/>
      <protection hidden="1"/>
    </xf>
    <xf numFmtId="0" fontId="43" fillId="4" borderId="22" xfId="0" applyFont="1" applyFill="1" applyBorder="1" applyAlignment="1" applyProtection="1">
      <alignment horizontal="center"/>
      <protection hidden="1"/>
    </xf>
    <xf numFmtId="0" fontId="43" fillId="4" borderId="22" xfId="0" applyFont="1" applyFill="1" applyBorder="1" applyProtection="1">
      <protection hidden="1"/>
    </xf>
    <xf numFmtId="0" fontId="43" fillId="3" borderId="21" xfId="0" applyFont="1" applyFill="1" applyBorder="1" applyAlignment="1" applyProtection="1">
      <alignment horizontal="left"/>
      <protection hidden="1"/>
    </xf>
    <xf numFmtId="0" fontId="43" fillId="3" borderId="21" xfId="0" applyFont="1" applyFill="1" applyBorder="1" applyProtection="1">
      <protection hidden="1"/>
    </xf>
    <xf numFmtId="0" fontId="43"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3" fillId="5" borderId="0" xfId="0" applyFont="1" applyFill="1" applyProtection="1">
      <protection hidden="1"/>
    </xf>
    <xf numFmtId="0" fontId="43" fillId="6" borderId="35" xfId="0" applyFont="1" applyFill="1" applyBorder="1" applyAlignment="1" applyProtection="1">
      <alignment horizontal="center" vertical="center"/>
      <protection hidden="1"/>
    </xf>
    <xf numFmtId="0" fontId="0" fillId="30" borderId="0" xfId="0" applyFill="1" applyAlignment="1" applyProtection="1">
      <alignment horizontal="left"/>
      <protection hidden="1"/>
    </xf>
    <xf numFmtId="0" fontId="43" fillId="5" borderId="34" xfId="0" applyFont="1" applyFill="1" applyBorder="1" applyAlignment="1" applyProtection="1">
      <alignment horizontal="center" vertical="center"/>
      <protection hidden="1"/>
    </xf>
    <xf numFmtId="0" fontId="43" fillId="6" borderId="36" xfId="0" applyFont="1" applyFill="1" applyBorder="1" applyAlignment="1" applyProtection="1">
      <alignment horizontal="center" vertical="center"/>
      <protection hidden="1"/>
    </xf>
    <xf numFmtId="0" fontId="52" fillId="30" borderId="39" xfId="0" applyFont="1" applyFill="1" applyBorder="1" applyAlignment="1" applyProtection="1">
      <alignment horizontal="right" vertical="center"/>
      <protection hidden="1"/>
    </xf>
    <xf numFmtId="0" fontId="43"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3" fillId="5" borderId="37" xfId="0" applyFont="1" applyFill="1" applyBorder="1" applyAlignment="1" applyProtection="1">
      <alignment horizontal="center" vertical="center"/>
      <protection hidden="1"/>
    </xf>
    <xf numFmtId="0" fontId="43" fillId="5" borderId="0" xfId="0" applyFont="1" applyFill="1" applyAlignment="1" applyProtection="1">
      <alignment horizontal="center" vertical="center"/>
      <protection hidden="1"/>
    </xf>
    <xf numFmtId="0" fontId="44" fillId="8" borderId="29" xfId="0" applyFont="1" applyFill="1" applyBorder="1" applyAlignment="1" applyProtection="1">
      <alignment horizontal="center" vertical="center"/>
      <protection hidden="1"/>
    </xf>
    <xf numFmtId="0" fontId="43" fillId="8" borderId="29" xfId="0" applyFont="1" applyFill="1" applyBorder="1" applyAlignment="1" applyProtection="1">
      <alignment horizontal="center" vertical="center"/>
      <protection hidden="1"/>
    </xf>
    <xf numFmtId="0" fontId="43" fillId="8" borderId="34" xfId="0" applyFont="1" applyFill="1" applyBorder="1" applyAlignment="1" applyProtection="1">
      <alignment horizontal="center" vertical="center"/>
      <protection hidden="1"/>
    </xf>
    <xf numFmtId="0" fontId="43" fillId="8" borderId="35" xfId="0" applyFont="1" applyFill="1" applyBorder="1" applyAlignment="1" applyProtection="1">
      <alignment horizontal="center" vertical="center"/>
      <protection hidden="1"/>
    </xf>
    <xf numFmtId="0" fontId="43"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3" fillId="9" borderId="43" xfId="0" applyFont="1" applyFill="1" applyBorder="1" applyAlignment="1" applyProtection="1">
      <alignment horizontal="center" vertical="center"/>
      <protection hidden="1"/>
    </xf>
    <xf numFmtId="0" fontId="45" fillId="30" borderId="0" xfId="0" applyFont="1" applyFill="1" applyAlignment="1" applyProtection="1">
      <alignment horizontal="centerContinuous"/>
      <protection hidden="1"/>
    </xf>
    <xf numFmtId="0" fontId="0" fillId="30"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3"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5" fillId="3" borderId="0" xfId="0" applyFont="1" applyFill="1" applyAlignment="1" applyProtection="1">
      <alignment horizontal="center" vertical="center"/>
      <protection hidden="1"/>
    </xf>
    <xf numFmtId="0" fontId="43"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3"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3"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3" fillId="24" borderId="0" xfId="0" applyFont="1" applyFill="1" applyAlignment="1" applyProtection="1">
      <alignment horizontal="center"/>
      <protection hidden="1"/>
    </xf>
    <xf numFmtId="0" fontId="52" fillId="30" borderId="41" xfId="0" applyFont="1" applyFill="1" applyBorder="1" applyProtection="1">
      <protection hidden="1"/>
    </xf>
    <xf numFmtId="0" fontId="43" fillId="10" borderId="42" xfId="0" applyFont="1" applyFill="1" applyBorder="1" applyAlignment="1" applyProtection="1">
      <alignment horizontal="center" vertical="center"/>
      <protection hidden="1"/>
    </xf>
    <xf numFmtId="0" fontId="52" fillId="30" borderId="39" xfId="0" applyFont="1" applyFill="1" applyBorder="1" applyProtection="1">
      <protection hidden="1"/>
    </xf>
    <xf numFmtId="0" fontId="44" fillId="3" borderId="29" xfId="0" applyFont="1" applyFill="1" applyBorder="1" applyAlignment="1" applyProtection="1">
      <alignment horizontal="center" vertical="center"/>
      <protection hidden="1"/>
    </xf>
    <xf numFmtId="0" fontId="43" fillId="3" borderId="29" xfId="0" applyFont="1" applyFill="1" applyBorder="1" applyAlignment="1" applyProtection="1">
      <alignment horizontal="center" vertical="center"/>
      <protection hidden="1"/>
    </xf>
    <xf numFmtId="0" fontId="43" fillId="3" borderId="34" xfId="0" applyFont="1" applyFill="1" applyBorder="1" applyAlignment="1" applyProtection="1">
      <alignment horizontal="center" vertical="center"/>
      <protection hidden="1"/>
    </xf>
    <xf numFmtId="0" fontId="52" fillId="30" borderId="42" xfId="0" applyFont="1" applyFill="1" applyBorder="1" applyProtection="1">
      <protection hidden="1"/>
    </xf>
    <xf numFmtId="0" fontId="43"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2" fillId="30" borderId="38" xfId="0" applyFont="1" applyFill="1" applyBorder="1" applyAlignment="1" applyProtection="1">
      <alignment horizontal="center" vertical="center"/>
      <protection hidden="1"/>
    </xf>
    <xf numFmtId="0" fontId="44" fillId="10" borderId="29" xfId="0" applyFont="1" applyFill="1" applyBorder="1" applyAlignment="1" applyProtection="1">
      <alignment horizontal="center" vertical="center"/>
      <protection hidden="1"/>
    </xf>
    <xf numFmtId="0" fontId="43" fillId="10" borderId="29" xfId="0" applyFont="1" applyFill="1" applyBorder="1" applyAlignment="1" applyProtection="1">
      <alignment horizontal="center" vertical="center"/>
      <protection hidden="1"/>
    </xf>
    <xf numFmtId="0" fontId="43" fillId="10" borderId="34" xfId="0" applyFont="1" applyFill="1" applyBorder="1" applyAlignment="1" applyProtection="1">
      <alignment horizontal="center" vertical="center"/>
      <protection hidden="1"/>
    </xf>
    <xf numFmtId="0" fontId="52" fillId="30" borderId="50" xfId="0" applyFont="1" applyFill="1" applyBorder="1" applyProtection="1">
      <protection hidden="1"/>
    </xf>
    <xf numFmtId="0" fontId="43"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3"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3"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78" xfId="0" applyBorder="1" applyAlignment="1" applyProtection="1">
      <alignment horizontal="right"/>
      <protection hidden="1"/>
    </xf>
    <xf numFmtId="165" fontId="0" fillId="0" borderId="79" xfId="0" applyNumberFormat="1" applyBorder="1" applyProtection="1">
      <protection hidden="1"/>
    </xf>
    <xf numFmtId="165" fontId="52" fillId="0" borderId="79" xfId="0" applyNumberFormat="1" applyFont="1" applyBorder="1" applyProtection="1">
      <protection hidden="1"/>
    </xf>
    <xf numFmtId="165" fontId="9" fillId="0" borderId="79" xfId="0" applyNumberFormat="1" applyFont="1" applyBorder="1" applyProtection="1">
      <protection hidden="1"/>
    </xf>
    <xf numFmtId="165" fontId="0" fillId="0" borderId="80" xfId="0" applyNumberFormat="1" applyBorder="1" applyProtection="1">
      <protection hidden="1"/>
    </xf>
    <xf numFmtId="0" fontId="52" fillId="30" borderId="0" xfId="93" applyFont="1" applyFill="1" applyAlignment="1" applyProtection="1">
      <alignment horizontal="center" vertical="center"/>
      <protection hidden="1"/>
    </xf>
    <xf numFmtId="0" fontId="49" fillId="30" borderId="0" xfId="93" applyFont="1" applyFill="1" applyAlignment="1" applyProtection="1">
      <alignment horizontal="left" vertical="top"/>
      <protection hidden="1"/>
    </xf>
    <xf numFmtId="9" fontId="87" fillId="0" borderId="182" xfId="0" applyNumberFormat="1" applyFont="1" applyBorder="1" applyAlignment="1" applyProtection="1">
      <alignment horizontal="center" vertical="top"/>
      <protection locked="0" hidden="1"/>
    </xf>
    <xf numFmtId="0" fontId="13" fillId="30" borderId="21" xfId="93" applyFont="1" applyFill="1" applyBorder="1" applyProtection="1">
      <protection hidden="1"/>
    </xf>
    <xf numFmtId="0" fontId="44" fillId="30" borderId="0" xfId="27" applyFont="1" applyFill="1" applyAlignment="1" applyProtection="1">
      <alignment vertical="center"/>
      <protection locked="0" hidden="1"/>
    </xf>
    <xf numFmtId="0" fontId="88" fillId="31" borderId="70" xfId="0" applyFont="1" applyFill="1" applyBorder="1" applyAlignment="1" applyProtection="1">
      <alignment horizontal="center" vertical="center"/>
      <protection locked="0" hidden="1"/>
    </xf>
    <xf numFmtId="0" fontId="9" fillId="0" borderId="0" xfId="0" applyFont="1" applyProtection="1">
      <protection locked="0" hidden="1"/>
    </xf>
    <xf numFmtId="0" fontId="43" fillId="0" borderId="0" xfId="90" applyFont="1" applyProtection="1">
      <protection locked="0" hidden="1"/>
    </xf>
    <xf numFmtId="0" fontId="43" fillId="30" borderId="60" xfId="90" applyFont="1" applyFill="1" applyBorder="1" applyAlignment="1" applyProtection="1">
      <alignment vertical="center"/>
      <protection hidden="1"/>
    </xf>
    <xf numFmtId="0" fontId="43" fillId="30" borderId="61" xfId="90" applyFont="1" applyFill="1" applyBorder="1" applyAlignment="1" applyProtection="1">
      <alignment vertical="center"/>
      <protection hidden="1"/>
    </xf>
    <xf numFmtId="0" fontId="43" fillId="30" borderId="63" xfId="90" applyFont="1" applyFill="1" applyBorder="1" applyAlignment="1" applyProtection="1">
      <alignment vertical="center"/>
      <protection hidden="1"/>
    </xf>
    <xf numFmtId="0" fontId="43" fillId="30" borderId="65" xfId="90" applyFont="1" applyFill="1" applyBorder="1" applyAlignment="1" applyProtection="1">
      <alignment vertical="center"/>
      <protection hidden="1"/>
    </xf>
    <xf numFmtId="0" fontId="43" fillId="30" borderId="66" xfId="90" applyFont="1" applyFill="1" applyBorder="1" applyAlignment="1" applyProtection="1">
      <alignment vertical="center"/>
      <protection hidden="1"/>
    </xf>
    <xf numFmtId="0" fontId="43" fillId="30" borderId="63" xfId="27" applyFont="1" applyFill="1" applyBorder="1" applyAlignment="1" applyProtection="1">
      <alignment vertical="center"/>
      <protection hidden="1"/>
    </xf>
    <xf numFmtId="0" fontId="45" fillId="0" borderId="0" xfId="90" applyFont="1" applyProtection="1">
      <protection hidden="1"/>
    </xf>
    <xf numFmtId="0" fontId="23" fillId="0" borderId="0" xfId="90" applyAlignment="1">
      <alignment vertical="center"/>
    </xf>
    <xf numFmtId="0" fontId="6" fillId="30" borderId="0" xfId="27" applyFill="1" applyAlignment="1" applyProtection="1">
      <alignment vertical="center"/>
      <protection hidden="1"/>
    </xf>
    <xf numFmtId="0" fontId="69" fillId="0" borderId="0" xfId="90" applyFont="1" applyAlignment="1" applyProtection="1">
      <alignment vertical="top"/>
      <protection hidden="1"/>
    </xf>
    <xf numFmtId="0" fontId="43" fillId="30" borderId="183" xfId="90" applyFont="1" applyFill="1" applyBorder="1" applyAlignment="1" applyProtection="1">
      <alignment vertical="center"/>
      <protection hidden="1"/>
    </xf>
    <xf numFmtId="0" fontId="43" fillId="30" borderId="184" xfId="90" applyFont="1" applyFill="1" applyBorder="1" applyAlignment="1" applyProtection="1">
      <alignment vertical="center"/>
      <protection hidden="1"/>
    </xf>
    <xf numFmtId="0" fontId="43" fillId="30" borderId="65" xfId="0" applyFont="1" applyFill="1" applyBorder="1"/>
    <xf numFmtId="0" fontId="43" fillId="30" borderId="66" xfId="0" applyFont="1" applyFill="1" applyBorder="1"/>
    <xf numFmtId="0" fontId="9" fillId="0" borderId="0" xfId="90" applyFont="1"/>
    <xf numFmtId="0" fontId="9" fillId="30" borderId="61" xfId="90" applyFont="1" applyFill="1" applyBorder="1" applyAlignment="1" applyProtection="1">
      <alignment vertical="center"/>
      <protection hidden="1"/>
    </xf>
    <xf numFmtId="0" fontId="9" fillId="30" borderId="62" xfId="90" applyFont="1" applyFill="1" applyBorder="1" applyAlignment="1" applyProtection="1">
      <alignment vertical="center"/>
      <protection hidden="1"/>
    </xf>
    <xf numFmtId="0" fontId="9" fillId="30" borderId="0" xfId="90" applyFont="1" applyFill="1" applyAlignment="1" applyProtection="1">
      <alignment vertical="center"/>
      <protection hidden="1"/>
    </xf>
    <xf numFmtId="0" fontId="9" fillId="30" borderId="64" xfId="90" applyFont="1" applyFill="1" applyBorder="1" applyAlignment="1" applyProtection="1">
      <alignment vertical="center"/>
      <protection hidden="1"/>
    </xf>
    <xf numFmtId="0" fontId="9" fillId="30" borderId="66" xfId="90" applyFont="1" applyFill="1" applyBorder="1" applyAlignment="1" applyProtection="1">
      <alignment vertical="center"/>
      <protection hidden="1"/>
    </xf>
    <xf numFmtId="0" fontId="9" fillId="30" borderId="67" xfId="90" applyFont="1" applyFill="1" applyBorder="1" applyAlignment="1" applyProtection="1">
      <alignment vertical="center"/>
      <protection hidden="1"/>
    </xf>
    <xf numFmtId="0" fontId="9" fillId="30" borderId="184" xfId="90" applyFont="1" applyFill="1" applyBorder="1" applyAlignment="1" applyProtection="1">
      <alignment vertical="center"/>
      <protection hidden="1"/>
    </xf>
    <xf numFmtId="0" fontId="9" fillId="30" borderId="185" xfId="90" applyFont="1" applyFill="1" applyBorder="1" applyAlignment="1" applyProtection="1">
      <alignment vertical="center"/>
      <protection hidden="1"/>
    </xf>
    <xf numFmtId="0" fontId="9" fillId="0" borderId="0" xfId="90" applyFont="1" applyAlignment="1">
      <alignment vertical="center"/>
    </xf>
    <xf numFmtId="0" fontId="9" fillId="30" borderId="66" xfId="0" applyFont="1" applyFill="1" applyBorder="1"/>
    <xf numFmtId="0" fontId="9" fillId="30" borderId="67" xfId="0" applyFont="1" applyFill="1" applyBorder="1"/>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52" fillId="30" borderId="111" xfId="0" applyFont="1" applyFill="1" applyBorder="1"/>
    <xf numFmtId="0" fontId="0" fillId="2" borderId="0" xfId="0" applyFill="1" applyAlignment="1">
      <alignment vertical="center"/>
    </xf>
    <xf numFmtId="0" fontId="52" fillId="30" borderId="113" xfId="97" applyNumberFormat="1" applyFont="1" applyFill="1" applyBorder="1" applyAlignment="1">
      <alignment horizontal="center" vertical="center"/>
    </xf>
    <xf numFmtId="0" fontId="52" fillId="30" borderId="116" xfId="0" applyFont="1" applyFill="1" applyBorder="1" applyAlignment="1">
      <alignment horizontal="center" vertical="center"/>
    </xf>
    <xf numFmtId="14" fontId="52" fillId="30" borderId="0" xfId="0" applyNumberFormat="1" applyFont="1" applyFill="1"/>
    <xf numFmtId="22" fontId="13" fillId="0" borderId="0" xfId="0" applyNumberFormat="1" applyFont="1"/>
    <xf numFmtId="14" fontId="92" fillId="2" borderId="181" xfId="90" applyNumberFormat="1" applyFont="1" applyFill="1" applyBorder="1" applyAlignment="1" applyProtection="1">
      <alignment horizontal="center" vertical="center" wrapText="1"/>
      <protection locked="0" hidden="1"/>
    </xf>
    <xf numFmtId="0" fontId="65" fillId="31" borderId="70"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0" fontId="11" fillId="0" borderId="0" xfId="0" applyFont="1"/>
    <xf numFmtId="0" fontId="11" fillId="0" borderId="0" xfId="0" quotePrefix="1" applyFont="1"/>
    <xf numFmtId="20" fontId="13" fillId="0" borderId="0" xfId="0" applyNumberFormat="1" applyFont="1"/>
    <xf numFmtId="22" fontId="93" fillId="0" borderId="0" xfId="0" applyNumberFormat="1" applyFont="1" applyAlignment="1" applyProtection="1">
      <alignment vertical="center"/>
      <protection hidden="1"/>
    </xf>
    <xf numFmtId="22" fontId="93"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66" fillId="30"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0" borderId="0" xfId="0" applyFont="1" applyFill="1"/>
    <xf numFmtId="0" fontId="13" fillId="30" borderId="0" xfId="93" applyFont="1" applyFill="1" applyAlignment="1" applyProtection="1">
      <alignment horizontal="center"/>
      <protection hidden="1"/>
    </xf>
    <xf numFmtId="0" fontId="13" fillId="30" borderId="0" xfId="95" applyFont="1" applyFill="1" applyAlignment="1" applyProtection="1">
      <alignment horizontal="center"/>
      <protection hidden="1"/>
    </xf>
    <xf numFmtId="166" fontId="85"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94" fillId="0" borderId="0" xfId="0" applyNumberFormat="1" applyFont="1" applyAlignment="1" applyProtection="1">
      <alignment horizontal="center"/>
      <protection hidden="1"/>
    </xf>
    <xf numFmtId="166" fontId="25" fillId="0" borderId="0" xfId="0" applyNumberFormat="1" applyFont="1" applyAlignment="1" applyProtection="1">
      <alignment horizontal="center" vertical="center"/>
      <protection hidden="1"/>
    </xf>
    <xf numFmtId="166" fontId="94"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86" fillId="2" borderId="181" xfId="90" applyNumberFormat="1" applyFont="1" applyFill="1" applyBorder="1" applyAlignment="1" applyProtection="1">
      <alignment horizontal="center" vertical="center" wrapText="1"/>
      <protection hidden="1"/>
    </xf>
    <xf numFmtId="14" fontId="87" fillId="30" borderId="0" xfId="0" applyNumberFormat="1" applyFont="1" applyFill="1" applyAlignment="1">
      <alignment horizontal="left" vertical="center" wrapText="1"/>
    </xf>
    <xf numFmtId="0" fontId="8" fillId="30" borderId="0" xfId="93" applyFont="1" applyFill="1" applyProtection="1">
      <protection locked="0" hidden="1"/>
    </xf>
    <xf numFmtId="0" fontId="43" fillId="30" borderId="112" xfId="0" applyFont="1" applyFill="1" applyBorder="1" applyAlignment="1">
      <alignment vertical="center"/>
    </xf>
    <xf numFmtId="0" fontId="0" fillId="30" borderId="0" xfId="0" applyFill="1" applyAlignment="1">
      <alignment vertical="center"/>
    </xf>
    <xf numFmtId="0" fontId="43" fillId="30" borderId="114" xfId="0" applyFont="1" applyFill="1" applyBorder="1" applyAlignment="1">
      <alignment vertical="center"/>
    </xf>
    <xf numFmtId="0" fontId="0" fillId="30" borderId="115" xfId="0" applyFill="1" applyBorder="1" applyAlignment="1">
      <alignment vertical="center"/>
    </xf>
    <xf numFmtId="0" fontId="45" fillId="7" borderId="0" xfId="0" applyFont="1" applyFill="1" applyAlignment="1" applyProtection="1">
      <alignment horizontal="left"/>
      <protection locked="0" hidden="1"/>
    </xf>
    <xf numFmtId="0" fontId="13" fillId="30" borderId="178" xfId="0" applyFont="1" applyFill="1" applyBorder="1"/>
    <xf numFmtId="0" fontId="14" fillId="30" borderId="178" xfId="0" applyFont="1" applyFill="1" applyBorder="1" applyAlignment="1">
      <alignment horizontal="center"/>
    </xf>
    <xf numFmtId="0" fontId="13" fillId="30" borderId="124" xfId="0" applyFont="1" applyFill="1" applyBorder="1"/>
    <xf numFmtId="0" fontId="13" fillId="30" borderId="125" xfId="0" applyFont="1" applyFill="1" applyBorder="1"/>
    <xf numFmtId="0" fontId="13" fillId="30" borderId="126" xfId="0" applyFont="1" applyFill="1" applyBorder="1"/>
    <xf numFmtId="0" fontId="13" fillId="0" borderId="0" xfId="90" applyFont="1"/>
    <xf numFmtId="0" fontId="13" fillId="0" borderId="0" xfId="90" applyFont="1" applyAlignment="1" applyProtection="1">
      <alignment vertical="center"/>
      <protection hidden="1"/>
    </xf>
    <xf numFmtId="0" fontId="13" fillId="0" borderId="0" xfId="90" applyFont="1" applyAlignment="1">
      <alignment vertical="center"/>
    </xf>
    <xf numFmtId="0" fontId="13" fillId="0" borderId="0" xfId="90" applyFont="1" applyProtection="1">
      <protection hidden="1"/>
    </xf>
    <xf numFmtId="14" fontId="13" fillId="0" borderId="0" xfId="0" applyNumberFormat="1" applyFont="1"/>
    <xf numFmtId="0" fontId="13" fillId="0" borderId="0" xfId="0" applyFont="1" applyAlignment="1">
      <alignment wrapText="1"/>
    </xf>
    <xf numFmtId="0" fontId="98" fillId="0" borderId="0" xfId="0" applyFont="1" applyAlignment="1" applyProtection="1">
      <alignment vertical="center"/>
      <protection hidden="1"/>
    </xf>
    <xf numFmtId="0" fontId="25" fillId="0" borderId="0" xfId="0" applyFont="1" applyAlignment="1">
      <alignment vertical="center" wrapText="1"/>
    </xf>
    <xf numFmtId="14" fontId="13" fillId="0" borderId="0" xfId="0" applyNumberFormat="1" applyFont="1" applyAlignment="1">
      <alignment wrapText="1"/>
    </xf>
    <xf numFmtId="0" fontId="13" fillId="0" borderId="0" xfId="90" applyFont="1" applyAlignment="1">
      <alignment wrapText="1"/>
    </xf>
    <xf numFmtId="0" fontId="13" fillId="0" borderId="0" xfId="0" applyFont="1" applyAlignment="1" applyProtection="1">
      <alignment wrapText="1"/>
      <protection hidden="1"/>
    </xf>
    <xf numFmtId="0" fontId="13" fillId="0" borderId="0" xfId="0" applyFont="1" applyAlignment="1" applyProtection="1">
      <alignment vertical="center" wrapText="1"/>
      <protection hidden="1"/>
    </xf>
    <xf numFmtId="0" fontId="97" fillId="0" borderId="0" xfId="27" applyFont="1" applyFill="1" applyBorder="1" applyAlignment="1">
      <alignment wrapText="1"/>
    </xf>
    <xf numFmtId="0" fontId="13" fillId="0" borderId="0" xfId="90" applyFont="1" applyAlignment="1" applyProtection="1">
      <alignment wrapText="1"/>
      <protection hidden="1"/>
    </xf>
    <xf numFmtId="0" fontId="97" fillId="0" borderId="0" xfId="27" applyFont="1" applyFill="1" applyBorder="1" applyAlignment="1" applyProtection="1">
      <alignment wrapText="1"/>
      <protection hidden="1"/>
    </xf>
    <xf numFmtId="0" fontId="13" fillId="0" borderId="0" xfId="27" applyFont="1" applyFill="1" applyBorder="1" applyAlignment="1" applyProtection="1">
      <alignment wrapText="1"/>
      <protection hidden="1"/>
    </xf>
    <xf numFmtId="0" fontId="13" fillId="0" borderId="0" xfId="0" applyFont="1" applyAlignment="1" applyProtection="1">
      <alignment wrapText="1"/>
      <protection locked="0"/>
    </xf>
    <xf numFmtId="0" fontId="99" fillId="30" borderId="0" xfId="93" applyFont="1" applyFill="1" applyProtection="1">
      <protection hidden="1"/>
    </xf>
    <xf numFmtId="0" fontId="13" fillId="30" borderId="0" xfId="93" applyFont="1" applyFill="1" applyAlignment="1" applyProtection="1">
      <alignment vertical="center" wrapText="1"/>
      <protection hidden="1"/>
    </xf>
    <xf numFmtId="0" fontId="13" fillId="30" borderId="0" xfId="93" applyFont="1" applyFill="1" applyAlignment="1" applyProtection="1">
      <alignment vertical="center"/>
      <protection hidden="1"/>
    </xf>
    <xf numFmtId="0" fontId="13" fillId="30" borderId="0" xfId="0" applyFont="1" applyFill="1" applyProtection="1">
      <protection hidden="1"/>
    </xf>
    <xf numFmtId="0" fontId="13" fillId="0" borderId="0" xfId="0" applyFont="1" applyAlignment="1" applyProtection="1">
      <alignment vertical="center"/>
      <protection hidden="1"/>
    </xf>
    <xf numFmtId="14" fontId="13" fillId="30" borderId="0" xfId="95" applyNumberFormat="1" applyFont="1" applyFill="1" applyAlignment="1" applyProtection="1">
      <alignment horizontal="center"/>
      <protection hidden="1"/>
    </xf>
    <xf numFmtId="0" fontId="0" fillId="41" borderId="193" xfId="0" applyFill="1" applyBorder="1" applyAlignment="1">
      <alignment horizontal="right"/>
    </xf>
    <xf numFmtId="0" fontId="0" fillId="41" borderId="194" xfId="0" applyFill="1" applyBorder="1" applyAlignment="1">
      <alignment horizontal="right"/>
    </xf>
    <xf numFmtId="0" fontId="0" fillId="41" borderId="193" xfId="0" applyFill="1" applyBorder="1" applyAlignment="1">
      <alignment horizontal="left"/>
    </xf>
    <xf numFmtId="0" fontId="0" fillId="41" borderId="194" xfId="0" applyFill="1" applyBorder="1" applyAlignment="1">
      <alignment horizontal="left"/>
    </xf>
    <xf numFmtId="0" fontId="0" fillId="41" borderId="197" xfId="0" applyFill="1" applyBorder="1" applyAlignment="1">
      <alignment horizontal="right"/>
    </xf>
    <xf numFmtId="0" fontId="0" fillId="41" borderId="197" xfId="0" applyFill="1" applyBorder="1" applyAlignment="1">
      <alignment horizontal="left"/>
    </xf>
    <xf numFmtId="0" fontId="4" fillId="42" borderId="189" xfId="0" applyFont="1" applyFill="1" applyBorder="1" applyAlignment="1">
      <alignment horizontal="center"/>
    </xf>
    <xf numFmtId="0" fontId="4" fillId="42" borderId="189" xfId="0" applyFont="1" applyFill="1" applyBorder="1" applyAlignment="1">
      <alignment horizontal="left"/>
    </xf>
    <xf numFmtId="0" fontId="0" fillId="0" borderId="191" xfId="0" applyBorder="1" applyAlignment="1">
      <alignment horizontal="center"/>
    </xf>
    <xf numFmtId="0" fontId="0" fillId="0" borderId="188" xfId="0" applyBorder="1" applyAlignment="1">
      <alignment horizontal="center"/>
    </xf>
    <xf numFmtId="0" fontId="0" fillId="0" borderId="195" xfId="0" applyBorder="1" applyAlignment="1">
      <alignment horizontal="center"/>
    </xf>
    <xf numFmtId="0" fontId="0" fillId="0" borderId="193" xfId="0" applyBorder="1" applyAlignment="1">
      <alignment horizontal="center"/>
    </xf>
    <xf numFmtId="0" fontId="0" fillId="0" borderId="192" xfId="0" applyBorder="1" applyAlignment="1">
      <alignment horizontal="center"/>
    </xf>
    <xf numFmtId="0" fontId="0" fillId="0" borderId="190" xfId="0" applyBorder="1" applyAlignment="1">
      <alignment horizontal="center"/>
    </xf>
    <xf numFmtId="0" fontId="0" fillId="0" borderId="196" xfId="0" applyBorder="1" applyAlignment="1">
      <alignment horizontal="center"/>
    </xf>
    <xf numFmtId="0" fontId="0" fillId="0" borderId="194" xfId="0" applyBorder="1" applyAlignment="1">
      <alignment horizontal="center"/>
    </xf>
    <xf numFmtId="0" fontId="0" fillId="0" borderId="198" xfId="0" applyBorder="1" applyAlignment="1">
      <alignment horizontal="center"/>
    </xf>
    <xf numFmtId="0" fontId="0" fillId="0" borderId="199" xfId="0" applyBorder="1" applyAlignment="1">
      <alignment horizontal="center"/>
    </xf>
    <xf numFmtId="0" fontId="0" fillId="0" borderId="200" xfId="0" applyBorder="1" applyAlignment="1">
      <alignment horizontal="center"/>
    </xf>
    <xf numFmtId="0" fontId="0" fillId="0" borderId="197" xfId="0" applyBorder="1" applyAlignment="1">
      <alignment horizontal="center"/>
    </xf>
    <xf numFmtId="0" fontId="0" fillId="0" borderId="204" xfId="0" applyBorder="1" applyAlignment="1">
      <alignment horizontal="center"/>
    </xf>
    <xf numFmtId="0" fontId="0" fillId="41" borderId="204" xfId="0" applyFill="1" applyBorder="1" applyAlignment="1">
      <alignment horizontal="left"/>
    </xf>
    <xf numFmtId="0" fontId="4" fillId="42" borderId="201" xfId="0" applyFont="1" applyFill="1" applyBorder="1" applyAlignment="1">
      <alignment horizontal="center"/>
    </xf>
    <xf numFmtId="0" fontId="4" fillId="42" borderId="202" xfId="0" applyFont="1" applyFill="1" applyBorder="1" applyAlignment="1">
      <alignment horizontal="center"/>
    </xf>
    <xf numFmtId="0" fontId="4" fillId="42" borderId="203" xfId="0" applyFont="1" applyFill="1" applyBorder="1" applyAlignment="1">
      <alignment horizontal="center"/>
    </xf>
    <xf numFmtId="0" fontId="100" fillId="30" borderId="0" xfId="93" applyFont="1" applyFill="1" applyProtection="1">
      <protection hidden="1"/>
    </xf>
    <xf numFmtId="0" fontId="100" fillId="30" borderId="0" xfId="93" applyFont="1" applyFill="1" applyAlignment="1" applyProtection="1">
      <alignment horizontal="center"/>
      <protection hidden="1"/>
    </xf>
    <xf numFmtId="0" fontId="100" fillId="30" borderId="0" xfId="95" applyFont="1" applyFill="1" applyAlignment="1" applyProtection="1">
      <alignment horizontal="center"/>
      <protection hidden="1"/>
    </xf>
    <xf numFmtId="14" fontId="100" fillId="30" borderId="0" xfId="93" applyNumberFormat="1" applyFont="1" applyFill="1" applyAlignment="1" applyProtection="1">
      <alignment horizontal="center"/>
      <protection hidden="1"/>
    </xf>
    <xf numFmtId="0" fontId="101" fillId="30" borderId="0" xfId="95" applyFont="1" applyFill="1" applyProtection="1">
      <protection hidden="1"/>
    </xf>
    <xf numFmtId="0" fontId="100" fillId="30" borderId="0" xfId="0" applyFont="1" applyFill="1"/>
    <xf numFmtId="0" fontId="100" fillId="30" borderId="0" xfId="0" applyFont="1" applyFill="1" applyAlignment="1">
      <alignment horizontal="center"/>
    </xf>
    <xf numFmtId="14" fontId="100" fillId="30" borderId="0" xfId="95" applyNumberFormat="1" applyFont="1" applyFill="1" applyAlignment="1" applyProtection="1">
      <alignment horizontal="center"/>
      <protection hidden="1"/>
    </xf>
    <xf numFmtId="0" fontId="100" fillId="3" borderId="2" xfId="0" applyFont="1" applyFill="1" applyBorder="1" applyAlignment="1" applyProtection="1">
      <alignment horizontal="center" vertical="center"/>
      <protection locked="0" hidden="1"/>
    </xf>
    <xf numFmtId="0" fontId="39" fillId="30" borderId="0" xfId="27" applyFont="1" applyFill="1" applyBorder="1" applyAlignment="1" applyProtection="1">
      <alignment horizontal="center" vertical="center" wrapText="1"/>
      <protection hidden="1"/>
    </xf>
    <xf numFmtId="0" fontId="39" fillId="30" borderId="0" xfId="0" applyFont="1" applyFill="1" applyAlignment="1" applyProtection="1">
      <alignment horizontal="center" vertical="center" wrapText="1"/>
      <protection hidden="1"/>
    </xf>
    <xf numFmtId="0" fontId="64" fillId="30" borderId="0" xfId="0" applyFont="1" applyFill="1" applyAlignment="1" applyProtection="1">
      <alignment horizontal="center" vertical="center"/>
      <protection hidden="1"/>
    </xf>
    <xf numFmtId="0" fontId="47" fillId="30" borderId="0" xfId="27" applyFont="1" applyFill="1" applyBorder="1" applyAlignment="1" applyProtection="1">
      <alignment horizontal="left" vertical="center" wrapText="1"/>
      <protection hidden="1"/>
    </xf>
    <xf numFmtId="0" fontId="47" fillId="30"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46" fillId="30" borderId="0" xfId="0" applyFont="1" applyFill="1" applyAlignment="1" applyProtection="1">
      <alignment horizontal="center" vertical="center"/>
      <protection hidden="1"/>
    </xf>
    <xf numFmtId="0" fontId="79" fillId="7" borderId="4" xfId="0" applyFont="1" applyFill="1" applyBorder="1" applyAlignment="1" applyProtection="1">
      <alignment horizontal="center" vertical="center" wrapText="1"/>
      <protection hidden="1"/>
    </xf>
    <xf numFmtId="0" fontId="79" fillId="7" borderId="5" xfId="0" applyFont="1" applyFill="1" applyBorder="1" applyAlignment="1" applyProtection="1">
      <alignment horizontal="center" vertical="center" wrapText="1"/>
      <protection hidden="1"/>
    </xf>
    <xf numFmtId="0" fontId="79" fillId="7" borderId="6" xfId="0" applyFont="1" applyFill="1" applyBorder="1" applyAlignment="1" applyProtection="1">
      <alignment horizontal="center" vertical="center" wrapText="1"/>
      <protection hidden="1"/>
    </xf>
    <xf numFmtId="0" fontId="79" fillId="7" borderId="7" xfId="0" applyFont="1" applyFill="1" applyBorder="1" applyAlignment="1" applyProtection="1">
      <alignment horizontal="center" vertical="center" wrapText="1"/>
      <protection hidden="1"/>
    </xf>
    <xf numFmtId="0" fontId="79" fillId="7" borderId="0" xfId="0" applyFont="1" applyFill="1" applyAlignment="1" applyProtection="1">
      <alignment horizontal="center" vertical="center" wrapText="1"/>
      <protection hidden="1"/>
    </xf>
    <xf numFmtId="0" fontId="79"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0" fillId="7" borderId="7" xfId="0" applyFont="1" applyFill="1" applyBorder="1" applyAlignment="1">
      <alignment horizontal="center" vertical="center" wrapText="1"/>
    </xf>
    <xf numFmtId="0" fontId="80" fillId="7" borderId="0" xfId="0" applyFont="1" applyFill="1" applyAlignment="1">
      <alignment horizontal="center" vertical="center" wrapText="1"/>
    </xf>
    <xf numFmtId="0" fontId="80" fillId="7" borderId="8" xfId="0" applyFont="1" applyFill="1" applyBorder="1" applyAlignment="1">
      <alignment horizontal="center" vertical="center" wrapText="1"/>
    </xf>
    <xf numFmtId="0" fontId="80" fillId="7" borderId="9" xfId="0" applyFont="1" applyFill="1" applyBorder="1" applyAlignment="1">
      <alignment horizontal="center" vertical="center" wrapText="1"/>
    </xf>
    <xf numFmtId="0" fontId="80" fillId="7" borderId="10" xfId="0" applyFont="1" applyFill="1" applyBorder="1" applyAlignment="1">
      <alignment horizontal="center" vertical="center" wrapText="1"/>
    </xf>
    <xf numFmtId="0" fontId="80"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29" fillId="28" borderId="18" xfId="0" applyNumberFormat="1" applyFont="1" applyFill="1" applyBorder="1" applyAlignment="1" applyProtection="1">
      <alignment horizontal="center" vertical="center" textRotation="2"/>
      <protection hidden="1"/>
    </xf>
    <xf numFmtId="14" fontId="29" fillId="28" borderId="20" xfId="0" applyNumberFormat="1" applyFont="1" applyFill="1" applyBorder="1" applyAlignment="1" applyProtection="1">
      <alignment horizontal="center" vertical="center" textRotation="2"/>
      <protection hidden="1"/>
    </xf>
    <xf numFmtId="14" fontId="30" fillId="29" borderId="156" xfId="0" quotePrefix="1" applyNumberFormat="1" applyFont="1" applyFill="1" applyBorder="1" applyAlignment="1" applyProtection="1">
      <alignment horizontal="center" vertical="center"/>
      <protection hidden="1"/>
    </xf>
    <xf numFmtId="14" fontId="30" fillId="29" borderId="158" xfId="0" quotePrefix="1" applyNumberFormat="1" applyFont="1" applyFill="1" applyBorder="1" applyAlignment="1" applyProtection="1">
      <alignment horizontal="center" vertical="center"/>
      <protection hidden="1"/>
    </xf>
    <xf numFmtId="14" fontId="30" fillId="28" borderId="156" xfId="0" quotePrefix="1" applyNumberFormat="1" applyFont="1" applyFill="1" applyBorder="1" applyAlignment="1" applyProtection="1">
      <alignment horizontal="center" vertical="center"/>
      <protection hidden="1"/>
    </xf>
    <xf numFmtId="14" fontId="30" fillId="28" borderId="158" xfId="0" quotePrefix="1" applyNumberFormat="1" applyFont="1" applyFill="1" applyBorder="1" applyAlignment="1" applyProtection="1">
      <alignment horizontal="center" vertical="center"/>
      <protection hidden="1"/>
    </xf>
    <xf numFmtId="14" fontId="31" fillId="29" borderId="168" xfId="0" quotePrefix="1" applyNumberFormat="1" applyFont="1" applyFill="1" applyBorder="1" applyAlignment="1" applyProtection="1">
      <alignment horizontal="center" vertical="center"/>
      <protection hidden="1"/>
    </xf>
    <xf numFmtId="14" fontId="31" fillId="29" borderId="169"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0" fillId="7" borderId="0" xfId="0" quotePrefix="1" applyNumberFormat="1" applyFont="1" applyFill="1" applyAlignment="1" applyProtection="1">
      <alignment horizontal="center" vertical="center"/>
      <protection hidden="1"/>
    </xf>
    <xf numFmtId="14" fontId="71" fillId="7" borderId="0" xfId="0" quotePrefix="1" applyNumberFormat="1" applyFont="1" applyFill="1" applyAlignment="1" applyProtection="1">
      <alignment horizontal="center" vertical="center"/>
      <protection hidden="1"/>
    </xf>
    <xf numFmtId="0" fontId="67" fillId="3" borderId="0" xfId="0" applyFont="1" applyFill="1" applyAlignment="1" applyProtection="1">
      <alignment horizontal="center" vertical="center"/>
      <protection hidden="1"/>
    </xf>
    <xf numFmtId="14" fontId="67" fillId="7" borderId="0" xfId="0" applyNumberFormat="1" applyFont="1" applyFill="1" applyAlignment="1" applyProtection="1">
      <alignment horizontal="center" vertical="center" textRotation="2"/>
      <protection hidden="1"/>
    </xf>
    <xf numFmtId="0" fontId="67" fillId="0" borderId="99" xfId="95" applyFont="1" applyBorder="1" applyAlignment="1" applyProtection="1">
      <alignment horizontal="center" vertical="center"/>
      <protection hidden="1"/>
    </xf>
    <xf numFmtId="0" fontId="67" fillId="0" borderId="100" xfId="95" applyFont="1" applyBorder="1" applyAlignment="1" applyProtection="1">
      <alignment horizontal="center" vertical="center"/>
      <protection hidden="1"/>
    </xf>
    <xf numFmtId="9" fontId="66" fillId="37" borderId="127" xfId="97" applyFont="1" applyFill="1" applyBorder="1" applyAlignment="1">
      <alignment horizontal="center" vertical="center"/>
    </xf>
    <xf numFmtId="9" fontId="66" fillId="37" borderId="128" xfId="97" applyFont="1" applyFill="1" applyBorder="1" applyAlignment="1">
      <alignment horizontal="center" vertical="center"/>
    </xf>
    <xf numFmtId="9" fontId="66" fillId="37" borderId="129" xfId="97" applyFont="1" applyFill="1" applyBorder="1" applyAlignment="1">
      <alignment horizontal="center" vertical="center"/>
    </xf>
    <xf numFmtId="0" fontId="43" fillId="30" borderId="60" xfId="90" applyFont="1" applyFill="1" applyBorder="1" applyAlignment="1" applyProtection="1">
      <alignment horizontal="left" vertical="center" wrapText="1"/>
      <protection hidden="1"/>
    </xf>
    <xf numFmtId="0" fontId="43" fillId="30" borderId="61" xfId="90" applyFont="1" applyFill="1" applyBorder="1" applyAlignment="1" applyProtection="1">
      <alignment horizontal="left" vertical="center" wrapText="1"/>
      <protection hidden="1"/>
    </xf>
    <xf numFmtId="0" fontId="43" fillId="30" borderId="62" xfId="90" applyFont="1" applyFill="1" applyBorder="1" applyAlignment="1" applyProtection="1">
      <alignment horizontal="left" vertical="center" wrapText="1"/>
      <protection hidden="1"/>
    </xf>
    <xf numFmtId="0" fontId="43" fillId="30" borderId="63" xfId="90" applyFont="1" applyFill="1" applyBorder="1" applyAlignment="1" applyProtection="1">
      <alignment horizontal="left" vertical="center" wrapText="1"/>
      <protection hidden="1"/>
    </xf>
    <xf numFmtId="0" fontId="43" fillId="30" borderId="0" xfId="90" applyFont="1" applyFill="1" applyAlignment="1" applyProtection="1">
      <alignment horizontal="left" vertical="center" wrapText="1"/>
      <protection hidden="1"/>
    </xf>
    <xf numFmtId="0" fontId="43" fillId="30" borderId="64" xfId="90" applyFont="1" applyFill="1" applyBorder="1" applyAlignment="1" applyProtection="1">
      <alignment horizontal="left" vertical="center" wrapText="1"/>
      <protection hidden="1"/>
    </xf>
    <xf numFmtId="0" fontId="43" fillId="30" borderId="65" xfId="90" applyFont="1" applyFill="1" applyBorder="1" applyAlignment="1" applyProtection="1">
      <alignment horizontal="left" vertical="center" wrapText="1"/>
      <protection hidden="1"/>
    </xf>
    <xf numFmtId="0" fontId="43" fillId="30" borderId="66" xfId="90" applyFont="1" applyFill="1" applyBorder="1" applyAlignment="1" applyProtection="1">
      <alignment horizontal="left" vertical="center" wrapText="1"/>
      <protection hidden="1"/>
    </xf>
    <xf numFmtId="0" fontId="43" fillId="30" borderId="67" xfId="90" applyFont="1" applyFill="1" applyBorder="1" applyAlignment="1" applyProtection="1">
      <alignment horizontal="left" vertical="center" wrapText="1"/>
      <protection hidden="1"/>
    </xf>
    <xf numFmtId="0" fontId="96" fillId="32" borderId="186" xfId="0" applyFont="1" applyFill="1" applyBorder="1" applyAlignment="1" applyProtection="1">
      <alignment horizontal="center" vertical="center"/>
      <protection locked="0" hidden="1"/>
    </xf>
    <xf numFmtId="0" fontId="96" fillId="32" borderId="187"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95" fillId="30" borderId="63" xfId="27" applyFont="1" applyFill="1" applyBorder="1" applyAlignment="1" applyProtection="1">
      <alignment horizontal="left" vertical="center"/>
      <protection hidden="1"/>
    </xf>
    <xf numFmtId="0" fontId="95" fillId="30" borderId="0" xfId="27" applyFont="1" applyFill="1" applyBorder="1" applyAlignment="1" applyProtection="1">
      <alignment horizontal="left" vertical="center"/>
      <protection hidden="1"/>
    </xf>
    <xf numFmtId="0" fontId="102" fillId="30" borderId="205" xfId="27" applyFont="1" applyFill="1" applyBorder="1" applyAlignment="1" applyProtection="1">
      <alignmen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cellStyle name="Normal 3" xfId="91"/>
    <cellStyle name="Normal 3 2" xfId="92"/>
    <cellStyle name="Normal 3 3" xfId="98"/>
    <cellStyle name="Normal 4" xfId="93"/>
    <cellStyle name="Normal 4 2" xfId="95"/>
    <cellStyle name="Normal 4 3" xfId="99"/>
    <cellStyle name="Normal 5" xfId="96"/>
    <cellStyle name="Porcentaje" xfId="97" builtinId="5"/>
  </cellStyles>
  <dxfs count="44">
    <dxf>
      <font>
        <color rgb="FF9C0006"/>
      </font>
      <fill>
        <patternFill>
          <bgColor rgb="FFFFC7CE"/>
        </patternFill>
      </fill>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theme="9" tint="0.59996337778862885"/>
        </patternFill>
      </fill>
    </dxf>
    <dxf>
      <fill>
        <patternFill>
          <bgColor rgb="FF00B050"/>
        </patternFill>
      </fill>
    </dxf>
    <dxf>
      <fill>
        <patternFill>
          <bgColor theme="9" tint="0.79998168889431442"/>
        </patternFill>
      </fill>
    </dxf>
    <dxf>
      <fill>
        <patternFill>
          <bgColor rgb="FFD1E7DE"/>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534924896"/>
        <c:axId val="-2060774480"/>
      </c:barChart>
      <c:catAx>
        <c:axId val="-534924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060774480"/>
        <c:crosses val="autoZero"/>
        <c:auto val="1"/>
        <c:lblAlgn val="ctr"/>
        <c:lblOffset val="100"/>
        <c:noMultiLvlLbl val="0"/>
      </c:catAx>
      <c:valAx>
        <c:axId val="-2060774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34924896"/>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layout/>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xmlns:c16r2="http://schemas.microsoft.com/office/drawing/2015/06/chart">
              <c:ext xmlns:c15="http://schemas.microsoft.com/office/drawing/2012/chart" uri="{CE6537A1-D6FC-4f65-9D91-7224C49458BB}">
                <c15:layout/>
              </c:ext>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xmlns:c16r2="http://schemas.microsoft.com/office/drawing/2015/06/char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 xmlns:a16="http://schemas.microsoft.com/office/drawing/2014/main" id="{5244D62A-8657-2C43-A33B-3D346CE63D06}"/>
                </a:ext>
              </a:extLst>
            </xdr:cNvPr>
            <xdr:cNvPicPr>
              <a:picLocks noChangeAspect="1" noChangeArrowheads="1"/>
              <a:extLst>
                <a:ext uri="{84589F7E-364E-4C9E-8A38-B11213B215E9}">
                  <a14:cameraTool cellRange="Grafico1X2" spid="_x0000_s1811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 xmlns:a16="http://schemas.microsoft.com/office/drawing/2014/main" id="{D193662C-C7A6-BB41-9734-4B6C74C6225D}"/>
            </a:ext>
            <a:ext uri="{C183D7F6-B498-43B3-948B-1728B52AA6E4}">
              <adec:decorative xmlns=""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10.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id="3" name="T_Equipos" displayName="T_Equipos" ref="A1:D49" totalsRowShown="0" headerRowDxfId="6" dataDxfId="5">
  <sortState ref="A2:D13">
    <sortCondition ref="D2:D13"/>
  </sortState>
  <tableColumns count="4">
    <tableColumn id="1" name="Num" dataDxfId="4">
      <calculatedColumnFormula>NOT(ISERROR(VLOOKUP(Equipos!$B2,#REF!,1,FALSE)))</calculatedColumnFormula>
    </tableColumn>
    <tableColumn id="2" name="NombreEquipo" dataDxfId="3">
      <calculatedColumnFormula>+INDEX(Idiomas!$D$212:$D$259,MATCH(T_Equipos[[#This Row],[Num]],Idiomas!$C$212:$C$259,0))</calculatedColumnFormula>
    </tableColumn>
    <tableColumn id="4" name="Grupo" dataDxfId="2"/>
    <tableColumn id="3" name="Rank" dataDxfId="1"/>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AE50"/>
  <sheetViews>
    <sheetView zoomScaleNormal="100" workbookViewId="0">
      <selection activeCell="E17" sqref="E17:I17"/>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9.140625" bestFit="1"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71"/>
      <c r="B1" s="371"/>
      <c r="C1" s="371"/>
      <c r="D1" s="371"/>
      <c r="E1" s="371"/>
      <c r="F1" s="371"/>
      <c r="G1" s="371"/>
      <c r="H1" s="371"/>
      <c r="I1" s="371"/>
      <c r="J1" s="371"/>
      <c r="K1" s="371"/>
      <c r="L1" s="371"/>
      <c r="M1" s="371"/>
      <c r="N1" s="371"/>
      <c r="O1" s="371"/>
      <c r="P1" s="371"/>
      <c r="Q1" s="371"/>
      <c r="R1" s="371"/>
      <c r="S1" s="371"/>
      <c r="T1" s="371"/>
      <c r="U1" s="371"/>
      <c r="V1" s="371"/>
      <c r="W1" s="371"/>
      <c r="X1" s="371"/>
      <c r="Y1" s="371"/>
      <c r="Z1" s="371"/>
      <c r="AA1" s="371"/>
      <c r="AB1" s="371"/>
      <c r="AC1" s="371"/>
      <c r="AD1" s="371"/>
      <c r="AE1" s="371"/>
    </row>
    <row r="2" spans="1:31">
      <c r="A2" s="371"/>
      <c r="B2" s="371"/>
      <c r="C2" s="372"/>
      <c r="D2" s="371"/>
      <c r="E2" s="373"/>
      <c r="F2" s="373"/>
      <c r="G2" s="373"/>
      <c r="H2" s="373"/>
      <c r="I2" s="373"/>
      <c r="J2" s="373"/>
      <c r="K2" s="373"/>
      <c r="L2" s="371"/>
      <c r="M2" s="371"/>
      <c r="N2" s="371"/>
      <c r="O2" s="371"/>
      <c r="P2" s="371"/>
      <c r="Q2" s="371"/>
      <c r="R2" s="371"/>
      <c r="S2" s="371"/>
      <c r="T2" s="371"/>
      <c r="U2" s="371"/>
      <c r="V2" s="371"/>
      <c r="W2" s="371"/>
      <c r="X2" s="371"/>
      <c r="Y2" s="371"/>
      <c r="Z2" s="371"/>
      <c r="AA2" s="371"/>
      <c r="AB2" s="371"/>
      <c r="AC2" s="371"/>
      <c r="AD2" s="371"/>
      <c r="AE2" s="371"/>
    </row>
    <row r="3" spans="1:31" ht="35.1" customHeight="1">
      <c r="A3" s="371"/>
      <c r="B3" s="811" t="str">
        <f>Idiomas!D8</f>
        <v>XXIII Mundial USA/MEX/CAN 2026</v>
      </c>
      <c r="C3" s="811"/>
      <c r="D3" s="811"/>
      <c r="E3" s="811"/>
      <c r="F3" s="811"/>
      <c r="G3" s="811"/>
      <c r="H3" s="811"/>
      <c r="I3" s="811"/>
      <c r="J3" s="811"/>
      <c r="K3" s="811"/>
      <c r="L3" s="811"/>
      <c r="M3" s="371"/>
      <c r="N3" s="371"/>
      <c r="O3" s="371"/>
      <c r="P3" s="371"/>
      <c r="Q3" s="371"/>
      <c r="R3" s="371"/>
      <c r="S3" s="371"/>
      <c r="T3" s="371"/>
      <c r="U3" s="371"/>
      <c r="V3" s="371"/>
      <c r="W3" s="371"/>
      <c r="X3" s="371"/>
      <c r="Y3" s="371"/>
      <c r="Z3" s="371"/>
      <c r="AA3" s="371"/>
      <c r="AB3" s="371"/>
      <c r="AC3" s="371"/>
      <c r="AD3" s="371"/>
      <c r="AE3" s="371"/>
    </row>
    <row r="4" spans="1:31" ht="15" customHeight="1">
      <c r="A4" s="371"/>
      <c r="B4" s="371"/>
      <c r="C4" s="371"/>
      <c r="D4" s="371"/>
      <c r="E4" s="373"/>
      <c r="F4" s="373"/>
      <c r="G4" s="373"/>
      <c r="H4" s="373"/>
      <c r="I4" s="373"/>
      <c r="J4" s="373"/>
      <c r="K4" s="373"/>
      <c r="L4" s="374"/>
      <c r="M4" s="371"/>
      <c r="N4" s="371"/>
      <c r="O4" s="371"/>
      <c r="P4" s="371"/>
      <c r="Q4" s="371"/>
      <c r="R4" s="371"/>
      <c r="S4" s="371"/>
      <c r="T4" s="371"/>
      <c r="U4" s="371"/>
      <c r="V4" s="371"/>
      <c r="W4" s="371"/>
      <c r="X4" s="371"/>
      <c r="Y4" s="371"/>
      <c r="Z4" s="371"/>
      <c r="AA4" s="371"/>
      <c r="AB4" s="371"/>
      <c r="AC4" s="371"/>
      <c r="AD4" s="371"/>
      <c r="AE4" s="371"/>
    </row>
    <row r="5" spans="1:31" ht="20.100000000000001" customHeight="1" thickBot="1">
      <c r="A5" s="371"/>
      <c r="B5" s="371"/>
      <c r="C5" s="375"/>
      <c r="D5" s="371"/>
      <c r="E5" s="376"/>
      <c r="F5" s="376"/>
      <c r="G5" s="376"/>
      <c r="H5" s="376"/>
      <c r="I5" s="376"/>
      <c r="J5" s="376"/>
      <c r="K5" s="376"/>
      <c r="L5" s="377"/>
      <c r="M5" s="378"/>
      <c r="N5" s="378"/>
      <c r="O5" s="378"/>
      <c r="P5" s="371"/>
      <c r="Q5" s="371"/>
      <c r="R5" s="371"/>
      <c r="S5" s="371"/>
      <c r="T5" s="371"/>
      <c r="U5" s="371"/>
      <c r="V5" s="371"/>
      <c r="W5" s="371"/>
      <c r="X5" s="371"/>
      <c r="Y5" s="371"/>
      <c r="Z5" s="371"/>
      <c r="AA5" s="371"/>
      <c r="AB5" s="371"/>
      <c r="AC5" s="371"/>
      <c r="AD5" s="371"/>
      <c r="AE5" s="371"/>
    </row>
    <row r="6" spans="1:31" ht="24.95" customHeight="1" thickBot="1">
      <c r="A6" s="371"/>
      <c r="B6" s="379"/>
      <c r="C6" s="36" t="s">
        <v>216</v>
      </c>
      <c r="D6" s="371"/>
      <c r="E6" s="373"/>
      <c r="F6" s="373"/>
      <c r="G6" s="373"/>
      <c r="H6" s="373"/>
      <c r="I6" s="373"/>
      <c r="J6" s="373"/>
      <c r="K6" s="37" t="s">
        <v>1767</v>
      </c>
      <c r="L6" s="371"/>
      <c r="M6" s="371"/>
      <c r="N6" s="371"/>
      <c r="O6" s="371"/>
      <c r="P6" s="371"/>
      <c r="Q6" s="371"/>
      <c r="R6" s="371"/>
      <c r="S6" s="371"/>
      <c r="T6" s="371"/>
      <c r="U6" s="371"/>
      <c r="V6" s="371"/>
      <c r="W6" s="371"/>
      <c r="X6" s="371"/>
      <c r="Y6" s="371"/>
      <c r="Z6" s="371"/>
      <c r="AA6" s="371"/>
      <c r="AB6" s="371"/>
      <c r="AC6" s="371"/>
      <c r="AD6" s="371"/>
      <c r="AE6" s="371"/>
    </row>
    <row r="7" spans="1:31" ht="20.100000000000001" customHeight="1" thickBot="1">
      <c r="A7" s="371"/>
      <c r="B7" s="380"/>
      <c r="C7" s="375" t="str">
        <f>"🕒 "&amp;Idiomas!D15</f>
        <v>🕒 Selecciona horario</v>
      </c>
      <c r="D7" s="371"/>
      <c r="E7" s="373"/>
      <c r="F7" s="373"/>
      <c r="G7" s="373"/>
      <c r="H7" s="373"/>
      <c r="I7" s="373"/>
      <c r="J7" s="373"/>
      <c r="K7" s="373"/>
      <c r="L7" s="371"/>
      <c r="M7" s="371"/>
      <c r="N7" s="371"/>
      <c r="O7" s="371"/>
      <c r="P7" s="371"/>
      <c r="Q7" s="371"/>
      <c r="R7" s="371"/>
      <c r="S7" s="371"/>
      <c r="T7" s="371"/>
      <c r="U7" s="371"/>
      <c r="V7" s="371"/>
      <c r="W7" s="371"/>
      <c r="X7" s="371"/>
      <c r="Y7" s="371"/>
      <c r="Z7" s="371"/>
      <c r="AA7" s="371"/>
      <c r="AB7" s="371"/>
      <c r="AC7" s="371"/>
      <c r="AD7" s="371"/>
      <c r="AE7" s="371"/>
    </row>
    <row r="8" spans="1:31" ht="24.95" customHeight="1" thickBot="1">
      <c r="A8" s="371"/>
      <c r="B8" s="379"/>
      <c r="C8" s="36" t="s">
        <v>38</v>
      </c>
      <c r="D8" s="371"/>
      <c r="E8" s="373"/>
      <c r="F8" s="373"/>
      <c r="G8" s="373"/>
      <c r="H8" s="373"/>
      <c r="I8" s="373"/>
      <c r="J8" s="373"/>
      <c r="K8" s="37" t="str">
        <f>Idiomas!D4</f>
        <v>Introducir resultados</v>
      </c>
      <c r="L8" s="371"/>
      <c r="M8" s="371"/>
      <c r="N8" s="371"/>
      <c r="O8" s="371"/>
      <c r="P8" s="371"/>
      <c r="Q8" s="371"/>
      <c r="R8" s="371"/>
      <c r="S8" s="371"/>
      <c r="T8" s="371"/>
      <c r="U8" s="371"/>
      <c r="V8" s="371"/>
      <c r="W8" s="371"/>
      <c r="X8" s="371"/>
      <c r="Y8" s="371"/>
      <c r="Z8" s="371"/>
      <c r="AA8" s="371"/>
      <c r="AB8" s="371"/>
      <c r="AC8" s="371"/>
      <c r="AD8" s="371"/>
      <c r="AE8" s="371"/>
    </row>
    <row r="9" spans="1:31" ht="20.100000000000001" customHeight="1" thickBot="1">
      <c r="A9" s="371"/>
      <c r="B9" s="380"/>
      <c r="C9" s="375" t="str">
        <f>"✍️ "&amp;Idiomas!D48</f>
        <v>✍️ Escribe el nombre del grupo</v>
      </c>
      <c r="D9" s="371"/>
      <c r="E9" s="373"/>
      <c r="F9" s="373"/>
      <c r="G9" s="373"/>
      <c r="H9" s="373"/>
      <c r="I9" s="373"/>
      <c r="J9" s="373"/>
      <c r="K9" s="373"/>
      <c r="L9" s="371"/>
      <c r="M9" s="371"/>
      <c r="N9" s="371"/>
      <c r="O9" s="371"/>
      <c r="P9" s="371"/>
      <c r="Q9" s="371"/>
      <c r="R9" s="371"/>
      <c r="S9" s="371"/>
      <c r="T9" s="371"/>
      <c r="U9" s="371"/>
      <c r="V9" s="371"/>
      <c r="W9" s="371"/>
      <c r="X9" s="371"/>
      <c r="Y9" s="371"/>
      <c r="Z9" s="371"/>
      <c r="AA9" s="371"/>
      <c r="AB9" s="371"/>
      <c r="AC9" s="371"/>
      <c r="AD9" s="371"/>
      <c r="AE9" s="371"/>
    </row>
    <row r="10" spans="1:31" ht="24.95" customHeight="1" thickBot="1">
      <c r="A10" s="371"/>
      <c r="B10" s="379"/>
      <c r="C10" s="36" t="s">
        <v>1992</v>
      </c>
      <c r="D10" s="371"/>
      <c r="E10" s="373"/>
      <c r="F10" s="373"/>
      <c r="G10" s="373"/>
      <c r="H10" s="373"/>
      <c r="I10" s="373"/>
      <c r="J10" s="373"/>
      <c r="K10" s="37" t="s">
        <v>1310</v>
      </c>
      <c r="L10" s="371"/>
      <c r="M10" s="371"/>
      <c r="N10" s="371"/>
      <c r="O10" s="371"/>
      <c r="P10" s="371"/>
      <c r="Q10" s="371"/>
      <c r="R10" s="371"/>
      <c r="S10" s="371"/>
      <c r="T10" s="371"/>
      <c r="U10" s="371"/>
      <c r="V10" s="371"/>
      <c r="W10" s="371"/>
      <c r="X10" s="371"/>
      <c r="Y10" s="371"/>
      <c r="Z10" s="371"/>
      <c r="AA10" s="371"/>
      <c r="AB10" s="371"/>
      <c r="AC10" s="371"/>
      <c r="AD10" s="371"/>
      <c r="AE10" s="371"/>
    </row>
    <row r="11" spans="1:31" ht="20.100000000000001" customHeight="1" thickBot="1">
      <c r="A11" s="371"/>
      <c r="B11" s="371"/>
      <c r="C11" s="371"/>
      <c r="D11" s="371"/>
      <c r="E11" s="373"/>
      <c r="F11" s="373"/>
      <c r="G11" s="373"/>
      <c r="H11" s="373"/>
      <c r="I11" s="373"/>
      <c r="J11" s="373"/>
      <c r="K11" s="373"/>
      <c r="L11" s="371"/>
      <c r="M11" s="371"/>
      <c r="N11" s="371"/>
      <c r="O11" s="371"/>
      <c r="P11" s="371"/>
      <c r="Q11" s="371"/>
      <c r="R11" s="371"/>
      <c r="S11" s="371"/>
      <c r="T11" s="371"/>
      <c r="U11" s="371"/>
      <c r="V11" s="371"/>
      <c r="W11" s="371"/>
      <c r="X11" s="371"/>
      <c r="Y11" s="371"/>
      <c r="Z11" s="371"/>
      <c r="AA11" s="371"/>
      <c r="AB11" s="371"/>
      <c r="AC11" s="371"/>
      <c r="AD11" s="371"/>
      <c r="AE11" s="371"/>
    </row>
    <row r="12" spans="1:31" ht="24.95" customHeight="1" thickBot="1">
      <c r="A12" s="371"/>
      <c r="B12" s="371"/>
      <c r="C12" s="371"/>
      <c r="D12" s="371"/>
      <c r="E12" s="373"/>
      <c r="F12" s="373"/>
      <c r="G12" s="373"/>
      <c r="H12" s="373"/>
      <c r="I12" s="373"/>
      <c r="J12" s="373"/>
      <c r="K12" s="37" t="str">
        <f>HYPERLINK(Idiomas!D302,Idiomas!D431)</f>
        <v>Sistema de puntuación</v>
      </c>
      <c r="L12" s="381"/>
      <c r="M12" s="371"/>
      <c r="N12" s="371"/>
      <c r="O12" s="371"/>
      <c r="P12" s="371"/>
      <c r="Q12" s="371"/>
      <c r="R12" s="371"/>
      <c r="S12" s="371"/>
      <c r="T12" s="371"/>
      <c r="U12" s="371"/>
      <c r="V12" s="371"/>
      <c r="W12" s="371"/>
      <c r="X12" s="371"/>
      <c r="Y12" s="371"/>
      <c r="Z12" s="371"/>
      <c r="AA12" s="371"/>
      <c r="AB12" s="371"/>
      <c r="AC12" s="371"/>
      <c r="AD12" s="371"/>
      <c r="AE12" s="371"/>
    </row>
    <row r="13" spans="1:31" ht="20.100000000000001" customHeight="1" thickBot="1">
      <c r="A13" s="371"/>
      <c r="B13" s="371"/>
      <c r="C13" s="382"/>
      <c r="D13" s="371"/>
      <c r="E13" s="373"/>
      <c r="F13" s="373"/>
      <c r="G13" s="373"/>
      <c r="H13" s="373"/>
      <c r="I13" s="373"/>
      <c r="J13" s="373"/>
      <c r="K13" s="373"/>
      <c r="L13" s="371"/>
      <c r="M13" s="371"/>
      <c r="N13" s="371"/>
      <c r="O13" s="371"/>
      <c r="P13" s="371"/>
      <c r="Q13" s="371"/>
      <c r="R13" s="371"/>
      <c r="S13" s="371"/>
      <c r="T13" s="371"/>
      <c r="U13" s="371"/>
      <c r="V13" s="371"/>
      <c r="W13" s="371"/>
      <c r="X13" s="371"/>
      <c r="Y13" s="371"/>
      <c r="Z13" s="371"/>
      <c r="AA13" s="371"/>
      <c r="AB13" s="371"/>
      <c r="AC13" s="371"/>
      <c r="AD13" s="371"/>
      <c r="AE13" s="371"/>
    </row>
    <row r="14" spans="1:31" ht="24.95" customHeight="1" thickBot="1">
      <c r="A14" s="371"/>
      <c r="B14" s="383"/>
      <c r="C14" s="383"/>
      <c r="D14" s="371"/>
      <c r="E14" s="373"/>
      <c r="F14" s="373"/>
      <c r="G14" s="373"/>
      <c r="H14" s="373"/>
      <c r="I14" s="373"/>
      <c r="J14" s="373"/>
      <c r="K14" s="37" t="str">
        <f>HYPERLINK(Idiomas!D13,"FAQ")</f>
        <v>FAQ</v>
      </c>
      <c r="L14" s="384"/>
      <c r="M14" s="371"/>
      <c r="N14" s="371"/>
      <c r="O14" s="371"/>
      <c r="P14" s="371"/>
      <c r="Q14" s="371"/>
      <c r="R14" s="371"/>
      <c r="S14" s="371"/>
      <c r="T14" s="371"/>
      <c r="U14" s="371"/>
      <c r="V14" s="371"/>
      <c r="W14" s="371"/>
      <c r="X14" s="371"/>
      <c r="Y14" s="371"/>
      <c r="Z14" s="371"/>
      <c r="AA14" s="371"/>
      <c r="AB14" s="371"/>
      <c r="AC14" s="371"/>
      <c r="AD14" s="371"/>
      <c r="AE14" s="371"/>
    </row>
    <row r="15" spans="1:31" ht="15" customHeight="1">
      <c r="A15" s="371"/>
      <c r="B15" s="383"/>
      <c r="C15" s="383"/>
      <c r="D15" s="371"/>
      <c r="E15" s="373"/>
      <c r="F15" s="373"/>
      <c r="G15" s="373"/>
      <c r="H15" s="373"/>
      <c r="I15" s="373"/>
      <c r="J15" s="373"/>
      <c r="K15" s="373"/>
      <c r="L15" s="381"/>
      <c r="M15" s="371"/>
      <c r="N15" s="371"/>
      <c r="O15" s="371"/>
      <c r="P15" s="371"/>
      <c r="Q15" s="371"/>
      <c r="R15" s="371"/>
      <c r="S15" s="371"/>
      <c r="T15" s="371"/>
      <c r="U15" s="371"/>
      <c r="V15" s="371"/>
      <c r="W15" s="371"/>
      <c r="X15" s="371"/>
      <c r="Y15" s="371"/>
      <c r="Z15" s="371"/>
      <c r="AA15" s="371"/>
      <c r="AB15" s="371"/>
      <c r="AC15" s="371"/>
      <c r="AD15" s="371"/>
      <c r="AE15" s="371"/>
    </row>
    <row r="16" spans="1:31" ht="39.950000000000003" customHeight="1">
      <c r="A16" s="371"/>
      <c r="B16" s="371"/>
      <c r="C16" s="371"/>
      <c r="D16" s="371"/>
      <c r="E16" s="809"/>
      <c r="F16" s="810"/>
      <c r="G16" s="810"/>
      <c r="H16" s="810"/>
      <c r="I16" s="810"/>
      <c r="J16" s="373"/>
      <c r="K16" s="371"/>
      <c r="L16" s="371"/>
      <c r="M16" s="371"/>
      <c r="N16" s="371"/>
      <c r="O16" s="371"/>
      <c r="P16" s="371"/>
      <c r="Q16" s="371"/>
      <c r="R16" s="371"/>
      <c r="S16" s="371"/>
      <c r="T16" s="371"/>
      <c r="U16" s="371"/>
      <c r="V16" s="371"/>
      <c r="W16" s="371"/>
      <c r="X16" s="371"/>
      <c r="Y16" s="371"/>
      <c r="Z16" s="371"/>
      <c r="AA16" s="371"/>
      <c r="AB16" s="371"/>
      <c r="AC16" s="371"/>
      <c r="AD16" s="371"/>
      <c r="AE16" s="371"/>
    </row>
    <row r="17" spans="1:31" ht="39.950000000000003" customHeight="1">
      <c r="A17" s="371"/>
      <c r="B17" s="371"/>
      <c r="C17" s="371"/>
      <c r="D17" s="371"/>
      <c r="E17" s="809"/>
      <c r="F17" s="810"/>
      <c r="G17" s="810"/>
      <c r="H17" s="810"/>
      <c r="I17" s="810"/>
      <c r="J17" s="373"/>
      <c r="K17" s="371"/>
      <c r="L17" s="385"/>
      <c r="M17" s="371"/>
      <c r="N17" s="386"/>
      <c r="O17" s="387"/>
      <c r="P17" s="371"/>
      <c r="Q17" s="371"/>
      <c r="R17" s="371"/>
      <c r="S17" s="371"/>
      <c r="T17" s="371"/>
      <c r="U17" s="371"/>
      <c r="V17" s="371"/>
      <c r="W17" s="371"/>
      <c r="X17" s="371"/>
      <c r="Y17" s="371"/>
      <c r="Z17" s="371"/>
      <c r="AA17" s="371"/>
      <c r="AB17" s="371"/>
      <c r="AC17" s="371"/>
      <c r="AD17" s="371"/>
      <c r="AE17" s="371"/>
    </row>
    <row r="18" spans="1:31" ht="15" customHeight="1">
      <c r="A18" s="371"/>
      <c r="B18" s="371"/>
      <c r="C18" s="371"/>
      <c r="D18" s="371"/>
      <c r="E18" s="373"/>
      <c r="F18" s="373"/>
      <c r="G18" s="373"/>
      <c r="H18" s="373"/>
      <c r="I18" s="373"/>
      <c r="J18" s="373"/>
      <c r="K18" s="371"/>
      <c r="L18" s="371"/>
      <c r="M18" s="371"/>
      <c r="N18" s="371"/>
      <c r="O18" s="371"/>
      <c r="P18" s="371"/>
      <c r="Q18" s="371"/>
      <c r="R18" s="371"/>
      <c r="S18" s="371"/>
      <c r="T18" s="371"/>
      <c r="U18" s="371"/>
      <c r="V18" s="371"/>
      <c r="W18" s="371"/>
      <c r="X18" s="371"/>
      <c r="Y18" s="371"/>
      <c r="Z18" s="371"/>
      <c r="AA18" s="371"/>
      <c r="AB18" s="371"/>
      <c r="AC18" s="371"/>
      <c r="AD18" s="371"/>
      <c r="AE18" s="371"/>
    </row>
    <row r="19" spans="1:31">
      <c r="A19" s="371"/>
      <c r="B19" s="371"/>
      <c r="C19" s="371"/>
      <c r="D19" s="371"/>
      <c r="E19" s="371"/>
      <c r="F19" s="373"/>
      <c r="G19" s="392" t="str">
        <f ca="1">IFERROR(IF(E41&lt;E42,Idiomas!D505,IF(AND(E41&gt;=E42,E41&lt;=E43),Idiomas!D507,""))&amp;" "&amp;IF(E41&lt;E42,DATEDIF(E41,E42,"D"),IF(E41=E42,1,IF(AND(E41&gt;E42,E41&lt;=E43),DATEDIF(E42,E41,"D")+1,IF(E41&gt;E43,"",""))))&amp;" "&amp;IF(E41&lt;E42,Idiomas!D506,IF(AND(E41&gt;=E42,E41&lt;=E43),Idiomas!D508,"")),"")</f>
        <v>Es el día 2 del Mundial 2026</v>
      </c>
      <c r="H19" s="373"/>
      <c r="I19" s="373"/>
      <c r="J19" s="373"/>
      <c r="K19" s="371"/>
      <c r="L19" s="371"/>
      <c r="M19" s="371"/>
      <c r="N19" s="371"/>
      <c r="O19" s="371"/>
      <c r="P19" s="371"/>
      <c r="Q19" s="371"/>
      <c r="R19" s="371"/>
      <c r="S19" s="371"/>
      <c r="T19" s="371"/>
      <c r="U19" s="371"/>
      <c r="V19" s="371"/>
      <c r="W19" s="371"/>
      <c r="X19" s="371"/>
      <c r="Y19" s="371"/>
      <c r="Z19" s="371"/>
      <c r="AA19" s="371"/>
      <c r="AB19" s="371"/>
      <c r="AC19" s="371"/>
      <c r="AD19" s="371"/>
      <c r="AE19" s="371"/>
    </row>
    <row r="20" spans="1:31">
      <c r="A20" s="371"/>
      <c r="B20" s="371" t="s">
        <v>1300</v>
      </c>
      <c r="C20" s="371"/>
      <c r="D20" s="371"/>
      <c r="E20" s="373"/>
      <c r="F20" s="373"/>
      <c r="G20" s="392" t="str">
        <f ca="1">IFERROR(IF(E41&lt;E42,"",IF(AND(E41&gt;=E42,E41&lt;=E43),Idiomas!D509,IF(E41&gt;E43,"",)))&amp;" "&amp;IF(E41&lt;E42,"",IF(AND(E41&gt;=E42,E41&lt;=E43),DATEDIF(E41,E43,"D"),IF(E41&gt;E43,"",)))&amp;" "&amp;IF(E41&lt;E42,"",IF(AND(E41&gt;=E42,E41&lt;=E43),Idiomas!D510,IF(E41&gt;E43,"",))),"")</f>
        <v>Quedan 37 días para que acabe el Mundial 2026</v>
      </c>
      <c r="H20" s="373"/>
      <c r="I20" s="373"/>
      <c r="J20" s="373"/>
      <c r="K20" s="371"/>
      <c r="L20" s="371"/>
      <c r="M20" s="371"/>
      <c r="N20" s="371"/>
      <c r="O20" s="371"/>
      <c r="P20" s="371"/>
      <c r="Q20" s="371"/>
      <c r="R20" s="371"/>
      <c r="S20" s="371"/>
      <c r="T20" s="371"/>
      <c r="U20" s="371"/>
      <c r="V20" s="371"/>
      <c r="W20" s="371"/>
      <c r="X20" s="371"/>
      <c r="Y20" s="371"/>
      <c r="Z20" s="371"/>
      <c r="AA20" s="371"/>
      <c r="AB20" s="371"/>
      <c r="AC20" s="371"/>
      <c r="AD20" s="371"/>
      <c r="AE20" s="371"/>
    </row>
    <row r="21" spans="1:31" ht="15" customHeight="1">
      <c r="A21" s="371"/>
      <c r="B21" s="371" t="s">
        <v>1300</v>
      </c>
      <c r="C21" s="371"/>
      <c r="D21" s="371"/>
      <c r="E21" s="388"/>
      <c r="F21" s="388"/>
      <c r="G21" s="388"/>
      <c r="H21" s="388"/>
      <c r="I21" s="388"/>
      <c r="J21" s="373"/>
      <c r="K21" s="373"/>
      <c r="L21" s="371"/>
      <c r="M21" s="371"/>
      <c r="N21" s="371"/>
      <c r="O21" s="381"/>
      <c r="P21" s="371"/>
      <c r="Q21" s="371"/>
      <c r="R21" s="371"/>
      <c r="S21" s="371"/>
      <c r="T21" s="371"/>
      <c r="U21" s="371"/>
      <c r="V21" s="371"/>
      <c r="W21" s="371"/>
      <c r="X21" s="371"/>
      <c r="Y21" s="371"/>
      <c r="Z21" s="371"/>
      <c r="AA21" s="371"/>
      <c r="AB21" s="371"/>
      <c r="AC21" s="371"/>
      <c r="AD21" s="371"/>
      <c r="AE21" s="371"/>
    </row>
    <row r="22" spans="1:31" ht="30.95" customHeight="1">
      <c r="A22" s="371"/>
      <c r="B22" s="371" t="s">
        <v>1300</v>
      </c>
      <c r="C22" s="371"/>
      <c r="D22" s="371"/>
      <c r="E22" s="388"/>
      <c r="F22" s="388"/>
      <c r="G22" s="388"/>
      <c r="H22" s="388"/>
      <c r="I22" s="388"/>
      <c r="J22" s="373"/>
      <c r="K22" s="373"/>
      <c r="L22" s="371"/>
      <c r="M22" s="371"/>
      <c r="N22" s="371"/>
      <c r="O22" s="381"/>
      <c r="P22" s="371"/>
      <c r="Q22" s="371"/>
      <c r="R22" s="371"/>
      <c r="S22" s="371"/>
      <c r="T22" s="371"/>
      <c r="U22" s="371"/>
      <c r="V22" s="371"/>
      <c r="W22" s="371"/>
      <c r="X22" s="371"/>
      <c r="Y22" s="371"/>
      <c r="Z22" s="371"/>
      <c r="AA22" s="371"/>
      <c r="AB22" s="371"/>
      <c r="AC22" s="371"/>
      <c r="AD22" s="371"/>
      <c r="AE22" s="371"/>
    </row>
    <row r="23" spans="1:31" ht="20.100000000000001" customHeight="1">
      <c r="A23" s="371"/>
      <c r="B23" s="371" t="s">
        <v>1300</v>
      </c>
      <c r="C23" s="371"/>
      <c r="D23" s="371"/>
      <c r="E23" s="373"/>
      <c r="F23" s="373"/>
      <c r="G23" s="373"/>
      <c r="H23" s="373"/>
      <c r="I23" s="373"/>
      <c r="J23" s="373"/>
      <c r="K23" s="882" t="s">
        <v>1313</v>
      </c>
      <c r="L23" s="371"/>
      <c r="M23" s="371"/>
      <c r="N23" s="381"/>
      <c r="O23" s="381"/>
      <c r="P23" s="371"/>
      <c r="Q23" s="371"/>
      <c r="R23" s="371"/>
      <c r="S23" s="371"/>
      <c r="T23" s="371"/>
      <c r="U23" s="371"/>
      <c r="V23" s="371"/>
      <c r="W23" s="371"/>
      <c r="X23" s="371"/>
      <c r="Y23" s="371"/>
      <c r="Z23" s="371"/>
      <c r="AA23" s="371"/>
      <c r="AB23" s="371"/>
      <c r="AC23" s="371"/>
      <c r="AD23" s="371"/>
      <c r="AE23" s="371"/>
    </row>
    <row r="24" spans="1:31" ht="30" customHeight="1">
      <c r="A24" s="371"/>
      <c r="B24" s="812"/>
      <c r="C24" s="813"/>
      <c r="D24" s="371"/>
      <c r="E24" s="373"/>
      <c r="F24" s="373"/>
      <c r="G24" s="373"/>
      <c r="H24" s="389"/>
      <c r="I24" s="389"/>
      <c r="J24" s="373"/>
      <c r="K24" s="389"/>
      <c r="L24" s="381"/>
      <c r="M24" s="381"/>
      <c r="N24" s="381"/>
      <c r="O24" s="381"/>
      <c r="P24" s="371"/>
      <c r="Q24" s="371"/>
      <c r="R24" s="371"/>
      <c r="S24" s="371"/>
      <c r="T24" s="371"/>
      <c r="U24" s="371"/>
      <c r="V24" s="371"/>
      <c r="W24" s="371"/>
      <c r="X24" s="371"/>
      <c r="Y24" s="371"/>
      <c r="Z24" s="371"/>
      <c r="AA24" s="371"/>
      <c r="AB24" s="371"/>
      <c r="AC24" s="371"/>
      <c r="AD24" s="371"/>
      <c r="AE24" s="371"/>
    </row>
    <row r="25" spans="1:31">
      <c r="A25" s="371"/>
      <c r="B25" s="371"/>
      <c r="C25" s="371"/>
      <c r="D25" s="371"/>
      <c r="E25" s="373"/>
      <c r="F25" s="373"/>
      <c r="G25" s="373"/>
      <c r="H25" s="389"/>
      <c r="I25" s="389"/>
      <c r="J25" s="373"/>
      <c r="K25" s="389"/>
      <c r="L25" s="381"/>
      <c r="M25" s="381"/>
      <c r="N25" s="381"/>
      <c r="O25" s="381"/>
      <c r="P25" s="371"/>
      <c r="Q25" s="371"/>
      <c r="R25" s="371"/>
      <c r="S25" s="371"/>
      <c r="T25" s="371"/>
      <c r="U25" s="371"/>
      <c r="V25" s="371"/>
      <c r="W25" s="371"/>
      <c r="X25" s="371"/>
      <c r="Y25" s="371"/>
      <c r="Z25" s="371"/>
      <c r="AA25" s="371"/>
      <c r="AB25" s="371"/>
      <c r="AC25" s="371"/>
      <c r="AD25" s="371"/>
      <c r="AE25" s="371"/>
    </row>
    <row r="26" spans="1:31">
      <c r="A26" s="371"/>
      <c r="B26" s="371"/>
      <c r="C26" s="371"/>
      <c r="D26" s="371"/>
      <c r="E26" s="371"/>
      <c r="F26" s="371"/>
      <c r="G26" s="371"/>
      <c r="H26" s="371"/>
      <c r="I26" s="371"/>
      <c r="J26" s="373"/>
      <c r="K26" s="371"/>
      <c r="L26" s="371"/>
      <c r="M26" s="371"/>
      <c r="N26" s="371"/>
      <c r="O26" s="371"/>
      <c r="P26" s="371"/>
      <c r="Q26" s="371"/>
      <c r="R26" s="371"/>
      <c r="S26" s="371"/>
      <c r="T26" s="371"/>
      <c r="U26" s="371"/>
      <c r="V26" s="371"/>
      <c r="W26" s="371"/>
      <c r="X26" s="371"/>
      <c r="Y26" s="371"/>
      <c r="Z26" s="371"/>
      <c r="AA26" s="371"/>
      <c r="AB26" s="371"/>
      <c r="AC26" s="371"/>
      <c r="AD26" s="371"/>
      <c r="AE26" s="371"/>
    </row>
    <row r="27" spans="1:31">
      <c r="A27" s="371"/>
      <c r="B27" s="371"/>
      <c r="C27" s="371"/>
      <c r="D27" s="371"/>
      <c r="E27" s="371"/>
      <c r="F27" s="371"/>
      <c r="G27" s="371"/>
      <c r="H27" s="371"/>
      <c r="I27" s="371"/>
      <c r="J27" s="373"/>
      <c r="K27" s="371"/>
      <c r="L27" s="371"/>
      <c r="M27" s="371"/>
      <c r="N27" s="371"/>
      <c r="O27" s="371"/>
      <c r="P27" s="371"/>
      <c r="Q27" s="371"/>
      <c r="R27" s="371"/>
      <c r="S27" s="371"/>
      <c r="T27" s="371"/>
      <c r="U27" s="371"/>
      <c r="V27" s="371"/>
      <c r="W27" s="371"/>
      <c r="X27" s="371"/>
      <c r="Y27" s="371"/>
      <c r="Z27" s="371"/>
      <c r="AA27" s="371"/>
      <c r="AB27" s="371"/>
      <c r="AC27" s="371"/>
      <c r="AD27" s="371"/>
      <c r="AE27" s="371"/>
    </row>
    <row r="28" spans="1:31">
      <c r="A28" s="371"/>
      <c r="B28" s="371"/>
      <c r="C28" s="371"/>
      <c r="D28" s="371"/>
      <c r="E28" s="371"/>
      <c r="F28" s="371"/>
      <c r="G28" s="371"/>
      <c r="H28" s="371"/>
      <c r="I28" s="371"/>
      <c r="J28" s="373"/>
      <c r="K28" s="371"/>
      <c r="L28" s="371"/>
      <c r="M28" s="371"/>
      <c r="N28" s="371"/>
      <c r="O28" s="371"/>
      <c r="P28" s="371"/>
      <c r="Q28" s="371"/>
      <c r="R28" s="371"/>
      <c r="S28" s="371"/>
      <c r="T28" s="371"/>
      <c r="U28" s="371"/>
      <c r="V28" s="371"/>
      <c r="W28" s="371"/>
      <c r="X28" s="371"/>
      <c r="Y28" s="371"/>
      <c r="Z28" s="371"/>
      <c r="AA28" s="371"/>
      <c r="AB28" s="371"/>
      <c r="AC28" s="371"/>
      <c r="AD28" s="371"/>
      <c r="AE28" s="371"/>
    </row>
    <row r="29" spans="1:31">
      <c r="A29" s="371"/>
      <c r="B29" s="371"/>
      <c r="C29" s="371"/>
      <c r="D29" s="371"/>
      <c r="E29" s="371"/>
      <c r="F29" s="371"/>
      <c r="G29" s="371"/>
      <c r="H29" s="371"/>
      <c r="I29" s="371"/>
      <c r="J29" s="371"/>
      <c r="K29" s="371"/>
      <c r="L29" s="371"/>
      <c r="M29" s="371"/>
      <c r="N29" s="371"/>
      <c r="O29" s="371"/>
      <c r="P29" s="371"/>
      <c r="Q29" s="371"/>
      <c r="R29" s="371"/>
      <c r="S29" s="371"/>
      <c r="T29" s="371"/>
      <c r="U29" s="371"/>
      <c r="V29" s="371"/>
      <c r="W29" s="371"/>
      <c r="X29" s="371"/>
      <c r="Y29" s="371"/>
      <c r="Z29" s="371"/>
      <c r="AA29" s="371"/>
      <c r="AB29" s="371"/>
      <c r="AC29" s="371"/>
      <c r="AD29" s="371"/>
      <c r="AE29" s="371"/>
    </row>
    <row r="30" spans="1:31">
      <c r="A30" s="371"/>
      <c r="B30" s="371"/>
      <c r="C30" s="371"/>
      <c r="D30" s="371"/>
      <c r="E30" s="371"/>
      <c r="F30" s="371"/>
      <c r="G30" s="371"/>
      <c r="H30" s="371"/>
      <c r="I30" s="371"/>
      <c r="J30" s="371"/>
      <c r="K30" s="371"/>
      <c r="L30" s="371"/>
      <c r="M30" s="371"/>
      <c r="N30" s="371"/>
      <c r="O30" s="371"/>
      <c r="P30" s="371"/>
      <c r="Q30" s="371"/>
      <c r="R30" s="371"/>
      <c r="S30" s="371"/>
      <c r="T30" s="371"/>
      <c r="U30" s="371"/>
      <c r="V30" s="371"/>
      <c r="W30" s="371"/>
      <c r="X30" s="371"/>
      <c r="Y30" s="371"/>
      <c r="Z30" s="371"/>
      <c r="AA30" s="371"/>
      <c r="AB30" s="371"/>
      <c r="AC30" s="371"/>
      <c r="AD30" s="371"/>
      <c r="AE30" s="371"/>
    </row>
    <row r="31" spans="1:31">
      <c r="A31" s="371"/>
      <c r="B31" s="371"/>
      <c r="C31" s="371"/>
      <c r="D31" s="371"/>
      <c r="E31" s="371"/>
      <c r="F31" s="371"/>
      <c r="G31" s="371"/>
      <c r="H31" s="371"/>
      <c r="I31" s="371"/>
      <c r="J31" s="371"/>
      <c r="K31" s="371"/>
      <c r="L31" s="371"/>
      <c r="M31" s="371"/>
      <c r="N31" s="371"/>
      <c r="O31" s="371"/>
      <c r="P31" s="371"/>
      <c r="Q31" s="371"/>
      <c r="R31" s="371"/>
      <c r="S31" s="371"/>
      <c r="T31" s="371"/>
      <c r="U31" s="371"/>
      <c r="V31" s="371"/>
      <c r="W31" s="371"/>
      <c r="X31" s="371"/>
      <c r="Y31" s="371"/>
      <c r="Z31" s="371"/>
      <c r="AA31" s="371"/>
      <c r="AB31" s="371"/>
      <c r="AC31" s="371"/>
      <c r="AD31" s="371"/>
      <c r="AE31" s="371"/>
    </row>
    <row r="32" spans="1:31">
      <c r="A32" s="371"/>
      <c r="B32" s="371"/>
      <c r="C32" s="371"/>
      <c r="D32" s="371"/>
      <c r="E32" s="371"/>
      <c r="F32" s="371"/>
      <c r="G32" s="371"/>
      <c r="H32" s="371"/>
      <c r="I32" s="371"/>
      <c r="J32" s="371"/>
      <c r="K32" s="371"/>
      <c r="L32" s="371"/>
      <c r="M32" s="371"/>
      <c r="N32" s="371"/>
      <c r="O32" s="371"/>
      <c r="P32" s="371"/>
      <c r="Q32" s="371"/>
      <c r="R32" s="371"/>
      <c r="S32" s="371"/>
      <c r="T32" s="371"/>
      <c r="U32" s="371"/>
      <c r="V32" s="371"/>
      <c r="W32" s="371"/>
      <c r="X32" s="371"/>
      <c r="Y32" s="371"/>
      <c r="Z32" s="371"/>
      <c r="AA32" s="371"/>
      <c r="AB32" s="371"/>
      <c r="AC32" s="371"/>
      <c r="AD32" s="371"/>
      <c r="AE32" s="371"/>
    </row>
    <row r="33" spans="1:31">
      <c r="A33" s="371"/>
      <c r="B33" s="371"/>
      <c r="C33" s="371"/>
      <c r="D33" s="371"/>
      <c r="E33" s="371"/>
      <c r="F33" s="371"/>
      <c r="G33" s="371"/>
      <c r="H33" s="371"/>
      <c r="I33" s="371"/>
      <c r="J33" s="371"/>
      <c r="K33" s="371"/>
      <c r="L33" s="371"/>
      <c r="M33" s="371"/>
      <c r="N33" s="371"/>
      <c r="O33" s="371"/>
      <c r="P33" s="371"/>
      <c r="Q33" s="371"/>
      <c r="R33" s="371"/>
      <c r="S33" s="371"/>
      <c r="T33" s="371"/>
      <c r="U33" s="371"/>
      <c r="V33" s="371"/>
      <c r="W33" s="371"/>
      <c r="X33" s="371"/>
      <c r="Y33" s="371"/>
      <c r="Z33" s="371"/>
      <c r="AA33" s="371"/>
      <c r="AB33" s="371"/>
      <c r="AC33" s="371"/>
      <c r="AD33" s="371"/>
      <c r="AE33" s="371"/>
    </row>
    <row r="34" spans="1:31">
      <c r="A34" s="371"/>
      <c r="B34" s="371"/>
      <c r="C34" s="371"/>
      <c r="D34" s="371"/>
      <c r="E34" s="371"/>
      <c r="F34" s="371"/>
      <c r="G34" s="371"/>
      <c r="H34" s="371"/>
      <c r="I34" s="371"/>
      <c r="J34" s="371"/>
      <c r="K34" s="371"/>
      <c r="L34" s="371"/>
      <c r="M34" s="371"/>
      <c r="N34" s="371"/>
      <c r="O34" s="371"/>
      <c r="P34" s="371"/>
      <c r="Q34" s="371"/>
      <c r="R34" s="371"/>
      <c r="S34" s="371"/>
      <c r="T34" s="371"/>
      <c r="U34" s="371"/>
      <c r="V34" s="371"/>
      <c r="W34" s="371"/>
      <c r="X34" s="371"/>
      <c r="Y34" s="371"/>
      <c r="Z34" s="371"/>
      <c r="AA34" s="371"/>
      <c r="AB34" s="371"/>
      <c r="AC34" s="371"/>
      <c r="AD34" s="371"/>
      <c r="AE34" s="371"/>
    </row>
    <row r="35" spans="1:31">
      <c r="A35" s="371"/>
      <c r="B35" s="371"/>
      <c r="C35" s="371"/>
      <c r="D35" s="371"/>
      <c r="E35" s="371"/>
      <c r="F35" s="371"/>
      <c r="G35" s="371"/>
      <c r="H35" s="371"/>
      <c r="I35" s="371"/>
      <c r="J35" s="371"/>
      <c r="K35" s="371"/>
      <c r="L35" s="371"/>
      <c r="M35" s="371"/>
      <c r="N35" s="371"/>
      <c r="O35" s="371"/>
      <c r="P35" s="371"/>
      <c r="Q35" s="371"/>
      <c r="R35" s="371"/>
      <c r="S35" s="371"/>
      <c r="T35" s="371"/>
      <c r="U35" s="371"/>
      <c r="V35" s="371"/>
      <c r="W35" s="371"/>
      <c r="X35" s="371"/>
      <c r="Y35" s="371"/>
      <c r="Z35" s="371"/>
      <c r="AA35" s="371"/>
      <c r="AB35" s="371"/>
      <c r="AC35" s="371"/>
      <c r="AD35" s="371"/>
      <c r="AE35" s="371"/>
    </row>
    <row r="36" spans="1:31">
      <c r="A36" s="371"/>
      <c r="B36" s="371"/>
      <c r="C36" s="371"/>
      <c r="D36" s="371"/>
      <c r="E36" s="371"/>
      <c r="F36" s="371"/>
      <c r="G36" s="371"/>
      <c r="H36" s="371"/>
      <c r="I36" s="371"/>
      <c r="J36" s="371"/>
      <c r="K36" s="371"/>
      <c r="L36" s="371"/>
      <c r="M36" s="371"/>
      <c r="N36" s="371"/>
      <c r="O36" s="371"/>
      <c r="P36" s="371"/>
      <c r="Q36" s="371"/>
      <c r="R36" s="371"/>
      <c r="S36" s="371"/>
      <c r="T36" s="371"/>
      <c r="U36" s="371"/>
      <c r="V36" s="371"/>
      <c r="W36" s="371"/>
      <c r="X36" s="371"/>
      <c r="Y36" s="371"/>
      <c r="Z36" s="371"/>
      <c r="AA36" s="371"/>
      <c r="AB36" s="371"/>
      <c r="AC36" s="371"/>
      <c r="AD36" s="371"/>
      <c r="AE36" s="371"/>
    </row>
    <row r="37" spans="1:31">
      <c r="A37" s="371"/>
      <c r="B37" s="371"/>
      <c r="C37" s="371"/>
      <c r="D37" s="371"/>
      <c r="E37" s="371"/>
      <c r="F37" s="371"/>
      <c r="G37" s="371"/>
      <c r="H37" s="371"/>
      <c r="I37" s="371"/>
      <c r="J37" s="371"/>
      <c r="K37" s="371"/>
      <c r="L37" s="371"/>
      <c r="M37" s="371"/>
      <c r="N37" s="371"/>
      <c r="O37" s="371"/>
      <c r="P37" s="371"/>
      <c r="Q37" s="371"/>
      <c r="R37" s="371"/>
      <c r="S37" s="371"/>
      <c r="T37" s="371"/>
      <c r="U37" s="371"/>
      <c r="V37" s="371"/>
      <c r="W37" s="371"/>
      <c r="X37" s="371"/>
      <c r="Y37" s="371"/>
      <c r="Z37" s="371"/>
      <c r="AA37" s="371"/>
      <c r="AB37" s="371"/>
      <c r="AC37" s="371"/>
      <c r="AD37" s="371"/>
      <c r="AE37" s="371"/>
    </row>
    <row r="38" spans="1:31">
      <c r="A38" s="371"/>
      <c r="B38" s="371"/>
      <c r="C38" s="371"/>
      <c r="D38" s="371"/>
      <c r="E38" s="371"/>
      <c r="F38" s="371"/>
      <c r="G38" s="371"/>
      <c r="H38" s="371"/>
      <c r="I38" s="371"/>
      <c r="J38" s="371"/>
      <c r="K38" s="371"/>
      <c r="L38" s="371"/>
      <c r="M38" s="371"/>
      <c r="N38" s="371"/>
      <c r="O38" s="371"/>
      <c r="P38" s="371"/>
      <c r="Q38" s="371"/>
      <c r="R38" s="371"/>
      <c r="S38" s="371"/>
      <c r="T38" s="371"/>
      <c r="U38" s="371"/>
      <c r="V38" s="371"/>
      <c r="W38" s="371"/>
      <c r="X38" s="371"/>
      <c r="Y38" s="371"/>
      <c r="Z38" s="371"/>
      <c r="AA38" s="371"/>
      <c r="AB38" s="371"/>
      <c r="AC38" s="371"/>
      <c r="AD38" s="371"/>
      <c r="AE38" s="371"/>
    </row>
    <row r="39" spans="1:31">
      <c r="A39" s="371"/>
      <c r="B39" s="371"/>
      <c r="C39" s="371"/>
      <c r="D39" s="371"/>
      <c r="E39" s="371"/>
      <c r="F39" s="371"/>
      <c r="G39" s="371"/>
      <c r="H39" s="371"/>
      <c r="I39" s="371"/>
      <c r="J39" s="371"/>
      <c r="K39" s="371"/>
      <c r="L39" s="371"/>
      <c r="M39" s="371"/>
      <c r="N39" s="371"/>
      <c r="O39" s="371"/>
      <c r="P39" s="371"/>
      <c r="Q39" s="371"/>
      <c r="R39" s="371"/>
      <c r="S39" s="371"/>
      <c r="T39" s="371"/>
      <c r="U39" s="371"/>
      <c r="V39" s="371"/>
      <c r="W39" s="371"/>
      <c r="X39" s="371"/>
      <c r="Y39" s="371"/>
      <c r="Z39" s="371"/>
      <c r="AA39" s="371"/>
      <c r="AB39" s="371"/>
      <c r="AC39" s="371"/>
      <c r="AD39" s="371"/>
      <c r="AE39" s="371"/>
    </row>
    <row r="40" spans="1:31">
      <c r="A40" s="371"/>
      <c r="B40" s="371"/>
      <c r="C40" s="371"/>
      <c r="D40" s="371"/>
      <c r="E40" s="371"/>
      <c r="F40" s="371"/>
      <c r="G40" s="371"/>
      <c r="H40" s="371"/>
      <c r="I40" s="371"/>
      <c r="J40" s="371"/>
      <c r="K40" s="371"/>
      <c r="L40" s="371"/>
      <c r="M40" s="371"/>
      <c r="N40" s="371"/>
      <c r="O40" s="371"/>
      <c r="P40" s="371"/>
      <c r="Q40" s="371"/>
      <c r="R40" s="371"/>
      <c r="S40" s="371"/>
      <c r="T40" s="371"/>
      <c r="U40" s="371"/>
      <c r="V40" s="371"/>
      <c r="W40" s="371"/>
      <c r="X40" s="371"/>
      <c r="Y40" s="371"/>
      <c r="Z40" s="371"/>
      <c r="AA40" s="371"/>
      <c r="AB40" s="371"/>
      <c r="AC40" s="371"/>
      <c r="AD40" s="371"/>
      <c r="AE40" s="371"/>
    </row>
    <row r="41" spans="1:31">
      <c r="A41" s="371"/>
      <c r="B41" s="371"/>
      <c r="C41" s="371"/>
      <c r="D41" s="371"/>
      <c r="E41" s="685">
        <f ca="1">TODAY()</f>
        <v>46185</v>
      </c>
      <c r="F41" s="371"/>
      <c r="G41" s="371"/>
      <c r="H41" s="371"/>
      <c r="I41" s="371"/>
      <c r="J41" s="371"/>
      <c r="K41" s="371"/>
      <c r="L41" s="371"/>
      <c r="M41" s="371"/>
      <c r="N41" s="371"/>
      <c r="O41" s="371"/>
      <c r="P41" s="371"/>
      <c r="Q41" s="371"/>
      <c r="R41" s="371"/>
      <c r="S41" s="371"/>
      <c r="T41" s="371"/>
      <c r="U41" s="371"/>
      <c r="V41" s="371"/>
      <c r="W41" s="371"/>
      <c r="X41" s="371"/>
      <c r="Y41" s="371"/>
      <c r="Z41" s="371"/>
      <c r="AA41" s="371"/>
      <c r="AB41" s="371"/>
      <c r="AC41" s="371"/>
      <c r="AD41" s="371"/>
      <c r="AE41" s="371"/>
    </row>
    <row r="42" spans="1:31">
      <c r="A42" s="371"/>
      <c r="B42" s="371"/>
      <c r="C42" s="371"/>
      <c r="D42" s="371"/>
      <c r="E42" s="685">
        <f ca="1">INT(Horarios!C4)</f>
        <v>46184</v>
      </c>
      <c r="F42" s="432"/>
      <c r="G42" s="371"/>
      <c r="H42" s="371"/>
      <c r="I42" s="371"/>
      <c r="J42" s="371"/>
      <c r="K42" s="371"/>
      <c r="L42" s="371"/>
      <c r="M42" s="371"/>
      <c r="N42" s="371"/>
      <c r="O42" s="371"/>
      <c r="P42" s="371"/>
      <c r="Q42" s="371"/>
      <c r="R42" s="371"/>
      <c r="S42" s="371"/>
      <c r="T42" s="371"/>
      <c r="U42" s="371"/>
      <c r="V42" s="371"/>
      <c r="W42" s="371"/>
      <c r="X42" s="371"/>
      <c r="Y42" s="371"/>
      <c r="Z42" s="371"/>
      <c r="AA42" s="371"/>
      <c r="AB42" s="371"/>
      <c r="AC42" s="371"/>
      <c r="AD42" s="371"/>
      <c r="AE42" s="371"/>
    </row>
    <row r="43" spans="1:31">
      <c r="A43" s="371"/>
      <c r="B43" s="371"/>
      <c r="C43" s="371"/>
      <c r="D43" s="371"/>
      <c r="E43" s="685">
        <f ca="1">INT(Horarios!C147)</f>
        <v>46222</v>
      </c>
      <c r="F43" s="432"/>
      <c r="G43" s="371"/>
      <c r="H43" s="371"/>
      <c r="I43" s="371"/>
      <c r="J43" s="371"/>
      <c r="K43" s="371"/>
      <c r="L43" s="371"/>
      <c r="M43" s="371"/>
      <c r="N43" s="371"/>
      <c r="O43" s="371"/>
      <c r="P43" s="371"/>
      <c r="Q43" s="371"/>
      <c r="R43" s="371"/>
      <c r="S43" s="371"/>
      <c r="T43" s="371"/>
      <c r="U43" s="371"/>
      <c r="V43" s="371"/>
      <c r="W43" s="371"/>
      <c r="X43" s="371"/>
      <c r="Y43" s="371"/>
      <c r="Z43" s="371"/>
      <c r="AA43" s="371"/>
      <c r="AB43" s="371"/>
      <c r="AC43" s="371"/>
      <c r="AD43" s="371"/>
      <c r="AE43" s="371"/>
    </row>
    <row r="44" spans="1:31">
      <c r="A44" s="371"/>
      <c r="B44" s="371"/>
      <c r="C44" s="371"/>
      <c r="D44" s="371"/>
      <c r="E44" s="371"/>
      <c r="F44" s="371"/>
      <c r="G44" s="371"/>
      <c r="H44" s="371"/>
      <c r="I44" s="371"/>
      <c r="J44" s="371"/>
      <c r="K44" s="371"/>
      <c r="L44" s="371"/>
      <c r="M44" s="371"/>
      <c r="N44" s="371"/>
      <c r="O44" s="371"/>
      <c r="P44" s="371"/>
      <c r="Q44" s="371"/>
      <c r="R44" s="371"/>
      <c r="S44" s="371"/>
      <c r="T44" s="371"/>
      <c r="U44" s="371"/>
      <c r="V44" s="371"/>
      <c r="W44" s="371"/>
      <c r="X44" s="371"/>
      <c r="Y44" s="371"/>
      <c r="Z44" s="371"/>
      <c r="AA44" s="371"/>
      <c r="AB44" s="371"/>
      <c r="AC44" s="371"/>
      <c r="AD44" s="371"/>
      <c r="AE44" s="371"/>
    </row>
    <row r="45" spans="1:31">
      <c r="A45" s="371"/>
      <c r="B45" s="371"/>
      <c r="C45" s="371"/>
      <c r="D45" s="371"/>
      <c r="E45" s="371"/>
      <c r="F45" s="371"/>
      <c r="G45" s="371"/>
      <c r="H45" s="371"/>
      <c r="I45" s="371"/>
      <c r="J45" s="371"/>
      <c r="K45" s="371"/>
      <c r="L45" s="371"/>
      <c r="M45" s="371"/>
      <c r="N45" s="371"/>
      <c r="O45" s="371"/>
      <c r="P45" s="371"/>
      <c r="Q45" s="371"/>
      <c r="R45" s="371"/>
      <c r="S45" s="371"/>
      <c r="T45" s="371"/>
      <c r="U45" s="371"/>
      <c r="V45" s="371"/>
      <c r="W45" s="371"/>
      <c r="X45" s="371"/>
      <c r="Y45" s="371"/>
      <c r="Z45" s="371"/>
      <c r="AA45" s="371"/>
      <c r="AB45" s="371"/>
      <c r="AC45" s="371"/>
      <c r="AD45" s="371"/>
      <c r="AE45" s="371"/>
    </row>
    <row r="46" spans="1:31">
      <c r="A46" s="371"/>
      <c r="B46" s="371"/>
      <c r="C46" s="371"/>
      <c r="D46" s="371"/>
      <c r="E46" s="371"/>
      <c r="F46" s="371"/>
      <c r="G46" s="371"/>
      <c r="H46" s="371"/>
      <c r="I46" s="371"/>
      <c r="J46" s="371"/>
      <c r="K46" s="371"/>
      <c r="L46" s="371"/>
      <c r="M46" s="371"/>
      <c r="N46" s="371"/>
      <c r="O46" s="371"/>
      <c r="P46" s="371"/>
      <c r="Q46" s="371"/>
      <c r="R46" s="371"/>
      <c r="S46" s="371"/>
      <c r="T46" s="371"/>
      <c r="U46" s="371"/>
      <c r="V46" s="371"/>
      <c r="W46" s="371"/>
      <c r="X46" s="371"/>
      <c r="Y46" s="371"/>
      <c r="Z46" s="371"/>
      <c r="AA46" s="371"/>
      <c r="AB46" s="371"/>
      <c r="AC46" s="371"/>
      <c r="AD46" s="371"/>
      <c r="AE46" s="371"/>
    </row>
    <row r="47" spans="1:31">
      <c r="A47" s="371"/>
      <c r="B47" s="371"/>
      <c r="C47" s="371"/>
      <c r="D47" s="371"/>
      <c r="E47" s="371"/>
      <c r="F47" s="371"/>
      <c r="G47" s="371"/>
      <c r="H47" s="371"/>
      <c r="I47" s="371"/>
      <c r="J47" s="371"/>
      <c r="K47" s="371"/>
      <c r="L47" s="371"/>
      <c r="M47" s="371"/>
      <c r="N47" s="371"/>
      <c r="O47" s="371"/>
      <c r="P47" s="371"/>
      <c r="Q47" s="371"/>
      <c r="R47" s="371"/>
      <c r="S47" s="371"/>
      <c r="T47" s="371"/>
      <c r="U47" s="371"/>
      <c r="V47" s="371"/>
      <c r="W47" s="371"/>
      <c r="X47" s="371"/>
      <c r="Y47" s="371"/>
      <c r="Z47" s="371"/>
      <c r="AA47" s="371"/>
      <c r="AB47" s="371"/>
      <c r="AC47" s="371"/>
      <c r="AD47" s="371"/>
      <c r="AE47" s="371"/>
    </row>
    <row r="48" spans="1:31">
      <c r="A48" s="371"/>
      <c r="B48" s="371"/>
      <c r="C48" s="371"/>
      <c r="D48" s="371"/>
      <c r="E48" s="371"/>
      <c r="F48" s="371"/>
      <c r="G48" s="371"/>
      <c r="H48" s="371"/>
      <c r="I48" s="371"/>
      <c r="J48" s="371"/>
      <c r="K48" s="371"/>
      <c r="L48" s="371"/>
      <c r="M48" s="371"/>
      <c r="N48" s="371"/>
      <c r="O48" s="371"/>
      <c r="P48" s="371"/>
      <c r="Q48" s="371"/>
      <c r="R48" s="371"/>
      <c r="S48" s="371"/>
      <c r="T48" s="371"/>
      <c r="U48" s="371"/>
      <c r="V48" s="371"/>
      <c r="W48" s="371"/>
      <c r="X48" s="371"/>
      <c r="Y48" s="371"/>
      <c r="Z48" s="371"/>
      <c r="AA48" s="371"/>
      <c r="AB48" s="371"/>
      <c r="AC48" s="371"/>
      <c r="AD48" s="371"/>
      <c r="AE48" s="371"/>
    </row>
    <row r="49" spans="1:31">
      <c r="A49" s="371"/>
      <c r="B49" s="371"/>
      <c r="C49" s="371"/>
      <c r="D49" s="371"/>
      <c r="E49" s="371"/>
      <c r="F49" s="371"/>
      <c r="G49" s="371"/>
      <c r="H49" s="371"/>
      <c r="I49" s="371"/>
      <c r="J49" s="371"/>
      <c r="K49" s="371"/>
      <c r="L49" s="371"/>
      <c r="M49" s="371"/>
      <c r="N49" s="371"/>
      <c r="O49" s="371"/>
      <c r="P49" s="371"/>
      <c r="Q49" s="371"/>
      <c r="R49" s="371"/>
      <c r="S49" s="371"/>
      <c r="T49" s="371"/>
      <c r="U49" s="371"/>
      <c r="V49" s="371"/>
      <c r="W49" s="371"/>
      <c r="X49" s="371"/>
      <c r="Y49" s="371"/>
      <c r="Z49" s="371"/>
      <c r="AA49" s="371"/>
      <c r="AB49" s="371"/>
      <c r="AC49" s="371"/>
      <c r="AD49" s="371"/>
      <c r="AE49" s="371"/>
    </row>
    <row r="50" spans="1:31">
      <c r="A50" s="371"/>
      <c r="B50" s="371"/>
      <c r="C50" s="371"/>
      <c r="D50" s="371"/>
      <c r="E50" s="371"/>
      <c r="F50" s="371"/>
      <c r="G50" s="371"/>
      <c r="H50" s="371"/>
      <c r="I50" s="371"/>
      <c r="J50" s="371"/>
      <c r="K50" s="371"/>
      <c r="L50" s="371"/>
      <c r="M50" s="371"/>
      <c r="N50" s="371"/>
      <c r="O50" s="371"/>
      <c r="P50" s="371"/>
      <c r="Q50" s="371"/>
      <c r="R50" s="371"/>
      <c r="S50" s="371"/>
      <c r="T50" s="371"/>
      <c r="U50" s="371"/>
      <c r="V50" s="371"/>
      <c r="W50" s="371"/>
      <c r="X50" s="371"/>
      <c r="Y50" s="371"/>
      <c r="Z50" s="371"/>
      <c r="AA50" s="371"/>
      <c r="AB50" s="371"/>
      <c r="AC50" s="371"/>
      <c r="AD50" s="371"/>
      <c r="AE50" s="371"/>
    </row>
  </sheetData>
  <mergeCells count="4">
    <mergeCell ref="E17:I17"/>
    <mergeCell ref="E16:I16"/>
    <mergeCell ref="B3:L3"/>
    <mergeCell ref="B24:C24"/>
  </mergeCells>
  <hyperlinks>
    <hyperlink ref="K10" location="Credits!L1" display="Help"/>
    <hyperlink ref="K8" location="WORLDCUP!AC4" display="WORLDCUP!AC4"/>
    <hyperlink ref="K6" location="ADMIN!D5" display="Admin"/>
  </hyperlink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14:formula1>
            <xm:f>Idiomas!$A$2:$A$3</xm:f>
          </x14:formula1>
          <xm:sqref>C6</xm:sqref>
        </x14:dataValidation>
        <x14:dataValidation type="list" allowBlank="1" showInputMessage="1" showErrorMessage="1">
          <x14:formula1>
            <xm:f>Horarios!$Q$3:$Q$86</xm:f>
          </x14:formula1>
          <xm:sqref>C8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DW192"/>
  <sheetViews>
    <sheetView tabSelected="1" topLeftCell="V1" zoomScaleNormal="100" workbookViewId="0">
      <selection activeCell="AC14" sqref="AC14"/>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7109375" bestFit="1"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17" customWidth="1"/>
    <col min="35" max="35" width="3.28515625" style="17"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19" customWidth="1"/>
    <col min="48" max="48" width="18.42578125" style="20"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c r="A1" s="716"/>
      <c r="B1" s="716"/>
      <c r="C1" s="716"/>
      <c r="D1" s="716"/>
      <c r="E1" s="716"/>
      <c r="F1" s="716"/>
      <c r="G1" s="716"/>
      <c r="H1" s="716"/>
      <c r="I1" s="716"/>
      <c r="J1" s="716"/>
      <c r="K1" s="716"/>
      <c r="L1" s="716"/>
      <c r="M1" s="716"/>
      <c r="N1" s="716"/>
      <c r="O1" s="716"/>
      <c r="P1" s="716"/>
      <c r="Q1" s="716"/>
      <c r="R1" s="716"/>
      <c r="S1" s="716"/>
      <c r="T1" s="716"/>
      <c r="U1" s="716"/>
      <c r="V1" s="160"/>
      <c r="W1" s="818" t="str">
        <f>Idiomas!D8</f>
        <v>XXIII Mundial USA/MEX/CAN 2026</v>
      </c>
      <c r="X1" s="818"/>
      <c r="Y1" s="818"/>
      <c r="Z1" s="818"/>
      <c r="AA1" s="818"/>
      <c r="AB1" s="818"/>
      <c r="AC1" s="818"/>
      <c r="AD1" s="818"/>
      <c r="AE1" s="818"/>
      <c r="AF1" s="818"/>
      <c r="AG1" s="12"/>
      <c r="AH1" s="161"/>
      <c r="AI1" s="161"/>
      <c r="AJ1" s="12"/>
      <c r="AK1" s="12"/>
      <c r="AL1" s="12"/>
      <c r="AM1" s="12"/>
      <c r="AN1" s="12"/>
      <c r="AO1" s="12"/>
      <c r="AP1" s="12"/>
      <c r="AQ1" s="12"/>
      <c r="AR1" s="12"/>
      <c r="AS1" s="12"/>
      <c r="AT1" s="12"/>
      <c r="AU1" s="161"/>
      <c r="AV1" s="12"/>
      <c r="AW1" s="12"/>
      <c r="AX1" s="12"/>
      <c r="AY1" s="12"/>
      <c r="AZ1" s="12"/>
      <c r="BA1" s="12"/>
      <c r="BB1" s="720"/>
      <c r="BC1" s="720"/>
      <c r="BD1" s="720"/>
      <c r="BE1" s="720"/>
      <c r="BF1" s="720"/>
      <c r="BG1" s="720"/>
      <c r="BH1" s="720"/>
      <c r="BI1" s="720"/>
      <c r="BJ1" s="720"/>
      <c r="BK1" s="720"/>
      <c r="BL1" s="720"/>
      <c r="BM1" s="720"/>
      <c r="BN1" s="720"/>
      <c r="BO1" s="720"/>
      <c r="BP1" s="720"/>
      <c r="BQ1" s="720"/>
      <c r="BR1" s="720"/>
      <c r="BS1" s="720"/>
      <c r="BT1" s="720"/>
      <c r="BU1" s="720"/>
      <c r="BV1" s="720"/>
      <c r="BW1" s="720"/>
      <c r="BX1" s="720"/>
      <c r="BY1" s="720"/>
      <c r="BZ1" s="720"/>
      <c r="CA1" s="720"/>
      <c r="CB1" s="720"/>
      <c r="CC1" s="720"/>
      <c r="CD1" s="720"/>
      <c r="CE1" s="720"/>
      <c r="CF1" s="720"/>
      <c r="CG1" s="720"/>
      <c r="CH1" s="720"/>
      <c r="CI1" s="720"/>
      <c r="CJ1" s="720"/>
      <c r="CK1" s="720"/>
      <c r="CL1" s="720"/>
      <c r="CM1" s="720"/>
      <c r="CN1" s="720"/>
      <c r="CO1" s="720"/>
      <c r="CP1" s="720"/>
      <c r="CQ1" s="720"/>
      <c r="CR1" s="720"/>
      <c r="CS1" s="720"/>
      <c r="CT1" s="720"/>
      <c r="CU1" s="720"/>
      <c r="CV1" s="720"/>
      <c r="CW1" s="720"/>
      <c r="CX1" s="720"/>
      <c r="CY1" s="720"/>
      <c r="CZ1" s="720"/>
      <c r="DA1" s="720"/>
      <c r="DB1" s="720"/>
      <c r="DC1" s="720"/>
      <c r="DD1" s="720"/>
      <c r="DE1" s="720"/>
      <c r="DF1" s="720"/>
      <c r="DG1" s="720"/>
      <c r="DH1" s="720"/>
      <c r="DI1" s="720"/>
      <c r="DJ1" s="720"/>
      <c r="DK1" s="720"/>
      <c r="DL1" s="720"/>
      <c r="DM1" s="720"/>
      <c r="DN1" s="720" t="s">
        <v>1339</v>
      </c>
      <c r="DO1" s="720"/>
      <c r="DP1" s="720"/>
      <c r="DQ1" s="720"/>
      <c r="DR1" s="720"/>
      <c r="DS1" s="720"/>
      <c r="DT1" s="720"/>
      <c r="DU1" s="720"/>
      <c r="DV1" s="720"/>
      <c r="DW1" s="689"/>
    </row>
    <row r="2" spans="1:127" ht="9.9499999999999993" customHeight="1" thickBot="1">
      <c r="A2" s="716"/>
      <c r="B2" s="716"/>
      <c r="C2" s="716"/>
      <c r="D2" s="716"/>
      <c r="E2" s="716"/>
      <c r="F2" s="716"/>
      <c r="G2" s="716"/>
      <c r="H2" s="716"/>
      <c r="I2" s="716"/>
      <c r="J2" s="716"/>
      <c r="K2" s="716"/>
      <c r="L2" s="716"/>
      <c r="M2" s="716"/>
      <c r="N2" s="716"/>
      <c r="O2" s="716"/>
      <c r="P2" s="716"/>
      <c r="Q2" s="716"/>
      <c r="R2" s="716"/>
      <c r="S2" s="716"/>
      <c r="T2" s="716"/>
      <c r="U2" s="716"/>
      <c r="V2" s="162"/>
      <c r="W2" s="163"/>
      <c r="X2" s="163"/>
      <c r="Y2" s="12"/>
      <c r="Z2" s="163"/>
      <c r="AA2" s="164"/>
      <c r="AB2" s="163"/>
      <c r="AC2" s="164"/>
      <c r="AD2" s="164"/>
      <c r="AE2" s="164"/>
      <c r="AF2" s="164"/>
      <c r="AG2" s="165"/>
      <c r="AH2" s="14"/>
      <c r="AI2" s="14"/>
      <c r="AJ2" s="165"/>
      <c r="AK2" s="165"/>
      <c r="AL2" s="165"/>
      <c r="AM2" s="165"/>
      <c r="AN2" s="165"/>
      <c r="AO2" s="165"/>
      <c r="AP2" s="165"/>
      <c r="AQ2" s="165"/>
      <c r="AR2" s="165"/>
      <c r="AS2" s="165"/>
      <c r="AT2" s="165"/>
      <c r="AU2" s="18"/>
      <c r="AV2" s="18"/>
      <c r="AW2" s="166"/>
      <c r="AX2" s="166"/>
      <c r="AY2" s="167"/>
      <c r="AZ2" s="168"/>
      <c r="BA2" s="165"/>
      <c r="BB2" s="721"/>
      <c r="BC2" s="721"/>
      <c r="BD2" s="721"/>
      <c r="BE2" s="721"/>
      <c r="BF2" s="721"/>
      <c r="BG2" s="721"/>
      <c r="BH2" s="721"/>
      <c r="BI2" s="721"/>
      <c r="BJ2" s="721"/>
      <c r="BK2" s="721"/>
      <c r="BL2" s="721"/>
      <c r="BM2" s="721"/>
      <c r="BN2" s="721"/>
      <c r="BO2" s="721"/>
      <c r="BP2" s="721"/>
      <c r="BQ2" s="721"/>
      <c r="BR2" s="721"/>
      <c r="BS2" s="721"/>
      <c r="BT2" s="721"/>
      <c r="BU2" s="721"/>
      <c r="BV2" s="721"/>
      <c r="BW2" s="721"/>
      <c r="BX2" s="721"/>
      <c r="BY2" s="721"/>
      <c r="BZ2" s="721"/>
      <c r="CA2" s="721"/>
      <c r="CB2" s="721"/>
      <c r="CC2" s="721"/>
      <c r="CD2" s="721"/>
      <c r="CE2" s="721"/>
      <c r="CF2" s="721"/>
      <c r="CG2" s="721"/>
      <c r="CH2" s="721"/>
      <c r="CI2" s="721"/>
      <c r="CJ2" s="721"/>
      <c r="CK2" s="721"/>
      <c r="CL2" s="721"/>
      <c r="CM2" s="721"/>
      <c r="CN2" s="721"/>
      <c r="CO2" s="721"/>
      <c r="CP2" s="721"/>
      <c r="CQ2" s="721"/>
      <c r="CR2" s="721"/>
      <c r="CS2" s="721"/>
      <c r="CT2" s="721"/>
      <c r="CU2" s="721"/>
      <c r="CV2" s="721"/>
      <c r="CW2" s="721"/>
      <c r="CX2" s="721"/>
      <c r="CY2" s="721"/>
      <c r="CZ2" s="721"/>
      <c r="DA2" s="721"/>
      <c r="DB2" s="721"/>
      <c r="DC2" s="728"/>
      <c r="DD2" s="721"/>
      <c r="DE2" s="721"/>
      <c r="DF2" s="721"/>
      <c r="DG2" s="721"/>
      <c r="DH2" s="721"/>
      <c r="DI2" s="721"/>
      <c r="DJ2" s="721"/>
      <c r="DK2" s="721"/>
      <c r="DL2" s="721"/>
      <c r="DM2" s="721"/>
      <c r="DN2" s="721"/>
      <c r="DO2" s="721"/>
      <c r="DP2" s="721"/>
      <c r="DQ2" s="721"/>
      <c r="DR2" s="721"/>
      <c r="DS2" s="721"/>
      <c r="DT2" s="721"/>
      <c r="DU2" s="721"/>
      <c r="DV2" s="721"/>
      <c r="DW2" s="8"/>
    </row>
    <row r="3" spans="1:127" ht="15.75" thickBot="1">
      <c r="A3" s="716"/>
      <c r="B3" s="716"/>
      <c r="C3" s="716"/>
      <c r="D3" s="716" t="s">
        <v>1199</v>
      </c>
      <c r="E3" s="717" t="s">
        <v>636</v>
      </c>
      <c r="F3" s="717" t="s">
        <v>637</v>
      </c>
      <c r="G3" s="716"/>
      <c r="H3" s="717" t="s">
        <v>638</v>
      </c>
      <c r="I3" s="717" t="s">
        <v>639</v>
      </c>
      <c r="J3" s="716"/>
      <c r="K3" s="717" t="s">
        <v>643</v>
      </c>
      <c r="L3" s="717" t="s">
        <v>644</v>
      </c>
      <c r="M3" s="717"/>
      <c r="N3" s="717" t="s">
        <v>1209</v>
      </c>
      <c r="O3" s="717" t="s">
        <v>1210</v>
      </c>
      <c r="P3" s="716"/>
      <c r="Q3" s="717" t="s">
        <v>1211</v>
      </c>
      <c r="R3" s="717" t="s">
        <v>1212</v>
      </c>
      <c r="S3" s="716"/>
      <c r="T3" s="717" t="s">
        <v>1213</v>
      </c>
      <c r="U3" s="717" t="s">
        <v>1214</v>
      </c>
      <c r="V3" s="162"/>
      <c r="W3" s="169"/>
      <c r="X3" s="170" t="str">
        <f>Idiomas!D16</f>
        <v>Fecha</v>
      </c>
      <c r="Y3" s="170" t="str">
        <f>Idiomas!D17</f>
        <v>Hora</v>
      </c>
      <c r="Z3" s="171" t="str">
        <f>Idiomas!D18</f>
        <v>Jor.</v>
      </c>
      <c r="AA3" s="172" t="str">
        <f>Idiomas!D19</f>
        <v>Casa</v>
      </c>
      <c r="AB3" s="173"/>
      <c r="AC3" s="171" t="str">
        <f>Idiomas!D20</f>
        <v>Gol</v>
      </c>
      <c r="AD3" s="171" t="str">
        <f>Idiomas!D20</f>
        <v>Gol</v>
      </c>
      <c r="AE3" s="173"/>
      <c r="AF3" s="174" t="str">
        <f>Idiomas!D21</f>
        <v>Fuera</v>
      </c>
      <c r="AG3" s="165"/>
      <c r="AH3" s="14"/>
      <c r="AI3" s="14"/>
      <c r="AJ3" s="14" t="str">
        <f>Idiomas!D22</f>
        <v>Grupo</v>
      </c>
      <c r="AK3" s="175"/>
      <c r="AL3" s="176"/>
      <c r="AM3" s="176"/>
      <c r="AN3" s="176"/>
      <c r="AO3" s="176"/>
      <c r="AP3" s="176"/>
      <c r="AQ3" s="176"/>
      <c r="AR3" s="176"/>
      <c r="AS3" s="176"/>
      <c r="AT3" s="176"/>
      <c r="AU3" s="18"/>
      <c r="AV3" s="177" t="str">
        <f>Idiomas!D23</f>
        <v>¡EMPATE! Puedes seleccionar el orden de los empatados.</v>
      </c>
      <c r="AW3" s="178"/>
      <c r="AX3" s="178"/>
      <c r="AY3" s="408" t="str">
        <f>Idiomas!D74</f>
        <v>¿Hay equipos penalizados?</v>
      </c>
      <c r="AZ3" s="409" t="s">
        <v>1220</v>
      </c>
      <c r="BA3" s="165"/>
      <c r="BB3" s="721"/>
      <c r="BC3" s="721"/>
      <c r="BD3" s="721"/>
      <c r="BE3" s="721"/>
      <c r="BF3" s="721"/>
      <c r="BG3" s="721"/>
      <c r="BH3" s="721"/>
      <c r="BI3" s="721"/>
      <c r="BJ3" s="721"/>
      <c r="BK3" s="721"/>
      <c r="BL3" s="721"/>
      <c r="BM3" s="721"/>
      <c r="BN3" s="721"/>
      <c r="BO3" s="721"/>
      <c r="BP3" s="721"/>
      <c r="BQ3" s="721"/>
      <c r="BR3" s="721"/>
      <c r="BS3" s="721"/>
      <c r="BT3" s="721"/>
      <c r="BU3" s="721"/>
      <c r="BV3" s="721"/>
      <c r="BW3" s="721"/>
      <c r="BX3" s="721"/>
      <c r="BY3" s="721"/>
      <c r="BZ3" s="721"/>
      <c r="CA3" s="721"/>
      <c r="CB3" s="721"/>
      <c r="CC3" s="721"/>
      <c r="CD3" s="721"/>
      <c r="CE3" s="721"/>
      <c r="CF3" s="721"/>
      <c r="CG3" s="721"/>
      <c r="CH3" s="721"/>
      <c r="CI3" s="721"/>
      <c r="CJ3" s="721"/>
      <c r="CK3" s="721"/>
      <c r="CL3" s="721"/>
      <c r="CM3" s="721"/>
      <c r="CN3" s="721"/>
      <c r="CO3" s="721"/>
      <c r="CP3" s="721"/>
      <c r="CQ3" s="721"/>
      <c r="CR3" s="721"/>
      <c r="CS3" s="721"/>
      <c r="CT3" s="721"/>
      <c r="CU3" s="721"/>
      <c r="CV3" s="721"/>
      <c r="CW3" s="721"/>
      <c r="CX3" s="721"/>
      <c r="CY3" s="721"/>
      <c r="CZ3" s="721"/>
      <c r="DA3" s="721"/>
      <c r="DB3" s="721"/>
      <c r="DC3" s="721"/>
      <c r="DD3" s="721"/>
      <c r="DE3" s="721"/>
      <c r="DF3" s="721"/>
      <c r="DG3" s="721"/>
      <c r="DH3" s="721"/>
      <c r="DI3" s="721"/>
      <c r="DJ3" s="721"/>
      <c r="DK3" s="721"/>
      <c r="DL3" s="721"/>
      <c r="DM3" s="721"/>
      <c r="DN3" s="721"/>
      <c r="DO3" s="721"/>
      <c r="DP3" s="721"/>
      <c r="DQ3" s="721"/>
      <c r="DR3" s="721"/>
      <c r="DS3" s="721"/>
      <c r="DT3" s="721" t="s">
        <v>1896</v>
      </c>
      <c r="DU3" s="721"/>
      <c r="DV3" s="721"/>
      <c r="DW3" s="8"/>
    </row>
    <row r="4" spans="1:127" ht="15" customHeight="1" thickBot="1">
      <c r="A4" s="718" t="s">
        <v>30</v>
      </c>
      <c r="B4" s="719" t="s">
        <v>0</v>
      </c>
      <c r="C4" s="720">
        <f>COUNTIF(Equipos!$C$2:$C$49,WORLDCUP!B4)</f>
        <v>4</v>
      </c>
      <c r="D4" s="721" t="str">
        <f t="shared" ref="D4:D9" si="0">IF(OR(AC4="",AD4=""),"Pendiente",IF(AC4&gt;AD4,"Local",IF(AC4&lt;AD4,"Visitante","Empate")))</f>
        <v>Local</v>
      </c>
      <c r="E4" s="721" t="str">
        <f t="shared" ref="E4:E9" ca="1" si="1">IF(D4="Pendiente","-",INDEX($BT$6:$BT$53,MATCH($AA4,$BD$6:$BD$53,0)))</f>
        <v>P.1 (2)</v>
      </c>
      <c r="F4" s="721" t="str">
        <f t="shared" ref="F4:F9" ca="1" si="2">IF(D4="Pendiente","-",INDEX($BT$6:$BT$53,MATCH($AF4,$BD$6:$BD$53,0)))</f>
        <v>P.3 (2)</v>
      </c>
      <c r="G4" s="721"/>
      <c r="H4" s="721" t="str">
        <f t="shared" ref="H4:H9" ca="1" si="3">IF(D4="Pendiente","-",INDEX($BZ$6:$BZ$53,MATCH($AA4,$BD$6:$BD$53,0)))</f>
        <v>P.1 (2)</v>
      </c>
      <c r="I4" s="721" t="str">
        <f t="shared" ref="I4:I9" ca="1" si="4">IF(D4="Pendiente","-",INDEX($BZ$6:$BZ$53,MATCH($AF4,$BD$6:$BD$53,0)))</f>
        <v>P.3 (2)</v>
      </c>
      <c r="J4" s="721"/>
      <c r="K4" s="721" t="str">
        <f t="shared" ref="K4:K9" ca="1" si="5">IF(D4="Pendiente","-",INDEX($CE$6:$CE$53,MATCH($AA4,$BD$6:$BD$53,0)))</f>
        <v>P.1 (2)</v>
      </c>
      <c r="L4" s="721" t="str">
        <f t="shared" ref="L4:L9" ca="1" si="6">IF(D4="Pendiente","-",INDEX($CE$6:$CE$53,MATCH($AF4,$BD$6:$BD$53,0)))</f>
        <v>P.3 (2)</v>
      </c>
      <c r="M4" s="721"/>
      <c r="N4" s="721" t="str">
        <f t="shared" ref="N4:N9" ca="1" si="7">IF(D4="Pendiente","-",INDEX($CH$6:$CH$53,MATCH($AA4,$BD$6:$BD$53,0)))</f>
        <v>P.1 (2)</v>
      </c>
      <c r="O4" s="721" t="str">
        <f t="shared" ref="O4:O9" ca="1" si="8">IF(D4="Pendiente","-",INDEX($CH$6:$CH$53,MATCH($AF4,$BD$6:$BD$53,0)))</f>
        <v>P.3 (2)</v>
      </c>
      <c r="P4" s="721"/>
      <c r="Q4" s="721" t="str">
        <f t="shared" ref="Q4:Q9" ca="1" si="9">IF(D4="Pendiente","-",INDEX($CN$6:$CN$53,MATCH($AA4,$BD$6:$BD$53,0)))</f>
        <v>P.1 (2)</v>
      </c>
      <c r="R4" s="721" t="str">
        <f t="shared" ref="R4:R9" ca="1" si="10">IF(D4="Pendiente","-",INDEX($CN$6:$CN$53,MATCH($AF4,$BD$6:$BD$53,0)))</f>
        <v>P.3 (2)</v>
      </c>
      <c r="S4" s="721"/>
      <c r="T4" s="721" t="str">
        <f t="shared" ref="T4:T9" ca="1" si="11">IF(D4="Pendiente","-",INDEX($CS$6:$CS$53,MATCH($AA4,$BD$6:$BD$53,0)))</f>
        <v>P.1 (2)</v>
      </c>
      <c r="U4" s="721" t="str">
        <f t="shared" ref="U4:U9" ca="1" si="12">IF(D4="Pendiente","-",INDEX($CS$6:$CS$53,MATCH($AF4,$BD$6:$BD$53,0)))</f>
        <v>P.3 (2)</v>
      </c>
      <c r="V4" s="162"/>
      <c r="W4" s="814" t="s">
        <v>0</v>
      </c>
      <c r="X4" s="179">
        <f ca="1">Horarios!C4</f>
        <v>46184.875</v>
      </c>
      <c r="Y4" s="180">
        <f ca="1">Horarios!C4</f>
        <v>46184.875</v>
      </c>
      <c r="Z4" s="181" t="str">
        <f>Idiomas!D63</f>
        <v>J1</v>
      </c>
      <c r="AA4" s="182" t="str">
        <f ca="1">+A5</f>
        <v>México</v>
      </c>
      <c r="AB4" s="459" t="str" cm="1">
        <f t="array" aca="1" ref="AB4" ca="1">Ver_flag_local</f>
        <v/>
      </c>
      <c r="AC4" s="183">
        <v>2</v>
      </c>
      <c r="AD4" s="184">
        <v>0</v>
      </c>
      <c r="AE4" s="462" t="str" cm="1">
        <f t="array" aca="1" ref="AE4" ca="1">Ver_flag_visit</f>
        <v/>
      </c>
      <c r="AF4" s="185" t="str">
        <f ca="1">A6</f>
        <v>Sudáfrica</v>
      </c>
      <c r="AG4" s="396">
        <f t="shared" ref="AG4:AG9" si="13">IF(NOT(OR(ISBLANK(AC4),ISBLANK(AD4))),1,0)</f>
        <v>1</v>
      </c>
      <c r="AH4" s="186">
        <v>1</v>
      </c>
      <c r="AI4" s="15"/>
      <c r="AJ4" s="187" t="str">
        <f>CONCATENATE(AJ3," ",B4)</f>
        <v>Grupo A</v>
      </c>
      <c r="AK4" s="188"/>
      <c r="AL4" s="188"/>
      <c r="AM4" s="188"/>
      <c r="AN4" s="188"/>
      <c r="AO4" s="188"/>
      <c r="AP4" s="188"/>
      <c r="AQ4" s="188"/>
      <c r="AR4" s="188"/>
      <c r="AS4" s="188"/>
      <c r="AT4" s="189"/>
      <c r="AU4" s="18"/>
      <c r="AV4" s="190" t="str">
        <f ca="1">IF(AU5&gt;0,$AV$3,"")</f>
        <v/>
      </c>
      <c r="AW4" s="191"/>
      <c r="AX4" s="191"/>
      <c r="AY4" s="192"/>
      <c r="AZ4" s="193"/>
      <c r="BA4" s="165"/>
      <c r="BB4" s="721"/>
      <c r="BC4" s="721"/>
      <c r="BD4" s="721"/>
      <c r="BE4" s="721"/>
      <c r="BF4" s="721"/>
      <c r="BG4" s="721"/>
      <c r="BH4" s="721"/>
      <c r="BI4" s="721"/>
      <c r="BJ4" s="721"/>
      <c r="BK4" s="721"/>
      <c r="BL4" s="721"/>
      <c r="BM4" s="721"/>
      <c r="BN4" s="721"/>
      <c r="BO4" s="721"/>
      <c r="BP4" s="721"/>
      <c r="BQ4" s="721"/>
      <c r="BR4" s="721"/>
      <c r="BS4" s="721"/>
      <c r="BT4" s="721"/>
      <c r="BU4" s="721"/>
      <c r="BV4" s="721"/>
      <c r="BW4" s="721"/>
      <c r="BX4" s="721"/>
      <c r="BY4" s="721"/>
      <c r="BZ4" s="721"/>
      <c r="CA4" s="721"/>
      <c r="CB4" s="721"/>
      <c r="CC4" s="721"/>
      <c r="CD4" s="721"/>
      <c r="CE4" s="721"/>
      <c r="CF4" s="721"/>
      <c r="CG4" s="721"/>
      <c r="CH4" s="721"/>
      <c r="CI4" s="721"/>
      <c r="CJ4" s="721"/>
      <c r="CK4" s="721"/>
      <c r="CL4" s="721"/>
      <c r="CM4" s="721"/>
      <c r="CN4" s="721"/>
      <c r="CO4" s="721"/>
      <c r="CP4" s="721"/>
      <c r="CQ4" s="721"/>
      <c r="CR4" s="721"/>
      <c r="CS4" s="721"/>
      <c r="CT4" s="721"/>
      <c r="CU4" s="721"/>
      <c r="CV4" s="721"/>
      <c r="CW4" s="721"/>
      <c r="CX4" s="721"/>
      <c r="CY4" s="726"/>
      <c r="CZ4" s="721"/>
      <c r="DA4" s="721"/>
      <c r="DB4" s="721"/>
      <c r="DC4" s="721" t="s">
        <v>1331</v>
      </c>
      <c r="DD4" s="721"/>
      <c r="DE4" s="721"/>
      <c r="DF4" s="721"/>
      <c r="DG4" s="721"/>
      <c r="DH4" s="721"/>
      <c r="DI4" s="721"/>
      <c r="DJ4" s="721"/>
      <c r="DK4" s="721"/>
      <c r="DL4" s="721"/>
      <c r="DM4" s="721"/>
      <c r="DN4" s="721"/>
      <c r="DO4" s="721"/>
      <c r="DP4" s="721"/>
      <c r="DQ4" s="721"/>
      <c r="DR4" s="721"/>
      <c r="DS4" s="721"/>
      <c r="DT4" s="721" t="str">
        <f ca="1">AA4&amp;"-"&amp;AF4</f>
        <v>México-Sudáfrica</v>
      </c>
      <c r="DU4" s="721"/>
      <c r="DV4" s="721"/>
      <c r="DW4" s="8"/>
    </row>
    <row r="5" spans="1:127" ht="17.100000000000001" customHeight="1">
      <c r="A5" s="722" t="str">
        <f ca="1">+Equipos!B2</f>
        <v>México</v>
      </c>
      <c r="B5" s="719"/>
      <c r="C5" s="719"/>
      <c r="D5" s="721" t="str">
        <f t="shared" si="0"/>
        <v>Local</v>
      </c>
      <c r="E5" s="721" t="str">
        <f t="shared" ca="1" si="1"/>
        <v>P.1 (2)</v>
      </c>
      <c r="F5" s="721" t="str">
        <f t="shared" ca="1" si="2"/>
        <v>P.3 (2)</v>
      </c>
      <c r="G5" s="721"/>
      <c r="H5" s="721" t="str">
        <f t="shared" ca="1" si="3"/>
        <v>P.1 (2)</v>
      </c>
      <c r="I5" s="721" t="str">
        <f t="shared" ca="1" si="4"/>
        <v>P.3 (2)</v>
      </c>
      <c r="J5" s="721"/>
      <c r="K5" s="721" t="str">
        <f t="shared" ca="1" si="5"/>
        <v>P.1 (2)</v>
      </c>
      <c r="L5" s="721" t="str">
        <f t="shared" ca="1" si="6"/>
        <v>P.3 (2)</v>
      </c>
      <c r="M5" s="721"/>
      <c r="N5" s="721" t="str">
        <f t="shared" ca="1" si="7"/>
        <v>P.1 (2)</v>
      </c>
      <c r="O5" s="721" t="str">
        <f t="shared" ca="1" si="8"/>
        <v>P.3 (2)</v>
      </c>
      <c r="P5" s="721"/>
      <c r="Q5" s="721" t="str">
        <f t="shared" ca="1" si="9"/>
        <v>P.1 (2)</v>
      </c>
      <c r="R5" s="721" t="str">
        <f t="shared" ca="1" si="10"/>
        <v>P.3 (2)</v>
      </c>
      <c r="S5" s="721"/>
      <c r="T5" s="721" t="str">
        <f t="shared" ca="1" si="11"/>
        <v>P.1 (2)</v>
      </c>
      <c r="U5" s="721" t="str">
        <f t="shared" ca="1" si="12"/>
        <v>P.3 (2)</v>
      </c>
      <c r="V5" s="162"/>
      <c r="W5" s="814"/>
      <c r="X5" s="179">
        <f ca="1">Horarios!C5</f>
        <v>46185.166666666664</v>
      </c>
      <c r="Y5" s="180">
        <f ca="1">Horarios!C5</f>
        <v>46185.166666666664</v>
      </c>
      <c r="Z5" s="181" t="str">
        <f>$Z$4</f>
        <v>J1</v>
      </c>
      <c r="AA5" s="182" t="str">
        <f ca="1">A7</f>
        <v>Corea del Sur</v>
      </c>
      <c r="AB5" s="459" t="str" cm="1">
        <f t="array" aca="1" ref="AB5" ca="1">Ver_flag_local</f>
        <v/>
      </c>
      <c r="AC5" s="183">
        <v>2</v>
      </c>
      <c r="AD5" s="184">
        <v>1</v>
      </c>
      <c r="AE5" s="462" t="str" cm="1">
        <f t="array" aca="1" ref="AE5" ca="1">Ver_flag_visit</f>
        <v/>
      </c>
      <c r="AF5" s="185" t="str">
        <f ca="1">A8</f>
        <v>República Checa</v>
      </c>
      <c r="AG5" s="396">
        <f t="shared" si="13"/>
        <v>1</v>
      </c>
      <c r="AH5" s="186">
        <v>2</v>
      </c>
      <c r="AI5" s="15"/>
      <c r="AJ5" s="194" t="str">
        <f>Idiomas!D53</f>
        <v>Pos</v>
      </c>
      <c r="AK5" s="195"/>
      <c r="AL5" s="196" t="str">
        <f>Idiomas!D54</f>
        <v>Selección</v>
      </c>
      <c r="AM5" s="195" t="str">
        <f>Idiomas!D55</f>
        <v>Pts</v>
      </c>
      <c r="AN5" s="195" t="str">
        <f>Idiomas!D56</f>
        <v>J</v>
      </c>
      <c r="AO5" s="195" t="str">
        <f>Idiomas!D57</f>
        <v>G</v>
      </c>
      <c r="AP5" s="195" t="str">
        <f>Idiomas!D58</f>
        <v>E</v>
      </c>
      <c r="AQ5" s="195" t="str">
        <f>Idiomas!D59</f>
        <v>P</v>
      </c>
      <c r="AR5" s="195" t="str">
        <f>Idiomas!D60</f>
        <v>GF</v>
      </c>
      <c r="AS5" s="195" t="str">
        <f>Idiomas!D61</f>
        <v>GC</v>
      </c>
      <c r="AT5" s="197" t="str">
        <f>Idiomas!D62</f>
        <v>DG</v>
      </c>
      <c r="AU5" s="18">
        <f ca="1">COUNTIF(AU6:AU9,"&gt;1")</f>
        <v>0</v>
      </c>
      <c r="AV5" s="198"/>
      <c r="AW5" s="191"/>
      <c r="AX5" s="191"/>
      <c r="AY5" s="199" t="str">
        <f>AL5</f>
        <v>Selección</v>
      </c>
      <c r="AZ5" s="200" t="str">
        <f>+Idiomas!$D$69</f>
        <v>Puntos penalizados</v>
      </c>
      <c r="BA5" s="165"/>
      <c r="BB5" s="721"/>
      <c r="BC5" s="729" t="str">
        <f>Idiomas!D22</f>
        <v>Grupo</v>
      </c>
      <c r="BD5" s="729" t="str">
        <f>Idiomas!D54</f>
        <v>Selección</v>
      </c>
      <c r="BE5" s="729" t="str">
        <f t="shared" ref="BE5:BL5" si="14">+AM5</f>
        <v>Pts</v>
      </c>
      <c r="BF5" s="729" t="str">
        <f t="shared" si="14"/>
        <v>J</v>
      </c>
      <c r="BG5" s="729" t="str">
        <f t="shared" si="14"/>
        <v>G</v>
      </c>
      <c r="BH5" s="729" t="str">
        <f t="shared" si="14"/>
        <v>E</v>
      </c>
      <c r="BI5" s="729" t="str">
        <f t="shared" si="14"/>
        <v>P</v>
      </c>
      <c r="BJ5" s="729" t="str">
        <f t="shared" si="14"/>
        <v>GF</v>
      </c>
      <c r="BK5" s="729" t="str">
        <f t="shared" si="14"/>
        <v>GC</v>
      </c>
      <c r="BL5" s="729" t="str">
        <f t="shared" si="14"/>
        <v>DG</v>
      </c>
      <c r="BM5" s="729" t="s">
        <v>612</v>
      </c>
      <c r="BN5" s="729" t="s">
        <v>613</v>
      </c>
      <c r="BO5" s="730" t="s">
        <v>1809</v>
      </c>
      <c r="BP5" s="730" t="s">
        <v>1810</v>
      </c>
      <c r="BQ5" s="730" t="s">
        <v>1811</v>
      </c>
      <c r="BR5" s="730" t="s">
        <v>614</v>
      </c>
      <c r="BS5" s="730" t="s">
        <v>617</v>
      </c>
      <c r="BT5" s="730" t="s">
        <v>615</v>
      </c>
      <c r="BU5" s="729" t="s">
        <v>632</v>
      </c>
      <c r="BV5" s="729" t="s">
        <v>633</v>
      </c>
      <c r="BW5" s="729" t="s">
        <v>634</v>
      </c>
      <c r="BX5" s="729" t="s">
        <v>635</v>
      </c>
      <c r="BY5" s="729" t="s">
        <v>618</v>
      </c>
      <c r="BZ5" s="730" t="s">
        <v>616</v>
      </c>
      <c r="CA5" s="730" t="s">
        <v>640</v>
      </c>
      <c r="CB5" s="730" t="s">
        <v>641</v>
      </c>
      <c r="CC5" s="730" t="s">
        <v>642</v>
      </c>
      <c r="CD5" s="730" t="s">
        <v>619</v>
      </c>
      <c r="CE5" s="730" t="s">
        <v>620</v>
      </c>
      <c r="CF5" s="729" t="s">
        <v>640</v>
      </c>
      <c r="CG5" s="729" t="s">
        <v>621</v>
      </c>
      <c r="CH5" s="730" t="s">
        <v>622</v>
      </c>
      <c r="CI5" s="729" t="s">
        <v>1203</v>
      </c>
      <c r="CJ5" s="729" t="s">
        <v>1204</v>
      </c>
      <c r="CK5" s="729" t="s">
        <v>1205</v>
      </c>
      <c r="CL5" s="729" t="s">
        <v>1206</v>
      </c>
      <c r="CM5" s="729" t="s">
        <v>623</v>
      </c>
      <c r="CN5" s="730" t="s">
        <v>624</v>
      </c>
      <c r="CO5" s="730" t="s">
        <v>1200</v>
      </c>
      <c r="CP5" s="730" t="s">
        <v>1201</v>
      </c>
      <c r="CQ5" s="730" t="s">
        <v>1202</v>
      </c>
      <c r="CR5" s="730" t="s">
        <v>625</v>
      </c>
      <c r="CS5" s="730" t="s">
        <v>626</v>
      </c>
      <c r="CT5" s="729" t="s">
        <v>1200</v>
      </c>
      <c r="CU5" s="729" t="s">
        <v>1207</v>
      </c>
      <c r="CV5" s="730" t="s">
        <v>1208</v>
      </c>
      <c r="CW5" s="730" t="s">
        <v>66</v>
      </c>
      <c r="CX5" s="730" t="s">
        <v>1215</v>
      </c>
      <c r="CY5" s="730" t="s">
        <v>1216</v>
      </c>
      <c r="CZ5" s="730" t="s">
        <v>8</v>
      </c>
      <c r="DA5" s="730" t="s">
        <v>1217</v>
      </c>
      <c r="DB5" s="730" t="s">
        <v>1218</v>
      </c>
      <c r="DC5" s="731" t="s">
        <v>1255</v>
      </c>
      <c r="DD5" s="731" t="s">
        <v>628</v>
      </c>
      <c r="DE5" s="732"/>
      <c r="DF5" s="731" t="s">
        <v>629</v>
      </c>
      <c r="DG5" s="731" t="s">
        <v>630</v>
      </c>
      <c r="DH5" s="731" t="s">
        <v>631</v>
      </c>
      <c r="DI5" s="721"/>
      <c r="DJ5" s="723" t="s">
        <v>652</v>
      </c>
      <c r="DK5" s="723" t="s">
        <v>1195</v>
      </c>
      <c r="DL5" s="723" t="s">
        <v>653</v>
      </c>
      <c r="DM5" s="723" t="s">
        <v>654</v>
      </c>
      <c r="DN5" s="723" t="s">
        <v>655</v>
      </c>
      <c r="DO5" s="723"/>
      <c r="DP5" s="723" t="s">
        <v>762</v>
      </c>
      <c r="DQ5" s="723" t="s">
        <v>763</v>
      </c>
      <c r="DR5" s="721"/>
      <c r="DS5" s="721"/>
      <c r="DT5" s="721" t="str">
        <f t="shared" ref="DT5:DT68" ca="1" si="15">AA5&amp;"-"&amp;AF5</f>
        <v>Corea del Sur-República Checa</v>
      </c>
      <c r="DU5" s="721"/>
      <c r="DV5" s="721"/>
      <c r="DW5" s="8"/>
    </row>
    <row r="6" spans="1:127" ht="17.100000000000001" customHeight="1">
      <c r="A6" s="722" t="str">
        <f ca="1">+Equipos!B3</f>
        <v>Sudáfrica</v>
      </c>
      <c r="B6" s="719"/>
      <c r="C6" s="723"/>
      <c r="D6" s="721" t="str">
        <f t="shared" si="0"/>
        <v>Pendiente</v>
      </c>
      <c r="E6" s="721" t="str">
        <f t="shared" si="1"/>
        <v>-</v>
      </c>
      <c r="F6" s="721" t="str">
        <f t="shared" si="2"/>
        <v>-</v>
      </c>
      <c r="G6" s="721"/>
      <c r="H6" s="721" t="str">
        <f t="shared" si="3"/>
        <v>-</v>
      </c>
      <c r="I6" s="721" t="str">
        <f t="shared" si="4"/>
        <v>-</v>
      </c>
      <c r="J6" s="721"/>
      <c r="K6" s="721" t="str">
        <f t="shared" si="5"/>
        <v>-</v>
      </c>
      <c r="L6" s="721" t="str">
        <f t="shared" si="6"/>
        <v>-</v>
      </c>
      <c r="M6" s="721"/>
      <c r="N6" s="721" t="str">
        <f t="shared" si="7"/>
        <v>-</v>
      </c>
      <c r="O6" s="721" t="str">
        <f t="shared" si="8"/>
        <v>-</v>
      </c>
      <c r="P6" s="721"/>
      <c r="Q6" s="721" t="str">
        <f t="shared" si="9"/>
        <v>-</v>
      </c>
      <c r="R6" s="721" t="str">
        <f t="shared" si="10"/>
        <v>-</v>
      </c>
      <c r="S6" s="721"/>
      <c r="T6" s="721" t="str">
        <f t="shared" si="11"/>
        <v>-</v>
      </c>
      <c r="U6" s="721" t="str">
        <f t="shared" si="12"/>
        <v>-</v>
      </c>
      <c r="V6" s="162"/>
      <c r="W6" s="814"/>
      <c r="X6" s="179">
        <f ca="1">Horarios!C6</f>
        <v>46191.75</v>
      </c>
      <c r="Y6" s="180">
        <f ca="1">Horarios!C6</f>
        <v>46191.75</v>
      </c>
      <c r="Z6" s="181" t="str">
        <f>Idiomas!D64</f>
        <v>J2</v>
      </c>
      <c r="AA6" s="182" t="str">
        <f ca="1">A8</f>
        <v>República Checa</v>
      </c>
      <c r="AB6" s="459" t="str" cm="1">
        <f t="array" aca="1" ref="AB6" ca="1">Ver_flag_local</f>
        <v/>
      </c>
      <c r="AC6" s="183"/>
      <c r="AD6" s="184"/>
      <c r="AE6" s="462" t="str" cm="1">
        <f t="array" aca="1" ref="AE6" ca="1">Ver_flag_visit</f>
        <v/>
      </c>
      <c r="AF6" s="185" t="str">
        <f ca="1">A6</f>
        <v>Sudáfrica</v>
      </c>
      <c r="AG6" s="396">
        <f t="shared" si="13"/>
        <v>0</v>
      </c>
      <c r="AH6" s="186">
        <v>25</v>
      </c>
      <c r="AI6" s="15" t="str">
        <f>AJ6&amp;$B$4</f>
        <v>1A</v>
      </c>
      <c r="AJ6" s="201">
        <v>1</v>
      </c>
      <c r="AK6" s="469" t="str" cm="1">
        <f t="array" aca="1" ref="AK6" ca="1">Ver_flag_visit</f>
        <v/>
      </c>
      <c r="AL6" s="202" t="str">
        <f ca="1">IFERROR(INDEX($BD$6:$BD$53,MATCH(AI6,$BN$6:$BN$53,0)),"")</f>
        <v>México</v>
      </c>
      <c r="AM6" s="203">
        <f t="shared" ref="AM6:AT9" ca="1" si="16">INDEX($BE$6:$BN$53,MATCH($AL6,$BD$6:$BD$53,0),MATCH(AM$5,$BE$5:$BN$5,0))</f>
        <v>3</v>
      </c>
      <c r="AN6" s="204">
        <f t="shared" ca="1" si="16"/>
        <v>1</v>
      </c>
      <c r="AO6" s="204">
        <f t="shared" ca="1" si="16"/>
        <v>1</v>
      </c>
      <c r="AP6" s="204">
        <f t="shared" ca="1" si="16"/>
        <v>0</v>
      </c>
      <c r="AQ6" s="204">
        <f t="shared" ca="1" si="16"/>
        <v>0</v>
      </c>
      <c r="AR6" s="204">
        <f t="shared" ca="1" si="16"/>
        <v>2</v>
      </c>
      <c r="AS6" s="204">
        <f t="shared" ca="1" si="16"/>
        <v>0</v>
      </c>
      <c r="AT6" s="205">
        <f t="shared" ca="1" si="16"/>
        <v>2</v>
      </c>
      <c r="AU6" s="403">
        <f ca="1">INDEX($DL$6:$DL$53,MATCH(AI6,$DP$6:$DP$53,0))</f>
        <v>1</v>
      </c>
      <c r="AV6" s="207" t="str">
        <f ca="1">INDEX($BD$6:$BD$53,MATCH(AI6,$BM$6:$BM$53,0))</f>
        <v>México</v>
      </c>
      <c r="AW6" s="410">
        <v>1</v>
      </c>
      <c r="AX6" s="208"/>
      <c r="AY6" s="209" t="str">
        <f ca="1">+A5</f>
        <v>México</v>
      </c>
      <c r="AZ6" s="210"/>
      <c r="BA6" s="165"/>
      <c r="BB6" s="721"/>
      <c r="BC6" s="733" t="str">
        <f ca="1">+INDEX(T_Equipos[Grupo],MATCH(WORLDCUP!BD6,T_Equipos[NombreEquipo],0))</f>
        <v>A</v>
      </c>
      <c r="BD6" s="721" t="str">
        <f ca="1">+Equipos!B2</f>
        <v>México</v>
      </c>
      <c r="BE6" s="725">
        <f ca="1">+BG6*3+BH6+IF($AZ$3="no",0,INDEX($AZ$6:$AZ$97,MATCH(BD6,$AY$6:$AY$97,0)))</f>
        <v>3</v>
      </c>
      <c r="BF6" s="725">
        <f ca="1">+BG6+BH6+BI6</f>
        <v>1</v>
      </c>
      <c r="BG6" s="725">
        <f t="shared" ref="BG6:BG53" ca="1" si="17">+COUNTIFS(FGLocal,BD6,Ganador,"Local")+COUNTIFS(FGVisitante,BD6,Ganador,"Visitante")</f>
        <v>1</v>
      </c>
      <c r="BH6" s="725">
        <f t="shared" ref="BH6:BH53" ca="1" si="18">+COUNTIFS(FGLocal,BD6,Ganador,"Empate")+COUNTIFS(FGVisitante,BD6,Ganador,"Empate")</f>
        <v>0</v>
      </c>
      <c r="BI6" s="725">
        <f t="shared" ref="BI6:BI53" ca="1" si="19">+COUNTIFS(FGVisitante,BD6,Ganador,"Local")+COUNTIFS(FGLocal,BD6,Ganador,"Visitante")</f>
        <v>0</v>
      </c>
      <c r="BJ6" s="725">
        <f t="shared" ref="BJ6:BJ53" ca="1" si="20">+SUMIFS(FG_GolesLocal,FGLocal,BD6,Ganador,"&lt;&gt;"&amp;"Pendiente",FG_GolesLocal,"&lt;&gt;"&amp;"",FG_GolesVisitante,"&lt;&gt;"&amp;"")+SUMIFS(FG_GolesVisitante,FGVisitante,BD6,Ganador,"&lt;&gt;"&amp;"Pendiente",FG_GolesLocal,"&lt;&gt;"&amp;"",FG_GolesVisitante,"&lt;&gt;"&amp;"")</f>
        <v>2</v>
      </c>
      <c r="BK6" s="725">
        <f t="shared" ref="BK6:BK53" ca="1" si="21">+SUMIFS(FG_GolesLocal,FGVisitante,BD6,Ganador,"&lt;&gt;"&amp;"Pendiente",FG_GolesLocal,"&lt;&gt;"&amp;"",FG_GolesVisitante,"&lt;&gt;"&amp;"")+SUMIFS(FG_GolesVisitante,FGLocal,BD6,Ganador,"&lt;&gt;"&amp;"Pendiente",FG_GolesLocal,"&lt;&gt;"&amp;"",FG_GolesVisitante,"&lt;&gt;"&amp;"")</f>
        <v>0</v>
      </c>
      <c r="BL6" s="725">
        <f ca="1">+BJ6-BK6</f>
        <v>2</v>
      </c>
      <c r="BM6" s="725" t="str">
        <f t="shared" ref="BM6:BM53" ca="1" si="22">DD6&amp;BC6</f>
        <v>1A</v>
      </c>
      <c r="BN6" s="725" t="str">
        <f t="shared" ref="BN6:BN53" ca="1" si="23">DH6&amp;BC6</f>
        <v>1A</v>
      </c>
      <c r="BO6" s="734">
        <f ca="1">IF(AND($AJ$99=144,BF6&gt;=1),1,0)</f>
        <v>0</v>
      </c>
      <c r="BP6" s="734">
        <f ca="1">COUNTIFS($BO$6:$BO$53,"&gt;"&amp;BO6,$BC$6:$BC$53,INDEX(T_Equipos[Grupo],MATCH(BD6,T_Equipos[NombreEquipo],0)))+1</f>
        <v>1</v>
      </c>
      <c r="BQ6" s="734" t="str">
        <f ca="1">IF(COUNTIFS($BP$6:$BP$53,BP6,$BC$6:$BC$53,INDEX(T_Equipos[Grupo],MATCH(BD6,T_Equipos[NombreEquipo],0)))=1,"-","P."&amp;BP6&amp;" ("&amp;COUNTIFS($BP$6:$BP$53,BP6,$BC$6:$BC$53,INDEX(T_Equipos[Grupo],MATCH(BD6,T_Equipos[NombreEquipo],0)))&amp;")")</f>
        <v>P.1 (4)</v>
      </c>
      <c r="BR6" s="734">
        <f ca="1">IF($BQ6="-","-",BE6)</f>
        <v>3</v>
      </c>
      <c r="BS6" s="734">
        <f ca="1">BP6+COUNTIFS($BQ$6:$BQ$53,BQ6,$BR$6:BR$53,"&gt;"&amp;BR6,$BC$6:$BC$53,INDEX(T_Equipos[Grupo],MATCH(BD6,T_Equipos[NombreEquipo],0)))</f>
        <v>1</v>
      </c>
      <c r="BT6" s="734" t="str">
        <f ca="1">IF(COUNTIFS($BS$6:$BS$53,BS6,$BC$6:$BC$53,INDEX(T_Equipos[Grupo],MATCH(BD6,T_Equipos[NombreEquipo],0)))=1,"-","P."&amp;BS6&amp;" ("&amp;COUNTIFS($BS$6:$BS$53,BS6,$BC$6:$BC$53,INDEX(T_Equipos[Grupo],MATCH(BD6,T_Equipos[NombreEquipo],0)))&amp;")")</f>
        <v>P.1 (2)</v>
      </c>
      <c r="BU6" s="735">
        <f ca="1">IF($BT6="-","-",COUNTIFS(FGLocal,$BD6,Ganador,"Local",Part1Empate1V,$BT6)+COUNTIFS(FGVisitante,$BD6,Ganador,"Visitante",Part1Empate1L,$BT6))</f>
        <v>0</v>
      </c>
      <c r="BV6" s="735">
        <f ca="1">IF($BT6="-","-",COUNTIFS(FGLocal,$BD6,Ganador,"Empate",Part1Empate1V,$BT6)+COUNTIFS(FGVisitante,$BD6,Ganador,"Empate",Part1Empate1L,$BT6))</f>
        <v>0</v>
      </c>
      <c r="BW6" s="735">
        <f ca="1">IF($BT6="-","-",COUNTIFS(FGLocal,$BD6,Ganador,"Visitante",Part1Empate1V,$BT6)+COUNTIFS(FGVisitante,$BD6,Ganador,"Local",Part1Empate1L,$BT6))</f>
        <v>0</v>
      </c>
      <c r="BX6" s="735">
        <f ca="1">IF($BT6="-","-",BU6*3+BV6)</f>
        <v>0</v>
      </c>
      <c r="BY6" s="735">
        <f ca="1">BS6+COUNTIFS($BT$6:$BT$53,BT6,$BX$6:BX$53,"&gt;"&amp;BX6,$BC$6:$BC$53,INDEX(T_Equipos[Grupo],MATCH(BD6,T_Equipos[NombreEquipo],0)))</f>
        <v>1</v>
      </c>
      <c r="BZ6" s="734" t="str">
        <f ca="1">IF(COUNTIFS($BY$6:$BY$53,BY6,$BC$6:$BC$53,INDEX(T_Equipos[Grupo],MATCH(BD6,T_Equipos[NombreEquipo],0)))=1,"-","P."&amp;BY6&amp;" ("&amp;COUNTIFS($BY$6:$BY$53,BY6,$BC$6:$BC$53,INDEX(T_Equipos[Grupo],MATCH(BD6,T_Equipos[NombreEquipo],0)))&amp;")")</f>
        <v>P.1 (2)</v>
      </c>
      <c r="CA6" s="735">
        <f ca="1">IF($BZ6="-","-",SUMIFS(FG_GolesLocal,FGLocal,$BD6,Part1Empate2V,$BZ6)+SUMIFS(FG_GolesVisitante,FGVisitante,$BD6,Part1Empate2L,$BZ6))</f>
        <v>0</v>
      </c>
      <c r="CB6" s="735">
        <f ca="1">IF($BZ6="-","-",SUMIFS(FG_GolesVisitante,FGLocal,$BD6,Part1Empate2V,$BZ6)+SUMIFS(FG_GolesLocal,FGVisitante,$BD6,Part1Empate2L,$BZ6))</f>
        <v>0</v>
      </c>
      <c r="CC6" s="735">
        <f ca="1">IF($BZ6="-","-",CA6-CB6)</f>
        <v>0</v>
      </c>
      <c r="CD6" s="735">
        <f ca="1">BY6+COUNTIFS($BZ$6:$BZ$53,BZ6,$CC$6:CC$53,"&gt;"&amp;CC6,$BC$6:$BC$53,INDEX(T_Equipos[Grupo],MATCH(BD6,T_Equipos[NombreEquipo],0)))</f>
        <v>1</v>
      </c>
      <c r="CE6" s="734" t="str">
        <f ca="1">IF(COUNTIFS($CD$6:$CD$53,CD6,$BC$6:$BC$53,INDEX(T_Equipos[Grupo],MATCH(BD6,T_Equipos[NombreEquipo],0)))=1,"-","P."&amp;CD6&amp;" ("&amp;COUNTIFS($CD$6:$CD$53,CD6,$BC$6:$BC$53,INDEX(T_Equipos[Grupo],MATCH(BD6,T_Equipos[NombreEquipo],0)))&amp;")")</f>
        <v>P.1 (2)</v>
      </c>
      <c r="CF6" s="735">
        <f ca="1">IF($CE6="-","-",SUMIFS(FG_GolesLocal,FGLocal,$BD6,Part1Empate3V,$CE6)+SUMIFS(FG_GolesVisitante,FGVisitante,$BD6,Part1Empate3L,$CE6))</f>
        <v>0</v>
      </c>
      <c r="CG6" s="735">
        <f ca="1">CD6+COUNTIFS($CE$6:$CE$53,CE6,$CF$6:CF$53,"&gt;"&amp;CF6,$BC$6:$BC$53,INDEX(T_Equipos[Grupo],MATCH(BD6,T_Equipos[NombreEquipo],0)))</f>
        <v>1</v>
      </c>
      <c r="CH6" s="734" t="str">
        <f ca="1">IF(COUNTIFS($CG$6:$CG$53,CG6,$BC$6:$BC$53,INDEX(T_Equipos[Grupo],MATCH(BD6,T_Equipos[NombreEquipo],0)))=1,"-","P."&amp;CG6&amp;" ("&amp;COUNTIFS($CG$6:$CG$53,CG6,$BC$6:$BC$53,INDEX(T_Equipos[Grupo],MATCH(BD6,T_Equipos[NombreEquipo],0)))&amp;")")</f>
        <v>P.1 (2)</v>
      </c>
      <c r="CI6" s="735">
        <f ca="1">IF($CH6="-","-",COUNTIFS(FGLocal,$BD6,Ganador,"Local",Part2Empate4V,$CH6)+COUNTIFS(FGVisitante,$BD6,Ganador,"Visitante",Part2Empate4L,$CH6))</f>
        <v>0</v>
      </c>
      <c r="CJ6" s="735">
        <f ca="1">IF($CH6="-","-",COUNTIFS(FGLocal,$BD6,Ganador,"Empate",Part2Empate4V,$CH6)+COUNTIFS(FGVisitante,$BD6,Ganador,"Empate",Part2Empate4L,$CH6))</f>
        <v>0</v>
      </c>
      <c r="CK6" s="735">
        <f ca="1">IF($CH6="-","-",COUNTIFS(FGLocal,$BD6,Ganador,"Visitante",Part2Empate4V,$CH6)+COUNTIFS(FGVisitante,$BD6,Ganador,"Local",Part2Empate4L,$CH6))</f>
        <v>0</v>
      </c>
      <c r="CL6" s="735">
        <f ca="1">IF($CH6="-","-",CI6*3+CJ6)</f>
        <v>0</v>
      </c>
      <c r="CM6" s="735">
        <f ca="1">CG6+COUNTIFS($CH$6:$CH$53,CH6,$CL$6:CL$53,"&gt;"&amp;CL6,$BC$6:$BC$53,INDEX(T_Equipos[Grupo],MATCH(BD6,T_Equipos[NombreEquipo],0)))</f>
        <v>1</v>
      </c>
      <c r="CN6" s="734" t="str">
        <f ca="1">IF(COUNTIFS($CM$6:$CM$53,CM6,$BC$6:$BC$53,INDEX(T_Equipos[Grupo],MATCH(BD6,T_Equipos[NombreEquipo],0)))=1,"-","P."&amp;CM6&amp;" ("&amp;COUNTIFS($CM$6:$CM$53,CM6,$BC$6:$BC$53,INDEX(T_Equipos[Grupo],MATCH(BD6,T_Equipos[NombreEquipo],0)))&amp;")")</f>
        <v>P.1 (2)</v>
      </c>
      <c r="CO6" s="735">
        <f ca="1">IF($CN6="-","-",SUMIFS(FG_GolesLocal,FGLocal,$BD6,Part2Empate5V,$CN6)+SUMIFS(FG_GolesVisitante,FGVisitante,$BD6,Part2Empate5L,$CN6))</f>
        <v>0</v>
      </c>
      <c r="CP6" s="735">
        <f ca="1">IF($CN6="-","-",SUMIFS(FG_GolesVisitante,FGLocal,$BD6,Part2Empate5V,$CN6)+SUMIFS(FG_GolesLocal,FGVisitante,$BD6,Part2Empate5L,$CN6))</f>
        <v>0</v>
      </c>
      <c r="CQ6" s="735">
        <f ca="1">IF($CN6="-","-",CO6-CP6)</f>
        <v>0</v>
      </c>
      <c r="CR6" s="735">
        <f ca="1">CM6+COUNTIFS($CN$6:$CN$53,CN6,$CQ$6:CQ$53,"&gt;"&amp;CQ6,$BC$6:$BC$53,INDEX(T_Equipos[Grupo],MATCH(BD6,T_Equipos[NombreEquipo],0)))</f>
        <v>1</v>
      </c>
      <c r="CS6" s="734" t="str">
        <f ca="1">IF(COUNTIFS($CR$6:$CR$53,CR6,$BC$6:$BC$53,INDEX(T_Equipos[Grupo],MATCH(BD6,T_Equipos[NombreEquipo],0)))=1,"-","P."&amp;CR6&amp;" ("&amp;COUNTIFS($CR$6:$CR$53,CR6,$BC$6:$BC$53,INDEX(T_Equipos[Grupo],MATCH(BD6,T_Equipos[NombreEquipo],0)))&amp;")")</f>
        <v>P.1 (2)</v>
      </c>
      <c r="CT6" s="735">
        <f ca="1">IF($CS6="-","-",SUMIFS(FG_GolesLocal,FGLocal,$BD6,Part2Empate6V,$CS6)+SUMIFS(FG_GolesVisitante,FGVisitante,$BD6,Part2Empate6L,$CS6))</f>
        <v>0</v>
      </c>
      <c r="CU6" s="735">
        <f ca="1">CR6+COUNTIFS($CS$6:$CS$53,CS6,$CT$6:CT$53,"&gt;"&amp;CT6,$BC$6:$BC$53,INDEX(T_Equipos[Grupo],MATCH(BD6,T_Equipos[NombreEquipo],0)))</f>
        <v>1</v>
      </c>
      <c r="CV6" s="734" t="str">
        <f ca="1">IF(COUNTIFS($CU$6:$CU$53,CU6,$BC$6:$BC$53,INDEX(T_Equipos[Grupo],MATCH(BD6,T_Equipos[NombreEquipo],0)))=1,"-","P."&amp;CU6&amp;" ("&amp;COUNTIFS($CU$6:$CU$53,CU6,$BC$6:$BC$53,INDEX(T_Equipos[Grupo],MATCH(BD6,T_Equipos[NombreEquipo],0)))&amp;")")</f>
        <v>P.1 (2)</v>
      </c>
      <c r="CW6" s="734">
        <f ca="1">IF(CV6="-","-",BL6)</f>
        <v>2</v>
      </c>
      <c r="CX6" s="734">
        <f ca="1">CU6+COUNTIFS($CV$6:$CV$53,CV6,$CW$6:CW$53,"&gt;"&amp;CW6,$BC$6:$BC$53,INDEX(T_Equipos[Grupo],MATCH(BD6,T_Equipos[NombreEquipo],0)))</f>
        <v>1</v>
      </c>
      <c r="CY6" s="734" t="str">
        <f ca="1">IF(COUNTIFS($CX$6:$CX$53,CX6,$BC$6:$BC$53,INDEX(T_Equipos[Grupo],MATCH(BD6,T_Equipos[NombreEquipo],0)))=1,"-","P."&amp;CX6&amp;" ("&amp;COUNTIFS($CX$6:$CX$53,CX6,$BC$6:$BC$53,INDEX(T_Equipos[Grupo],MATCH(BD6,T_Equipos[NombreEquipo],0)))&amp;")")</f>
        <v>-</v>
      </c>
      <c r="CZ6" s="734" t="str">
        <f ca="1">IF(CY6="-","-",BJ6)</f>
        <v>-</v>
      </c>
      <c r="DA6" s="735">
        <f ca="1">CX6+COUNTIFS($CY$6:$CY$53,CY6,$CZ$6:CZ$53,"&gt;"&amp;CZ6,$BC$6:$BC$53,INDEX(T_Equipos[Grupo],MATCH(BD6,T_Equipos[NombreEquipo],0)))</f>
        <v>1</v>
      </c>
      <c r="DB6" s="734" t="str">
        <f ca="1">IF(COUNTIFS($DA$6:$DA$53,DA6,$BC$6:$BC$53,INDEX(T_Equipos[Grupo],MATCH(BD6,T_Equipos[NombreEquipo],0)))=1,"-","P."&amp;DA6&amp;" ("&amp;COUNTIFS($DA$6:$DA$53,DA6,$BC$6:$BC$53,INDEX(T_Equipos[Grupo],MATCH(BD6,T_Equipos[NombreEquipo],0)))&amp;")")</f>
        <v>-</v>
      </c>
      <c r="DC6" s="733" t="str">
        <f ca="1">IF(DB6="-","-",COUNTIFS(T_Equipos[Rank],"&lt;"&amp;INDEX(T_Equipos[Rank],MATCH(BD6,T_Equipos[NombreEquipo],0)),$BC$6:$BC$53,INDEX(T_Equipos[Grupo],MATCH(BD6,T_Equipos[NombreEquipo],0)))+1)</f>
        <v>-</v>
      </c>
      <c r="DD6" s="733">
        <f ca="1">DA6+COUNTIFS($DB$6:$DB$53,DB6,$DC$6:DC$53,"&lt;"&amp;DC6,$BC$6:$BC$53,INDEX(T_Equipos[Grupo],MATCH(BD6,T_Equipos[NombreEquipo],0)))</f>
        <v>1</v>
      </c>
      <c r="DE6" s="733"/>
      <c r="DF6" s="733">
        <f ca="1">IF(OR(INDEX($AW$6:$AW$97,MATCH($BD6,$AV$6:$AV$97,0))="",DB6="-"),DD6,INDEX($AW$6:$AW$97,MATCH($BD6,$AV$6:$AV$97,0))+DD6/1000)</f>
        <v>1</v>
      </c>
      <c r="DG6" s="733" t="str">
        <f ca="1">IF(DB6="-","-",COUNTIFS(DF$6:DF$53,"&lt;"&amp;DF6,$BC$6:$BC$53,INDEX(T_Equipos[Grupo],MATCH(BD6,T_Equipos[NombreEquipo],0))))</f>
        <v>-</v>
      </c>
      <c r="DH6" s="733">
        <f ca="1">DA6+COUNTIFS(DB$6:DB$53,DB6,DG$6:DG$53,"&lt;"&amp;DG6,$BC$6:$BC$53,INDEX(T_Equipos[Grupo],MATCH(BD6,T_Equipos[NombreEquipo],0)))</f>
        <v>1</v>
      </c>
      <c r="DI6" s="721"/>
      <c r="DJ6" s="721">
        <f ca="1">INDEX($DA$6:$DA$53,MATCH($DQ6,$BD$6:$BD$53,0))</f>
        <v>1</v>
      </c>
      <c r="DK6" s="721">
        <f t="shared" ref="DK6:DK53" ca="1" si="24">+SUMIF($BC$6:$BC$53,BC6,$BF$6:$BF$53)</f>
        <v>4</v>
      </c>
      <c r="DL6" s="721">
        <f ca="1">IF(OR(DK6=12,$AJ$99=144),COUNTIFS($DJ$6:$DJ$53,DJ6,$BC$6:$BC$53,BC6),1)</f>
        <v>1</v>
      </c>
      <c r="DM6" s="715" t="str">
        <f ca="1">DJ6&amp;"."&amp;DL6</f>
        <v>1.1</v>
      </c>
      <c r="DN6" s="721" cm="1">
        <f t="array" aca="1" ref="DN6" ca="1">OFFSET(Horarios!$P$3,DJ6-1,0,DL6,1)</f>
        <v>1</v>
      </c>
      <c r="DO6" s="721"/>
      <c r="DP6" s="721" t="s">
        <v>645</v>
      </c>
      <c r="DQ6" s="721" t="str">
        <f ca="1">INDEX($BD$6:$BD$53,MATCH(DP6,$BM$6:$BM$53,0))</f>
        <v>México</v>
      </c>
      <c r="DR6" s="721"/>
      <c r="DS6" s="721"/>
      <c r="DT6" s="721" t="str">
        <f t="shared" ca="1" si="15"/>
        <v>República Checa-Sudáfrica</v>
      </c>
      <c r="DU6" s="721"/>
      <c r="DV6" s="721"/>
      <c r="DW6" s="8"/>
    </row>
    <row r="7" spans="1:127" ht="17.100000000000001" customHeight="1">
      <c r="A7" s="722" t="str">
        <f ca="1">+Equipos!B4</f>
        <v>Corea del Sur</v>
      </c>
      <c r="B7" s="719"/>
      <c r="C7" s="721"/>
      <c r="D7" s="721" t="str">
        <f t="shared" si="0"/>
        <v>Pendiente</v>
      </c>
      <c r="E7" s="721" t="str">
        <f t="shared" si="1"/>
        <v>-</v>
      </c>
      <c r="F7" s="721" t="str">
        <f t="shared" si="2"/>
        <v>-</v>
      </c>
      <c r="G7" s="721"/>
      <c r="H7" s="721" t="str">
        <f t="shared" si="3"/>
        <v>-</v>
      </c>
      <c r="I7" s="721" t="str">
        <f t="shared" si="4"/>
        <v>-</v>
      </c>
      <c r="J7" s="721"/>
      <c r="K7" s="721" t="str">
        <f t="shared" si="5"/>
        <v>-</v>
      </c>
      <c r="L7" s="721" t="str">
        <f t="shared" si="6"/>
        <v>-</v>
      </c>
      <c r="M7" s="721"/>
      <c r="N7" s="721" t="str">
        <f t="shared" si="7"/>
        <v>-</v>
      </c>
      <c r="O7" s="721" t="str">
        <f t="shared" si="8"/>
        <v>-</v>
      </c>
      <c r="P7" s="721"/>
      <c r="Q7" s="721" t="str">
        <f t="shared" si="9"/>
        <v>-</v>
      </c>
      <c r="R7" s="721" t="str">
        <f t="shared" si="10"/>
        <v>-</v>
      </c>
      <c r="S7" s="721"/>
      <c r="T7" s="721" t="str">
        <f t="shared" si="11"/>
        <v>-</v>
      </c>
      <c r="U7" s="721" t="str">
        <f t="shared" si="12"/>
        <v>-</v>
      </c>
      <c r="V7" s="162"/>
      <c r="W7" s="814"/>
      <c r="X7" s="179">
        <f ca="1">Horarios!C7</f>
        <v>46192.125</v>
      </c>
      <c r="Y7" s="180">
        <f ca="1">Horarios!C7</f>
        <v>46192.125</v>
      </c>
      <c r="Z7" s="181" t="str">
        <f>$Z$6</f>
        <v>J2</v>
      </c>
      <c r="AA7" s="182" t="str">
        <f ca="1">A5</f>
        <v>México</v>
      </c>
      <c r="AB7" s="459" t="str" cm="1">
        <f t="array" aca="1" ref="AB7" ca="1">Ver_flag_local</f>
        <v/>
      </c>
      <c r="AC7" s="183"/>
      <c r="AD7" s="184"/>
      <c r="AE7" s="462" t="str" cm="1">
        <f t="array" aca="1" ref="AE7" ca="1">Ver_flag_visit</f>
        <v/>
      </c>
      <c r="AF7" s="185" t="str">
        <f ca="1">A7</f>
        <v>Corea del Sur</v>
      </c>
      <c r="AG7" s="396">
        <f t="shared" si="13"/>
        <v>0</v>
      </c>
      <c r="AH7" s="186">
        <v>28</v>
      </c>
      <c r="AI7" s="15" t="str">
        <f>AJ7&amp;$B$4</f>
        <v>2A</v>
      </c>
      <c r="AJ7" s="211">
        <v>2</v>
      </c>
      <c r="AK7" s="470" t="str" cm="1">
        <f t="array" aca="1" ref="AK7" ca="1">Ver_flag_visit</f>
        <v/>
      </c>
      <c r="AL7" s="212" t="str">
        <f ca="1">IFERROR(INDEX($BD$6:$BD$53,MATCH(AI7,$BN$6:$BN$53,0)),"")</f>
        <v>Corea del Sur</v>
      </c>
      <c r="AM7" s="213">
        <f t="shared" ca="1" si="16"/>
        <v>3</v>
      </c>
      <c r="AN7" s="214">
        <f t="shared" ca="1" si="16"/>
        <v>1</v>
      </c>
      <c r="AO7" s="214">
        <f t="shared" ca="1" si="16"/>
        <v>1</v>
      </c>
      <c r="AP7" s="214">
        <f t="shared" ca="1" si="16"/>
        <v>0</v>
      </c>
      <c r="AQ7" s="214">
        <f t="shared" ca="1" si="16"/>
        <v>0</v>
      </c>
      <c r="AR7" s="214">
        <f t="shared" ca="1" si="16"/>
        <v>2</v>
      </c>
      <c r="AS7" s="214">
        <f t="shared" ca="1" si="16"/>
        <v>1</v>
      </c>
      <c r="AT7" s="215">
        <f t="shared" ca="1" si="16"/>
        <v>1</v>
      </c>
      <c r="AU7" s="403">
        <f ca="1">INDEX($DL$6:$DL$53,MATCH(AI7,$DP$6:$DP$53,0))</f>
        <v>1</v>
      </c>
      <c r="AV7" s="207" t="str">
        <f ca="1">INDEX($BD$6:$BD$53,MATCH(AI7,$BM$6:$BM$53,0))</f>
        <v>Corea del Sur</v>
      </c>
      <c r="AW7" s="410">
        <v>2</v>
      </c>
      <c r="AX7" s="208"/>
      <c r="AY7" s="216" t="str">
        <f ca="1">+A6</f>
        <v>Sudáfrica</v>
      </c>
      <c r="AZ7" s="217"/>
      <c r="BA7" s="165"/>
      <c r="BB7" s="721"/>
      <c r="BC7" s="733" t="str">
        <f ca="1">+INDEX(T_Equipos[Grupo],MATCH(WORLDCUP!BD7,T_Equipos[NombreEquipo],0))</f>
        <v>A</v>
      </c>
      <c r="BD7" s="721" t="str">
        <f ca="1">+Equipos!B3</f>
        <v>Sudáfrica</v>
      </c>
      <c r="BE7" s="725">
        <f t="shared" ref="BE7:BE53" ca="1" si="25">+BG7*3+BH7+IF($AZ$3="no",0,INDEX($AZ$6:$AZ$97,MATCH(BD7,$AY$6:$AY$97,0)))</f>
        <v>0</v>
      </c>
      <c r="BF7" s="725">
        <f t="shared" ref="BF7:BF53" ca="1" si="26">+BG7+BH7+BI7</f>
        <v>1</v>
      </c>
      <c r="BG7" s="725">
        <f t="shared" ca="1" si="17"/>
        <v>0</v>
      </c>
      <c r="BH7" s="725">
        <f t="shared" ca="1" si="18"/>
        <v>0</v>
      </c>
      <c r="BI7" s="725">
        <f t="shared" ca="1" si="19"/>
        <v>1</v>
      </c>
      <c r="BJ7" s="725">
        <f t="shared" ca="1" si="20"/>
        <v>0</v>
      </c>
      <c r="BK7" s="725">
        <f t="shared" ca="1" si="21"/>
        <v>2</v>
      </c>
      <c r="BL7" s="725">
        <f t="shared" ref="BL7:BL53" ca="1" si="27">+BJ7-BK7</f>
        <v>-2</v>
      </c>
      <c r="BM7" s="725" t="str">
        <f t="shared" ca="1" si="22"/>
        <v>4A</v>
      </c>
      <c r="BN7" s="725" t="str">
        <f t="shared" ca="1" si="23"/>
        <v>4A</v>
      </c>
      <c r="BO7" s="734">
        <f t="shared" ref="BO7:BO53" ca="1" si="28">IF(AND($AJ$99=144,BF7&gt;=1),1,0)</f>
        <v>0</v>
      </c>
      <c r="BP7" s="734">
        <f ca="1">COUNTIFS($BO$6:$BO$53,"&gt;"&amp;BO7,$BC$6:$BC$53,INDEX(T_Equipos[Grupo],MATCH(BD7,T_Equipos[NombreEquipo],0)))+1</f>
        <v>1</v>
      </c>
      <c r="BQ7" s="734" t="str">
        <f ca="1">IF(COUNTIFS($BP$6:$BP$53,BP7,$BC$6:$BC$53,INDEX(T_Equipos[Grupo],MATCH(BD7,T_Equipos[NombreEquipo],0)))=1,"-","P."&amp;BP7&amp;" ("&amp;COUNTIFS($BP$6:$BP$53,BP7,$BC$6:$BC$53,INDEX(T_Equipos[Grupo],MATCH(BD7,T_Equipos[NombreEquipo],0)))&amp;")")</f>
        <v>P.1 (4)</v>
      </c>
      <c r="BR7" s="734">
        <f t="shared" ref="BR7:BR53" ca="1" si="29">IF($BQ7="-","-",BE7)</f>
        <v>0</v>
      </c>
      <c r="BS7" s="734">
        <f ca="1">BP7+COUNTIFS($BQ$6:$BQ$53,BQ7,$BR$6:BR$53,"&gt;"&amp;BR7,$BC$6:$BC$53,INDEX(T_Equipos[Grupo],MATCH(BD7,T_Equipos[NombreEquipo],0)))</f>
        <v>3</v>
      </c>
      <c r="BT7" s="734" t="str">
        <f ca="1">IF(COUNTIFS($BS$6:$BS$53,BS7,$BC$6:$BC$53,INDEX(T_Equipos[Grupo],MATCH(BD7,T_Equipos[NombreEquipo],0)))=1,"-","P."&amp;BS7&amp;" ("&amp;COUNTIFS($BS$6:$BS$53,BS7,$BC$6:$BC$53,INDEX(T_Equipos[Grupo],MATCH(BD7,T_Equipos[NombreEquipo],0)))&amp;")")</f>
        <v>P.3 (2)</v>
      </c>
      <c r="BU7" s="735">
        <f ca="1">IF($BT7="-","-",COUNTIFS(FGLocal,$BD7,Ganador,"Local",Part1Empate1V,$BT7)+COUNTIFS(FGVisitante,$BD7,Ganador,"Visitante",Part1Empate1L,$BT7))</f>
        <v>0</v>
      </c>
      <c r="BV7" s="735">
        <f ca="1">IF($BT7="-","-",COUNTIFS(FGLocal,$BD7,Ganador,"Empate",Part1Empate1V,$BT7)+COUNTIFS(FGVisitante,$BD7,Ganador,"Empate",Part1Empate1L,$BT7))</f>
        <v>0</v>
      </c>
      <c r="BW7" s="735">
        <f ca="1">IF($BT7="-","-",COUNTIFS(FGLocal,$BD7,Ganador,"Visitante",Part1Empate1V,$BT7)+COUNTIFS(FGVisitante,$BD7,Ganador,"Local",Part1Empate1L,$BT7))</f>
        <v>0</v>
      </c>
      <c r="BX7" s="735">
        <f ca="1">IF($BT7="-","-",BU7*3+BV7)</f>
        <v>0</v>
      </c>
      <c r="BY7" s="735">
        <f ca="1">BS7+COUNTIFS($BT$6:$BT$53,BT7,$BX$6:BX$53,"&gt;"&amp;BX7,$BC$6:$BC$53,INDEX(T_Equipos[Grupo],MATCH(BD7,T_Equipos[NombreEquipo],0)))</f>
        <v>3</v>
      </c>
      <c r="BZ7" s="734" t="str">
        <f ca="1">IF(COUNTIFS($BY$6:$BY$53,BY7,$BC$6:$BC$53,INDEX(T_Equipos[Grupo],MATCH(BD7,T_Equipos[NombreEquipo],0)))=1,"-","P."&amp;BY7&amp;" ("&amp;COUNTIFS($BY$6:$BY$53,BY7,$BC$6:$BC$53,INDEX(T_Equipos[Grupo],MATCH(BD7,T_Equipos[NombreEquipo],0)))&amp;")")</f>
        <v>P.3 (2)</v>
      </c>
      <c r="CA7" s="735">
        <f ca="1">IF($BZ7="-","-",SUMIFS(FG_GolesLocal,FGLocal,$BD7,Part1Empate2V,$BZ7)+SUMIFS(FG_GolesVisitante,FGVisitante,$BD7,Part1Empate2L,$BZ7))</f>
        <v>0</v>
      </c>
      <c r="CB7" s="735">
        <f ca="1">IF($BZ7="-","-",SUMIFS(FG_GolesVisitante,FGLocal,$BD7,Part1Empate2V,$BZ7)+SUMIFS(FG_GolesLocal,FGVisitante,$BD7,Part1Empate2L,$BZ7))</f>
        <v>0</v>
      </c>
      <c r="CC7" s="735">
        <f ca="1">IF($BZ7="-","-",CA7-CB7)</f>
        <v>0</v>
      </c>
      <c r="CD7" s="735">
        <f ca="1">BY7+COUNTIFS($BZ$6:$BZ$53,BZ7,$CC$6:CC$53,"&gt;"&amp;CC7,$BC$6:$BC$53,INDEX(T_Equipos[Grupo],MATCH(BD7,T_Equipos[NombreEquipo],0)))</f>
        <v>3</v>
      </c>
      <c r="CE7" s="734" t="str">
        <f ca="1">IF(COUNTIFS($CD$6:$CD$53,CD7,$BC$6:$BC$53,INDEX(T_Equipos[Grupo],MATCH(BD7,T_Equipos[NombreEquipo],0)))=1,"-","P."&amp;CD7&amp;" ("&amp;COUNTIFS($CD$6:$CD$53,CD7,$BC$6:$BC$53,INDEX(T_Equipos[Grupo],MATCH(BD7,T_Equipos[NombreEquipo],0)))&amp;")")</f>
        <v>P.3 (2)</v>
      </c>
      <c r="CF7" s="735">
        <f ca="1">IF($CE7="-","-",SUMIFS(FG_GolesLocal,FGLocal,$BD7,Part1Empate3V,$CE7)+SUMIFS(FG_GolesVisitante,FGVisitante,$BD7,Part1Empate3L,$CE7))</f>
        <v>0</v>
      </c>
      <c r="CG7" s="735">
        <f ca="1">CD7+COUNTIFS($CE$6:$CE$53,CE7,$CF$6:CF$53,"&gt;"&amp;CF7,$BC$6:$BC$53,INDEX(T_Equipos[Grupo],MATCH(BD7,T_Equipos[NombreEquipo],0)))</f>
        <v>3</v>
      </c>
      <c r="CH7" s="734" t="str">
        <f ca="1">IF(COUNTIFS($CG$6:$CG$53,CG7,$BC$6:$BC$53,INDEX(T_Equipos[Grupo],MATCH(BD7,T_Equipos[NombreEquipo],0)))=1,"-","P."&amp;CG7&amp;" ("&amp;COUNTIFS($CG$6:$CG$53,CG7,$BC$6:$BC$53,INDEX(T_Equipos[Grupo],MATCH(BD7,T_Equipos[NombreEquipo],0)))&amp;")")</f>
        <v>P.3 (2)</v>
      </c>
      <c r="CI7" s="735">
        <f ca="1">IF($CH7="-","-",COUNTIFS(FGLocal,$BD7,Ganador,"Local",Part2Empate4V,$CH7)+COUNTIFS(FGVisitante,$BD7,Ganador,"Visitante",Part2Empate4L,$CH7))</f>
        <v>0</v>
      </c>
      <c r="CJ7" s="735">
        <f ca="1">IF($CH7="-","-",COUNTIFS(FGLocal,$BD7,Ganador,"Empate",Part2Empate4V,$CH7)+COUNTIFS(FGVisitante,$BD7,Ganador,"Empate",Part2Empate4L,$CH7))</f>
        <v>0</v>
      </c>
      <c r="CK7" s="735">
        <f ca="1">IF($CH7="-","-",COUNTIFS(FGLocal,$BD7,Ganador,"Visitante",Part2Empate4V,$CH7)+COUNTIFS(FGVisitante,$BD7,Ganador,"Local",Part2Empate4L,$CH7))</f>
        <v>0</v>
      </c>
      <c r="CL7" s="735">
        <f ca="1">IF($CH7="-","-",CI7*3+CJ7)</f>
        <v>0</v>
      </c>
      <c r="CM7" s="735">
        <f ca="1">CG7+COUNTIFS($CH$6:$CH$53,CH7,$CL$6:CL$53,"&gt;"&amp;CL7,$BC$6:$BC$53,INDEX(T_Equipos[Grupo],MATCH(BD7,T_Equipos[NombreEquipo],0)))</f>
        <v>3</v>
      </c>
      <c r="CN7" s="734" t="str">
        <f ca="1">IF(COUNTIFS($CM$6:$CM$53,CM7,$BC$6:$BC$53,INDEX(T_Equipos[Grupo],MATCH(BD7,T_Equipos[NombreEquipo],0)))=1,"-","P."&amp;CM7&amp;" ("&amp;COUNTIFS($CM$6:$CM$53,CM7,$BC$6:$BC$53,INDEX(T_Equipos[Grupo],MATCH(BD7,T_Equipos[NombreEquipo],0)))&amp;")")</f>
        <v>P.3 (2)</v>
      </c>
      <c r="CO7" s="735">
        <f ca="1">IF($CN7="-","-",SUMIFS(FG_GolesLocal,FGLocal,$BD7,Part2Empate5V,$CN7)+SUMIFS(FG_GolesVisitante,FGVisitante,$BD7,Part2Empate5L,$CN7))</f>
        <v>0</v>
      </c>
      <c r="CP7" s="735">
        <f ca="1">IF($CN7="-","-",SUMIFS(FG_GolesVisitante,FGLocal,$BD7,Part2Empate5V,$CN7)+SUMIFS(FG_GolesLocal,FGVisitante,$BD7,Part2Empate5L,$CN7))</f>
        <v>0</v>
      </c>
      <c r="CQ7" s="735">
        <f ca="1">IF($CN7="-","-",CO7-CP7)</f>
        <v>0</v>
      </c>
      <c r="CR7" s="735">
        <f ca="1">CM7+COUNTIFS($CN$6:$CN$53,CN7,$CQ$6:CQ$53,"&gt;"&amp;CQ7,$BC$6:$BC$53,INDEX(T_Equipos[Grupo],MATCH(BD7,T_Equipos[NombreEquipo],0)))</f>
        <v>3</v>
      </c>
      <c r="CS7" s="734" t="str">
        <f ca="1">IF(COUNTIFS($CR$6:$CR$53,CR7,$BC$6:$BC$53,INDEX(T_Equipos[Grupo],MATCH(BD7,T_Equipos[NombreEquipo],0)))=1,"-","P."&amp;CR7&amp;" ("&amp;COUNTIFS($CR$6:$CR$53,CR7,$BC$6:$BC$53,INDEX(T_Equipos[Grupo],MATCH(BD7,T_Equipos[NombreEquipo],0)))&amp;")")</f>
        <v>P.3 (2)</v>
      </c>
      <c r="CT7" s="735">
        <f ca="1">IF($CS7="-","-",SUMIFS(FG_GolesLocal,FGLocal,$BD7,Part2Empate6V,$CS7)+SUMIFS(FG_GolesVisitante,FGVisitante,$BD7,Part2Empate6L,$CS7))</f>
        <v>0</v>
      </c>
      <c r="CU7" s="735">
        <f ca="1">CR7+COUNTIFS($CS$6:$CS$53,CS7,$CT$6:CT$53,"&gt;"&amp;CT7,$BC$6:$BC$53,INDEX(T_Equipos[Grupo],MATCH(BD7,T_Equipos[NombreEquipo],0)))</f>
        <v>3</v>
      </c>
      <c r="CV7" s="734" t="str">
        <f ca="1">IF(COUNTIFS($CU$6:$CU$53,CU7,$BC$6:$BC$53,INDEX(T_Equipos[Grupo],MATCH(BD7,T_Equipos[NombreEquipo],0)))=1,"-","P."&amp;CU7&amp;" ("&amp;COUNTIFS($CU$6:$CU$53,CU7,$BC$6:$BC$53,INDEX(T_Equipos[Grupo],MATCH(BD7,T_Equipos[NombreEquipo],0)))&amp;")")</f>
        <v>P.3 (2)</v>
      </c>
      <c r="CW7" s="734">
        <f t="shared" ref="CW7:CW53" ca="1" si="30">IF(CV7="-","-",BL7)</f>
        <v>-2</v>
      </c>
      <c r="CX7" s="734">
        <f ca="1">CU7+COUNTIFS($CV$6:$CV$53,CV7,$CW$6:CW$53,"&gt;"&amp;CW7,$BC$6:$BC$53,INDEX(T_Equipos[Grupo],MATCH(BD7,T_Equipos[NombreEquipo],0)))</f>
        <v>4</v>
      </c>
      <c r="CY7" s="734" t="str">
        <f ca="1">IF(COUNTIFS($CX$6:$CX$53,CX7,$BC$6:$BC$53,INDEX(T_Equipos[Grupo],MATCH(BD7,T_Equipos[NombreEquipo],0)))=1,"-","P."&amp;CX7&amp;" ("&amp;COUNTIFS($CX$6:$CX$53,CX7,$BC$6:$BC$53,INDEX(T_Equipos[Grupo],MATCH(BD7,T_Equipos[NombreEquipo],0)))&amp;")")</f>
        <v>-</v>
      </c>
      <c r="CZ7" s="734" t="str">
        <f t="shared" ref="CZ7:CZ53" ca="1" si="31">IF(CY7="-","-",BJ7)</f>
        <v>-</v>
      </c>
      <c r="DA7" s="735">
        <f ca="1">CX7+COUNTIFS($CY$6:$CY$53,CY7,$CZ$6:CZ$53,"&gt;"&amp;CZ7,$BC$6:$BC$53,INDEX(T_Equipos[Grupo],MATCH(BD7,T_Equipos[NombreEquipo],0)))</f>
        <v>4</v>
      </c>
      <c r="DB7" s="734" t="str">
        <f ca="1">IF(COUNTIFS($DA$6:$DA$53,DA7,$BC$6:$BC$53,INDEX(T_Equipos[Grupo],MATCH(BD7,T_Equipos[NombreEquipo],0)))=1,"-","P."&amp;DA7&amp;" ("&amp;COUNTIFS($DA$6:$DA$53,DA7,$BC$6:$BC$53,INDEX(T_Equipos[Grupo],MATCH(BD7,T_Equipos[NombreEquipo],0)))&amp;")")</f>
        <v>-</v>
      </c>
      <c r="DC7" s="733" t="str">
        <f ca="1">IF(DB7="-","-",COUNTIFS(T_Equipos[Rank],"&lt;"&amp;INDEX(T_Equipos[Rank],MATCH(BD7,T_Equipos[NombreEquipo],0)),$BC$6:$BC$53,INDEX(T_Equipos[Grupo],MATCH(BD7,T_Equipos[NombreEquipo],0)))+1)</f>
        <v>-</v>
      </c>
      <c r="DD7" s="733">
        <f ca="1">DA7+COUNTIFS($DB$6:$DB$53,DB7,$DC$6:DC$53,"&lt;"&amp;DC7,$BC$6:$BC$53,INDEX(T_Equipos[Grupo],MATCH(BD7,T_Equipos[NombreEquipo],0)))</f>
        <v>4</v>
      </c>
      <c r="DE7" s="733"/>
      <c r="DF7" s="733">
        <f t="shared" ref="DF7:DF9" ca="1" si="32">IF(OR(INDEX($AW$6:$AW$97,MATCH($BD7,$AV$6:$AV$97,0))="",DB7="-"),DD7,INDEX($AW$6:$AW$97,MATCH($BD7,$AV$6:$AV$97,0))+DD7/1000)</f>
        <v>4</v>
      </c>
      <c r="DG7" s="733" t="str">
        <f ca="1">IF(DB7="-","-",COUNTIFS(DF$6:DF$53,"&lt;"&amp;DF7,$BC$6:$BC$53,INDEX(T_Equipos[Grupo],MATCH(BD7,T_Equipos[NombreEquipo],0))))</f>
        <v>-</v>
      </c>
      <c r="DH7" s="733">
        <f ca="1">DA7+COUNTIFS(DB$6:DB$53,DB7,DG$6:DG$53,"&lt;"&amp;DG7,$BC$6:$BC$53,INDEX(T_Equipos[Grupo],MATCH(BD7,T_Equipos[NombreEquipo],0)))</f>
        <v>4</v>
      </c>
      <c r="DI7" s="721"/>
      <c r="DJ7" s="721">
        <f ca="1">INDEX($DA$6:$DA$53,MATCH($DQ7,$BD$6:$BD$53,0))</f>
        <v>2</v>
      </c>
      <c r="DK7" s="721">
        <f t="shared" ca="1" si="24"/>
        <v>4</v>
      </c>
      <c r="DL7" s="721">
        <f t="shared" ref="DL7:DL53" ca="1" si="33">IF(OR(DK7=12,$AJ$99=144),COUNTIFS($DJ$6:$DJ$53,DJ7,$BC$6:$BC$53,BC7),1)</f>
        <v>1</v>
      </c>
      <c r="DM7" s="715" t="str">
        <f t="shared" ref="DM7:DM53" ca="1" si="34">DJ7&amp;"."&amp;DL7</f>
        <v>2.1</v>
      </c>
      <c r="DN7" s="721" cm="1">
        <f t="array" aca="1" ref="DN7" ca="1">OFFSET(Horarios!$P$3,DJ7-1,0,DL7,1)</f>
        <v>2</v>
      </c>
      <c r="DO7" s="721"/>
      <c r="DP7" s="721" t="s">
        <v>646</v>
      </c>
      <c r="DQ7" s="721" t="str">
        <f t="shared" ref="DQ7:DQ53" ca="1" si="35">INDEX($BD$6:$BD$53,MATCH(DP7,$BM$6:$BM$53,0))</f>
        <v>Corea del Sur</v>
      </c>
      <c r="DR7" s="721"/>
      <c r="DS7" s="721"/>
      <c r="DT7" s="721" t="str">
        <f t="shared" ca="1" si="15"/>
        <v>México-Corea del Sur</v>
      </c>
      <c r="DU7" s="721"/>
      <c r="DV7" s="721"/>
      <c r="DW7" s="8"/>
    </row>
    <row r="8" spans="1:127" ht="17.100000000000001" customHeight="1">
      <c r="A8" s="722" t="str">
        <f ca="1">+Equipos!B5</f>
        <v>República Checa</v>
      </c>
      <c r="B8" s="719"/>
      <c r="C8" s="721"/>
      <c r="D8" s="721" t="str">
        <f t="shared" si="0"/>
        <v>Pendiente</v>
      </c>
      <c r="E8" s="721" t="str">
        <f t="shared" si="1"/>
        <v>-</v>
      </c>
      <c r="F8" s="721" t="str">
        <f t="shared" si="2"/>
        <v>-</v>
      </c>
      <c r="G8" s="721"/>
      <c r="H8" s="721" t="str">
        <f t="shared" si="3"/>
        <v>-</v>
      </c>
      <c r="I8" s="721" t="str">
        <f t="shared" si="4"/>
        <v>-</v>
      </c>
      <c r="J8" s="721"/>
      <c r="K8" s="721" t="str">
        <f t="shared" si="5"/>
        <v>-</v>
      </c>
      <c r="L8" s="721" t="str">
        <f t="shared" si="6"/>
        <v>-</v>
      </c>
      <c r="M8" s="721"/>
      <c r="N8" s="721" t="str">
        <f t="shared" si="7"/>
        <v>-</v>
      </c>
      <c r="O8" s="721" t="str">
        <f t="shared" si="8"/>
        <v>-</v>
      </c>
      <c r="P8" s="721"/>
      <c r="Q8" s="721" t="str">
        <f t="shared" si="9"/>
        <v>-</v>
      </c>
      <c r="R8" s="721" t="str">
        <f t="shared" si="10"/>
        <v>-</v>
      </c>
      <c r="S8" s="721"/>
      <c r="T8" s="721" t="str">
        <f t="shared" si="11"/>
        <v>-</v>
      </c>
      <c r="U8" s="721" t="str">
        <f t="shared" si="12"/>
        <v>-</v>
      </c>
      <c r="V8" s="162"/>
      <c r="W8" s="814"/>
      <c r="X8" s="179">
        <f ca="1">Horarios!C8</f>
        <v>46198.125</v>
      </c>
      <c r="Y8" s="180">
        <f ca="1">Horarios!C8</f>
        <v>46198.125</v>
      </c>
      <c r="Z8" s="181" t="str">
        <f>Idiomas!D65</f>
        <v>J3</v>
      </c>
      <c r="AA8" s="182" t="str">
        <f ca="1">A8</f>
        <v>República Checa</v>
      </c>
      <c r="AB8" s="459" t="str" cm="1">
        <f t="array" aca="1" ref="AB8" ca="1">Ver_flag_local</f>
        <v/>
      </c>
      <c r="AC8" s="183"/>
      <c r="AD8" s="184"/>
      <c r="AE8" s="462" t="str" cm="1">
        <f t="array" aca="1" ref="AE8" ca="1">Ver_flag_visit</f>
        <v/>
      </c>
      <c r="AF8" s="185" t="str">
        <f ca="1">A5</f>
        <v>México</v>
      </c>
      <c r="AG8" s="396">
        <f t="shared" si="13"/>
        <v>0</v>
      </c>
      <c r="AH8" s="186">
        <v>53</v>
      </c>
      <c r="AI8" s="15" t="str">
        <f>AJ8&amp;$B$4</f>
        <v>3A</v>
      </c>
      <c r="AJ8" s="211">
        <v>3</v>
      </c>
      <c r="AK8" s="470" t="str" cm="1">
        <f t="array" aca="1" ref="AK8" ca="1">Ver_flag_visit</f>
        <v/>
      </c>
      <c r="AL8" s="212" t="str">
        <f ca="1">IFERROR(INDEX($BD$6:$BD$53,MATCH(AI8,$BN$6:$BN$53,0)),"")</f>
        <v>República Checa</v>
      </c>
      <c r="AM8" s="213">
        <f t="shared" ca="1" si="16"/>
        <v>0</v>
      </c>
      <c r="AN8" s="214">
        <f t="shared" ca="1" si="16"/>
        <v>1</v>
      </c>
      <c r="AO8" s="214">
        <f t="shared" ca="1" si="16"/>
        <v>0</v>
      </c>
      <c r="AP8" s="214">
        <f t="shared" ca="1" si="16"/>
        <v>0</v>
      </c>
      <c r="AQ8" s="214">
        <f t="shared" ca="1" si="16"/>
        <v>1</v>
      </c>
      <c r="AR8" s="214">
        <f t="shared" ca="1" si="16"/>
        <v>1</v>
      </c>
      <c r="AS8" s="214">
        <f t="shared" ca="1" si="16"/>
        <v>2</v>
      </c>
      <c r="AT8" s="215">
        <f t="shared" ca="1" si="16"/>
        <v>-1</v>
      </c>
      <c r="AU8" s="403">
        <f ca="1">INDEX($DL$6:$DL$53,MATCH(AI8,$DP$6:$DP$53,0))</f>
        <v>1</v>
      </c>
      <c r="AV8" s="207" t="str">
        <f ca="1">INDEX($BD$6:$BD$53,MATCH(AI8,$BM$6:$BM$53,0))</f>
        <v>República Checa</v>
      </c>
      <c r="AW8" s="410">
        <v>3</v>
      </c>
      <c r="AX8" s="208"/>
      <c r="AY8" s="209" t="str">
        <f ca="1">+A7</f>
        <v>Corea del Sur</v>
      </c>
      <c r="AZ8" s="210"/>
      <c r="BA8" s="165"/>
      <c r="BB8" s="721"/>
      <c r="BC8" s="733" t="str">
        <f ca="1">+INDEX(T_Equipos[Grupo],MATCH(WORLDCUP!BD8,T_Equipos[NombreEquipo],0))</f>
        <v>A</v>
      </c>
      <c r="BD8" s="721" t="str">
        <f ca="1">+Equipos!B4</f>
        <v>Corea del Sur</v>
      </c>
      <c r="BE8" s="725">
        <f t="shared" ca="1" si="25"/>
        <v>3</v>
      </c>
      <c r="BF8" s="725">
        <f t="shared" ca="1" si="26"/>
        <v>1</v>
      </c>
      <c r="BG8" s="725">
        <f t="shared" ca="1" si="17"/>
        <v>1</v>
      </c>
      <c r="BH8" s="725">
        <f t="shared" ca="1" si="18"/>
        <v>0</v>
      </c>
      <c r="BI8" s="725">
        <f t="shared" ca="1" si="19"/>
        <v>0</v>
      </c>
      <c r="BJ8" s="725">
        <f t="shared" ca="1" si="20"/>
        <v>2</v>
      </c>
      <c r="BK8" s="725">
        <f t="shared" ca="1" si="21"/>
        <v>1</v>
      </c>
      <c r="BL8" s="725">
        <f t="shared" ca="1" si="27"/>
        <v>1</v>
      </c>
      <c r="BM8" s="725" t="str">
        <f t="shared" ca="1" si="22"/>
        <v>2A</v>
      </c>
      <c r="BN8" s="725" t="str">
        <f t="shared" ca="1" si="23"/>
        <v>2A</v>
      </c>
      <c r="BO8" s="734">
        <f t="shared" ca="1" si="28"/>
        <v>0</v>
      </c>
      <c r="BP8" s="734">
        <f ca="1">COUNTIFS($BO$6:$BO$53,"&gt;"&amp;BO8,$BC$6:$BC$53,INDEX(T_Equipos[Grupo],MATCH(BD8,T_Equipos[NombreEquipo],0)))+1</f>
        <v>1</v>
      </c>
      <c r="BQ8" s="734" t="str">
        <f ca="1">IF(COUNTIFS($BP$6:$BP$53,BP8,$BC$6:$BC$53,INDEX(T_Equipos[Grupo],MATCH(BD8,T_Equipos[NombreEquipo],0)))=1,"-","P."&amp;BP8&amp;" ("&amp;COUNTIFS($BP$6:$BP$53,BP8,$BC$6:$BC$53,INDEX(T_Equipos[Grupo],MATCH(BD8,T_Equipos[NombreEquipo],0)))&amp;")")</f>
        <v>P.1 (4)</v>
      </c>
      <c r="BR8" s="734">
        <f t="shared" ca="1" si="29"/>
        <v>3</v>
      </c>
      <c r="BS8" s="734">
        <f ca="1">BP8+COUNTIFS($BQ$6:$BQ$53,BQ8,$BR$6:BR$53,"&gt;"&amp;BR8,$BC$6:$BC$53,INDEX(T_Equipos[Grupo],MATCH(BD8,T_Equipos[NombreEquipo],0)))</f>
        <v>1</v>
      </c>
      <c r="BT8" s="734" t="str">
        <f ca="1">IF(COUNTIFS($BS$6:$BS$53,BS8,$BC$6:$BC$53,INDEX(T_Equipos[Grupo],MATCH(BD8,T_Equipos[NombreEquipo],0)))=1,"-","P."&amp;BS8&amp;" ("&amp;COUNTIFS($BS$6:$BS$53,BS8,$BC$6:$BC$53,INDEX(T_Equipos[Grupo],MATCH(BD8,T_Equipos[NombreEquipo],0)))&amp;")")</f>
        <v>P.1 (2)</v>
      </c>
      <c r="BU8" s="735">
        <f ca="1">IF($BT8="-","-",COUNTIFS(FGLocal,$BD8,Ganador,"Local",Part1Empate1V,$BT8)+COUNTIFS(FGVisitante,$BD8,Ganador,"Visitante",Part1Empate1L,$BT8))</f>
        <v>0</v>
      </c>
      <c r="BV8" s="735">
        <f ca="1">IF($BT8="-","-",COUNTIFS(FGLocal,$BD8,Ganador,"Empate",Part1Empate1V,$BT8)+COUNTIFS(FGVisitante,$BD8,Ganador,"Empate",Part1Empate1L,$BT8))</f>
        <v>0</v>
      </c>
      <c r="BW8" s="735">
        <f ca="1">IF($BT8="-","-",COUNTIFS(FGLocal,$BD8,Ganador,"Visitante",Part1Empate1V,$BT8)+COUNTIFS(FGVisitante,$BD8,Ganador,"Local",Part1Empate1L,$BT8))</f>
        <v>0</v>
      </c>
      <c r="BX8" s="735">
        <f ca="1">IF($BT8="-","-",BU8*3+BV8)</f>
        <v>0</v>
      </c>
      <c r="BY8" s="735">
        <f ca="1">BS8+COUNTIFS($BT$6:$BT$53,BT8,$BX$6:BX$53,"&gt;"&amp;BX8,$BC$6:$BC$53,INDEX(T_Equipos[Grupo],MATCH(BD8,T_Equipos[NombreEquipo],0)))</f>
        <v>1</v>
      </c>
      <c r="BZ8" s="734" t="str">
        <f ca="1">IF(COUNTIFS($BY$6:$BY$53,BY8,$BC$6:$BC$53,INDEX(T_Equipos[Grupo],MATCH(BD8,T_Equipos[NombreEquipo],0)))=1,"-","P."&amp;BY8&amp;" ("&amp;COUNTIFS($BY$6:$BY$53,BY8,$BC$6:$BC$53,INDEX(T_Equipos[Grupo],MATCH(BD8,T_Equipos[NombreEquipo],0)))&amp;")")</f>
        <v>P.1 (2)</v>
      </c>
      <c r="CA8" s="735">
        <f ca="1">IF($BZ8="-","-",SUMIFS(FG_GolesLocal,FGLocal,$BD8,Part1Empate2V,$BZ8)+SUMIFS(FG_GolesVisitante,FGVisitante,$BD8,Part1Empate2L,$BZ8))</f>
        <v>0</v>
      </c>
      <c r="CB8" s="735">
        <f ca="1">IF($BZ8="-","-",SUMIFS(FG_GolesVisitante,FGLocal,$BD8,Part1Empate2V,$BZ8)+SUMIFS(FG_GolesLocal,FGVisitante,$BD8,Part1Empate2L,$BZ8))</f>
        <v>0</v>
      </c>
      <c r="CC8" s="735">
        <f ca="1">IF($BZ8="-","-",CA8-CB8)</f>
        <v>0</v>
      </c>
      <c r="CD8" s="735">
        <f ca="1">BY8+COUNTIFS($BZ$6:$BZ$53,BZ8,$CC$6:CC$53,"&gt;"&amp;CC8,$BC$6:$BC$53,INDEX(T_Equipos[Grupo],MATCH(BD8,T_Equipos[NombreEquipo],0)))</f>
        <v>1</v>
      </c>
      <c r="CE8" s="734" t="str">
        <f ca="1">IF(COUNTIFS($CD$6:$CD$53,CD8,$BC$6:$BC$53,INDEX(T_Equipos[Grupo],MATCH(BD8,T_Equipos[NombreEquipo],0)))=1,"-","P."&amp;CD8&amp;" ("&amp;COUNTIFS($CD$6:$CD$53,CD8,$BC$6:$BC$53,INDEX(T_Equipos[Grupo],MATCH(BD8,T_Equipos[NombreEquipo],0)))&amp;")")</f>
        <v>P.1 (2)</v>
      </c>
      <c r="CF8" s="735">
        <f ca="1">IF($CE8="-","-",SUMIFS(FG_GolesLocal,FGLocal,$BD8,Part1Empate3V,$CE8)+SUMIFS(FG_GolesVisitante,FGVisitante,$BD8,Part1Empate3L,$CE8))</f>
        <v>0</v>
      </c>
      <c r="CG8" s="735">
        <f ca="1">CD8+COUNTIFS($CE$6:$CE$53,CE8,$CF$6:CF$53,"&gt;"&amp;CF8,$BC$6:$BC$53,INDEX(T_Equipos[Grupo],MATCH(BD8,T_Equipos[NombreEquipo],0)))</f>
        <v>1</v>
      </c>
      <c r="CH8" s="734" t="str">
        <f ca="1">IF(COUNTIFS($CG$6:$CG$53,CG8,$BC$6:$BC$53,INDEX(T_Equipos[Grupo],MATCH(BD8,T_Equipos[NombreEquipo],0)))=1,"-","P."&amp;CG8&amp;" ("&amp;COUNTIFS($CG$6:$CG$53,CG8,$BC$6:$BC$53,INDEX(T_Equipos[Grupo],MATCH(BD8,T_Equipos[NombreEquipo],0)))&amp;")")</f>
        <v>P.1 (2)</v>
      </c>
      <c r="CI8" s="735">
        <f ca="1">IF($CH8="-","-",COUNTIFS(FGLocal,$BD8,Ganador,"Local",Part2Empate4V,$CH8)+COUNTIFS(FGVisitante,$BD8,Ganador,"Visitante",Part2Empate4L,$CH8))</f>
        <v>0</v>
      </c>
      <c r="CJ8" s="735">
        <f ca="1">IF($CH8="-","-",COUNTIFS(FGLocal,$BD8,Ganador,"Empate",Part2Empate4V,$CH8)+COUNTIFS(FGVisitante,$BD8,Ganador,"Empate",Part2Empate4L,$CH8))</f>
        <v>0</v>
      </c>
      <c r="CK8" s="735">
        <f ca="1">IF($CH8="-","-",COUNTIFS(FGLocal,$BD8,Ganador,"Visitante",Part2Empate4V,$CH8)+COUNTIFS(FGVisitante,$BD8,Ganador,"Local",Part2Empate4L,$CH8))</f>
        <v>0</v>
      </c>
      <c r="CL8" s="735">
        <f ca="1">IF($CH8="-","-",CI8*3+CJ8)</f>
        <v>0</v>
      </c>
      <c r="CM8" s="735">
        <f ca="1">CG8+COUNTIFS($CH$6:$CH$53,CH8,$CL$6:CL$53,"&gt;"&amp;CL8,$BC$6:$BC$53,INDEX(T_Equipos[Grupo],MATCH(BD8,T_Equipos[NombreEquipo],0)))</f>
        <v>1</v>
      </c>
      <c r="CN8" s="734" t="str">
        <f ca="1">IF(COUNTIFS($CM$6:$CM$53,CM8,$BC$6:$BC$53,INDEX(T_Equipos[Grupo],MATCH(BD8,T_Equipos[NombreEquipo],0)))=1,"-","P."&amp;CM8&amp;" ("&amp;COUNTIFS($CM$6:$CM$53,CM8,$BC$6:$BC$53,INDEX(T_Equipos[Grupo],MATCH(BD8,T_Equipos[NombreEquipo],0)))&amp;")")</f>
        <v>P.1 (2)</v>
      </c>
      <c r="CO8" s="735">
        <f ca="1">IF($CN8="-","-",SUMIFS(FG_GolesLocal,FGLocal,$BD8,Part2Empate5V,$CN8)+SUMIFS(FG_GolesVisitante,FGVisitante,$BD8,Part2Empate5L,$CN8))</f>
        <v>0</v>
      </c>
      <c r="CP8" s="735">
        <f ca="1">IF($CN8="-","-",SUMIFS(FG_GolesVisitante,FGLocal,$BD8,Part2Empate5V,$CN8)+SUMIFS(FG_GolesLocal,FGVisitante,$BD8,Part2Empate5L,$CN8))</f>
        <v>0</v>
      </c>
      <c r="CQ8" s="735">
        <f ca="1">IF($CN8="-","-",CO8-CP8)</f>
        <v>0</v>
      </c>
      <c r="CR8" s="735">
        <f ca="1">CM8+COUNTIFS($CN$6:$CN$53,CN8,$CQ$6:CQ$53,"&gt;"&amp;CQ8,$BC$6:$BC$53,INDEX(T_Equipos[Grupo],MATCH(BD8,T_Equipos[NombreEquipo],0)))</f>
        <v>1</v>
      </c>
      <c r="CS8" s="734" t="str">
        <f ca="1">IF(COUNTIFS($CR$6:$CR$53,CR8,$BC$6:$BC$53,INDEX(T_Equipos[Grupo],MATCH(BD8,T_Equipos[NombreEquipo],0)))=1,"-","P."&amp;CR8&amp;" ("&amp;COUNTIFS($CR$6:$CR$53,CR8,$BC$6:$BC$53,INDEX(T_Equipos[Grupo],MATCH(BD8,T_Equipos[NombreEquipo],0)))&amp;")")</f>
        <v>P.1 (2)</v>
      </c>
      <c r="CT8" s="735">
        <f ca="1">IF($CS8="-","-",SUMIFS(FG_GolesLocal,FGLocal,$BD8,Part2Empate6V,$CS8)+SUMIFS(FG_GolesVisitante,FGVisitante,$BD8,Part2Empate6L,$CS8))</f>
        <v>0</v>
      </c>
      <c r="CU8" s="735">
        <f ca="1">CR8+COUNTIFS($CS$6:$CS$53,CS8,$CT$6:CT$53,"&gt;"&amp;CT8,$BC$6:$BC$53,INDEX(T_Equipos[Grupo],MATCH(BD8,T_Equipos[NombreEquipo],0)))</f>
        <v>1</v>
      </c>
      <c r="CV8" s="734" t="str">
        <f ca="1">IF(COUNTIFS($CU$6:$CU$53,CU8,$BC$6:$BC$53,INDEX(T_Equipos[Grupo],MATCH(BD8,T_Equipos[NombreEquipo],0)))=1,"-","P."&amp;CU8&amp;" ("&amp;COUNTIFS($CU$6:$CU$53,CU8,$BC$6:$BC$53,INDEX(T_Equipos[Grupo],MATCH(BD8,T_Equipos[NombreEquipo],0)))&amp;")")</f>
        <v>P.1 (2)</v>
      </c>
      <c r="CW8" s="734">
        <f t="shared" ca="1" si="30"/>
        <v>1</v>
      </c>
      <c r="CX8" s="734">
        <f ca="1">CU8+COUNTIFS($CV$6:$CV$53,CV8,$CW$6:CW$53,"&gt;"&amp;CW8,$BC$6:$BC$53,INDEX(T_Equipos[Grupo],MATCH(BD8,T_Equipos[NombreEquipo],0)))</f>
        <v>2</v>
      </c>
      <c r="CY8" s="734" t="str">
        <f ca="1">IF(COUNTIFS($CX$6:$CX$53,CX8,$BC$6:$BC$53,INDEX(T_Equipos[Grupo],MATCH(BD8,T_Equipos[NombreEquipo],0)))=1,"-","P."&amp;CX8&amp;" ("&amp;COUNTIFS($CX$6:$CX$53,CX8,$BC$6:$BC$53,INDEX(T_Equipos[Grupo],MATCH(BD8,T_Equipos[NombreEquipo],0)))&amp;")")</f>
        <v>-</v>
      </c>
      <c r="CZ8" s="734" t="str">
        <f t="shared" ca="1" si="31"/>
        <v>-</v>
      </c>
      <c r="DA8" s="735">
        <f ca="1">CX8+COUNTIFS($CY$6:$CY$53,CY8,$CZ$6:CZ$53,"&gt;"&amp;CZ8,$BC$6:$BC$53,INDEX(T_Equipos[Grupo],MATCH(BD8,T_Equipos[NombreEquipo],0)))</f>
        <v>2</v>
      </c>
      <c r="DB8" s="734" t="str">
        <f ca="1">IF(COUNTIFS($DA$6:$DA$53,DA8,$BC$6:$BC$53,INDEX(T_Equipos[Grupo],MATCH(BD8,T_Equipos[NombreEquipo],0)))=1,"-","P."&amp;DA8&amp;" ("&amp;COUNTIFS($DA$6:$DA$53,DA8,$BC$6:$BC$53,INDEX(T_Equipos[Grupo],MATCH(BD8,T_Equipos[NombreEquipo],0)))&amp;")")</f>
        <v>-</v>
      </c>
      <c r="DC8" s="733" t="str">
        <f ca="1">IF(DB8="-","-",COUNTIFS(T_Equipos[Rank],"&lt;"&amp;INDEX(T_Equipos[Rank],MATCH(BD8,T_Equipos[NombreEquipo],0)),$BC$6:$BC$53,INDEX(T_Equipos[Grupo],MATCH(BD8,T_Equipos[NombreEquipo],0)))+1)</f>
        <v>-</v>
      </c>
      <c r="DD8" s="733">
        <f ca="1">DA8+COUNTIFS($DB$6:$DB$53,DB8,$DC$6:DC$53,"&lt;"&amp;DC8,$BC$6:$BC$53,INDEX(T_Equipos[Grupo],MATCH(BD8,T_Equipos[NombreEquipo],0)))</f>
        <v>2</v>
      </c>
      <c r="DE8" s="733"/>
      <c r="DF8" s="733">
        <f t="shared" ca="1" si="32"/>
        <v>2</v>
      </c>
      <c r="DG8" s="733" t="str">
        <f ca="1">IF(DB8="-","-",COUNTIFS(DF$6:DF$53,"&lt;"&amp;DF8,$BC$6:$BC$53,INDEX(T_Equipos[Grupo],MATCH(BD8,T_Equipos[NombreEquipo],0))))</f>
        <v>-</v>
      </c>
      <c r="DH8" s="733">
        <f ca="1">DA8+COUNTIFS(DB$6:DB$53,DB8,DG$6:DG$53,"&lt;"&amp;DG8,$BC$6:$BC$53,INDEX(T_Equipos[Grupo],MATCH(BD8,T_Equipos[NombreEquipo],0)))</f>
        <v>2</v>
      </c>
      <c r="DI8" s="721"/>
      <c r="DJ8" s="721">
        <f ca="1">INDEX($DA$6:$DA$53,MATCH($DQ8,$BD$6:$BD$53,0))</f>
        <v>3</v>
      </c>
      <c r="DK8" s="721">
        <f t="shared" ca="1" si="24"/>
        <v>4</v>
      </c>
      <c r="DL8" s="721">
        <f t="shared" ca="1" si="33"/>
        <v>1</v>
      </c>
      <c r="DM8" s="715" t="str">
        <f t="shared" ca="1" si="34"/>
        <v>3.1</v>
      </c>
      <c r="DN8" s="721" cm="1">
        <f t="array" aca="1" ref="DN8" ca="1">OFFSET(Horarios!$P$3,DJ8-1,0,DL8,1)</f>
        <v>3</v>
      </c>
      <c r="DO8" s="721"/>
      <c r="DP8" s="721" t="s">
        <v>89</v>
      </c>
      <c r="DQ8" s="721" t="str">
        <f t="shared" ca="1" si="35"/>
        <v>República Checa</v>
      </c>
      <c r="DR8" s="721"/>
      <c r="DS8" s="721"/>
      <c r="DT8" s="721" t="str">
        <f t="shared" ca="1" si="15"/>
        <v>República Checa-México</v>
      </c>
      <c r="DU8" s="721"/>
      <c r="DV8" s="721"/>
      <c r="DW8" s="8"/>
    </row>
    <row r="9" spans="1:127" ht="18" customHeight="1" thickBot="1">
      <c r="A9" s="716"/>
      <c r="B9" s="719"/>
      <c r="C9" s="716"/>
      <c r="D9" s="721" t="str">
        <f t="shared" si="0"/>
        <v>Pendiente</v>
      </c>
      <c r="E9" s="721" t="str">
        <f t="shared" si="1"/>
        <v>-</v>
      </c>
      <c r="F9" s="721" t="str">
        <f t="shared" si="2"/>
        <v>-</v>
      </c>
      <c r="G9" s="721"/>
      <c r="H9" s="721" t="str">
        <f t="shared" si="3"/>
        <v>-</v>
      </c>
      <c r="I9" s="721" t="str">
        <f t="shared" si="4"/>
        <v>-</v>
      </c>
      <c r="J9" s="721"/>
      <c r="K9" s="721" t="str">
        <f t="shared" si="5"/>
        <v>-</v>
      </c>
      <c r="L9" s="721" t="str">
        <f t="shared" si="6"/>
        <v>-</v>
      </c>
      <c r="M9" s="721"/>
      <c r="N9" s="721" t="str">
        <f t="shared" si="7"/>
        <v>-</v>
      </c>
      <c r="O9" s="721" t="str">
        <f t="shared" si="8"/>
        <v>-</v>
      </c>
      <c r="P9" s="721"/>
      <c r="Q9" s="721" t="str">
        <f t="shared" si="9"/>
        <v>-</v>
      </c>
      <c r="R9" s="721" t="str">
        <f t="shared" si="10"/>
        <v>-</v>
      </c>
      <c r="S9" s="721"/>
      <c r="T9" s="721" t="str">
        <f t="shared" si="11"/>
        <v>-</v>
      </c>
      <c r="U9" s="721" t="str">
        <f t="shared" si="12"/>
        <v>-</v>
      </c>
      <c r="V9" s="162"/>
      <c r="W9" s="815"/>
      <c r="X9" s="218">
        <f ca="1">Horarios!C9</f>
        <v>46198.125</v>
      </c>
      <c r="Y9" s="219">
        <f ca="1">Horarios!C9</f>
        <v>46198.125</v>
      </c>
      <c r="Z9" s="220" t="str">
        <f>$Z$8</f>
        <v>J3</v>
      </c>
      <c r="AA9" s="221" t="str">
        <f ca="1">A6</f>
        <v>Sudáfrica</v>
      </c>
      <c r="AB9" s="460" t="str" cm="1">
        <f t="array" aca="1" ref="AB9" ca="1">Ver_flag_local</f>
        <v/>
      </c>
      <c r="AC9" s="222"/>
      <c r="AD9" s="223"/>
      <c r="AE9" s="463" t="str" cm="1">
        <f t="array" aca="1" ref="AE9" ca="1">Ver_flag_visit</f>
        <v/>
      </c>
      <c r="AF9" s="224" t="str">
        <f ca="1">A7</f>
        <v>Corea del Sur</v>
      </c>
      <c r="AG9" s="396">
        <f t="shared" si="13"/>
        <v>0</v>
      </c>
      <c r="AH9" s="186">
        <v>54</v>
      </c>
      <c r="AI9" s="15" t="str">
        <f>AJ9&amp;$B$4</f>
        <v>4A</v>
      </c>
      <c r="AJ9" s="225">
        <v>4</v>
      </c>
      <c r="AK9" s="471" t="str" cm="1">
        <f t="array" aca="1" ref="AK9" ca="1">Ver_flag_visit</f>
        <v/>
      </c>
      <c r="AL9" s="226" t="str">
        <f ca="1">IFERROR(INDEX($BD$6:$BD$53,MATCH(AI9,$BN$6:$BN$53,0)),"")</f>
        <v>Sudáfrica</v>
      </c>
      <c r="AM9" s="227">
        <f t="shared" ca="1" si="16"/>
        <v>0</v>
      </c>
      <c r="AN9" s="228">
        <f t="shared" ca="1" si="16"/>
        <v>1</v>
      </c>
      <c r="AO9" s="228">
        <f t="shared" ca="1" si="16"/>
        <v>0</v>
      </c>
      <c r="AP9" s="228">
        <f t="shared" ca="1" si="16"/>
        <v>0</v>
      </c>
      <c r="AQ9" s="228">
        <f t="shared" ca="1" si="16"/>
        <v>1</v>
      </c>
      <c r="AR9" s="228">
        <f t="shared" ca="1" si="16"/>
        <v>0</v>
      </c>
      <c r="AS9" s="228">
        <f t="shared" ca="1" si="16"/>
        <v>2</v>
      </c>
      <c r="AT9" s="229">
        <f t="shared" ca="1" si="16"/>
        <v>-2</v>
      </c>
      <c r="AU9" s="403">
        <f ca="1">INDEX($DL$6:$DL$53,MATCH(AI9,$DP$6:$DP$53,0))</f>
        <v>1</v>
      </c>
      <c r="AV9" s="207" t="str">
        <f ca="1">INDEX($BD$6:$BD$53,MATCH(AI9,$BM$6:$BM$53,0))</f>
        <v>Sudáfrica</v>
      </c>
      <c r="AW9" s="410">
        <v>4</v>
      </c>
      <c r="AX9" s="208"/>
      <c r="AY9" s="230" t="str">
        <f ca="1">+A8</f>
        <v>República Checa</v>
      </c>
      <c r="AZ9" s="231"/>
      <c r="BA9" s="165"/>
      <c r="BB9" s="721"/>
      <c r="BC9" s="733" t="str">
        <f ca="1">+INDEX(T_Equipos[Grupo],MATCH(WORLDCUP!BD9,T_Equipos[NombreEquipo],0))</f>
        <v>A</v>
      </c>
      <c r="BD9" s="721" t="str">
        <f ca="1">+Equipos!B5</f>
        <v>República Checa</v>
      </c>
      <c r="BE9" s="725">
        <f t="shared" ca="1" si="25"/>
        <v>0</v>
      </c>
      <c r="BF9" s="725">
        <f t="shared" ca="1" si="26"/>
        <v>1</v>
      </c>
      <c r="BG9" s="725">
        <f t="shared" ca="1" si="17"/>
        <v>0</v>
      </c>
      <c r="BH9" s="725">
        <f t="shared" ca="1" si="18"/>
        <v>0</v>
      </c>
      <c r="BI9" s="725">
        <f t="shared" ca="1" si="19"/>
        <v>1</v>
      </c>
      <c r="BJ9" s="725">
        <f t="shared" ca="1" si="20"/>
        <v>1</v>
      </c>
      <c r="BK9" s="725">
        <f t="shared" ca="1" si="21"/>
        <v>2</v>
      </c>
      <c r="BL9" s="725">
        <f t="shared" ca="1" si="27"/>
        <v>-1</v>
      </c>
      <c r="BM9" s="725" t="str">
        <f t="shared" ca="1" si="22"/>
        <v>3A</v>
      </c>
      <c r="BN9" s="725" t="str">
        <f t="shared" ca="1" si="23"/>
        <v>3A</v>
      </c>
      <c r="BO9" s="734">
        <f t="shared" ca="1" si="28"/>
        <v>0</v>
      </c>
      <c r="BP9" s="734">
        <f ca="1">COUNTIFS($BO$6:$BO$53,"&gt;"&amp;BO9,$BC$6:$BC$53,INDEX(T_Equipos[Grupo],MATCH(BD9,T_Equipos[NombreEquipo],0)))+1</f>
        <v>1</v>
      </c>
      <c r="BQ9" s="734" t="str">
        <f ca="1">IF(COUNTIFS($BP$6:$BP$53,BP9,$BC$6:$BC$53,INDEX(T_Equipos[Grupo],MATCH(BD9,T_Equipos[NombreEquipo],0)))=1,"-","P."&amp;BP9&amp;" ("&amp;COUNTIFS($BP$6:$BP$53,BP9,$BC$6:$BC$53,INDEX(T_Equipos[Grupo],MATCH(BD9,T_Equipos[NombreEquipo],0)))&amp;")")</f>
        <v>P.1 (4)</v>
      </c>
      <c r="BR9" s="734">
        <f t="shared" ca="1" si="29"/>
        <v>0</v>
      </c>
      <c r="BS9" s="734">
        <f ca="1">BP9+COUNTIFS($BQ$6:$BQ$53,BQ9,$BR$6:BR$53,"&gt;"&amp;BR9,$BC$6:$BC$53,INDEX(T_Equipos[Grupo],MATCH(BD9,T_Equipos[NombreEquipo],0)))</f>
        <v>3</v>
      </c>
      <c r="BT9" s="734" t="str">
        <f ca="1">IF(COUNTIFS($BS$6:$BS$53,BS9,$BC$6:$BC$53,INDEX(T_Equipos[Grupo],MATCH(BD9,T_Equipos[NombreEquipo],0)))=1,"-","P."&amp;BS9&amp;" ("&amp;COUNTIFS($BS$6:$BS$53,BS9,$BC$6:$BC$53,INDEX(T_Equipos[Grupo],MATCH(BD9,T_Equipos[NombreEquipo],0)))&amp;")")</f>
        <v>P.3 (2)</v>
      </c>
      <c r="BU9" s="735">
        <f ca="1">IF($BT9="-","-",COUNTIFS(FGLocal,$BD9,Ganador,"Local",Part1Empate1V,$BT9)+COUNTIFS(FGVisitante,$BD9,Ganador,"Visitante",Part1Empate1L,$BT9))</f>
        <v>0</v>
      </c>
      <c r="BV9" s="735">
        <f ca="1">IF($BT9="-","-",COUNTIFS(FGLocal,$BD9,Ganador,"Empate",Part1Empate1V,$BT9)+COUNTIFS(FGVisitante,$BD9,Ganador,"Empate",Part1Empate1L,$BT9))</f>
        <v>0</v>
      </c>
      <c r="BW9" s="735">
        <f ca="1">IF($BT9="-","-",COUNTIFS(FGLocal,$BD9,Ganador,"Visitante",Part1Empate1V,$BT9)+COUNTIFS(FGVisitante,$BD9,Ganador,"Local",Part1Empate1L,$BT9))</f>
        <v>0</v>
      </c>
      <c r="BX9" s="735">
        <f ca="1">IF($BT9="-","-",BU9*3+BV9)</f>
        <v>0</v>
      </c>
      <c r="BY9" s="735">
        <f ca="1">BS9+COUNTIFS($BT$6:$BT$53,BT9,$BX$6:BX$53,"&gt;"&amp;BX9,$BC$6:$BC$53,INDEX(T_Equipos[Grupo],MATCH(BD9,T_Equipos[NombreEquipo],0)))</f>
        <v>3</v>
      </c>
      <c r="BZ9" s="734" t="str">
        <f ca="1">IF(COUNTIFS($BY$6:$BY$53,BY9,$BC$6:$BC$53,INDEX(T_Equipos[Grupo],MATCH(BD9,T_Equipos[NombreEquipo],0)))=1,"-","P."&amp;BY9&amp;" ("&amp;COUNTIFS($BY$6:$BY$53,BY9,$BC$6:$BC$53,INDEX(T_Equipos[Grupo],MATCH(BD9,T_Equipos[NombreEquipo],0)))&amp;")")</f>
        <v>P.3 (2)</v>
      </c>
      <c r="CA9" s="735">
        <f ca="1">IF($BZ9="-","-",SUMIFS(FG_GolesLocal,FGLocal,$BD9,Part1Empate2V,$BZ9)+SUMIFS(FG_GolesVisitante,FGVisitante,$BD9,Part1Empate2L,$BZ9))</f>
        <v>0</v>
      </c>
      <c r="CB9" s="735">
        <f ca="1">IF($BZ9="-","-",SUMIFS(FG_GolesVisitante,FGLocal,$BD9,Part1Empate2V,$BZ9)+SUMIFS(FG_GolesLocal,FGVisitante,$BD9,Part1Empate2L,$BZ9))</f>
        <v>0</v>
      </c>
      <c r="CC9" s="735">
        <f ca="1">IF($BZ9="-","-",CA9-CB9)</f>
        <v>0</v>
      </c>
      <c r="CD9" s="735">
        <f ca="1">BY9+COUNTIFS($BZ$6:$BZ$53,BZ9,$CC$6:CC$53,"&gt;"&amp;CC9,$BC$6:$BC$53,INDEX(T_Equipos[Grupo],MATCH(BD9,T_Equipos[NombreEquipo],0)))</f>
        <v>3</v>
      </c>
      <c r="CE9" s="734" t="str">
        <f ca="1">IF(COUNTIFS($CD$6:$CD$53,CD9,$BC$6:$BC$53,INDEX(T_Equipos[Grupo],MATCH(BD9,T_Equipos[NombreEquipo],0)))=1,"-","P."&amp;CD9&amp;" ("&amp;COUNTIFS($CD$6:$CD$53,CD9,$BC$6:$BC$53,INDEX(T_Equipos[Grupo],MATCH(BD9,T_Equipos[NombreEquipo],0)))&amp;")")</f>
        <v>P.3 (2)</v>
      </c>
      <c r="CF9" s="735">
        <f ca="1">IF($CE9="-","-",SUMIFS(FG_GolesLocal,FGLocal,$BD9,Part1Empate3V,$CE9)+SUMIFS(FG_GolesVisitante,FGVisitante,$BD9,Part1Empate3L,$CE9))</f>
        <v>0</v>
      </c>
      <c r="CG9" s="735">
        <f ca="1">CD9+COUNTIFS($CE$6:$CE$53,CE9,$CF$6:CF$53,"&gt;"&amp;CF9,$BC$6:$BC$53,INDEX(T_Equipos[Grupo],MATCH(BD9,T_Equipos[NombreEquipo],0)))</f>
        <v>3</v>
      </c>
      <c r="CH9" s="734" t="str">
        <f ca="1">IF(COUNTIFS($CG$6:$CG$53,CG9,$BC$6:$BC$53,INDEX(T_Equipos[Grupo],MATCH(BD9,T_Equipos[NombreEquipo],0)))=1,"-","P."&amp;CG9&amp;" ("&amp;COUNTIFS($CG$6:$CG$53,CG9,$BC$6:$BC$53,INDEX(T_Equipos[Grupo],MATCH(BD9,T_Equipos[NombreEquipo],0)))&amp;")")</f>
        <v>P.3 (2)</v>
      </c>
      <c r="CI9" s="735">
        <f ca="1">IF($CH9="-","-",COUNTIFS(FGLocal,$BD9,Ganador,"Local",Part2Empate4V,$CH9)+COUNTIFS(FGVisitante,$BD9,Ganador,"Visitante",Part2Empate4L,$CH9))</f>
        <v>0</v>
      </c>
      <c r="CJ9" s="735">
        <f ca="1">IF($CH9="-","-",COUNTIFS(FGLocal,$BD9,Ganador,"Empate",Part2Empate4V,$CH9)+COUNTIFS(FGVisitante,$BD9,Ganador,"Empate",Part2Empate4L,$CH9))</f>
        <v>0</v>
      </c>
      <c r="CK9" s="735">
        <f ca="1">IF($CH9="-","-",COUNTIFS(FGLocal,$BD9,Ganador,"Visitante",Part2Empate4V,$CH9)+COUNTIFS(FGVisitante,$BD9,Ganador,"Local",Part2Empate4L,$CH9))</f>
        <v>0</v>
      </c>
      <c r="CL9" s="735">
        <f ca="1">IF($CH9="-","-",CI9*3+CJ9)</f>
        <v>0</v>
      </c>
      <c r="CM9" s="735">
        <f ca="1">CG9+COUNTIFS($CH$6:$CH$53,CH9,$CL$6:CL$53,"&gt;"&amp;CL9,$BC$6:$BC$53,INDEX(T_Equipos[Grupo],MATCH(BD9,T_Equipos[NombreEquipo],0)))</f>
        <v>3</v>
      </c>
      <c r="CN9" s="734" t="str">
        <f ca="1">IF(COUNTIFS($CM$6:$CM$53,CM9,$BC$6:$BC$53,INDEX(T_Equipos[Grupo],MATCH(BD9,T_Equipos[NombreEquipo],0)))=1,"-","P."&amp;CM9&amp;" ("&amp;COUNTIFS($CM$6:$CM$53,CM9,$BC$6:$BC$53,INDEX(T_Equipos[Grupo],MATCH(BD9,T_Equipos[NombreEquipo],0)))&amp;")")</f>
        <v>P.3 (2)</v>
      </c>
      <c r="CO9" s="735">
        <f ca="1">IF($CN9="-","-",SUMIFS(FG_GolesLocal,FGLocal,$BD9,Part2Empate5V,$CN9)+SUMIFS(FG_GolesVisitante,FGVisitante,$BD9,Part2Empate5L,$CN9))</f>
        <v>0</v>
      </c>
      <c r="CP9" s="735">
        <f ca="1">IF($CN9="-","-",SUMIFS(FG_GolesVisitante,FGLocal,$BD9,Part2Empate5V,$CN9)+SUMIFS(FG_GolesLocal,FGVisitante,$BD9,Part2Empate5L,$CN9))</f>
        <v>0</v>
      </c>
      <c r="CQ9" s="735">
        <f ca="1">IF($CN9="-","-",CO9-CP9)</f>
        <v>0</v>
      </c>
      <c r="CR9" s="735">
        <f ca="1">CM9+COUNTIFS($CN$6:$CN$53,CN9,$CQ$6:CQ$53,"&gt;"&amp;CQ9,$BC$6:$BC$53,INDEX(T_Equipos[Grupo],MATCH(BD9,T_Equipos[NombreEquipo],0)))</f>
        <v>3</v>
      </c>
      <c r="CS9" s="734" t="str">
        <f ca="1">IF(COUNTIFS($CR$6:$CR$53,CR9,$BC$6:$BC$53,INDEX(T_Equipos[Grupo],MATCH(BD9,T_Equipos[NombreEquipo],0)))=1,"-","P."&amp;CR9&amp;" ("&amp;COUNTIFS($CR$6:$CR$53,CR9,$BC$6:$BC$53,INDEX(T_Equipos[Grupo],MATCH(BD9,T_Equipos[NombreEquipo],0)))&amp;")")</f>
        <v>P.3 (2)</v>
      </c>
      <c r="CT9" s="735">
        <f ca="1">IF($CS9="-","-",SUMIFS(FG_GolesLocal,FGLocal,$BD9,Part2Empate6V,$CS9)+SUMIFS(FG_GolesVisitante,FGVisitante,$BD9,Part2Empate6L,$CS9))</f>
        <v>0</v>
      </c>
      <c r="CU9" s="735">
        <f ca="1">CR9+COUNTIFS($CS$6:$CS$53,CS9,$CT$6:CT$53,"&gt;"&amp;CT9,$BC$6:$BC$53,INDEX(T_Equipos[Grupo],MATCH(BD9,T_Equipos[NombreEquipo],0)))</f>
        <v>3</v>
      </c>
      <c r="CV9" s="734" t="str">
        <f ca="1">IF(COUNTIFS($CU$6:$CU$53,CU9,$BC$6:$BC$53,INDEX(T_Equipos[Grupo],MATCH(BD9,T_Equipos[NombreEquipo],0)))=1,"-","P."&amp;CU9&amp;" ("&amp;COUNTIFS($CU$6:$CU$53,CU9,$BC$6:$BC$53,INDEX(T_Equipos[Grupo],MATCH(BD9,T_Equipos[NombreEquipo],0)))&amp;")")</f>
        <v>P.3 (2)</v>
      </c>
      <c r="CW9" s="734">
        <f t="shared" ca="1" si="30"/>
        <v>-1</v>
      </c>
      <c r="CX9" s="734">
        <f ca="1">CU9+COUNTIFS($CV$6:$CV$53,CV9,$CW$6:CW$53,"&gt;"&amp;CW9,$BC$6:$BC$53,INDEX(T_Equipos[Grupo],MATCH(BD9,T_Equipos[NombreEquipo],0)))</f>
        <v>3</v>
      </c>
      <c r="CY9" s="734" t="str">
        <f ca="1">IF(COUNTIFS($CX$6:$CX$53,CX9,$BC$6:$BC$53,INDEX(T_Equipos[Grupo],MATCH(BD9,T_Equipos[NombreEquipo],0)))=1,"-","P."&amp;CX9&amp;" ("&amp;COUNTIFS($CX$6:$CX$53,CX9,$BC$6:$BC$53,INDEX(T_Equipos[Grupo],MATCH(BD9,T_Equipos[NombreEquipo],0)))&amp;")")</f>
        <v>-</v>
      </c>
      <c r="CZ9" s="734" t="str">
        <f t="shared" ca="1" si="31"/>
        <v>-</v>
      </c>
      <c r="DA9" s="735">
        <f ca="1">CX9+COUNTIFS($CY$6:$CY$53,CY9,$CZ$6:CZ$53,"&gt;"&amp;CZ9,$BC$6:$BC$53,INDEX(T_Equipos[Grupo],MATCH(BD9,T_Equipos[NombreEquipo],0)))</f>
        <v>3</v>
      </c>
      <c r="DB9" s="734" t="str">
        <f ca="1">IF(COUNTIFS($DA$6:$DA$53,DA9,$BC$6:$BC$53,INDEX(T_Equipos[Grupo],MATCH(BD9,T_Equipos[NombreEquipo],0)))=1,"-","P."&amp;DA9&amp;" ("&amp;COUNTIFS($DA$6:$DA$53,DA9,$BC$6:$BC$53,INDEX(T_Equipos[Grupo],MATCH(BD9,T_Equipos[NombreEquipo],0)))&amp;")")</f>
        <v>-</v>
      </c>
      <c r="DC9" s="733" t="str">
        <f ca="1">IF(DB9="-","-",COUNTIFS(T_Equipos[Rank],"&lt;"&amp;INDEX(T_Equipos[Rank],MATCH(BD9,T_Equipos[NombreEquipo],0)),$BC$6:$BC$53,INDEX(T_Equipos[Grupo],MATCH(BD9,T_Equipos[NombreEquipo],0)))+1)</f>
        <v>-</v>
      </c>
      <c r="DD9" s="733">
        <f ca="1">DA9+COUNTIFS($DB$6:$DB$53,DB9,$DC$6:DC$53,"&lt;"&amp;DC9,$BC$6:$BC$53,INDEX(T_Equipos[Grupo],MATCH(BD9,T_Equipos[NombreEquipo],0)))</f>
        <v>3</v>
      </c>
      <c r="DE9" s="733"/>
      <c r="DF9" s="733">
        <f t="shared" ca="1" si="32"/>
        <v>3</v>
      </c>
      <c r="DG9" s="733" t="str">
        <f ca="1">IF(DB9="-","-",COUNTIFS(DF$6:DF$53,"&lt;"&amp;DF9,$BC$6:$BC$53,INDEX(T_Equipos[Grupo],MATCH(BD9,T_Equipos[NombreEquipo],0))))</f>
        <v>-</v>
      </c>
      <c r="DH9" s="733">
        <f ca="1">DA9+COUNTIFS(DB$6:DB$53,DB9,DG$6:DG$53,"&lt;"&amp;DG9,$BC$6:$BC$53,INDEX(T_Equipos[Grupo],MATCH(BD9,T_Equipos[NombreEquipo],0)))</f>
        <v>3</v>
      </c>
      <c r="DI9" s="721"/>
      <c r="DJ9" s="721">
        <f ca="1">INDEX($DA$6:$DA$53,MATCH($DQ9,$BD$6:$BD$53,0))</f>
        <v>4</v>
      </c>
      <c r="DK9" s="721">
        <f t="shared" ca="1" si="24"/>
        <v>4</v>
      </c>
      <c r="DL9" s="721">
        <f t="shared" ca="1" si="33"/>
        <v>1</v>
      </c>
      <c r="DM9" s="715" t="str">
        <f t="shared" ca="1" si="34"/>
        <v>4.1</v>
      </c>
      <c r="DN9" s="721" cm="1">
        <f t="array" aca="1" ref="DN9" ca="1">OFFSET(Horarios!$P$3,DJ9-1,0,DL9,1)</f>
        <v>4</v>
      </c>
      <c r="DO9" s="721"/>
      <c r="DP9" s="721" t="s">
        <v>647</v>
      </c>
      <c r="DQ9" s="721" t="str">
        <f t="shared" ca="1" si="35"/>
        <v>Sudáfrica</v>
      </c>
      <c r="DR9" s="721"/>
      <c r="DS9" s="721"/>
      <c r="DT9" s="721" t="str">
        <f t="shared" ca="1" si="15"/>
        <v>Sudáfrica-Corea del Sur</v>
      </c>
      <c r="DU9" s="721"/>
      <c r="DV9" s="721"/>
      <c r="DW9" s="8"/>
    </row>
    <row r="10" spans="1:127" ht="15" customHeight="1" thickBot="1">
      <c r="A10" s="716"/>
      <c r="B10" s="719"/>
      <c r="C10" s="716"/>
      <c r="D10" s="721"/>
      <c r="E10" s="721"/>
      <c r="F10" s="721"/>
      <c r="G10" s="721"/>
      <c r="H10" s="721"/>
      <c r="I10" s="721"/>
      <c r="J10" s="721"/>
      <c r="K10" s="721"/>
      <c r="L10" s="721"/>
      <c r="M10" s="721"/>
      <c r="N10" s="721"/>
      <c r="O10" s="721"/>
      <c r="P10" s="721"/>
      <c r="Q10" s="721"/>
      <c r="R10" s="721"/>
      <c r="S10" s="721"/>
      <c r="T10" s="721"/>
      <c r="U10" s="721"/>
      <c r="V10" s="162"/>
      <c r="W10" s="232"/>
      <c r="X10" s="233"/>
      <c r="Y10" s="232"/>
      <c r="Z10" s="234"/>
      <c r="AA10" s="235"/>
      <c r="AB10" s="461"/>
      <c r="AC10" s="237"/>
      <c r="AD10" s="237"/>
      <c r="AE10" s="461"/>
      <c r="AF10" s="238"/>
      <c r="AG10" s="396"/>
      <c r="AH10" s="186"/>
      <c r="AI10" s="15"/>
      <c r="AJ10" s="239"/>
      <c r="AK10" s="240"/>
      <c r="AL10" s="176"/>
      <c r="AM10" s="241"/>
      <c r="AN10" s="239"/>
      <c r="AO10" s="239"/>
      <c r="AP10" s="239"/>
      <c r="AQ10" s="239"/>
      <c r="AR10" s="239"/>
      <c r="AS10" s="239"/>
      <c r="AT10" s="239"/>
      <c r="AU10" s="403"/>
      <c r="AV10" s="206"/>
      <c r="AW10" s="411"/>
      <c r="AX10" s="208"/>
      <c r="AY10" s="232"/>
      <c r="AZ10" s="233"/>
      <c r="BA10" s="165"/>
      <c r="BB10" s="721"/>
      <c r="BC10" s="733" t="str">
        <f ca="1">+INDEX(T_Equipos[Grupo],MATCH(WORLDCUP!BD10,T_Equipos[NombreEquipo],0))</f>
        <v>B</v>
      </c>
      <c r="BD10" s="721" t="str">
        <f ca="1">+Equipos!B6</f>
        <v>Canadá</v>
      </c>
      <c r="BE10" s="725">
        <f t="shared" ca="1" si="25"/>
        <v>0</v>
      </c>
      <c r="BF10" s="725">
        <f t="shared" ca="1" si="26"/>
        <v>0</v>
      </c>
      <c r="BG10" s="725">
        <f t="shared" ca="1" si="17"/>
        <v>0</v>
      </c>
      <c r="BH10" s="725">
        <f t="shared" ca="1" si="18"/>
        <v>0</v>
      </c>
      <c r="BI10" s="725">
        <f t="shared" ca="1" si="19"/>
        <v>0</v>
      </c>
      <c r="BJ10" s="725">
        <f t="shared" ca="1" si="20"/>
        <v>0</v>
      </c>
      <c r="BK10" s="725">
        <f t="shared" ca="1" si="21"/>
        <v>0</v>
      </c>
      <c r="BL10" s="725">
        <f t="shared" ca="1" si="27"/>
        <v>0</v>
      </c>
      <c r="BM10" s="725" t="str">
        <f t="shared" ca="1" si="22"/>
        <v>1B</v>
      </c>
      <c r="BN10" s="725" t="str">
        <f t="shared" ca="1" si="23"/>
        <v>1B</v>
      </c>
      <c r="BO10" s="735">
        <f t="shared" ca="1" si="28"/>
        <v>0</v>
      </c>
      <c r="BP10" s="734">
        <f ca="1">COUNTIFS($BO$6:$BO$53,"&gt;"&amp;BO10,$BC$6:$BC$53,INDEX(T_Equipos[Grupo],MATCH(BD10,T_Equipos[NombreEquipo],0)))+1</f>
        <v>1</v>
      </c>
      <c r="BQ10" s="734" t="str">
        <f ca="1">IF(COUNTIFS($BP$6:$BP$53,BP10,$BC$6:$BC$53,INDEX(T_Equipos[Grupo],MATCH(BD10,T_Equipos[NombreEquipo],0)))=1,"-","P."&amp;BP10&amp;" ("&amp;COUNTIFS($BP$6:$BP$53,BP10,$BC$6:$BC$53,INDEX(T_Equipos[Grupo],MATCH(BD10,T_Equipos[NombreEquipo],0)))&amp;")")</f>
        <v>P.1 (4)</v>
      </c>
      <c r="BR10" s="735">
        <f t="shared" ca="1" si="29"/>
        <v>0</v>
      </c>
      <c r="BS10" s="734">
        <f ca="1">BP10+COUNTIFS($BQ$6:$BQ$53,BQ10,$BR$6:BR$53,"&gt;"&amp;BR10,$BC$6:$BC$53,INDEX(T_Equipos[Grupo],MATCH(BD10,T_Equipos[NombreEquipo],0)))</f>
        <v>1</v>
      </c>
      <c r="BT10" s="734" t="str">
        <f ca="1">IF(COUNTIFS($BS$6:$BS$53,BS10,$BC$6:$BC$53,INDEX(T_Equipos[Grupo],MATCH(BD10,T_Equipos[NombreEquipo],0)))=1,"-","P."&amp;BS10&amp;" ("&amp;COUNTIFS($BS$6:$BS$53,BS10,$BC$6:$BC$53,INDEX(T_Equipos[Grupo],MATCH(BD10,T_Equipos[NombreEquipo],0)))&amp;")")</f>
        <v>P.1 (4)</v>
      </c>
      <c r="BU10" s="735">
        <f t="shared" ref="BU10:BU53" ca="1" si="36">IF($BT10="-","-",COUNTIFS(FGLocal,$BD10,Ganador,"Local",Part1Empate1V,$BT10)+COUNTIFS(FGVisitante,$BD10,Ganador,"Visitante",Part1Empate1L,$BT10))</f>
        <v>0</v>
      </c>
      <c r="BV10" s="735">
        <f t="shared" ref="BV10:BV53" ca="1" si="37">IF($BT10="-","-",COUNTIFS(FGLocal,$BD10,Ganador,"Empate",Part1Empate1V,$BT10)+COUNTIFS(FGVisitante,$BD10,Ganador,"Empate",Part1Empate1L,$BT10))</f>
        <v>0</v>
      </c>
      <c r="BW10" s="735">
        <f t="shared" ref="BW10:BW53" ca="1" si="38">IF($BT10="-","-",COUNTIFS(FGLocal,$BD10,Ganador,"Visitante",Part1Empate1V,$BT10)+COUNTIFS(FGVisitante,$BD10,Ganador,"Local",Part1Empate1L,$BT10))</f>
        <v>0</v>
      </c>
      <c r="BX10" s="735">
        <f t="shared" ref="BX10:BX53" ca="1" si="39">IF($BT10="-","-",BU10*3+BV10)</f>
        <v>0</v>
      </c>
      <c r="BY10" s="735">
        <f ca="1">BS10+COUNTIFS($BT$6:$BT$53,BT10,$BX$6:BX$53,"&gt;"&amp;BX10,$BC$6:$BC$53,INDEX(T_Equipos[Grupo],MATCH(BD10,T_Equipos[NombreEquipo],0)))</f>
        <v>1</v>
      </c>
      <c r="BZ10" s="734" t="str">
        <f ca="1">IF(COUNTIFS($BY$6:$BY$53,BY10,$BC$6:$BC$53,INDEX(T_Equipos[Grupo],MATCH(BD10,T_Equipos[NombreEquipo],0)))=1,"-","P."&amp;BY10&amp;" ("&amp;COUNTIFS($BY$6:$BY$53,BY10,$BC$6:$BC$53,INDEX(T_Equipos[Grupo],MATCH(BD10,T_Equipos[NombreEquipo],0)))&amp;")")</f>
        <v>P.1 (4)</v>
      </c>
      <c r="CA10" s="735">
        <f t="shared" ref="CA10:CA53" ca="1" si="40">IF($BZ10="-","-",SUMIFS(FG_GolesLocal,FGLocal,$BD10,Part1Empate2V,$BZ10)+SUMIFS(FG_GolesVisitante,FGVisitante,$BD10,Part1Empate2L,$BZ10))</f>
        <v>0</v>
      </c>
      <c r="CB10" s="735">
        <f t="shared" ref="CB10:CB53" ca="1" si="41">IF($BZ10="-","-",SUMIFS(FG_GolesVisitante,FGLocal,$BD10,Part1Empate2V,$BZ10)+SUMIFS(FG_GolesLocal,FGVisitante,$BD10,Part1Empate2L,$BZ10))</f>
        <v>0</v>
      </c>
      <c r="CC10" s="735">
        <f t="shared" ref="CC10:CC53" ca="1" si="42">IF($BZ10="-","-",CA10-CB10)</f>
        <v>0</v>
      </c>
      <c r="CD10" s="735">
        <f ca="1">BY10+COUNTIFS($BZ$6:$BZ$53,BZ10,$CC$6:CC$53,"&gt;"&amp;CC10,$BC$6:$BC$53,INDEX(T_Equipos[Grupo],MATCH(BD10,T_Equipos[NombreEquipo],0)))</f>
        <v>1</v>
      </c>
      <c r="CE10" s="734" t="str">
        <f ca="1">IF(COUNTIFS($CD$6:$CD$53,CD10,$BC$6:$BC$53,INDEX(T_Equipos[Grupo],MATCH(BD10,T_Equipos[NombreEquipo],0)))=1,"-","P."&amp;CD10&amp;" ("&amp;COUNTIFS($CD$6:$CD$53,CD10,$BC$6:$BC$53,INDEX(T_Equipos[Grupo],MATCH(BD10,T_Equipos[NombreEquipo],0)))&amp;")")</f>
        <v>P.1 (4)</v>
      </c>
      <c r="CF10" s="735">
        <f t="shared" ref="CF10:CF53" ca="1" si="43">IF($CE10="-","-",SUMIFS(FG_GolesLocal,FGLocal,$BD10,Part1Empate3V,$CE10)+SUMIFS(FG_GolesVisitante,FGVisitante,$BD10,Part1Empate3L,$CE10))</f>
        <v>0</v>
      </c>
      <c r="CG10" s="735">
        <f ca="1">CD10+COUNTIFS($CE$6:$CE$53,CE10,$CF$6:CF$53,"&gt;"&amp;CF10,$BC$6:$BC$53,INDEX(T_Equipos[Grupo],MATCH(BD10,T_Equipos[NombreEquipo],0)))</f>
        <v>1</v>
      </c>
      <c r="CH10" s="734" t="str">
        <f ca="1">IF(COUNTIFS($CG$6:$CG$53,CG10,$BC$6:$BC$53,INDEX(T_Equipos[Grupo],MATCH(BD10,T_Equipos[NombreEquipo],0)))=1,"-","P."&amp;CG10&amp;" ("&amp;COUNTIFS($CG$6:$CG$53,CG10,$BC$6:$BC$53,INDEX(T_Equipos[Grupo],MATCH(BD10,T_Equipos[NombreEquipo],0)))&amp;")")</f>
        <v>P.1 (4)</v>
      </c>
      <c r="CI10" s="735">
        <f t="shared" ref="CI10:CI53" ca="1" si="44">IF($CH10="-","-",COUNTIFS(FGLocal,$BD10,Ganador,"Local",Part2Empate4V,$CH10)+COUNTIFS(FGVisitante,$BD10,Ganador,"Visitante",Part2Empate4L,$CH10))</f>
        <v>0</v>
      </c>
      <c r="CJ10" s="735">
        <f t="shared" ref="CJ10:CJ53" ca="1" si="45">IF($CH10="-","-",COUNTIFS(FGLocal,$BD10,Ganador,"Empate",Part2Empate4V,$CH10)+COUNTIFS(FGVisitante,$BD10,Ganador,"Empate",Part2Empate4L,$CH10))</f>
        <v>0</v>
      </c>
      <c r="CK10" s="735">
        <f t="shared" ref="CK10:CK53" ca="1" si="46">IF($CH10="-","-",COUNTIFS(FGLocal,$BD10,Ganador,"Visitante",Part2Empate4V,$CH10)+COUNTIFS(FGVisitante,$BD10,Ganador,"Local",Part2Empate4L,$CH10))</f>
        <v>0</v>
      </c>
      <c r="CL10" s="735">
        <f t="shared" ref="CL10:CL53" ca="1" si="47">IF($CH10="-","-",CI10*3+CJ10)</f>
        <v>0</v>
      </c>
      <c r="CM10" s="735">
        <f ca="1">CG10+COUNTIFS($CH$6:$CH$53,CH10,$CL$6:CL$53,"&gt;"&amp;CL10,$BC$6:$BC$53,INDEX(T_Equipos[Grupo],MATCH(BD10,T_Equipos[NombreEquipo],0)))</f>
        <v>1</v>
      </c>
      <c r="CN10" s="734" t="str">
        <f ca="1">IF(COUNTIFS($CM$6:$CM$53,CM10,$BC$6:$BC$53,INDEX(T_Equipos[Grupo],MATCH(BD10,T_Equipos[NombreEquipo],0)))=1,"-","P."&amp;CM10&amp;" ("&amp;COUNTIFS($CM$6:$CM$53,CM10,$BC$6:$BC$53,INDEX(T_Equipos[Grupo],MATCH(BD10,T_Equipos[NombreEquipo],0)))&amp;")")</f>
        <v>P.1 (4)</v>
      </c>
      <c r="CO10" s="735">
        <f t="shared" ref="CO10:CO53" ca="1" si="48">IF($CN10="-","-",SUMIFS(FG_GolesLocal,FGLocal,$BD10,Part2Empate5V,$CN10)+SUMIFS(FG_GolesVisitante,FGVisitante,$BD10,Part2Empate5L,$CN10))</f>
        <v>0</v>
      </c>
      <c r="CP10" s="735">
        <f t="shared" ref="CP10:CP53" ca="1" si="49">IF($CN10="-","-",SUMIFS(FG_GolesVisitante,FGLocal,$BD10,Part2Empate5V,$CN10)+SUMIFS(FG_GolesLocal,FGVisitante,$BD10,Part2Empate5L,$CN10))</f>
        <v>0</v>
      </c>
      <c r="CQ10" s="735">
        <f t="shared" ref="CQ10:CQ53" ca="1" si="50">IF($CN10="-","-",CO10-CP10)</f>
        <v>0</v>
      </c>
      <c r="CR10" s="735">
        <f ca="1">CM10+COUNTIFS($CN$6:$CN$53,CN10,$CQ$6:CQ$53,"&gt;"&amp;CQ10,$BC$6:$BC$53,INDEX(T_Equipos[Grupo],MATCH(BD10,T_Equipos[NombreEquipo],0)))</f>
        <v>1</v>
      </c>
      <c r="CS10" s="734" t="str">
        <f ca="1">IF(COUNTIFS($CR$6:$CR$53,CR10,$BC$6:$BC$53,INDEX(T_Equipos[Grupo],MATCH(BD10,T_Equipos[NombreEquipo],0)))=1,"-","P."&amp;CR10&amp;" ("&amp;COUNTIFS($CR$6:$CR$53,CR10,$BC$6:$BC$53,INDEX(T_Equipos[Grupo],MATCH(BD10,T_Equipos[NombreEquipo],0)))&amp;")")</f>
        <v>P.1 (4)</v>
      </c>
      <c r="CT10" s="735">
        <f t="shared" ref="CT10:CT53" ca="1" si="51">IF($CS10="-","-",SUMIFS(FG_GolesLocal,FGLocal,$BD10,Part2Empate6V,$CS10)+SUMIFS(FG_GolesVisitante,FGVisitante,$BD10,Part2Empate6L,$CS10))</f>
        <v>0</v>
      </c>
      <c r="CU10" s="735">
        <f ca="1">CR10+COUNTIFS($CS$6:$CS$53,CS10,$CT$6:CT$53,"&gt;"&amp;CT10,$BC$6:$BC$53,INDEX(T_Equipos[Grupo],MATCH(BD10,T_Equipos[NombreEquipo],0)))</f>
        <v>1</v>
      </c>
      <c r="CV10" s="734" t="str">
        <f ca="1">IF(COUNTIFS($CU$6:$CU$53,CU10,$BC$6:$BC$53,INDEX(T_Equipos[Grupo],MATCH(BD10,T_Equipos[NombreEquipo],0)))=1,"-","P."&amp;CU10&amp;" ("&amp;COUNTIFS($CU$6:$CU$53,CU10,$BC$6:$BC$53,INDEX(T_Equipos[Grupo],MATCH(BD10,T_Equipos[NombreEquipo],0)))&amp;")")</f>
        <v>P.1 (4)</v>
      </c>
      <c r="CW10" s="734">
        <f t="shared" ca="1" si="30"/>
        <v>0</v>
      </c>
      <c r="CX10" s="734">
        <f ca="1">CU10+COUNTIFS($CV$6:$CV$53,CV10,$CW$6:CW$53,"&gt;"&amp;CW10,$BC$6:$BC$53,INDEX(T_Equipos[Grupo],MATCH(BD10,T_Equipos[NombreEquipo],0)))</f>
        <v>1</v>
      </c>
      <c r="CY10" s="734" t="str">
        <f ca="1">IF(COUNTIFS($CX$6:$CX$53,CX10,$BC$6:$BC$53,INDEX(T_Equipos[Grupo],MATCH(BD10,T_Equipos[NombreEquipo],0)))=1,"-","P."&amp;CX10&amp;" ("&amp;COUNTIFS($CX$6:$CX$53,CX10,$BC$6:$BC$53,INDEX(T_Equipos[Grupo],MATCH(BD10,T_Equipos[NombreEquipo],0)))&amp;")")</f>
        <v>P.1 (4)</v>
      </c>
      <c r="CZ10" s="734">
        <f t="shared" ca="1" si="31"/>
        <v>0</v>
      </c>
      <c r="DA10" s="735">
        <f ca="1">CX10+COUNTIFS($CY$6:$CY$53,CY10,$CZ$6:CZ$53,"&gt;"&amp;CZ10,$BC$6:$BC$53,INDEX(T_Equipos[Grupo],MATCH(BD10,T_Equipos[NombreEquipo],0)))</f>
        <v>1</v>
      </c>
      <c r="DB10" s="734" t="str">
        <f ca="1">IF(COUNTIFS($DA$6:$DA$53,DA10,$BC$6:$BC$53,INDEX(T_Equipos[Grupo],MATCH(BD10,T_Equipos[NombreEquipo],0)))=1,"-","P."&amp;DA10&amp;" ("&amp;COUNTIFS($DA$6:$DA$53,DA10,$BC$6:$BC$53,INDEX(T_Equipos[Grupo],MATCH(BD10,T_Equipos[NombreEquipo],0)))&amp;")")</f>
        <v>P.1 (4)</v>
      </c>
      <c r="DC10" s="733">
        <f ca="1">IF(DB10="-","-",COUNTIFS(T_Equipos[Rank],"&lt;"&amp;INDEX(T_Equipos[Rank],MATCH(BD10,T_Equipos[NombreEquipo],0)),$BC$6:$BC$53,INDEX(T_Equipos[Grupo],MATCH(BD10,T_Equipos[NombreEquipo],0)))+1)</f>
        <v>1</v>
      </c>
      <c r="DD10" s="733">
        <f ca="1">DA10+COUNTIFS($DB$6:$DB$53,DB10,$DC$6:DC$53,"&lt;"&amp;DC10,$BC$6:$BC$53,INDEX(T_Equipos[Grupo],MATCH(BD10,T_Equipos[NombreEquipo],0)))</f>
        <v>1</v>
      </c>
      <c r="DE10" s="733"/>
      <c r="DF10" s="733">
        <f t="shared" ref="DF10:DF53" ca="1" si="52">IF(OR(INDEX($AW$6:$AW$97,MATCH($BD10,$AV$6:$AV$97,0))="",DB10="-"),DD10,INDEX($AW$6:$AW$97,MATCH($BD10,$AV$6:$AV$97,0))+DD10/1000)</f>
        <v>1</v>
      </c>
      <c r="DG10" s="733">
        <f ca="1">IF(DB10="-","-",COUNTIFS(DF$6:DF$53,"&lt;"&amp;DF10,$BC$6:$BC$53,INDEX(T_Equipos[Grupo],MATCH(BD10,T_Equipos[NombreEquipo],0))))</f>
        <v>0</v>
      </c>
      <c r="DH10" s="733">
        <f ca="1">DA10+COUNTIFS(DB$6:DB$53,DB10,DG$6:DG$53,"&lt;"&amp;DG10,$BC$6:$BC$53,INDEX(T_Equipos[Grupo],MATCH(BD10,T_Equipos[NombreEquipo],0)))</f>
        <v>1</v>
      </c>
      <c r="DI10" s="721"/>
      <c r="DJ10" s="721">
        <f t="shared" ref="DJ10:DJ53" ca="1" si="53">INDEX($DA$6:$DA$53,MATCH($DQ10,$BD$6:$BD$53,0))</f>
        <v>1</v>
      </c>
      <c r="DK10" s="721">
        <f t="shared" ca="1" si="24"/>
        <v>0</v>
      </c>
      <c r="DL10" s="721">
        <f t="shared" ca="1" si="33"/>
        <v>1</v>
      </c>
      <c r="DM10" s="715" t="str">
        <f t="shared" ca="1" si="34"/>
        <v>1.1</v>
      </c>
      <c r="DN10" s="721" cm="1">
        <f t="array" aca="1" ref="DN10" ca="1">OFFSET(Horarios!$P$3,DJ10-1,0,DL10,1)</f>
        <v>1</v>
      </c>
      <c r="DO10" s="721"/>
      <c r="DP10" s="721" t="s">
        <v>648</v>
      </c>
      <c r="DQ10" s="721" t="str">
        <f t="shared" ca="1" si="35"/>
        <v>Canadá</v>
      </c>
      <c r="DR10" s="721"/>
      <c r="DS10" s="721"/>
      <c r="DT10" s="721" t="str">
        <f t="shared" si="15"/>
        <v>-</v>
      </c>
      <c r="DU10" s="721"/>
      <c r="DV10" s="721"/>
      <c r="DW10" s="8"/>
    </row>
    <row r="11" spans="1:127" ht="15.95" customHeight="1" thickBot="1">
      <c r="A11" s="716"/>
      <c r="B11" s="719"/>
      <c r="C11" s="716"/>
      <c r="D11" s="716"/>
      <c r="E11" s="716"/>
      <c r="F11" s="716"/>
      <c r="G11" s="716"/>
      <c r="H11" s="716"/>
      <c r="I11" s="716"/>
      <c r="J11" s="716"/>
      <c r="K11" s="716"/>
      <c r="L11" s="716"/>
      <c r="M11" s="716"/>
      <c r="N11" s="721"/>
      <c r="O11" s="721"/>
      <c r="P11" s="721"/>
      <c r="Q11" s="721"/>
      <c r="R11" s="721"/>
      <c r="S11" s="721"/>
      <c r="T11" s="721"/>
      <c r="U11" s="721"/>
      <c r="V11" s="162"/>
      <c r="W11" s="169"/>
      <c r="X11" s="170" t="str">
        <f>X3</f>
        <v>Fecha</v>
      </c>
      <c r="Y11" s="170" t="str">
        <f>Y3</f>
        <v>Hora</v>
      </c>
      <c r="Z11" s="171" t="str">
        <f>Z3</f>
        <v>Jor.</v>
      </c>
      <c r="AA11" s="172" t="str">
        <f>AA3</f>
        <v>Casa</v>
      </c>
      <c r="AB11" s="171"/>
      <c r="AC11" s="171" t="str">
        <f>AC3</f>
        <v>Gol</v>
      </c>
      <c r="AD11" s="171" t="str">
        <f>AD3</f>
        <v>Gol</v>
      </c>
      <c r="AE11" s="171"/>
      <c r="AF11" s="174" t="str">
        <f>AF3</f>
        <v>Fuera</v>
      </c>
      <c r="AG11" s="397"/>
      <c r="AH11" s="186"/>
      <c r="AI11" s="14"/>
      <c r="AJ11" s="176"/>
      <c r="AK11" s="242"/>
      <c r="AL11" s="176"/>
      <c r="AM11" s="176"/>
      <c r="AN11" s="176"/>
      <c r="AO11" s="176"/>
      <c r="AP11" s="176"/>
      <c r="AQ11" s="176"/>
      <c r="AR11" s="176"/>
      <c r="AS11" s="176"/>
      <c r="AT11" s="176"/>
      <c r="AU11" s="404"/>
      <c r="AV11" s="18"/>
      <c r="AW11" s="412"/>
      <c r="AX11" s="243"/>
      <c r="AY11" s="232"/>
      <c r="AZ11" s="233"/>
      <c r="BA11" s="165"/>
      <c r="BB11" s="721"/>
      <c r="BC11" s="733" t="str">
        <f ca="1">+INDEX(T_Equipos[Grupo],MATCH(WORLDCUP!BD11,T_Equipos[NombreEquipo],0))</f>
        <v>B</v>
      </c>
      <c r="BD11" s="721" t="str">
        <f ca="1">+Equipos!B7</f>
        <v>Bosnia y Herzegovina</v>
      </c>
      <c r="BE11" s="725">
        <f t="shared" ca="1" si="25"/>
        <v>0</v>
      </c>
      <c r="BF11" s="725">
        <f t="shared" ca="1" si="26"/>
        <v>0</v>
      </c>
      <c r="BG11" s="725">
        <f t="shared" ca="1" si="17"/>
        <v>0</v>
      </c>
      <c r="BH11" s="725">
        <f t="shared" ca="1" si="18"/>
        <v>0</v>
      </c>
      <c r="BI11" s="725">
        <f t="shared" ca="1" si="19"/>
        <v>0</v>
      </c>
      <c r="BJ11" s="725">
        <f t="shared" ca="1" si="20"/>
        <v>0</v>
      </c>
      <c r="BK11" s="725">
        <f t="shared" ca="1" si="21"/>
        <v>0</v>
      </c>
      <c r="BL11" s="725">
        <f t="shared" ca="1" si="27"/>
        <v>0</v>
      </c>
      <c r="BM11" s="725" t="str">
        <f t="shared" ca="1" si="22"/>
        <v>2B</v>
      </c>
      <c r="BN11" s="725" t="str">
        <f t="shared" ca="1" si="23"/>
        <v>2B</v>
      </c>
      <c r="BO11" s="735">
        <f t="shared" ca="1" si="28"/>
        <v>0</v>
      </c>
      <c r="BP11" s="734">
        <f ca="1">COUNTIFS($BO$6:$BO$53,"&gt;"&amp;BO11,$BC$6:$BC$53,INDEX(T_Equipos[Grupo],MATCH(BD11,T_Equipos[NombreEquipo],0)))+1</f>
        <v>1</v>
      </c>
      <c r="BQ11" s="734" t="str">
        <f ca="1">IF(COUNTIFS($BP$6:$BP$53,BP11,$BC$6:$BC$53,INDEX(T_Equipos[Grupo],MATCH(BD11,T_Equipos[NombreEquipo],0)))=1,"-","P."&amp;BP11&amp;" ("&amp;COUNTIFS($BP$6:$BP$53,BP11,$BC$6:$BC$53,INDEX(T_Equipos[Grupo],MATCH(BD11,T_Equipos[NombreEquipo],0)))&amp;")")</f>
        <v>P.1 (4)</v>
      </c>
      <c r="BR11" s="735">
        <f t="shared" ca="1" si="29"/>
        <v>0</v>
      </c>
      <c r="BS11" s="734">
        <f ca="1">BP11+COUNTIFS($BQ$6:$BQ$53,BQ11,$BR$6:BR$53,"&gt;"&amp;BR11,$BC$6:$BC$53,INDEX(T_Equipos[Grupo],MATCH(BD11,T_Equipos[NombreEquipo],0)))</f>
        <v>1</v>
      </c>
      <c r="BT11" s="734" t="str">
        <f ca="1">IF(COUNTIFS($BS$6:$BS$53,BS11,$BC$6:$BC$53,INDEX(T_Equipos[Grupo],MATCH(BD11,T_Equipos[NombreEquipo],0)))=1,"-","P."&amp;BS11&amp;" ("&amp;COUNTIFS($BS$6:$BS$53,BS11,$BC$6:$BC$53,INDEX(T_Equipos[Grupo],MATCH(BD11,T_Equipos[NombreEquipo],0)))&amp;")")</f>
        <v>P.1 (4)</v>
      </c>
      <c r="BU11" s="735">
        <f t="shared" ca="1" si="36"/>
        <v>0</v>
      </c>
      <c r="BV11" s="735">
        <f t="shared" ca="1" si="37"/>
        <v>0</v>
      </c>
      <c r="BW11" s="735">
        <f t="shared" ca="1" si="38"/>
        <v>0</v>
      </c>
      <c r="BX11" s="735">
        <f t="shared" ca="1" si="39"/>
        <v>0</v>
      </c>
      <c r="BY11" s="735">
        <f ca="1">BS11+COUNTIFS($BT$6:$BT$53,BT11,$BX$6:BX$53,"&gt;"&amp;BX11,$BC$6:$BC$53,INDEX(T_Equipos[Grupo],MATCH(BD11,T_Equipos[NombreEquipo],0)))</f>
        <v>1</v>
      </c>
      <c r="BZ11" s="734" t="str">
        <f ca="1">IF(COUNTIFS($BY$6:$BY$53,BY11,$BC$6:$BC$53,INDEX(T_Equipos[Grupo],MATCH(BD11,T_Equipos[NombreEquipo],0)))=1,"-","P."&amp;BY11&amp;" ("&amp;COUNTIFS($BY$6:$BY$53,BY11,$BC$6:$BC$53,INDEX(T_Equipos[Grupo],MATCH(BD11,T_Equipos[NombreEquipo],0)))&amp;")")</f>
        <v>P.1 (4)</v>
      </c>
      <c r="CA11" s="735">
        <f t="shared" ca="1" si="40"/>
        <v>0</v>
      </c>
      <c r="CB11" s="735">
        <f t="shared" ca="1" si="41"/>
        <v>0</v>
      </c>
      <c r="CC11" s="735">
        <f t="shared" ca="1" si="42"/>
        <v>0</v>
      </c>
      <c r="CD11" s="735">
        <f ca="1">BY11+COUNTIFS($BZ$6:$BZ$53,BZ11,$CC$6:CC$53,"&gt;"&amp;CC11,$BC$6:$BC$53,INDEX(T_Equipos[Grupo],MATCH(BD11,T_Equipos[NombreEquipo],0)))</f>
        <v>1</v>
      </c>
      <c r="CE11" s="734" t="str">
        <f ca="1">IF(COUNTIFS($CD$6:$CD$53,CD11,$BC$6:$BC$53,INDEX(T_Equipos[Grupo],MATCH(BD11,T_Equipos[NombreEquipo],0)))=1,"-","P."&amp;CD11&amp;" ("&amp;COUNTIFS($CD$6:$CD$53,CD11,$BC$6:$BC$53,INDEX(T_Equipos[Grupo],MATCH(BD11,T_Equipos[NombreEquipo],0)))&amp;")")</f>
        <v>P.1 (4)</v>
      </c>
      <c r="CF11" s="735">
        <f t="shared" ca="1" si="43"/>
        <v>0</v>
      </c>
      <c r="CG11" s="735">
        <f ca="1">CD11+COUNTIFS($CE$6:$CE$53,CE11,$CF$6:CF$53,"&gt;"&amp;CF11,$BC$6:$BC$53,INDEX(T_Equipos[Grupo],MATCH(BD11,T_Equipos[NombreEquipo],0)))</f>
        <v>1</v>
      </c>
      <c r="CH11" s="734" t="str">
        <f ca="1">IF(COUNTIFS($CG$6:$CG$53,CG11,$BC$6:$BC$53,INDEX(T_Equipos[Grupo],MATCH(BD11,T_Equipos[NombreEquipo],0)))=1,"-","P."&amp;CG11&amp;" ("&amp;COUNTIFS($CG$6:$CG$53,CG11,$BC$6:$BC$53,INDEX(T_Equipos[Grupo],MATCH(BD11,T_Equipos[NombreEquipo],0)))&amp;")")</f>
        <v>P.1 (4)</v>
      </c>
      <c r="CI11" s="735">
        <f t="shared" ca="1" si="44"/>
        <v>0</v>
      </c>
      <c r="CJ11" s="735">
        <f t="shared" ca="1" si="45"/>
        <v>0</v>
      </c>
      <c r="CK11" s="735">
        <f t="shared" ca="1" si="46"/>
        <v>0</v>
      </c>
      <c r="CL11" s="735">
        <f t="shared" ca="1" si="47"/>
        <v>0</v>
      </c>
      <c r="CM11" s="735">
        <f ca="1">CG11+COUNTIFS($CH$6:$CH$53,CH11,$CL$6:CL$53,"&gt;"&amp;CL11,$BC$6:$BC$53,INDEX(T_Equipos[Grupo],MATCH(BD11,T_Equipos[NombreEquipo],0)))</f>
        <v>1</v>
      </c>
      <c r="CN11" s="734" t="str">
        <f ca="1">IF(COUNTIFS($CM$6:$CM$53,CM11,$BC$6:$BC$53,INDEX(T_Equipos[Grupo],MATCH(BD11,T_Equipos[NombreEquipo],0)))=1,"-","P."&amp;CM11&amp;" ("&amp;COUNTIFS($CM$6:$CM$53,CM11,$BC$6:$BC$53,INDEX(T_Equipos[Grupo],MATCH(BD11,T_Equipos[NombreEquipo],0)))&amp;")")</f>
        <v>P.1 (4)</v>
      </c>
      <c r="CO11" s="735">
        <f t="shared" ca="1" si="48"/>
        <v>0</v>
      </c>
      <c r="CP11" s="735">
        <f t="shared" ca="1" si="49"/>
        <v>0</v>
      </c>
      <c r="CQ11" s="735">
        <f t="shared" ca="1" si="50"/>
        <v>0</v>
      </c>
      <c r="CR11" s="735">
        <f ca="1">CM11+COUNTIFS($CN$6:$CN$53,CN11,$CQ$6:CQ$53,"&gt;"&amp;CQ11,$BC$6:$BC$53,INDEX(T_Equipos[Grupo],MATCH(BD11,T_Equipos[NombreEquipo],0)))</f>
        <v>1</v>
      </c>
      <c r="CS11" s="734" t="str">
        <f ca="1">IF(COUNTIFS($CR$6:$CR$53,CR11,$BC$6:$BC$53,INDEX(T_Equipos[Grupo],MATCH(BD11,T_Equipos[NombreEquipo],0)))=1,"-","P."&amp;CR11&amp;" ("&amp;COUNTIFS($CR$6:$CR$53,CR11,$BC$6:$BC$53,INDEX(T_Equipos[Grupo],MATCH(BD11,T_Equipos[NombreEquipo],0)))&amp;")")</f>
        <v>P.1 (4)</v>
      </c>
      <c r="CT11" s="735">
        <f t="shared" ca="1" si="51"/>
        <v>0</v>
      </c>
      <c r="CU11" s="735">
        <f ca="1">CR11+COUNTIFS($CS$6:$CS$53,CS11,$CT$6:CT$53,"&gt;"&amp;CT11,$BC$6:$BC$53,INDEX(T_Equipos[Grupo],MATCH(BD11,T_Equipos[NombreEquipo],0)))</f>
        <v>1</v>
      </c>
      <c r="CV11" s="734" t="str">
        <f ca="1">IF(COUNTIFS($CU$6:$CU$53,CU11,$BC$6:$BC$53,INDEX(T_Equipos[Grupo],MATCH(BD11,T_Equipos[NombreEquipo],0)))=1,"-","P."&amp;CU11&amp;" ("&amp;COUNTIFS($CU$6:$CU$53,CU11,$BC$6:$BC$53,INDEX(T_Equipos[Grupo],MATCH(BD11,T_Equipos[NombreEquipo],0)))&amp;")")</f>
        <v>P.1 (4)</v>
      </c>
      <c r="CW11" s="734">
        <f t="shared" ca="1" si="30"/>
        <v>0</v>
      </c>
      <c r="CX11" s="734">
        <f ca="1">CU11+COUNTIFS($CV$6:$CV$53,CV11,$CW$6:CW$53,"&gt;"&amp;CW11,$BC$6:$BC$53,INDEX(T_Equipos[Grupo],MATCH(BD11,T_Equipos[NombreEquipo],0)))</f>
        <v>1</v>
      </c>
      <c r="CY11" s="734" t="str">
        <f ca="1">IF(COUNTIFS($CX$6:$CX$53,CX11,$BC$6:$BC$53,INDEX(T_Equipos[Grupo],MATCH(BD11,T_Equipos[NombreEquipo],0)))=1,"-","P."&amp;CX11&amp;" ("&amp;COUNTIFS($CX$6:$CX$53,CX11,$BC$6:$BC$53,INDEX(T_Equipos[Grupo],MATCH(BD11,T_Equipos[NombreEquipo],0)))&amp;")")</f>
        <v>P.1 (4)</v>
      </c>
      <c r="CZ11" s="734">
        <f t="shared" ca="1" si="31"/>
        <v>0</v>
      </c>
      <c r="DA11" s="735">
        <f ca="1">CX11+COUNTIFS($CY$6:$CY$53,CY11,$CZ$6:CZ$53,"&gt;"&amp;CZ11,$BC$6:$BC$53,INDEX(T_Equipos[Grupo],MATCH(BD11,T_Equipos[NombreEquipo],0)))</f>
        <v>1</v>
      </c>
      <c r="DB11" s="734" t="str">
        <f ca="1">IF(COUNTIFS($DA$6:$DA$53,DA11,$BC$6:$BC$53,INDEX(T_Equipos[Grupo],MATCH(BD11,T_Equipos[NombreEquipo],0)))=1,"-","P."&amp;DA11&amp;" ("&amp;COUNTIFS($DA$6:$DA$53,DA11,$BC$6:$BC$53,INDEX(T_Equipos[Grupo],MATCH(BD11,T_Equipos[NombreEquipo],0)))&amp;")")</f>
        <v>P.1 (4)</v>
      </c>
      <c r="DC11" s="733">
        <f ca="1">IF(DB11="-","-",COUNTIFS(T_Equipos[Rank],"&lt;"&amp;INDEX(T_Equipos[Rank],MATCH(BD11,T_Equipos[NombreEquipo],0)),$BC$6:$BC$53,INDEX(T_Equipos[Grupo],MATCH(BD11,T_Equipos[NombreEquipo],0)))+1)</f>
        <v>2</v>
      </c>
      <c r="DD11" s="733">
        <f ca="1">DA11+COUNTIFS($DB$6:$DB$53,DB11,$DC$6:DC$53,"&lt;"&amp;DC11,$BC$6:$BC$53,INDEX(T_Equipos[Grupo],MATCH(BD11,T_Equipos[NombreEquipo],0)))</f>
        <v>2</v>
      </c>
      <c r="DE11" s="733"/>
      <c r="DF11" s="733">
        <f t="shared" ca="1" si="52"/>
        <v>2</v>
      </c>
      <c r="DG11" s="733">
        <f ca="1">IF(DB11="-","-",COUNTIFS(DF$6:DF$53,"&lt;"&amp;DF11,$BC$6:$BC$53,INDEX(T_Equipos[Grupo],MATCH(BD11,T_Equipos[NombreEquipo],0))))</f>
        <v>1</v>
      </c>
      <c r="DH11" s="733">
        <f ca="1">DA11+COUNTIFS(DB$6:DB$53,DB11,DG$6:DG$53,"&lt;"&amp;DG11,$BC$6:$BC$53,INDEX(T_Equipos[Grupo],MATCH(BD11,T_Equipos[NombreEquipo],0)))</f>
        <v>2</v>
      </c>
      <c r="DI11" s="721"/>
      <c r="DJ11" s="721">
        <f t="shared" ca="1" si="53"/>
        <v>1</v>
      </c>
      <c r="DK11" s="721">
        <f t="shared" ca="1" si="24"/>
        <v>0</v>
      </c>
      <c r="DL11" s="721">
        <f t="shared" ca="1" si="33"/>
        <v>1</v>
      </c>
      <c r="DM11" s="715" t="str">
        <f t="shared" ca="1" si="34"/>
        <v>1.1</v>
      </c>
      <c r="DN11" s="721" cm="1">
        <f t="array" aca="1" ref="DN11" ca="1">OFFSET(Horarios!$P$3,DJ11-1,0,DL11,1)</f>
        <v>1</v>
      </c>
      <c r="DO11" s="721"/>
      <c r="DP11" s="721" t="s">
        <v>649</v>
      </c>
      <c r="DQ11" s="721" t="str">
        <f t="shared" ca="1" si="35"/>
        <v>Bosnia y Herzegovina</v>
      </c>
      <c r="DR11" s="721"/>
      <c r="DS11" s="721"/>
      <c r="DT11" s="721" t="str">
        <f t="shared" si="15"/>
        <v>Casa-Fuera</v>
      </c>
      <c r="DU11" s="721"/>
      <c r="DV11" s="721"/>
      <c r="DW11" s="8"/>
    </row>
    <row r="12" spans="1:127" ht="15" customHeight="1" thickBot="1">
      <c r="A12" s="718" t="s">
        <v>30</v>
      </c>
      <c r="B12" s="719" t="s">
        <v>1</v>
      </c>
      <c r="C12" s="720">
        <f>COUNTIF(Equipos!$C$2:$C$49,WORLDCUP!B12)</f>
        <v>4</v>
      </c>
      <c r="D12" s="721" t="str">
        <f t="shared" ref="D12:D17" si="54">IF(OR(AC12="",AD12=""),"Pendiente",IF(AC12&gt;AD12,"Local",IF(AC12&lt;AD12,"Visitante","Empate")))</f>
        <v>Pendiente</v>
      </c>
      <c r="E12" s="721" t="str">
        <f t="shared" ref="E12:E17" si="55">IF(D12="Pendiente","-",INDEX($BT$6:$BT$53,MATCH($AA12,$BD$6:$BD$53,0)))</f>
        <v>-</v>
      </c>
      <c r="F12" s="721" t="str">
        <f t="shared" ref="F12:F17" si="56">IF(D12="Pendiente","-",INDEX($BT$6:$BT$53,MATCH($AF12,$BD$6:$BD$53,0)))</f>
        <v>-</v>
      </c>
      <c r="G12" s="721"/>
      <c r="H12" s="721" t="str">
        <f t="shared" ref="H12:H17" si="57">IF(D12="Pendiente","-",INDEX($BZ$6:$BZ$53,MATCH($AA12,$BD$6:$BD$53,0)))</f>
        <v>-</v>
      </c>
      <c r="I12" s="721" t="str">
        <f t="shared" ref="I12:I17" si="58">IF(D12="Pendiente","-",INDEX($BZ$6:$BZ$53,MATCH($AF12,$BD$6:$BD$53,0)))</f>
        <v>-</v>
      </c>
      <c r="J12" s="721"/>
      <c r="K12" s="721" t="str">
        <f t="shared" ref="K12:K17" si="59">IF(D12="Pendiente","-",INDEX($CE$6:$CE$53,MATCH($AA12,$BD$6:$BD$53,0)))</f>
        <v>-</v>
      </c>
      <c r="L12" s="721" t="str">
        <f t="shared" ref="L12:L17" si="60">IF(D12="Pendiente","-",INDEX($CE$6:$CE$53,MATCH($AF12,$BD$6:$BD$53,0)))</f>
        <v>-</v>
      </c>
      <c r="M12" s="721"/>
      <c r="N12" s="721" t="str">
        <f t="shared" ref="N12:N17" si="61">IF(D12="Pendiente","-",INDEX($CH$6:$CH$53,MATCH($AA12,$BD$6:$BD$53,0)))</f>
        <v>-</v>
      </c>
      <c r="O12" s="721" t="str">
        <f t="shared" ref="O12:O17" si="62">IF(D12="Pendiente","-",INDEX($CH$6:$CH$53,MATCH($AF12,$BD$6:$BD$53,0)))</f>
        <v>-</v>
      </c>
      <c r="P12" s="721"/>
      <c r="Q12" s="721" t="str">
        <f t="shared" ref="Q12:Q17" si="63">IF(D12="Pendiente","-",INDEX($CN$6:$CN$53,MATCH($AA12,$BD$6:$BD$53,0)))</f>
        <v>-</v>
      </c>
      <c r="R12" s="721" t="str">
        <f t="shared" ref="R12:R17" si="64">IF(D12="Pendiente","-",INDEX($CN$6:$CN$53,MATCH($AF12,$BD$6:$BD$53,0)))</f>
        <v>-</v>
      </c>
      <c r="S12" s="721"/>
      <c r="T12" s="721" t="str">
        <f t="shared" ref="T12:T17" si="65">IF(D12="Pendiente","-",INDEX($CS$6:$CS$53,MATCH($AA12,$BD$6:$BD$53,0)))</f>
        <v>-</v>
      </c>
      <c r="U12" s="721" t="str">
        <f t="shared" ref="U12:U17" si="66">IF(D12="Pendiente","-",INDEX($CS$6:$CS$53,MATCH($AF12,$BD$6:$BD$53,0)))</f>
        <v>-</v>
      </c>
      <c r="V12" s="162"/>
      <c r="W12" s="816" t="s">
        <v>1</v>
      </c>
      <c r="X12" s="179">
        <f ca="1">Horarios!C12</f>
        <v>46185.875</v>
      </c>
      <c r="Y12" s="180">
        <f ca="1">Horarios!C12</f>
        <v>46185.875</v>
      </c>
      <c r="Z12" s="181" t="str">
        <f>$Z$4</f>
        <v>J1</v>
      </c>
      <c r="AA12" s="182" t="str">
        <f ca="1">A13</f>
        <v>Canadá</v>
      </c>
      <c r="AB12" s="457" t="str" cm="1">
        <f t="array" aca="1" ref="AB12" ca="1">Ver_flag_local</f>
        <v/>
      </c>
      <c r="AC12" s="183"/>
      <c r="AD12" s="184"/>
      <c r="AE12" s="462" t="str" cm="1">
        <f t="array" aca="1" ref="AE12" ca="1">Ver_flag_visit</f>
        <v/>
      </c>
      <c r="AF12" s="185" t="str">
        <f ca="1">A14</f>
        <v>Bosnia y Herzegovina</v>
      </c>
      <c r="AG12" s="396">
        <f t="shared" ref="AG12:AG17" si="67">IF(NOT(OR(ISBLANK(AC12),ISBLANK(AD12))),1,0)</f>
        <v>0</v>
      </c>
      <c r="AH12" s="186">
        <v>3</v>
      </c>
      <c r="AI12" s="15"/>
      <c r="AJ12" s="187" t="str">
        <f>CONCATENATE(AJ3," ",B12)</f>
        <v>Grupo B</v>
      </c>
      <c r="AK12" s="188"/>
      <c r="AL12" s="188"/>
      <c r="AM12" s="188"/>
      <c r="AN12" s="188"/>
      <c r="AO12" s="188"/>
      <c r="AP12" s="188"/>
      <c r="AQ12" s="188"/>
      <c r="AR12" s="188"/>
      <c r="AS12" s="188"/>
      <c r="AT12" s="189"/>
      <c r="AU12" s="404"/>
      <c r="AV12" s="190" t="str">
        <f t="shared" ref="AV12" ca="1" si="68">IF(AU13&gt;0,$AV$3,"")</f>
        <v/>
      </c>
      <c r="AW12" s="413"/>
      <c r="AX12" s="244"/>
      <c r="AY12" s="232"/>
      <c r="AZ12" s="233"/>
      <c r="BA12" s="165"/>
      <c r="BB12" s="721"/>
      <c r="BC12" s="733" t="str">
        <f ca="1">+INDEX(T_Equipos[Grupo],MATCH(WORLDCUP!BD12,T_Equipos[NombreEquipo],0))</f>
        <v>B</v>
      </c>
      <c r="BD12" s="721" t="str">
        <f ca="1">+Equipos!B8</f>
        <v>Catar</v>
      </c>
      <c r="BE12" s="725">
        <f t="shared" ca="1" si="25"/>
        <v>0</v>
      </c>
      <c r="BF12" s="725">
        <f t="shared" ca="1" si="26"/>
        <v>0</v>
      </c>
      <c r="BG12" s="725">
        <f t="shared" ca="1" si="17"/>
        <v>0</v>
      </c>
      <c r="BH12" s="725">
        <f t="shared" ca="1" si="18"/>
        <v>0</v>
      </c>
      <c r="BI12" s="725">
        <f t="shared" ca="1" si="19"/>
        <v>0</v>
      </c>
      <c r="BJ12" s="725">
        <f t="shared" ca="1" si="20"/>
        <v>0</v>
      </c>
      <c r="BK12" s="725">
        <f t="shared" ca="1" si="21"/>
        <v>0</v>
      </c>
      <c r="BL12" s="725">
        <f t="shared" ca="1" si="27"/>
        <v>0</v>
      </c>
      <c r="BM12" s="725" t="str">
        <f t="shared" ca="1" si="22"/>
        <v>3B</v>
      </c>
      <c r="BN12" s="725" t="str">
        <f t="shared" ca="1" si="23"/>
        <v>3B</v>
      </c>
      <c r="BO12" s="735">
        <f t="shared" ca="1" si="28"/>
        <v>0</v>
      </c>
      <c r="BP12" s="734">
        <f ca="1">COUNTIFS($BO$6:$BO$53,"&gt;"&amp;BO12,$BC$6:$BC$53,INDEX(T_Equipos[Grupo],MATCH(BD12,T_Equipos[NombreEquipo],0)))+1</f>
        <v>1</v>
      </c>
      <c r="BQ12" s="734" t="str">
        <f ca="1">IF(COUNTIFS($BP$6:$BP$53,BP12,$BC$6:$BC$53,INDEX(T_Equipos[Grupo],MATCH(BD12,T_Equipos[NombreEquipo],0)))=1,"-","P."&amp;BP12&amp;" ("&amp;COUNTIFS($BP$6:$BP$53,BP12,$BC$6:$BC$53,INDEX(T_Equipos[Grupo],MATCH(BD12,T_Equipos[NombreEquipo],0)))&amp;")")</f>
        <v>P.1 (4)</v>
      </c>
      <c r="BR12" s="735">
        <f t="shared" ca="1" si="29"/>
        <v>0</v>
      </c>
      <c r="BS12" s="734">
        <f ca="1">BP12+COUNTIFS($BQ$6:$BQ$53,BQ12,$BR$6:BR$53,"&gt;"&amp;BR12,$BC$6:$BC$53,INDEX(T_Equipos[Grupo],MATCH(BD12,T_Equipos[NombreEquipo],0)))</f>
        <v>1</v>
      </c>
      <c r="BT12" s="734" t="str">
        <f ca="1">IF(COUNTIFS($BS$6:$BS$53,BS12,$BC$6:$BC$53,INDEX(T_Equipos[Grupo],MATCH(BD12,T_Equipos[NombreEquipo],0)))=1,"-","P."&amp;BS12&amp;" ("&amp;COUNTIFS($BS$6:$BS$53,BS12,$BC$6:$BC$53,INDEX(T_Equipos[Grupo],MATCH(BD12,T_Equipos[NombreEquipo],0)))&amp;")")</f>
        <v>P.1 (4)</v>
      </c>
      <c r="BU12" s="735">
        <f t="shared" ca="1" si="36"/>
        <v>0</v>
      </c>
      <c r="BV12" s="735">
        <f t="shared" ca="1" si="37"/>
        <v>0</v>
      </c>
      <c r="BW12" s="735">
        <f t="shared" ca="1" si="38"/>
        <v>0</v>
      </c>
      <c r="BX12" s="735">
        <f t="shared" ca="1" si="39"/>
        <v>0</v>
      </c>
      <c r="BY12" s="735">
        <f ca="1">BS12+COUNTIFS($BT$6:$BT$53,BT12,$BX$6:BX$53,"&gt;"&amp;BX12,$BC$6:$BC$53,INDEX(T_Equipos[Grupo],MATCH(BD12,T_Equipos[NombreEquipo],0)))</f>
        <v>1</v>
      </c>
      <c r="BZ12" s="734" t="str">
        <f ca="1">IF(COUNTIFS($BY$6:$BY$53,BY12,$BC$6:$BC$53,INDEX(T_Equipos[Grupo],MATCH(BD12,T_Equipos[NombreEquipo],0)))=1,"-","P."&amp;BY12&amp;" ("&amp;COUNTIFS($BY$6:$BY$53,BY12,$BC$6:$BC$53,INDEX(T_Equipos[Grupo],MATCH(BD12,T_Equipos[NombreEquipo],0)))&amp;")")</f>
        <v>P.1 (4)</v>
      </c>
      <c r="CA12" s="735">
        <f t="shared" ca="1" si="40"/>
        <v>0</v>
      </c>
      <c r="CB12" s="735">
        <f t="shared" ca="1" si="41"/>
        <v>0</v>
      </c>
      <c r="CC12" s="735">
        <f t="shared" ca="1" si="42"/>
        <v>0</v>
      </c>
      <c r="CD12" s="735">
        <f ca="1">BY12+COUNTIFS($BZ$6:$BZ$53,BZ12,$CC$6:CC$53,"&gt;"&amp;CC12,$BC$6:$BC$53,INDEX(T_Equipos[Grupo],MATCH(BD12,T_Equipos[NombreEquipo],0)))</f>
        <v>1</v>
      </c>
      <c r="CE12" s="734" t="str">
        <f ca="1">IF(COUNTIFS($CD$6:$CD$53,CD12,$BC$6:$BC$53,INDEX(T_Equipos[Grupo],MATCH(BD12,T_Equipos[NombreEquipo],0)))=1,"-","P."&amp;CD12&amp;" ("&amp;COUNTIFS($CD$6:$CD$53,CD12,$BC$6:$BC$53,INDEX(T_Equipos[Grupo],MATCH(BD12,T_Equipos[NombreEquipo],0)))&amp;")")</f>
        <v>P.1 (4)</v>
      </c>
      <c r="CF12" s="735">
        <f t="shared" ca="1" si="43"/>
        <v>0</v>
      </c>
      <c r="CG12" s="735">
        <f ca="1">CD12+COUNTIFS($CE$6:$CE$53,CE12,$CF$6:CF$53,"&gt;"&amp;CF12,$BC$6:$BC$53,INDEX(T_Equipos[Grupo],MATCH(BD12,T_Equipos[NombreEquipo],0)))</f>
        <v>1</v>
      </c>
      <c r="CH12" s="734" t="str">
        <f ca="1">IF(COUNTIFS($CG$6:$CG$53,CG12,$BC$6:$BC$53,INDEX(T_Equipos[Grupo],MATCH(BD12,T_Equipos[NombreEquipo],0)))=1,"-","P."&amp;CG12&amp;" ("&amp;COUNTIFS($CG$6:$CG$53,CG12,$BC$6:$BC$53,INDEX(T_Equipos[Grupo],MATCH(BD12,T_Equipos[NombreEquipo],0)))&amp;")")</f>
        <v>P.1 (4)</v>
      </c>
      <c r="CI12" s="735">
        <f t="shared" ca="1" si="44"/>
        <v>0</v>
      </c>
      <c r="CJ12" s="735">
        <f t="shared" ca="1" si="45"/>
        <v>0</v>
      </c>
      <c r="CK12" s="735">
        <f t="shared" ca="1" si="46"/>
        <v>0</v>
      </c>
      <c r="CL12" s="735">
        <f t="shared" ca="1" si="47"/>
        <v>0</v>
      </c>
      <c r="CM12" s="735">
        <f ca="1">CG12+COUNTIFS($CH$6:$CH$53,CH12,$CL$6:CL$53,"&gt;"&amp;CL12,$BC$6:$BC$53,INDEX(T_Equipos[Grupo],MATCH(BD12,T_Equipos[NombreEquipo],0)))</f>
        <v>1</v>
      </c>
      <c r="CN12" s="734" t="str">
        <f ca="1">IF(COUNTIFS($CM$6:$CM$53,CM12,$BC$6:$BC$53,INDEX(T_Equipos[Grupo],MATCH(BD12,T_Equipos[NombreEquipo],0)))=1,"-","P."&amp;CM12&amp;" ("&amp;COUNTIFS($CM$6:$CM$53,CM12,$BC$6:$BC$53,INDEX(T_Equipos[Grupo],MATCH(BD12,T_Equipos[NombreEquipo],0)))&amp;")")</f>
        <v>P.1 (4)</v>
      </c>
      <c r="CO12" s="735">
        <f t="shared" ca="1" si="48"/>
        <v>0</v>
      </c>
      <c r="CP12" s="735">
        <f t="shared" ca="1" si="49"/>
        <v>0</v>
      </c>
      <c r="CQ12" s="735">
        <f t="shared" ca="1" si="50"/>
        <v>0</v>
      </c>
      <c r="CR12" s="735">
        <f ca="1">CM12+COUNTIFS($CN$6:$CN$53,CN12,$CQ$6:CQ$53,"&gt;"&amp;CQ12,$BC$6:$BC$53,INDEX(T_Equipos[Grupo],MATCH(BD12,T_Equipos[NombreEquipo],0)))</f>
        <v>1</v>
      </c>
      <c r="CS12" s="734" t="str">
        <f ca="1">IF(COUNTIFS($CR$6:$CR$53,CR12,$BC$6:$BC$53,INDEX(T_Equipos[Grupo],MATCH(BD12,T_Equipos[NombreEquipo],0)))=1,"-","P."&amp;CR12&amp;" ("&amp;COUNTIFS($CR$6:$CR$53,CR12,$BC$6:$BC$53,INDEX(T_Equipos[Grupo],MATCH(BD12,T_Equipos[NombreEquipo],0)))&amp;")")</f>
        <v>P.1 (4)</v>
      </c>
      <c r="CT12" s="735">
        <f t="shared" ca="1" si="51"/>
        <v>0</v>
      </c>
      <c r="CU12" s="735">
        <f ca="1">CR12+COUNTIFS($CS$6:$CS$53,CS12,$CT$6:CT$53,"&gt;"&amp;CT12,$BC$6:$BC$53,INDEX(T_Equipos[Grupo],MATCH(BD12,T_Equipos[NombreEquipo],0)))</f>
        <v>1</v>
      </c>
      <c r="CV12" s="734" t="str">
        <f ca="1">IF(COUNTIFS($CU$6:$CU$53,CU12,$BC$6:$BC$53,INDEX(T_Equipos[Grupo],MATCH(BD12,T_Equipos[NombreEquipo],0)))=1,"-","P."&amp;CU12&amp;" ("&amp;COUNTIFS($CU$6:$CU$53,CU12,$BC$6:$BC$53,INDEX(T_Equipos[Grupo],MATCH(BD12,T_Equipos[NombreEquipo],0)))&amp;")")</f>
        <v>P.1 (4)</v>
      </c>
      <c r="CW12" s="734">
        <f t="shared" ca="1" si="30"/>
        <v>0</v>
      </c>
      <c r="CX12" s="734">
        <f ca="1">CU12+COUNTIFS($CV$6:$CV$53,CV12,$CW$6:CW$53,"&gt;"&amp;CW12,$BC$6:$BC$53,INDEX(T_Equipos[Grupo],MATCH(BD12,T_Equipos[NombreEquipo],0)))</f>
        <v>1</v>
      </c>
      <c r="CY12" s="734" t="str">
        <f ca="1">IF(COUNTIFS($CX$6:$CX$53,CX12,$BC$6:$BC$53,INDEX(T_Equipos[Grupo],MATCH(BD12,T_Equipos[NombreEquipo],0)))=1,"-","P."&amp;CX12&amp;" ("&amp;COUNTIFS($CX$6:$CX$53,CX12,$BC$6:$BC$53,INDEX(T_Equipos[Grupo],MATCH(BD12,T_Equipos[NombreEquipo],0)))&amp;")")</f>
        <v>P.1 (4)</v>
      </c>
      <c r="CZ12" s="734">
        <f t="shared" ca="1" si="31"/>
        <v>0</v>
      </c>
      <c r="DA12" s="735">
        <f ca="1">CX12+COUNTIFS($CY$6:$CY$53,CY12,$CZ$6:CZ$53,"&gt;"&amp;CZ12,$BC$6:$BC$53,INDEX(T_Equipos[Grupo],MATCH(BD12,T_Equipos[NombreEquipo],0)))</f>
        <v>1</v>
      </c>
      <c r="DB12" s="734" t="str">
        <f ca="1">IF(COUNTIFS($DA$6:$DA$53,DA12,$BC$6:$BC$53,INDEX(T_Equipos[Grupo],MATCH(BD12,T_Equipos[NombreEquipo],0)))=1,"-","P."&amp;DA12&amp;" ("&amp;COUNTIFS($DA$6:$DA$53,DA12,$BC$6:$BC$53,INDEX(T_Equipos[Grupo],MATCH(BD12,T_Equipos[NombreEquipo],0)))&amp;")")</f>
        <v>P.1 (4)</v>
      </c>
      <c r="DC12" s="733">
        <f ca="1">IF(DB12="-","-",COUNTIFS(T_Equipos[Rank],"&lt;"&amp;INDEX(T_Equipos[Rank],MATCH(BD12,T_Equipos[NombreEquipo],0)),$BC$6:$BC$53,INDEX(T_Equipos[Grupo],MATCH(BD12,T_Equipos[NombreEquipo],0)))+1)</f>
        <v>3</v>
      </c>
      <c r="DD12" s="733">
        <f ca="1">DA12+COUNTIFS($DB$6:$DB$53,DB12,$DC$6:DC$53,"&lt;"&amp;DC12,$BC$6:$BC$53,INDEX(T_Equipos[Grupo],MATCH(BD12,T_Equipos[NombreEquipo],0)))</f>
        <v>3</v>
      </c>
      <c r="DE12" s="733"/>
      <c r="DF12" s="733">
        <f t="shared" ca="1" si="52"/>
        <v>3</v>
      </c>
      <c r="DG12" s="733">
        <f ca="1">IF(DB12="-","-",COUNTIFS(DF$6:DF$53,"&lt;"&amp;DF12,$BC$6:$BC$53,INDEX(T_Equipos[Grupo],MATCH(BD12,T_Equipos[NombreEquipo],0))))</f>
        <v>2</v>
      </c>
      <c r="DH12" s="733">
        <f ca="1">DA12+COUNTIFS(DB$6:DB$53,DB12,DG$6:DG$53,"&lt;"&amp;DG12,$BC$6:$BC$53,INDEX(T_Equipos[Grupo],MATCH(BD12,T_Equipos[NombreEquipo],0)))</f>
        <v>3</v>
      </c>
      <c r="DI12" s="721"/>
      <c r="DJ12" s="721">
        <f t="shared" ca="1" si="53"/>
        <v>1</v>
      </c>
      <c r="DK12" s="721">
        <f t="shared" ca="1" si="24"/>
        <v>0</v>
      </c>
      <c r="DL12" s="721">
        <f t="shared" ca="1" si="33"/>
        <v>1</v>
      </c>
      <c r="DM12" s="715" t="str">
        <f t="shared" ca="1" si="34"/>
        <v>1.1</v>
      </c>
      <c r="DN12" s="721" cm="1">
        <f t="array" aca="1" ref="DN12" ca="1">OFFSET(Horarios!$P$3,DJ12-1,0,DL12,1)</f>
        <v>1</v>
      </c>
      <c r="DO12" s="721"/>
      <c r="DP12" s="721" t="s">
        <v>90</v>
      </c>
      <c r="DQ12" s="721" t="str">
        <f t="shared" ca="1" si="35"/>
        <v>Catar</v>
      </c>
      <c r="DR12" s="721"/>
      <c r="DS12" s="721"/>
      <c r="DT12" s="721" t="str">
        <f t="shared" ca="1" si="15"/>
        <v>Canadá-Bosnia y Herzegovina</v>
      </c>
      <c r="DU12" s="721"/>
      <c r="DV12" s="721"/>
      <c r="DW12" s="8"/>
    </row>
    <row r="13" spans="1:127" ht="15.95" customHeight="1">
      <c r="A13" s="722" t="str">
        <f ca="1">+Equipos!B6</f>
        <v>Canadá</v>
      </c>
      <c r="B13" s="719"/>
      <c r="C13" s="719"/>
      <c r="D13" s="721" t="str">
        <f t="shared" si="54"/>
        <v>Pendiente</v>
      </c>
      <c r="E13" s="721" t="str">
        <f t="shared" si="55"/>
        <v>-</v>
      </c>
      <c r="F13" s="721" t="str">
        <f t="shared" si="56"/>
        <v>-</v>
      </c>
      <c r="G13" s="721"/>
      <c r="H13" s="721" t="str">
        <f t="shared" si="57"/>
        <v>-</v>
      </c>
      <c r="I13" s="721" t="str">
        <f t="shared" si="58"/>
        <v>-</v>
      </c>
      <c r="J13" s="721"/>
      <c r="K13" s="721" t="str">
        <f t="shared" si="59"/>
        <v>-</v>
      </c>
      <c r="L13" s="721" t="str">
        <f t="shared" si="60"/>
        <v>-</v>
      </c>
      <c r="M13" s="721"/>
      <c r="N13" s="721" t="str">
        <f t="shared" si="61"/>
        <v>-</v>
      </c>
      <c r="O13" s="721" t="str">
        <f t="shared" si="62"/>
        <v>-</v>
      </c>
      <c r="P13" s="721"/>
      <c r="Q13" s="721" t="str">
        <f t="shared" si="63"/>
        <v>-</v>
      </c>
      <c r="R13" s="721" t="str">
        <f t="shared" si="64"/>
        <v>-</v>
      </c>
      <c r="S13" s="721"/>
      <c r="T13" s="721" t="str">
        <f t="shared" si="65"/>
        <v>-</v>
      </c>
      <c r="U13" s="721" t="str">
        <f t="shared" si="66"/>
        <v>-</v>
      </c>
      <c r="V13" s="162"/>
      <c r="W13" s="816"/>
      <c r="X13" s="179">
        <f ca="1">Horarios!C13</f>
        <v>46186.875</v>
      </c>
      <c r="Y13" s="180">
        <f ca="1">Horarios!C13</f>
        <v>46186.875</v>
      </c>
      <c r="Z13" s="181" t="str">
        <f>$Z$4</f>
        <v>J1</v>
      </c>
      <c r="AA13" s="182" t="str">
        <f ca="1">A15</f>
        <v>Catar</v>
      </c>
      <c r="AB13" s="457" t="str" cm="1">
        <f t="array" aca="1" ref="AB13" ca="1">Ver_flag_local</f>
        <v/>
      </c>
      <c r="AC13" s="183"/>
      <c r="AD13" s="184"/>
      <c r="AE13" s="462" t="str" cm="1">
        <f t="array" aca="1" ref="AE13" ca="1">Ver_flag_visit</f>
        <v/>
      </c>
      <c r="AF13" s="185" t="str">
        <f ca="1">A16</f>
        <v>Suiza</v>
      </c>
      <c r="AG13" s="396">
        <f t="shared" si="67"/>
        <v>0</v>
      </c>
      <c r="AH13" s="186">
        <v>8</v>
      </c>
      <c r="AI13" s="15"/>
      <c r="AJ13" s="194" t="str">
        <f>AJ5</f>
        <v>Pos</v>
      </c>
      <c r="AK13" s="195"/>
      <c r="AL13" s="196" t="str">
        <f t="shared" ref="AL13:AT13" si="69">AL5</f>
        <v>Selección</v>
      </c>
      <c r="AM13" s="195" t="str">
        <f t="shared" si="69"/>
        <v>Pts</v>
      </c>
      <c r="AN13" s="195" t="str">
        <f t="shared" si="69"/>
        <v>J</v>
      </c>
      <c r="AO13" s="195" t="str">
        <f t="shared" si="69"/>
        <v>G</v>
      </c>
      <c r="AP13" s="195" t="str">
        <f t="shared" si="69"/>
        <v>E</v>
      </c>
      <c r="AQ13" s="195" t="str">
        <f t="shared" si="69"/>
        <v>P</v>
      </c>
      <c r="AR13" s="195" t="str">
        <f t="shared" si="69"/>
        <v>GF</v>
      </c>
      <c r="AS13" s="195" t="str">
        <f t="shared" si="69"/>
        <v>GC</v>
      </c>
      <c r="AT13" s="197" t="str">
        <f t="shared" si="69"/>
        <v>DG</v>
      </c>
      <c r="AU13" s="404">
        <f t="shared" ref="AU13" ca="1" si="70">COUNTIF(AU14:AU17,"&gt;1")</f>
        <v>0</v>
      </c>
      <c r="AV13" s="198"/>
      <c r="AW13" s="198"/>
      <c r="AX13" s="245"/>
      <c r="AY13" s="199" t="str">
        <f>AL13</f>
        <v>Selección</v>
      </c>
      <c r="AZ13" s="200" t="str">
        <f>+Idiomas!$D$69</f>
        <v>Puntos penalizados</v>
      </c>
      <c r="BA13" s="165"/>
      <c r="BB13" s="721"/>
      <c r="BC13" s="733" t="str">
        <f ca="1">+INDEX(T_Equipos[Grupo],MATCH(WORLDCUP!BD13,T_Equipos[NombreEquipo],0))</f>
        <v>B</v>
      </c>
      <c r="BD13" s="721" t="str">
        <f ca="1">+Equipos!B9</f>
        <v>Suiza</v>
      </c>
      <c r="BE13" s="725">
        <f t="shared" ca="1" si="25"/>
        <v>0</v>
      </c>
      <c r="BF13" s="725">
        <f t="shared" ca="1" si="26"/>
        <v>0</v>
      </c>
      <c r="BG13" s="725">
        <f t="shared" ca="1" si="17"/>
        <v>0</v>
      </c>
      <c r="BH13" s="725">
        <f t="shared" ca="1" si="18"/>
        <v>0</v>
      </c>
      <c r="BI13" s="725">
        <f t="shared" ca="1" si="19"/>
        <v>0</v>
      </c>
      <c r="BJ13" s="725">
        <f t="shared" ca="1" si="20"/>
        <v>0</v>
      </c>
      <c r="BK13" s="725">
        <f t="shared" ca="1" si="21"/>
        <v>0</v>
      </c>
      <c r="BL13" s="725">
        <f t="shared" ca="1" si="27"/>
        <v>0</v>
      </c>
      <c r="BM13" s="725" t="str">
        <f t="shared" ca="1" si="22"/>
        <v>4B</v>
      </c>
      <c r="BN13" s="725" t="str">
        <f t="shared" ca="1" si="23"/>
        <v>4B</v>
      </c>
      <c r="BO13" s="735">
        <f t="shared" ca="1" si="28"/>
        <v>0</v>
      </c>
      <c r="BP13" s="734">
        <f ca="1">COUNTIFS($BO$6:$BO$53,"&gt;"&amp;BO13,$BC$6:$BC$53,INDEX(T_Equipos[Grupo],MATCH(BD13,T_Equipos[NombreEquipo],0)))+1</f>
        <v>1</v>
      </c>
      <c r="BQ13" s="734" t="str">
        <f ca="1">IF(COUNTIFS($BP$6:$BP$53,BP13,$BC$6:$BC$53,INDEX(T_Equipos[Grupo],MATCH(BD13,T_Equipos[NombreEquipo],0)))=1,"-","P."&amp;BP13&amp;" ("&amp;COUNTIFS($BP$6:$BP$53,BP13,$BC$6:$BC$53,INDEX(T_Equipos[Grupo],MATCH(BD13,T_Equipos[NombreEquipo],0)))&amp;")")</f>
        <v>P.1 (4)</v>
      </c>
      <c r="BR13" s="735">
        <f t="shared" ca="1" si="29"/>
        <v>0</v>
      </c>
      <c r="BS13" s="734">
        <f ca="1">BP13+COUNTIFS($BQ$6:$BQ$53,BQ13,$BR$6:BR$53,"&gt;"&amp;BR13,$BC$6:$BC$53,INDEX(T_Equipos[Grupo],MATCH(BD13,T_Equipos[NombreEquipo],0)))</f>
        <v>1</v>
      </c>
      <c r="BT13" s="734" t="str">
        <f ca="1">IF(COUNTIFS($BS$6:$BS$53,BS13,$BC$6:$BC$53,INDEX(T_Equipos[Grupo],MATCH(BD13,T_Equipos[NombreEquipo],0)))=1,"-","P."&amp;BS13&amp;" ("&amp;COUNTIFS($BS$6:$BS$53,BS13,$BC$6:$BC$53,INDEX(T_Equipos[Grupo],MATCH(BD13,T_Equipos[NombreEquipo],0)))&amp;")")</f>
        <v>P.1 (4)</v>
      </c>
      <c r="BU13" s="735">
        <f t="shared" ca="1" si="36"/>
        <v>0</v>
      </c>
      <c r="BV13" s="735">
        <f t="shared" ca="1" si="37"/>
        <v>0</v>
      </c>
      <c r="BW13" s="735">
        <f t="shared" ca="1" si="38"/>
        <v>0</v>
      </c>
      <c r="BX13" s="735">
        <f t="shared" ca="1" si="39"/>
        <v>0</v>
      </c>
      <c r="BY13" s="735">
        <f ca="1">BS13+COUNTIFS($BT$6:$BT$53,BT13,$BX$6:BX$53,"&gt;"&amp;BX13,$BC$6:$BC$53,INDEX(T_Equipos[Grupo],MATCH(BD13,T_Equipos[NombreEquipo],0)))</f>
        <v>1</v>
      </c>
      <c r="BZ13" s="734" t="str">
        <f ca="1">IF(COUNTIFS($BY$6:$BY$53,BY13,$BC$6:$BC$53,INDEX(T_Equipos[Grupo],MATCH(BD13,T_Equipos[NombreEquipo],0)))=1,"-","P."&amp;BY13&amp;" ("&amp;COUNTIFS($BY$6:$BY$53,BY13,$BC$6:$BC$53,INDEX(T_Equipos[Grupo],MATCH(BD13,T_Equipos[NombreEquipo],0)))&amp;")")</f>
        <v>P.1 (4)</v>
      </c>
      <c r="CA13" s="735">
        <f t="shared" ca="1" si="40"/>
        <v>0</v>
      </c>
      <c r="CB13" s="735">
        <f t="shared" ca="1" si="41"/>
        <v>0</v>
      </c>
      <c r="CC13" s="735">
        <f t="shared" ca="1" si="42"/>
        <v>0</v>
      </c>
      <c r="CD13" s="735">
        <f ca="1">BY13+COUNTIFS($BZ$6:$BZ$53,BZ13,$CC$6:CC$53,"&gt;"&amp;CC13,$BC$6:$BC$53,INDEX(T_Equipos[Grupo],MATCH(BD13,T_Equipos[NombreEquipo],0)))</f>
        <v>1</v>
      </c>
      <c r="CE13" s="734" t="str">
        <f ca="1">IF(COUNTIFS($CD$6:$CD$53,CD13,$BC$6:$BC$53,INDEX(T_Equipos[Grupo],MATCH(BD13,T_Equipos[NombreEquipo],0)))=1,"-","P."&amp;CD13&amp;" ("&amp;COUNTIFS($CD$6:$CD$53,CD13,$BC$6:$BC$53,INDEX(T_Equipos[Grupo],MATCH(BD13,T_Equipos[NombreEquipo],0)))&amp;")")</f>
        <v>P.1 (4)</v>
      </c>
      <c r="CF13" s="735">
        <f t="shared" ca="1" si="43"/>
        <v>0</v>
      </c>
      <c r="CG13" s="735">
        <f ca="1">CD13+COUNTIFS($CE$6:$CE$53,CE13,$CF$6:CF$53,"&gt;"&amp;CF13,$BC$6:$BC$53,INDEX(T_Equipos[Grupo],MATCH(BD13,T_Equipos[NombreEquipo],0)))</f>
        <v>1</v>
      </c>
      <c r="CH13" s="734" t="str">
        <f ca="1">IF(COUNTIFS($CG$6:$CG$53,CG13,$BC$6:$BC$53,INDEX(T_Equipos[Grupo],MATCH(BD13,T_Equipos[NombreEquipo],0)))=1,"-","P."&amp;CG13&amp;" ("&amp;COUNTIFS($CG$6:$CG$53,CG13,$BC$6:$BC$53,INDEX(T_Equipos[Grupo],MATCH(BD13,T_Equipos[NombreEquipo],0)))&amp;")")</f>
        <v>P.1 (4)</v>
      </c>
      <c r="CI13" s="735">
        <f t="shared" ca="1" si="44"/>
        <v>0</v>
      </c>
      <c r="CJ13" s="735">
        <f t="shared" ca="1" si="45"/>
        <v>0</v>
      </c>
      <c r="CK13" s="735">
        <f t="shared" ca="1" si="46"/>
        <v>0</v>
      </c>
      <c r="CL13" s="735">
        <f t="shared" ca="1" si="47"/>
        <v>0</v>
      </c>
      <c r="CM13" s="735">
        <f ca="1">CG13+COUNTIFS($CH$6:$CH$53,CH13,$CL$6:CL$53,"&gt;"&amp;CL13,$BC$6:$BC$53,INDEX(T_Equipos[Grupo],MATCH(BD13,T_Equipos[NombreEquipo],0)))</f>
        <v>1</v>
      </c>
      <c r="CN13" s="734" t="str">
        <f ca="1">IF(COUNTIFS($CM$6:$CM$53,CM13,$BC$6:$BC$53,INDEX(T_Equipos[Grupo],MATCH(BD13,T_Equipos[NombreEquipo],0)))=1,"-","P."&amp;CM13&amp;" ("&amp;COUNTIFS($CM$6:$CM$53,CM13,$BC$6:$BC$53,INDEX(T_Equipos[Grupo],MATCH(BD13,T_Equipos[NombreEquipo],0)))&amp;")")</f>
        <v>P.1 (4)</v>
      </c>
      <c r="CO13" s="735">
        <f t="shared" ca="1" si="48"/>
        <v>0</v>
      </c>
      <c r="CP13" s="735">
        <f t="shared" ca="1" si="49"/>
        <v>0</v>
      </c>
      <c r="CQ13" s="735">
        <f t="shared" ca="1" si="50"/>
        <v>0</v>
      </c>
      <c r="CR13" s="735">
        <f ca="1">CM13+COUNTIFS($CN$6:$CN$53,CN13,$CQ$6:CQ$53,"&gt;"&amp;CQ13,$BC$6:$BC$53,INDEX(T_Equipos[Grupo],MATCH(BD13,T_Equipos[NombreEquipo],0)))</f>
        <v>1</v>
      </c>
      <c r="CS13" s="734" t="str">
        <f ca="1">IF(COUNTIFS($CR$6:$CR$53,CR13,$BC$6:$BC$53,INDEX(T_Equipos[Grupo],MATCH(BD13,T_Equipos[NombreEquipo],0)))=1,"-","P."&amp;CR13&amp;" ("&amp;COUNTIFS($CR$6:$CR$53,CR13,$BC$6:$BC$53,INDEX(T_Equipos[Grupo],MATCH(BD13,T_Equipos[NombreEquipo],0)))&amp;")")</f>
        <v>P.1 (4)</v>
      </c>
      <c r="CT13" s="735">
        <f t="shared" ca="1" si="51"/>
        <v>0</v>
      </c>
      <c r="CU13" s="735">
        <f ca="1">CR13+COUNTIFS($CS$6:$CS$53,CS13,$CT$6:CT$53,"&gt;"&amp;CT13,$BC$6:$BC$53,INDEX(T_Equipos[Grupo],MATCH(BD13,T_Equipos[NombreEquipo],0)))</f>
        <v>1</v>
      </c>
      <c r="CV13" s="734" t="str">
        <f ca="1">IF(COUNTIFS($CU$6:$CU$53,CU13,$BC$6:$BC$53,INDEX(T_Equipos[Grupo],MATCH(BD13,T_Equipos[NombreEquipo],0)))=1,"-","P."&amp;CU13&amp;" ("&amp;COUNTIFS($CU$6:$CU$53,CU13,$BC$6:$BC$53,INDEX(T_Equipos[Grupo],MATCH(BD13,T_Equipos[NombreEquipo],0)))&amp;")")</f>
        <v>P.1 (4)</v>
      </c>
      <c r="CW13" s="734">
        <f t="shared" ca="1" si="30"/>
        <v>0</v>
      </c>
      <c r="CX13" s="734">
        <f ca="1">CU13+COUNTIFS($CV$6:$CV$53,CV13,$CW$6:CW$53,"&gt;"&amp;CW13,$BC$6:$BC$53,INDEX(T_Equipos[Grupo],MATCH(BD13,T_Equipos[NombreEquipo],0)))</f>
        <v>1</v>
      </c>
      <c r="CY13" s="734" t="str">
        <f ca="1">IF(COUNTIFS($CX$6:$CX$53,CX13,$BC$6:$BC$53,INDEX(T_Equipos[Grupo],MATCH(BD13,T_Equipos[NombreEquipo],0)))=1,"-","P."&amp;CX13&amp;" ("&amp;COUNTIFS($CX$6:$CX$53,CX13,$BC$6:$BC$53,INDEX(T_Equipos[Grupo],MATCH(BD13,T_Equipos[NombreEquipo],0)))&amp;")")</f>
        <v>P.1 (4)</v>
      </c>
      <c r="CZ13" s="734">
        <f t="shared" ca="1" si="31"/>
        <v>0</v>
      </c>
      <c r="DA13" s="735">
        <f ca="1">CX13+COUNTIFS($CY$6:$CY$53,CY13,$CZ$6:CZ$53,"&gt;"&amp;CZ13,$BC$6:$BC$53,INDEX(T_Equipos[Grupo],MATCH(BD13,T_Equipos[NombreEquipo],0)))</f>
        <v>1</v>
      </c>
      <c r="DB13" s="734" t="str">
        <f ca="1">IF(COUNTIFS($DA$6:$DA$53,DA13,$BC$6:$BC$53,INDEX(T_Equipos[Grupo],MATCH(BD13,T_Equipos[NombreEquipo],0)))=1,"-","P."&amp;DA13&amp;" ("&amp;COUNTIFS($DA$6:$DA$53,DA13,$BC$6:$BC$53,INDEX(T_Equipos[Grupo],MATCH(BD13,T_Equipos[NombreEquipo],0)))&amp;")")</f>
        <v>P.1 (4)</v>
      </c>
      <c r="DC13" s="733">
        <f ca="1">IF(DB13="-","-",COUNTIFS(T_Equipos[Rank],"&lt;"&amp;INDEX(T_Equipos[Rank],MATCH(BD13,T_Equipos[NombreEquipo],0)),$BC$6:$BC$53,INDEX(T_Equipos[Grupo],MATCH(BD13,T_Equipos[NombreEquipo],0)))+1)</f>
        <v>4</v>
      </c>
      <c r="DD13" s="733">
        <f ca="1">DA13+COUNTIFS($DB$6:$DB$53,DB13,$DC$6:DC$53,"&lt;"&amp;DC13,$BC$6:$BC$53,INDEX(T_Equipos[Grupo],MATCH(BD13,T_Equipos[NombreEquipo],0)))</f>
        <v>4</v>
      </c>
      <c r="DE13" s="733"/>
      <c r="DF13" s="733">
        <f t="shared" ca="1" si="52"/>
        <v>4</v>
      </c>
      <c r="DG13" s="733">
        <f ca="1">IF(DB13="-","-",COUNTIFS(DF$6:DF$53,"&lt;"&amp;DF13,$BC$6:$BC$53,INDEX(T_Equipos[Grupo],MATCH(BD13,T_Equipos[NombreEquipo],0))))</f>
        <v>3</v>
      </c>
      <c r="DH13" s="733">
        <f ca="1">DA13+COUNTIFS(DB$6:DB$53,DB13,DG$6:DG$53,"&lt;"&amp;DG13,$BC$6:$BC$53,INDEX(T_Equipos[Grupo],MATCH(BD13,T_Equipos[NombreEquipo],0)))</f>
        <v>4</v>
      </c>
      <c r="DI13" s="721"/>
      <c r="DJ13" s="721">
        <f t="shared" ca="1" si="53"/>
        <v>1</v>
      </c>
      <c r="DK13" s="721">
        <f t="shared" ca="1" si="24"/>
        <v>0</v>
      </c>
      <c r="DL13" s="721">
        <f t="shared" ca="1" si="33"/>
        <v>1</v>
      </c>
      <c r="DM13" s="715" t="str">
        <f t="shared" ca="1" si="34"/>
        <v>1.1</v>
      </c>
      <c r="DN13" s="721" cm="1">
        <f t="array" aca="1" ref="DN13" ca="1">OFFSET(Horarios!$P$3,DJ13-1,0,DL13,1)</f>
        <v>1</v>
      </c>
      <c r="DO13" s="721"/>
      <c r="DP13" s="721" t="s">
        <v>650</v>
      </c>
      <c r="DQ13" s="721" t="str">
        <f t="shared" ca="1" si="35"/>
        <v>Suiza</v>
      </c>
      <c r="DR13" s="721"/>
      <c r="DS13" s="721"/>
      <c r="DT13" s="721" t="str">
        <f t="shared" ca="1" si="15"/>
        <v>Catar-Suiza</v>
      </c>
      <c r="DU13" s="721"/>
      <c r="DV13" s="721"/>
      <c r="DW13" s="8"/>
    </row>
    <row r="14" spans="1:127" ht="17.100000000000001" customHeight="1">
      <c r="A14" s="722" t="str">
        <f ca="1">+Equipos!B7</f>
        <v>Bosnia y Herzegovina</v>
      </c>
      <c r="B14" s="719"/>
      <c r="C14" s="723"/>
      <c r="D14" s="721" t="str">
        <f t="shared" si="54"/>
        <v>Pendiente</v>
      </c>
      <c r="E14" s="721" t="str">
        <f t="shared" si="55"/>
        <v>-</v>
      </c>
      <c r="F14" s="721" t="str">
        <f t="shared" si="56"/>
        <v>-</v>
      </c>
      <c r="G14" s="721"/>
      <c r="H14" s="721" t="str">
        <f t="shared" si="57"/>
        <v>-</v>
      </c>
      <c r="I14" s="721" t="str">
        <f t="shared" si="58"/>
        <v>-</v>
      </c>
      <c r="J14" s="721"/>
      <c r="K14" s="721" t="str">
        <f t="shared" si="59"/>
        <v>-</v>
      </c>
      <c r="L14" s="721" t="str">
        <f t="shared" si="60"/>
        <v>-</v>
      </c>
      <c r="M14" s="721"/>
      <c r="N14" s="721" t="str">
        <f t="shared" si="61"/>
        <v>-</v>
      </c>
      <c r="O14" s="721" t="str">
        <f t="shared" si="62"/>
        <v>-</v>
      </c>
      <c r="P14" s="721"/>
      <c r="Q14" s="721" t="str">
        <f t="shared" si="63"/>
        <v>-</v>
      </c>
      <c r="R14" s="721" t="str">
        <f t="shared" si="64"/>
        <v>-</v>
      </c>
      <c r="S14" s="721"/>
      <c r="T14" s="721" t="str">
        <f t="shared" si="65"/>
        <v>-</v>
      </c>
      <c r="U14" s="721" t="str">
        <f t="shared" si="66"/>
        <v>-</v>
      </c>
      <c r="V14" s="162"/>
      <c r="W14" s="816"/>
      <c r="X14" s="179">
        <f ca="1">Horarios!C14</f>
        <v>46191.875</v>
      </c>
      <c r="Y14" s="180">
        <f ca="1">Horarios!C14</f>
        <v>46191.875</v>
      </c>
      <c r="Z14" s="181" t="str">
        <f>$Z$6</f>
        <v>J2</v>
      </c>
      <c r="AA14" s="182" t="str">
        <f ca="1">A16</f>
        <v>Suiza</v>
      </c>
      <c r="AB14" s="457" t="str" cm="1">
        <f t="array" aca="1" ref="AB14" ca="1">Ver_flag_local</f>
        <v/>
      </c>
      <c r="AC14" s="183"/>
      <c r="AD14" s="184"/>
      <c r="AE14" s="462" t="str" cm="1">
        <f t="array" aca="1" ref="AE14" ca="1">Ver_flag_visit</f>
        <v/>
      </c>
      <c r="AF14" s="185" t="str">
        <f ca="1">A14</f>
        <v>Bosnia y Herzegovina</v>
      </c>
      <c r="AG14" s="396">
        <f t="shared" si="67"/>
        <v>0</v>
      </c>
      <c r="AH14" s="186">
        <v>26</v>
      </c>
      <c r="AI14" s="15" t="str">
        <f>AJ14&amp;$B$12</f>
        <v>1B</v>
      </c>
      <c r="AJ14" s="246">
        <v>1</v>
      </c>
      <c r="AK14" s="467" t="str" cm="1">
        <f t="array" aca="1" ref="AK14" ca="1">Ver_flag_visit</f>
        <v/>
      </c>
      <c r="AL14" s="202" t="str">
        <f ca="1">IFERROR(INDEX($BD$6:$BD$53,MATCH(AI14,$BN$6:$BN$53,0)),"")</f>
        <v>Canadá</v>
      </c>
      <c r="AM14" s="203">
        <f t="shared" ref="AM14:AT17" ca="1" si="71">INDEX($BE$6:$BN$53,MATCH($AL14,$BD$6:$BD$53,0),MATCH(AM$5,$BE$5:$BN$5,0))</f>
        <v>0</v>
      </c>
      <c r="AN14" s="204">
        <f t="shared" ca="1" si="71"/>
        <v>0</v>
      </c>
      <c r="AO14" s="204">
        <f t="shared" ca="1" si="71"/>
        <v>0</v>
      </c>
      <c r="AP14" s="204">
        <f t="shared" ca="1" si="71"/>
        <v>0</v>
      </c>
      <c r="AQ14" s="204">
        <f t="shared" ca="1" si="71"/>
        <v>0</v>
      </c>
      <c r="AR14" s="204">
        <f t="shared" ca="1" si="71"/>
        <v>0</v>
      </c>
      <c r="AS14" s="204">
        <f t="shared" ca="1" si="71"/>
        <v>0</v>
      </c>
      <c r="AT14" s="247">
        <f t="shared" ca="1" si="71"/>
        <v>0</v>
      </c>
      <c r="AU14" s="403">
        <f ca="1">INDEX($DL$6:$DL$53,MATCH(AI14,$DP$6:$DP$53,0))</f>
        <v>1</v>
      </c>
      <c r="AV14" s="207" t="str">
        <f ca="1">INDEX($BD$6:$BD$53,MATCH(AI14,$BM$6:$BM$53,0))</f>
        <v>Canadá</v>
      </c>
      <c r="AW14" s="410"/>
      <c r="AX14" s="208"/>
      <c r="AY14" s="209" t="str">
        <f ca="1">+A13</f>
        <v>Canadá</v>
      </c>
      <c r="AZ14" s="210"/>
      <c r="BA14" s="165"/>
      <c r="BB14" s="721"/>
      <c r="BC14" s="733" t="str">
        <f ca="1">+INDEX(T_Equipos[Grupo],MATCH(WORLDCUP!BD14,T_Equipos[NombreEquipo],0))</f>
        <v>C</v>
      </c>
      <c r="BD14" s="721" t="str">
        <f ca="1">+Equipos!B10</f>
        <v>Brasil</v>
      </c>
      <c r="BE14" s="725">
        <f t="shared" ca="1" si="25"/>
        <v>0</v>
      </c>
      <c r="BF14" s="725">
        <f t="shared" ca="1" si="26"/>
        <v>0</v>
      </c>
      <c r="BG14" s="725">
        <f t="shared" ca="1" si="17"/>
        <v>0</v>
      </c>
      <c r="BH14" s="725">
        <f t="shared" ca="1" si="18"/>
        <v>0</v>
      </c>
      <c r="BI14" s="725">
        <f t="shared" ca="1" si="19"/>
        <v>0</v>
      </c>
      <c r="BJ14" s="725">
        <f t="shared" ca="1" si="20"/>
        <v>0</v>
      </c>
      <c r="BK14" s="725">
        <f t="shared" ca="1" si="21"/>
        <v>0</v>
      </c>
      <c r="BL14" s="725">
        <f t="shared" ca="1" si="27"/>
        <v>0</v>
      </c>
      <c r="BM14" s="725" t="str">
        <f t="shared" ca="1" si="22"/>
        <v>1C</v>
      </c>
      <c r="BN14" s="725" t="str">
        <f t="shared" ca="1" si="23"/>
        <v>1C</v>
      </c>
      <c r="BO14" s="734">
        <f t="shared" ca="1" si="28"/>
        <v>0</v>
      </c>
      <c r="BP14" s="734">
        <f ca="1">COUNTIFS($BO$6:$BO$53,"&gt;"&amp;BO14,$BC$6:$BC$53,INDEX(T_Equipos[Grupo],MATCH(BD14,T_Equipos[NombreEquipo],0)))+1</f>
        <v>1</v>
      </c>
      <c r="BQ14" s="734" t="str">
        <f ca="1">IF(COUNTIFS($BP$6:$BP$53,BP14,$BC$6:$BC$53,INDEX(T_Equipos[Grupo],MATCH(BD14,T_Equipos[NombreEquipo],0)))=1,"-","P."&amp;BP14&amp;" ("&amp;COUNTIFS($BP$6:$BP$53,BP14,$BC$6:$BC$53,INDEX(T_Equipos[Grupo],MATCH(BD14,T_Equipos[NombreEquipo],0)))&amp;")")</f>
        <v>P.1 (4)</v>
      </c>
      <c r="BR14" s="734">
        <f t="shared" ca="1" si="29"/>
        <v>0</v>
      </c>
      <c r="BS14" s="734">
        <f ca="1">BP14+COUNTIFS($BQ$6:$BQ$53,BQ14,$BR$6:BR$53,"&gt;"&amp;BR14,$BC$6:$BC$53,INDEX(T_Equipos[Grupo],MATCH(BD14,T_Equipos[NombreEquipo],0)))</f>
        <v>1</v>
      </c>
      <c r="BT14" s="734" t="str">
        <f ca="1">IF(COUNTIFS($BS$6:$BS$53,BS14,$BC$6:$BC$53,INDEX(T_Equipos[Grupo],MATCH(BD14,T_Equipos[NombreEquipo],0)))=1,"-","P."&amp;BS14&amp;" ("&amp;COUNTIFS($BS$6:$BS$53,BS14,$BC$6:$BC$53,INDEX(T_Equipos[Grupo],MATCH(BD14,T_Equipos[NombreEquipo],0)))&amp;")")</f>
        <v>P.1 (4)</v>
      </c>
      <c r="BU14" s="735">
        <f t="shared" ca="1" si="36"/>
        <v>0</v>
      </c>
      <c r="BV14" s="735">
        <f t="shared" ca="1" si="37"/>
        <v>0</v>
      </c>
      <c r="BW14" s="735">
        <f t="shared" ca="1" si="38"/>
        <v>0</v>
      </c>
      <c r="BX14" s="735">
        <f t="shared" ca="1" si="39"/>
        <v>0</v>
      </c>
      <c r="BY14" s="735">
        <f ca="1">BS14+COUNTIFS($BT$6:$BT$53,BT14,$BX$6:BX$53,"&gt;"&amp;BX14,$BC$6:$BC$53,INDEX(T_Equipos[Grupo],MATCH(BD14,T_Equipos[NombreEquipo],0)))</f>
        <v>1</v>
      </c>
      <c r="BZ14" s="734" t="str">
        <f ca="1">IF(COUNTIFS($BY$6:$BY$53,BY14,$BC$6:$BC$53,INDEX(T_Equipos[Grupo],MATCH(BD14,T_Equipos[NombreEquipo],0)))=1,"-","P."&amp;BY14&amp;" ("&amp;COUNTIFS($BY$6:$BY$53,BY14,$BC$6:$BC$53,INDEX(T_Equipos[Grupo],MATCH(BD14,T_Equipos[NombreEquipo],0)))&amp;")")</f>
        <v>P.1 (4)</v>
      </c>
      <c r="CA14" s="735">
        <f t="shared" ca="1" si="40"/>
        <v>0</v>
      </c>
      <c r="CB14" s="735">
        <f t="shared" ca="1" si="41"/>
        <v>0</v>
      </c>
      <c r="CC14" s="735">
        <f t="shared" ca="1" si="42"/>
        <v>0</v>
      </c>
      <c r="CD14" s="735">
        <f ca="1">BY14+COUNTIFS($BZ$6:$BZ$53,BZ14,$CC$6:CC$53,"&gt;"&amp;CC14,$BC$6:$BC$53,INDEX(T_Equipos[Grupo],MATCH(BD14,T_Equipos[NombreEquipo],0)))</f>
        <v>1</v>
      </c>
      <c r="CE14" s="734" t="str">
        <f ca="1">IF(COUNTIFS($CD$6:$CD$53,CD14,$BC$6:$BC$53,INDEX(T_Equipos[Grupo],MATCH(BD14,T_Equipos[NombreEquipo],0)))=1,"-","P."&amp;CD14&amp;" ("&amp;COUNTIFS($CD$6:$CD$53,CD14,$BC$6:$BC$53,INDEX(T_Equipos[Grupo],MATCH(BD14,T_Equipos[NombreEquipo],0)))&amp;")")</f>
        <v>P.1 (4)</v>
      </c>
      <c r="CF14" s="735">
        <f t="shared" ca="1" si="43"/>
        <v>0</v>
      </c>
      <c r="CG14" s="735">
        <f ca="1">CD14+COUNTIFS($CE$6:$CE$53,CE14,$CF$6:CF$53,"&gt;"&amp;CF14,$BC$6:$BC$53,INDEX(T_Equipos[Grupo],MATCH(BD14,T_Equipos[NombreEquipo],0)))</f>
        <v>1</v>
      </c>
      <c r="CH14" s="734" t="str">
        <f ca="1">IF(COUNTIFS($CG$6:$CG$53,CG14,$BC$6:$BC$53,INDEX(T_Equipos[Grupo],MATCH(BD14,T_Equipos[NombreEquipo],0)))=1,"-","P."&amp;CG14&amp;" ("&amp;COUNTIFS($CG$6:$CG$53,CG14,$BC$6:$BC$53,INDEX(T_Equipos[Grupo],MATCH(BD14,T_Equipos[NombreEquipo],0)))&amp;")")</f>
        <v>P.1 (4)</v>
      </c>
      <c r="CI14" s="735">
        <f t="shared" ca="1" si="44"/>
        <v>0</v>
      </c>
      <c r="CJ14" s="735">
        <f t="shared" ca="1" si="45"/>
        <v>0</v>
      </c>
      <c r="CK14" s="735">
        <f t="shared" ca="1" si="46"/>
        <v>0</v>
      </c>
      <c r="CL14" s="735">
        <f t="shared" ca="1" si="47"/>
        <v>0</v>
      </c>
      <c r="CM14" s="735">
        <f ca="1">CG14+COUNTIFS($CH$6:$CH$53,CH14,$CL$6:CL$53,"&gt;"&amp;CL14,$BC$6:$BC$53,INDEX(T_Equipos[Grupo],MATCH(BD14,T_Equipos[NombreEquipo],0)))</f>
        <v>1</v>
      </c>
      <c r="CN14" s="734" t="str">
        <f ca="1">IF(COUNTIFS($CM$6:$CM$53,CM14,$BC$6:$BC$53,INDEX(T_Equipos[Grupo],MATCH(BD14,T_Equipos[NombreEquipo],0)))=1,"-","P."&amp;CM14&amp;" ("&amp;COUNTIFS($CM$6:$CM$53,CM14,$BC$6:$BC$53,INDEX(T_Equipos[Grupo],MATCH(BD14,T_Equipos[NombreEquipo],0)))&amp;")")</f>
        <v>P.1 (4)</v>
      </c>
      <c r="CO14" s="735">
        <f t="shared" ca="1" si="48"/>
        <v>0</v>
      </c>
      <c r="CP14" s="735">
        <f t="shared" ca="1" si="49"/>
        <v>0</v>
      </c>
      <c r="CQ14" s="735">
        <f t="shared" ca="1" si="50"/>
        <v>0</v>
      </c>
      <c r="CR14" s="735">
        <f ca="1">CM14+COUNTIFS($CN$6:$CN$53,CN14,$CQ$6:CQ$53,"&gt;"&amp;CQ14,$BC$6:$BC$53,INDEX(T_Equipos[Grupo],MATCH(BD14,T_Equipos[NombreEquipo],0)))</f>
        <v>1</v>
      </c>
      <c r="CS14" s="734" t="str">
        <f ca="1">IF(COUNTIFS($CR$6:$CR$53,CR14,$BC$6:$BC$53,INDEX(T_Equipos[Grupo],MATCH(BD14,T_Equipos[NombreEquipo],0)))=1,"-","P."&amp;CR14&amp;" ("&amp;COUNTIFS($CR$6:$CR$53,CR14,$BC$6:$BC$53,INDEX(T_Equipos[Grupo],MATCH(BD14,T_Equipos[NombreEquipo],0)))&amp;")")</f>
        <v>P.1 (4)</v>
      </c>
      <c r="CT14" s="735">
        <f t="shared" ca="1" si="51"/>
        <v>0</v>
      </c>
      <c r="CU14" s="735">
        <f ca="1">CR14+COUNTIFS($CS$6:$CS$53,CS14,$CT$6:CT$53,"&gt;"&amp;CT14,$BC$6:$BC$53,INDEX(T_Equipos[Grupo],MATCH(BD14,T_Equipos[NombreEquipo],0)))</f>
        <v>1</v>
      </c>
      <c r="CV14" s="734" t="str">
        <f ca="1">IF(COUNTIFS($CU$6:$CU$53,CU14,$BC$6:$BC$53,INDEX(T_Equipos[Grupo],MATCH(BD14,T_Equipos[NombreEquipo],0)))=1,"-","P."&amp;CU14&amp;" ("&amp;COUNTIFS($CU$6:$CU$53,CU14,$BC$6:$BC$53,INDEX(T_Equipos[Grupo],MATCH(BD14,T_Equipos[NombreEquipo],0)))&amp;")")</f>
        <v>P.1 (4)</v>
      </c>
      <c r="CW14" s="734">
        <f t="shared" ca="1" si="30"/>
        <v>0</v>
      </c>
      <c r="CX14" s="734">
        <f ca="1">CU14+COUNTIFS($CV$6:$CV$53,CV14,$CW$6:CW$53,"&gt;"&amp;CW14,$BC$6:$BC$53,INDEX(T_Equipos[Grupo],MATCH(BD14,T_Equipos[NombreEquipo],0)))</f>
        <v>1</v>
      </c>
      <c r="CY14" s="734" t="str">
        <f ca="1">IF(COUNTIFS($CX$6:$CX$53,CX14,$BC$6:$BC$53,INDEX(T_Equipos[Grupo],MATCH(BD14,T_Equipos[NombreEquipo],0)))=1,"-","P."&amp;CX14&amp;" ("&amp;COUNTIFS($CX$6:$CX$53,CX14,$BC$6:$BC$53,INDEX(T_Equipos[Grupo],MATCH(BD14,T_Equipos[NombreEquipo],0)))&amp;")")</f>
        <v>P.1 (4)</v>
      </c>
      <c r="CZ14" s="734">
        <f t="shared" ca="1" si="31"/>
        <v>0</v>
      </c>
      <c r="DA14" s="735">
        <f ca="1">CX14+COUNTIFS($CY$6:$CY$53,CY14,$CZ$6:CZ$53,"&gt;"&amp;CZ14,$BC$6:$BC$53,INDEX(T_Equipos[Grupo],MATCH(BD14,T_Equipos[NombreEquipo],0)))</f>
        <v>1</v>
      </c>
      <c r="DB14" s="734" t="str">
        <f ca="1">IF(COUNTIFS($DA$6:$DA$53,DA14,$BC$6:$BC$53,INDEX(T_Equipos[Grupo],MATCH(BD14,T_Equipos[NombreEquipo],0)))=1,"-","P."&amp;DA14&amp;" ("&amp;COUNTIFS($DA$6:$DA$53,DA14,$BC$6:$BC$53,INDEX(T_Equipos[Grupo],MATCH(BD14,T_Equipos[NombreEquipo],0)))&amp;")")</f>
        <v>P.1 (4)</v>
      </c>
      <c r="DC14" s="733">
        <f ca="1">IF(DB14="-","-",COUNTIFS(T_Equipos[Rank],"&lt;"&amp;INDEX(T_Equipos[Rank],MATCH(BD14,T_Equipos[NombreEquipo],0)),$BC$6:$BC$53,INDEX(T_Equipos[Grupo],MATCH(BD14,T_Equipos[NombreEquipo],0)))+1)</f>
        <v>1</v>
      </c>
      <c r="DD14" s="733">
        <f ca="1">DA14+COUNTIFS($DB$6:$DB$53,DB14,$DC$6:DC$53,"&lt;"&amp;DC14,$BC$6:$BC$53,INDEX(T_Equipos[Grupo],MATCH(BD14,T_Equipos[NombreEquipo],0)))</f>
        <v>1</v>
      </c>
      <c r="DE14" s="733"/>
      <c r="DF14" s="733">
        <f t="shared" ca="1" si="52"/>
        <v>1</v>
      </c>
      <c r="DG14" s="733">
        <f ca="1">IF(DB14="-","-",COUNTIFS(DF$6:DF$53,"&lt;"&amp;DF14,$BC$6:$BC$53,INDEX(T_Equipos[Grupo],MATCH(BD14,T_Equipos[NombreEquipo],0))))</f>
        <v>0</v>
      </c>
      <c r="DH14" s="733">
        <f ca="1">DA14+COUNTIFS(DB$6:DB$53,DB14,DG$6:DG$53,"&lt;"&amp;DG14,$BC$6:$BC$53,INDEX(T_Equipos[Grupo],MATCH(BD14,T_Equipos[NombreEquipo],0)))</f>
        <v>1</v>
      </c>
      <c r="DI14" s="721"/>
      <c r="DJ14" s="721">
        <f t="shared" ca="1" si="53"/>
        <v>1</v>
      </c>
      <c r="DK14" s="721">
        <f t="shared" ca="1" si="24"/>
        <v>0</v>
      </c>
      <c r="DL14" s="721">
        <f t="shared" ca="1" si="33"/>
        <v>1</v>
      </c>
      <c r="DM14" s="715" t="str">
        <f t="shared" ca="1" si="34"/>
        <v>1.1</v>
      </c>
      <c r="DN14" s="721" cm="1">
        <f t="array" aca="1" ref="DN14" ca="1">OFFSET(Horarios!$P$3,DJ14-1,0,DL14,1)</f>
        <v>1</v>
      </c>
      <c r="DO14" s="721"/>
      <c r="DP14" s="721" t="s">
        <v>651</v>
      </c>
      <c r="DQ14" s="721" t="str">
        <f t="shared" ca="1" si="35"/>
        <v>Brasil</v>
      </c>
      <c r="DR14" s="721"/>
      <c r="DS14" s="721"/>
      <c r="DT14" s="721" t="str">
        <f t="shared" ca="1" si="15"/>
        <v>Suiza-Bosnia y Herzegovina</v>
      </c>
      <c r="DU14" s="721"/>
      <c r="DV14" s="721"/>
      <c r="DW14" s="8"/>
    </row>
    <row r="15" spans="1:127">
      <c r="A15" s="722" t="str">
        <f ca="1">+Equipos!B8</f>
        <v>Catar</v>
      </c>
      <c r="B15" s="719"/>
      <c r="C15" s="721"/>
      <c r="D15" s="721" t="str">
        <f t="shared" si="54"/>
        <v>Pendiente</v>
      </c>
      <c r="E15" s="721" t="str">
        <f t="shared" si="55"/>
        <v>-</v>
      </c>
      <c r="F15" s="721" t="str">
        <f t="shared" si="56"/>
        <v>-</v>
      </c>
      <c r="G15" s="721"/>
      <c r="H15" s="721" t="str">
        <f t="shared" si="57"/>
        <v>-</v>
      </c>
      <c r="I15" s="721" t="str">
        <f t="shared" si="58"/>
        <v>-</v>
      </c>
      <c r="J15" s="721"/>
      <c r="K15" s="721" t="str">
        <f t="shared" si="59"/>
        <v>-</v>
      </c>
      <c r="L15" s="721" t="str">
        <f t="shared" si="60"/>
        <v>-</v>
      </c>
      <c r="M15" s="721"/>
      <c r="N15" s="721" t="str">
        <f t="shared" si="61"/>
        <v>-</v>
      </c>
      <c r="O15" s="721" t="str">
        <f t="shared" si="62"/>
        <v>-</v>
      </c>
      <c r="P15" s="721"/>
      <c r="Q15" s="721" t="str">
        <f t="shared" si="63"/>
        <v>-</v>
      </c>
      <c r="R15" s="721" t="str">
        <f t="shared" si="64"/>
        <v>-</v>
      </c>
      <c r="S15" s="721"/>
      <c r="T15" s="721" t="str">
        <f t="shared" si="65"/>
        <v>-</v>
      </c>
      <c r="U15" s="721" t="str">
        <f t="shared" si="66"/>
        <v>-</v>
      </c>
      <c r="V15" s="162"/>
      <c r="W15" s="816"/>
      <c r="X15" s="179">
        <f ca="1">Horarios!C15</f>
        <v>46192</v>
      </c>
      <c r="Y15" s="180">
        <f ca="1">Horarios!C15</f>
        <v>46192</v>
      </c>
      <c r="Z15" s="181" t="str">
        <f>$Z$6</f>
        <v>J2</v>
      </c>
      <c r="AA15" s="182" t="str">
        <f ca="1">A13</f>
        <v>Canadá</v>
      </c>
      <c r="AB15" s="457" t="str" cm="1">
        <f t="array" aca="1" ref="AB15" ca="1">Ver_flag_local</f>
        <v/>
      </c>
      <c r="AC15" s="183"/>
      <c r="AD15" s="184"/>
      <c r="AE15" s="462" t="str" cm="1">
        <f t="array" aca="1" ref="AE15" ca="1">Ver_flag_visit</f>
        <v/>
      </c>
      <c r="AF15" s="185" t="str">
        <f ca="1">A15</f>
        <v>Catar</v>
      </c>
      <c r="AG15" s="396">
        <f t="shared" si="67"/>
        <v>0</v>
      </c>
      <c r="AH15" s="186">
        <v>27</v>
      </c>
      <c r="AI15" s="15" t="str">
        <f t="shared" ref="AI15:AI17" si="72">AJ15&amp;$B$12</f>
        <v>2B</v>
      </c>
      <c r="AJ15" s="248">
        <v>2</v>
      </c>
      <c r="AK15" s="465" t="str" cm="1">
        <f t="array" aca="1" ref="AK15" ca="1">Ver_flag_visit</f>
        <v/>
      </c>
      <c r="AL15" s="212" t="str">
        <f ca="1">IFERROR(INDEX($BD$6:$BD$53,MATCH(AI15,$BN$6:$BN$53,0)),"")</f>
        <v>Bosnia y Herzegovina</v>
      </c>
      <c r="AM15" s="213">
        <f t="shared" ca="1" si="71"/>
        <v>0</v>
      </c>
      <c r="AN15" s="214">
        <f t="shared" ca="1" si="71"/>
        <v>0</v>
      </c>
      <c r="AO15" s="214">
        <f t="shared" ca="1" si="71"/>
        <v>0</v>
      </c>
      <c r="AP15" s="214">
        <f t="shared" ca="1" si="71"/>
        <v>0</v>
      </c>
      <c r="AQ15" s="214">
        <f t="shared" ca="1" si="71"/>
        <v>0</v>
      </c>
      <c r="AR15" s="214">
        <f t="shared" ca="1" si="71"/>
        <v>0</v>
      </c>
      <c r="AS15" s="214">
        <f t="shared" ca="1" si="71"/>
        <v>0</v>
      </c>
      <c r="AT15" s="249">
        <f t="shared" ca="1" si="71"/>
        <v>0</v>
      </c>
      <c r="AU15" s="403">
        <f ca="1">INDEX($DL$6:$DL$53,MATCH(AI15,$DP$6:$DP$53,0))</f>
        <v>1</v>
      </c>
      <c r="AV15" s="207" t="str">
        <f ca="1">INDEX($BD$6:$BD$53,MATCH(AI15,$BM$6:$BM$53,0))</f>
        <v>Bosnia y Herzegovina</v>
      </c>
      <c r="AW15" s="410"/>
      <c r="AX15" s="208"/>
      <c r="AY15" s="216" t="str">
        <f ca="1">+A14</f>
        <v>Bosnia y Herzegovina</v>
      </c>
      <c r="AZ15" s="217"/>
      <c r="BA15" s="165"/>
      <c r="BB15" s="721"/>
      <c r="BC15" s="733" t="str">
        <f ca="1">+INDEX(T_Equipos[Grupo],MATCH(WORLDCUP!BD15,T_Equipos[NombreEquipo],0))</f>
        <v>C</v>
      </c>
      <c r="BD15" s="721" t="str">
        <f ca="1">+Equipos!B11</f>
        <v>Marruecos</v>
      </c>
      <c r="BE15" s="725">
        <f t="shared" ca="1" si="25"/>
        <v>0</v>
      </c>
      <c r="BF15" s="725">
        <f t="shared" ca="1" si="26"/>
        <v>0</v>
      </c>
      <c r="BG15" s="725">
        <f t="shared" ca="1" si="17"/>
        <v>0</v>
      </c>
      <c r="BH15" s="725">
        <f t="shared" ca="1" si="18"/>
        <v>0</v>
      </c>
      <c r="BI15" s="725">
        <f t="shared" ca="1" si="19"/>
        <v>0</v>
      </c>
      <c r="BJ15" s="725">
        <f t="shared" ca="1" si="20"/>
        <v>0</v>
      </c>
      <c r="BK15" s="725">
        <f t="shared" ca="1" si="21"/>
        <v>0</v>
      </c>
      <c r="BL15" s="725">
        <f t="shared" ca="1" si="27"/>
        <v>0</v>
      </c>
      <c r="BM15" s="725" t="str">
        <f t="shared" ca="1" si="22"/>
        <v>2C</v>
      </c>
      <c r="BN15" s="725" t="str">
        <f t="shared" ca="1" si="23"/>
        <v>2C</v>
      </c>
      <c r="BO15" s="734">
        <f t="shared" ca="1" si="28"/>
        <v>0</v>
      </c>
      <c r="BP15" s="734">
        <f ca="1">COUNTIFS($BO$6:$BO$53,"&gt;"&amp;BO15,$BC$6:$BC$53,INDEX(T_Equipos[Grupo],MATCH(BD15,T_Equipos[NombreEquipo],0)))+1</f>
        <v>1</v>
      </c>
      <c r="BQ15" s="734" t="str">
        <f ca="1">IF(COUNTIFS($BP$6:$BP$53,BP15,$BC$6:$BC$53,INDEX(T_Equipos[Grupo],MATCH(BD15,T_Equipos[NombreEquipo],0)))=1,"-","P."&amp;BP15&amp;" ("&amp;COUNTIFS($BP$6:$BP$53,BP15,$BC$6:$BC$53,INDEX(T_Equipos[Grupo],MATCH(BD15,T_Equipos[NombreEquipo],0)))&amp;")")</f>
        <v>P.1 (4)</v>
      </c>
      <c r="BR15" s="734">
        <f t="shared" ca="1" si="29"/>
        <v>0</v>
      </c>
      <c r="BS15" s="734">
        <f ca="1">BP15+COUNTIFS($BQ$6:$BQ$53,BQ15,$BR$6:BR$53,"&gt;"&amp;BR15,$BC$6:$BC$53,INDEX(T_Equipos[Grupo],MATCH(BD15,T_Equipos[NombreEquipo],0)))</f>
        <v>1</v>
      </c>
      <c r="BT15" s="734" t="str">
        <f ca="1">IF(COUNTIFS($BS$6:$BS$53,BS15,$BC$6:$BC$53,INDEX(T_Equipos[Grupo],MATCH(BD15,T_Equipos[NombreEquipo],0)))=1,"-","P."&amp;BS15&amp;" ("&amp;COUNTIFS($BS$6:$BS$53,BS15,$BC$6:$BC$53,INDEX(T_Equipos[Grupo],MATCH(BD15,T_Equipos[NombreEquipo],0)))&amp;")")</f>
        <v>P.1 (4)</v>
      </c>
      <c r="BU15" s="735">
        <f t="shared" ca="1" si="36"/>
        <v>0</v>
      </c>
      <c r="BV15" s="735">
        <f t="shared" ca="1" si="37"/>
        <v>0</v>
      </c>
      <c r="BW15" s="735">
        <f t="shared" ca="1" si="38"/>
        <v>0</v>
      </c>
      <c r="BX15" s="735">
        <f t="shared" ca="1" si="39"/>
        <v>0</v>
      </c>
      <c r="BY15" s="735">
        <f ca="1">BS15+COUNTIFS($BT$6:$BT$53,BT15,$BX$6:BX$53,"&gt;"&amp;BX15,$BC$6:$BC$53,INDEX(T_Equipos[Grupo],MATCH(BD15,T_Equipos[NombreEquipo],0)))</f>
        <v>1</v>
      </c>
      <c r="BZ15" s="734" t="str">
        <f ca="1">IF(COUNTIFS($BY$6:$BY$53,BY15,$BC$6:$BC$53,INDEX(T_Equipos[Grupo],MATCH(BD15,T_Equipos[NombreEquipo],0)))=1,"-","P."&amp;BY15&amp;" ("&amp;COUNTIFS($BY$6:$BY$53,BY15,$BC$6:$BC$53,INDEX(T_Equipos[Grupo],MATCH(BD15,T_Equipos[NombreEquipo],0)))&amp;")")</f>
        <v>P.1 (4)</v>
      </c>
      <c r="CA15" s="735">
        <f t="shared" ca="1" si="40"/>
        <v>0</v>
      </c>
      <c r="CB15" s="735">
        <f t="shared" ca="1" si="41"/>
        <v>0</v>
      </c>
      <c r="CC15" s="735">
        <f t="shared" ca="1" si="42"/>
        <v>0</v>
      </c>
      <c r="CD15" s="735">
        <f ca="1">BY15+COUNTIFS($BZ$6:$BZ$53,BZ15,$CC$6:CC$53,"&gt;"&amp;CC15,$BC$6:$BC$53,INDEX(T_Equipos[Grupo],MATCH(BD15,T_Equipos[NombreEquipo],0)))</f>
        <v>1</v>
      </c>
      <c r="CE15" s="734" t="str">
        <f ca="1">IF(COUNTIFS($CD$6:$CD$53,CD15,$BC$6:$BC$53,INDEX(T_Equipos[Grupo],MATCH(BD15,T_Equipos[NombreEquipo],0)))=1,"-","P."&amp;CD15&amp;" ("&amp;COUNTIFS($CD$6:$CD$53,CD15,$BC$6:$BC$53,INDEX(T_Equipos[Grupo],MATCH(BD15,T_Equipos[NombreEquipo],0)))&amp;")")</f>
        <v>P.1 (4)</v>
      </c>
      <c r="CF15" s="735">
        <f t="shared" ca="1" si="43"/>
        <v>0</v>
      </c>
      <c r="CG15" s="735">
        <f ca="1">CD15+COUNTIFS($CE$6:$CE$53,CE15,$CF$6:CF$53,"&gt;"&amp;CF15,$BC$6:$BC$53,INDEX(T_Equipos[Grupo],MATCH(BD15,T_Equipos[NombreEquipo],0)))</f>
        <v>1</v>
      </c>
      <c r="CH15" s="734" t="str">
        <f ca="1">IF(COUNTIFS($CG$6:$CG$53,CG15,$BC$6:$BC$53,INDEX(T_Equipos[Grupo],MATCH(BD15,T_Equipos[NombreEquipo],0)))=1,"-","P."&amp;CG15&amp;" ("&amp;COUNTIFS($CG$6:$CG$53,CG15,$BC$6:$BC$53,INDEX(T_Equipos[Grupo],MATCH(BD15,T_Equipos[NombreEquipo],0)))&amp;")")</f>
        <v>P.1 (4)</v>
      </c>
      <c r="CI15" s="735">
        <f t="shared" ca="1" si="44"/>
        <v>0</v>
      </c>
      <c r="CJ15" s="735">
        <f t="shared" ca="1" si="45"/>
        <v>0</v>
      </c>
      <c r="CK15" s="735">
        <f t="shared" ca="1" si="46"/>
        <v>0</v>
      </c>
      <c r="CL15" s="735">
        <f t="shared" ca="1" si="47"/>
        <v>0</v>
      </c>
      <c r="CM15" s="735">
        <f ca="1">CG15+COUNTIFS($CH$6:$CH$53,CH15,$CL$6:CL$53,"&gt;"&amp;CL15,$BC$6:$BC$53,INDEX(T_Equipos[Grupo],MATCH(BD15,T_Equipos[NombreEquipo],0)))</f>
        <v>1</v>
      </c>
      <c r="CN15" s="734" t="str">
        <f ca="1">IF(COUNTIFS($CM$6:$CM$53,CM15,$BC$6:$BC$53,INDEX(T_Equipos[Grupo],MATCH(BD15,T_Equipos[NombreEquipo],0)))=1,"-","P."&amp;CM15&amp;" ("&amp;COUNTIFS($CM$6:$CM$53,CM15,$BC$6:$BC$53,INDEX(T_Equipos[Grupo],MATCH(BD15,T_Equipos[NombreEquipo],0)))&amp;")")</f>
        <v>P.1 (4)</v>
      </c>
      <c r="CO15" s="735">
        <f t="shared" ca="1" si="48"/>
        <v>0</v>
      </c>
      <c r="CP15" s="735">
        <f t="shared" ca="1" si="49"/>
        <v>0</v>
      </c>
      <c r="CQ15" s="735">
        <f t="shared" ca="1" si="50"/>
        <v>0</v>
      </c>
      <c r="CR15" s="735">
        <f ca="1">CM15+COUNTIFS($CN$6:$CN$53,CN15,$CQ$6:CQ$53,"&gt;"&amp;CQ15,$BC$6:$BC$53,INDEX(T_Equipos[Grupo],MATCH(BD15,T_Equipos[NombreEquipo],0)))</f>
        <v>1</v>
      </c>
      <c r="CS15" s="734" t="str">
        <f ca="1">IF(COUNTIFS($CR$6:$CR$53,CR15,$BC$6:$BC$53,INDEX(T_Equipos[Grupo],MATCH(BD15,T_Equipos[NombreEquipo],0)))=1,"-","P."&amp;CR15&amp;" ("&amp;COUNTIFS($CR$6:$CR$53,CR15,$BC$6:$BC$53,INDEX(T_Equipos[Grupo],MATCH(BD15,T_Equipos[NombreEquipo],0)))&amp;")")</f>
        <v>P.1 (4)</v>
      </c>
      <c r="CT15" s="735">
        <f t="shared" ca="1" si="51"/>
        <v>0</v>
      </c>
      <c r="CU15" s="735">
        <f ca="1">CR15+COUNTIFS($CS$6:$CS$53,CS15,$CT$6:CT$53,"&gt;"&amp;CT15,$BC$6:$BC$53,INDEX(T_Equipos[Grupo],MATCH(BD15,T_Equipos[NombreEquipo],0)))</f>
        <v>1</v>
      </c>
      <c r="CV15" s="734" t="str">
        <f ca="1">IF(COUNTIFS($CU$6:$CU$53,CU15,$BC$6:$BC$53,INDEX(T_Equipos[Grupo],MATCH(BD15,T_Equipos[NombreEquipo],0)))=1,"-","P."&amp;CU15&amp;" ("&amp;COUNTIFS($CU$6:$CU$53,CU15,$BC$6:$BC$53,INDEX(T_Equipos[Grupo],MATCH(BD15,T_Equipos[NombreEquipo],0)))&amp;")")</f>
        <v>P.1 (4)</v>
      </c>
      <c r="CW15" s="734">
        <f t="shared" ca="1" si="30"/>
        <v>0</v>
      </c>
      <c r="CX15" s="734">
        <f ca="1">CU15+COUNTIFS($CV$6:$CV$53,CV15,$CW$6:CW$53,"&gt;"&amp;CW15,$BC$6:$BC$53,INDEX(T_Equipos[Grupo],MATCH(BD15,T_Equipos[NombreEquipo],0)))</f>
        <v>1</v>
      </c>
      <c r="CY15" s="734" t="str">
        <f ca="1">IF(COUNTIFS($CX$6:$CX$53,CX15,$BC$6:$BC$53,INDEX(T_Equipos[Grupo],MATCH(BD15,T_Equipos[NombreEquipo],0)))=1,"-","P."&amp;CX15&amp;" ("&amp;COUNTIFS($CX$6:$CX$53,CX15,$BC$6:$BC$53,INDEX(T_Equipos[Grupo],MATCH(BD15,T_Equipos[NombreEquipo],0)))&amp;")")</f>
        <v>P.1 (4)</v>
      </c>
      <c r="CZ15" s="734">
        <f t="shared" ca="1" si="31"/>
        <v>0</v>
      </c>
      <c r="DA15" s="735">
        <f ca="1">CX15+COUNTIFS($CY$6:$CY$53,CY15,$CZ$6:CZ$53,"&gt;"&amp;CZ15,$BC$6:$BC$53,INDEX(T_Equipos[Grupo],MATCH(BD15,T_Equipos[NombreEquipo],0)))</f>
        <v>1</v>
      </c>
      <c r="DB15" s="734" t="str">
        <f ca="1">IF(COUNTIFS($DA$6:$DA$53,DA15,$BC$6:$BC$53,INDEX(T_Equipos[Grupo],MATCH(BD15,T_Equipos[NombreEquipo],0)))=1,"-","P."&amp;DA15&amp;" ("&amp;COUNTIFS($DA$6:$DA$53,DA15,$BC$6:$BC$53,INDEX(T_Equipos[Grupo],MATCH(BD15,T_Equipos[NombreEquipo],0)))&amp;")")</f>
        <v>P.1 (4)</v>
      </c>
      <c r="DC15" s="733">
        <f ca="1">IF(DB15="-","-",COUNTIFS(T_Equipos[Rank],"&lt;"&amp;INDEX(T_Equipos[Rank],MATCH(BD15,T_Equipos[NombreEquipo],0)),$BC$6:$BC$53,INDEX(T_Equipos[Grupo],MATCH(BD15,T_Equipos[NombreEquipo],0)))+1)</f>
        <v>2</v>
      </c>
      <c r="DD15" s="733">
        <f ca="1">DA15+COUNTIFS($DB$6:$DB$53,DB15,$DC$6:DC$53,"&lt;"&amp;DC15,$BC$6:$BC$53,INDEX(T_Equipos[Grupo],MATCH(BD15,T_Equipos[NombreEquipo],0)))</f>
        <v>2</v>
      </c>
      <c r="DE15" s="733"/>
      <c r="DF15" s="733">
        <f t="shared" ca="1" si="52"/>
        <v>2</v>
      </c>
      <c r="DG15" s="733">
        <f ca="1">IF(DB15="-","-",COUNTIFS(DF$6:DF$53,"&lt;"&amp;DF15,$BC$6:$BC$53,INDEX(T_Equipos[Grupo],MATCH(BD15,T_Equipos[NombreEquipo],0))))</f>
        <v>1</v>
      </c>
      <c r="DH15" s="733">
        <f ca="1">DA15+COUNTIFS(DB$6:DB$53,DB15,DG$6:DG$53,"&lt;"&amp;DG15,$BC$6:$BC$53,INDEX(T_Equipos[Grupo],MATCH(BD15,T_Equipos[NombreEquipo],0)))</f>
        <v>2</v>
      </c>
      <c r="DI15" s="721"/>
      <c r="DJ15" s="721">
        <f t="shared" ca="1" si="53"/>
        <v>1</v>
      </c>
      <c r="DK15" s="721">
        <f t="shared" ca="1" si="24"/>
        <v>0</v>
      </c>
      <c r="DL15" s="721">
        <f t="shared" ca="1" si="33"/>
        <v>1</v>
      </c>
      <c r="DM15" s="715" t="str">
        <f t="shared" ca="1" si="34"/>
        <v>1.1</v>
      </c>
      <c r="DN15" s="721" cm="1">
        <f t="array" aca="1" ref="DN15" ca="1">OFFSET(Horarios!$P$3,DJ15-1,0,DL15,1)</f>
        <v>1</v>
      </c>
      <c r="DO15" s="721"/>
      <c r="DP15" s="721" t="s">
        <v>656</v>
      </c>
      <c r="DQ15" s="721" t="str">
        <f t="shared" ca="1" si="35"/>
        <v>Marruecos</v>
      </c>
      <c r="DR15" s="721"/>
      <c r="DS15" s="721"/>
      <c r="DT15" s="721" t="str">
        <f t="shared" ca="1" si="15"/>
        <v>Canadá-Catar</v>
      </c>
      <c r="DU15" s="721"/>
      <c r="DV15" s="721"/>
      <c r="DW15" s="8"/>
    </row>
    <row r="16" spans="1:127">
      <c r="A16" s="722" t="str">
        <f ca="1">+Equipos!B9</f>
        <v>Suiza</v>
      </c>
      <c r="B16" s="719"/>
      <c r="C16" s="721"/>
      <c r="D16" s="721" t="str">
        <f t="shared" si="54"/>
        <v>Pendiente</v>
      </c>
      <c r="E16" s="721" t="str">
        <f t="shared" si="55"/>
        <v>-</v>
      </c>
      <c r="F16" s="721" t="str">
        <f t="shared" si="56"/>
        <v>-</v>
      </c>
      <c r="G16" s="721"/>
      <c r="H16" s="721" t="str">
        <f t="shared" si="57"/>
        <v>-</v>
      </c>
      <c r="I16" s="721" t="str">
        <f t="shared" si="58"/>
        <v>-</v>
      </c>
      <c r="J16" s="721"/>
      <c r="K16" s="721" t="str">
        <f t="shared" si="59"/>
        <v>-</v>
      </c>
      <c r="L16" s="721" t="str">
        <f t="shared" si="60"/>
        <v>-</v>
      </c>
      <c r="M16" s="721"/>
      <c r="N16" s="721" t="str">
        <f t="shared" si="61"/>
        <v>-</v>
      </c>
      <c r="O16" s="721" t="str">
        <f t="shared" si="62"/>
        <v>-</v>
      </c>
      <c r="P16" s="721"/>
      <c r="Q16" s="721" t="str">
        <f t="shared" si="63"/>
        <v>-</v>
      </c>
      <c r="R16" s="721" t="str">
        <f t="shared" si="64"/>
        <v>-</v>
      </c>
      <c r="S16" s="721"/>
      <c r="T16" s="721" t="str">
        <f t="shared" si="65"/>
        <v>-</v>
      </c>
      <c r="U16" s="721" t="str">
        <f t="shared" si="66"/>
        <v>-</v>
      </c>
      <c r="V16" s="162"/>
      <c r="W16" s="816"/>
      <c r="X16" s="179">
        <f ca="1">Horarios!C16</f>
        <v>46197.875</v>
      </c>
      <c r="Y16" s="180">
        <f ca="1">Horarios!C16</f>
        <v>46197.875</v>
      </c>
      <c r="Z16" s="181" t="str">
        <f>$Z$8</f>
        <v>J3</v>
      </c>
      <c r="AA16" s="182" t="str">
        <f ca="1">A16</f>
        <v>Suiza</v>
      </c>
      <c r="AB16" s="457" t="str" cm="1">
        <f t="array" aca="1" ref="AB16" ca="1">Ver_flag_local</f>
        <v/>
      </c>
      <c r="AC16" s="183"/>
      <c r="AD16" s="184"/>
      <c r="AE16" s="462" t="str" cm="1">
        <f t="array" aca="1" ref="AE16" ca="1">Ver_flag_visit</f>
        <v/>
      </c>
      <c r="AF16" s="185" t="str">
        <f ca="1">A13</f>
        <v>Canadá</v>
      </c>
      <c r="AG16" s="396">
        <f t="shared" si="67"/>
        <v>0</v>
      </c>
      <c r="AH16" s="186">
        <v>51</v>
      </c>
      <c r="AI16" s="15" t="str">
        <f t="shared" si="72"/>
        <v>3B</v>
      </c>
      <c r="AJ16" s="248">
        <v>3</v>
      </c>
      <c r="AK16" s="465" t="str" cm="1">
        <f t="array" aca="1" ref="AK16" ca="1">Ver_flag_visit</f>
        <v/>
      </c>
      <c r="AL16" s="212" t="str">
        <f ca="1">IFERROR(INDEX($BD$6:$BD$53,MATCH(AI16,$BN$6:$BN$53,0)),"")</f>
        <v>Catar</v>
      </c>
      <c r="AM16" s="213">
        <f t="shared" ca="1" si="71"/>
        <v>0</v>
      </c>
      <c r="AN16" s="214">
        <f t="shared" ca="1" si="71"/>
        <v>0</v>
      </c>
      <c r="AO16" s="214">
        <f t="shared" ca="1" si="71"/>
        <v>0</v>
      </c>
      <c r="AP16" s="214">
        <f t="shared" ca="1" si="71"/>
        <v>0</v>
      </c>
      <c r="AQ16" s="214">
        <f t="shared" ca="1" si="71"/>
        <v>0</v>
      </c>
      <c r="AR16" s="214">
        <f t="shared" ca="1" si="71"/>
        <v>0</v>
      </c>
      <c r="AS16" s="214">
        <f t="shared" ca="1" si="71"/>
        <v>0</v>
      </c>
      <c r="AT16" s="249">
        <f t="shared" ca="1" si="71"/>
        <v>0</v>
      </c>
      <c r="AU16" s="403">
        <f ca="1">INDEX($DL$6:$DL$53,MATCH(AI16,$DP$6:$DP$53,0))</f>
        <v>1</v>
      </c>
      <c r="AV16" s="207" t="str">
        <f ca="1">INDEX($BD$6:$BD$53,MATCH(AI16,$BM$6:$BM$53,0))</f>
        <v>Catar</v>
      </c>
      <c r="AW16" s="410"/>
      <c r="AX16" s="208"/>
      <c r="AY16" s="209" t="str">
        <f ca="1">+A15</f>
        <v>Catar</v>
      </c>
      <c r="AZ16" s="210"/>
      <c r="BA16" s="165"/>
      <c r="BB16" s="721"/>
      <c r="BC16" s="733" t="str">
        <f ca="1">+INDEX(T_Equipos[Grupo],MATCH(WORLDCUP!BD16,T_Equipos[NombreEquipo],0))</f>
        <v>C</v>
      </c>
      <c r="BD16" s="721" t="str">
        <f ca="1">+Equipos!B12</f>
        <v>Haití</v>
      </c>
      <c r="BE16" s="725">
        <f t="shared" ca="1" si="25"/>
        <v>0</v>
      </c>
      <c r="BF16" s="725">
        <f t="shared" ca="1" si="26"/>
        <v>0</v>
      </c>
      <c r="BG16" s="725">
        <f t="shared" ca="1" si="17"/>
        <v>0</v>
      </c>
      <c r="BH16" s="725">
        <f t="shared" ca="1" si="18"/>
        <v>0</v>
      </c>
      <c r="BI16" s="725">
        <f t="shared" ca="1" si="19"/>
        <v>0</v>
      </c>
      <c r="BJ16" s="725">
        <f t="shared" ca="1" si="20"/>
        <v>0</v>
      </c>
      <c r="BK16" s="725">
        <f t="shared" ca="1" si="21"/>
        <v>0</v>
      </c>
      <c r="BL16" s="725">
        <f t="shared" ca="1" si="27"/>
        <v>0</v>
      </c>
      <c r="BM16" s="725" t="str">
        <f t="shared" ca="1" si="22"/>
        <v>3C</v>
      </c>
      <c r="BN16" s="725" t="str">
        <f t="shared" ca="1" si="23"/>
        <v>3C</v>
      </c>
      <c r="BO16" s="734">
        <f t="shared" ca="1" si="28"/>
        <v>0</v>
      </c>
      <c r="BP16" s="734">
        <f ca="1">COUNTIFS($BO$6:$BO$53,"&gt;"&amp;BO16,$BC$6:$BC$53,INDEX(T_Equipos[Grupo],MATCH(BD16,T_Equipos[NombreEquipo],0)))+1</f>
        <v>1</v>
      </c>
      <c r="BQ16" s="734" t="str">
        <f ca="1">IF(COUNTIFS($BP$6:$BP$53,BP16,$BC$6:$BC$53,INDEX(T_Equipos[Grupo],MATCH(BD16,T_Equipos[NombreEquipo],0)))=1,"-","P."&amp;BP16&amp;" ("&amp;COUNTIFS($BP$6:$BP$53,BP16,$BC$6:$BC$53,INDEX(T_Equipos[Grupo],MATCH(BD16,T_Equipos[NombreEquipo],0)))&amp;")")</f>
        <v>P.1 (4)</v>
      </c>
      <c r="BR16" s="734">
        <f t="shared" ca="1" si="29"/>
        <v>0</v>
      </c>
      <c r="BS16" s="734">
        <f ca="1">BP16+COUNTIFS($BQ$6:$BQ$53,BQ16,$BR$6:BR$53,"&gt;"&amp;BR16,$BC$6:$BC$53,INDEX(T_Equipos[Grupo],MATCH(BD16,T_Equipos[NombreEquipo],0)))</f>
        <v>1</v>
      </c>
      <c r="BT16" s="734" t="str">
        <f ca="1">IF(COUNTIFS($BS$6:$BS$53,BS16,$BC$6:$BC$53,INDEX(T_Equipos[Grupo],MATCH(BD16,T_Equipos[NombreEquipo],0)))=1,"-","P."&amp;BS16&amp;" ("&amp;COUNTIFS($BS$6:$BS$53,BS16,$BC$6:$BC$53,INDEX(T_Equipos[Grupo],MATCH(BD16,T_Equipos[NombreEquipo],0)))&amp;")")</f>
        <v>P.1 (4)</v>
      </c>
      <c r="BU16" s="735">
        <f t="shared" ca="1" si="36"/>
        <v>0</v>
      </c>
      <c r="BV16" s="735">
        <f t="shared" ca="1" si="37"/>
        <v>0</v>
      </c>
      <c r="BW16" s="735">
        <f t="shared" ca="1" si="38"/>
        <v>0</v>
      </c>
      <c r="BX16" s="735">
        <f t="shared" ca="1" si="39"/>
        <v>0</v>
      </c>
      <c r="BY16" s="735">
        <f ca="1">BS16+COUNTIFS($BT$6:$BT$53,BT16,$BX$6:BX$53,"&gt;"&amp;BX16,$BC$6:$BC$53,INDEX(T_Equipos[Grupo],MATCH(BD16,T_Equipos[NombreEquipo],0)))</f>
        <v>1</v>
      </c>
      <c r="BZ16" s="734" t="str">
        <f ca="1">IF(COUNTIFS($BY$6:$BY$53,BY16,$BC$6:$BC$53,INDEX(T_Equipos[Grupo],MATCH(BD16,T_Equipos[NombreEquipo],0)))=1,"-","P."&amp;BY16&amp;" ("&amp;COUNTIFS($BY$6:$BY$53,BY16,$BC$6:$BC$53,INDEX(T_Equipos[Grupo],MATCH(BD16,T_Equipos[NombreEquipo],0)))&amp;")")</f>
        <v>P.1 (4)</v>
      </c>
      <c r="CA16" s="735">
        <f t="shared" ca="1" si="40"/>
        <v>0</v>
      </c>
      <c r="CB16" s="735">
        <f t="shared" ca="1" si="41"/>
        <v>0</v>
      </c>
      <c r="CC16" s="735">
        <f t="shared" ca="1" si="42"/>
        <v>0</v>
      </c>
      <c r="CD16" s="735">
        <f ca="1">BY16+COUNTIFS($BZ$6:$BZ$53,BZ16,$CC$6:CC$53,"&gt;"&amp;CC16,$BC$6:$BC$53,INDEX(T_Equipos[Grupo],MATCH(BD16,T_Equipos[NombreEquipo],0)))</f>
        <v>1</v>
      </c>
      <c r="CE16" s="734" t="str">
        <f ca="1">IF(COUNTIFS($CD$6:$CD$53,CD16,$BC$6:$BC$53,INDEX(T_Equipos[Grupo],MATCH(BD16,T_Equipos[NombreEquipo],0)))=1,"-","P."&amp;CD16&amp;" ("&amp;COUNTIFS($CD$6:$CD$53,CD16,$BC$6:$BC$53,INDEX(T_Equipos[Grupo],MATCH(BD16,T_Equipos[NombreEquipo],0)))&amp;")")</f>
        <v>P.1 (4)</v>
      </c>
      <c r="CF16" s="735">
        <f t="shared" ca="1" si="43"/>
        <v>0</v>
      </c>
      <c r="CG16" s="735">
        <f ca="1">CD16+COUNTIFS($CE$6:$CE$53,CE16,$CF$6:CF$53,"&gt;"&amp;CF16,$BC$6:$BC$53,INDEX(T_Equipos[Grupo],MATCH(BD16,T_Equipos[NombreEquipo],0)))</f>
        <v>1</v>
      </c>
      <c r="CH16" s="734" t="str">
        <f ca="1">IF(COUNTIFS($CG$6:$CG$53,CG16,$BC$6:$BC$53,INDEX(T_Equipos[Grupo],MATCH(BD16,T_Equipos[NombreEquipo],0)))=1,"-","P."&amp;CG16&amp;" ("&amp;COUNTIFS($CG$6:$CG$53,CG16,$BC$6:$BC$53,INDEX(T_Equipos[Grupo],MATCH(BD16,T_Equipos[NombreEquipo],0)))&amp;")")</f>
        <v>P.1 (4)</v>
      </c>
      <c r="CI16" s="735">
        <f t="shared" ca="1" si="44"/>
        <v>0</v>
      </c>
      <c r="CJ16" s="735">
        <f t="shared" ca="1" si="45"/>
        <v>0</v>
      </c>
      <c r="CK16" s="735">
        <f t="shared" ca="1" si="46"/>
        <v>0</v>
      </c>
      <c r="CL16" s="735">
        <f t="shared" ca="1" si="47"/>
        <v>0</v>
      </c>
      <c r="CM16" s="735">
        <f ca="1">CG16+COUNTIFS($CH$6:$CH$53,CH16,$CL$6:CL$53,"&gt;"&amp;CL16,$BC$6:$BC$53,INDEX(T_Equipos[Grupo],MATCH(BD16,T_Equipos[NombreEquipo],0)))</f>
        <v>1</v>
      </c>
      <c r="CN16" s="734" t="str">
        <f ca="1">IF(COUNTIFS($CM$6:$CM$53,CM16,$BC$6:$BC$53,INDEX(T_Equipos[Grupo],MATCH(BD16,T_Equipos[NombreEquipo],0)))=1,"-","P."&amp;CM16&amp;" ("&amp;COUNTIFS($CM$6:$CM$53,CM16,$BC$6:$BC$53,INDEX(T_Equipos[Grupo],MATCH(BD16,T_Equipos[NombreEquipo],0)))&amp;")")</f>
        <v>P.1 (4)</v>
      </c>
      <c r="CO16" s="735">
        <f t="shared" ca="1" si="48"/>
        <v>0</v>
      </c>
      <c r="CP16" s="735">
        <f t="shared" ca="1" si="49"/>
        <v>0</v>
      </c>
      <c r="CQ16" s="735">
        <f t="shared" ca="1" si="50"/>
        <v>0</v>
      </c>
      <c r="CR16" s="735">
        <f ca="1">CM16+COUNTIFS($CN$6:$CN$53,CN16,$CQ$6:CQ$53,"&gt;"&amp;CQ16,$BC$6:$BC$53,INDEX(T_Equipos[Grupo],MATCH(BD16,T_Equipos[NombreEquipo],0)))</f>
        <v>1</v>
      </c>
      <c r="CS16" s="734" t="str">
        <f ca="1">IF(COUNTIFS($CR$6:$CR$53,CR16,$BC$6:$BC$53,INDEX(T_Equipos[Grupo],MATCH(BD16,T_Equipos[NombreEquipo],0)))=1,"-","P."&amp;CR16&amp;" ("&amp;COUNTIFS($CR$6:$CR$53,CR16,$BC$6:$BC$53,INDEX(T_Equipos[Grupo],MATCH(BD16,T_Equipos[NombreEquipo],0)))&amp;")")</f>
        <v>P.1 (4)</v>
      </c>
      <c r="CT16" s="735">
        <f t="shared" ca="1" si="51"/>
        <v>0</v>
      </c>
      <c r="CU16" s="735">
        <f ca="1">CR16+COUNTIFS($CS$6:$CS$53,CS16,$CT$6:CT$53,"&gt;"&amp;CT16,$BC$6:$BC$53,INDEX(T_Equipos[Grupo],MATCH(BD16,T_Equipos[NombreEquipo],0)))</f>
        <v>1</v>
      </c>
      <c r="CV16" s="734" t="str">
        <f ca="1">IF(COUNTIFS($CU$6:$CU$53,CU16,$BC$6:$BC$53,INDEX(T_Equipos[Grupo],MATCH(BD16,T_Equipos[NombreEquipo],0)))=1,"-","P."&amp;CU16&amp;" ("&amp;COUNTIFS($CU$6:$CU$53,CU16,$BC$6:$BC$53,INDEX(T_Equipos[Grupo],MATCH(BD16,T_Equipos[NombreEquipo],0)))&amp;")")</f>
        <v>P.1 (4)</v>
      </c>
      <c r="CW16" s="734">
        <f t="shared" ca="1" si="30"/>
        <v>0</v>
      </c>
      <c r="CX16" s="734">
        <f ca="1">CU16+COUNTIFS($CV$6:$CV$53,CV16,$CW$6:CW$53,"&gt;"&amp;CW16,$BC$6:$BC$53,INDEX(T_Equipos[Grupo],MATCH(BD16,T_Equipos[NombreEquipo],0)))</f>
        <v>1</v>
      </c>
      <c r="CY16" s="734" t="str">
        <f ca="1">IF(COUNTIFS($CX$6:$CX$53,CX16,$BC$6:$BC$53,INDEX(T_Equipos[Grupo],MATCH(BD16,T_Equipos[NombreEquipo],0)))=1,"-","P."&amp;CX16&amp;" ("&amp;COUNTIFS($CX$6:$CX$53,CX16,$BC$6:$BC$53,INDEX(T_Equipos[Grupo],MATCH(BD16,T_Equipos[NombreEquipo],0)))&amp;")")</f>
        <v>P.1 (4)</v>
      </c>
      <c r="CZ16" s="734">
        <f t="shared" ca="1" si="31"/>
        <v>0</v>
      </c>
      <c r="DA16" s="735">
        <f ca="1">CX16+COUNTIFS($CY$6:$CY$53,CY16,$CZ$6:CZ$53,"&gt;"&amp;CZ16,$BC$6:$BC$53,INDEX(T_Equipos[Grupo],MATCH(BD16,T_Equipos[NombreEquipo],0)))</f>
        <v>1</v>
      </c>
      <c r="DB16" s="734" t="str">
        <f ca="1">IF(COUNTIFS($DA$6:$DA$53,DA16,$BC$6:$BC$53,INDEX(T_Equipos[Grupo],MATCH(BD16,T_Equipos[NombreEquipo],0)))=1,"-","P."&amp;DA16&amp;" ("&amp;COUNTIFS($DA$6:$DA$53,DA16,$BC$6:$BC$53,INDEX(T_Equipos[Grupo],MATCH(BD16,T_Equipos[NombreEquipo],0)))&amp;")")</f>
        <v>P.1 (4)</v>
      </c>
      <c r="DC16" s="733">
        <f ca="1">IF(DB16="-","-",COUNTIFS(T_Equipos[Rank],"&lt;"&amp;INDEX(T_Equipos[Rank],MATCH(BD16,T_Equipos[NombreEquipo],0)),$BC$6:$BC$53,INDEX(T_Equipos[Grupo],MATCH(BD16,T_Equipos[NombreEquipo],0)))+1)</f>
        <v>3</v>
      </c>
      <c r="DD16" s="733">
        <f ca="1">DA16+COUNTIFS($DB$6:$DB$53,DB16,$DC$6:DC$53,"&lt;"&amp;DC16,$BC$6:$BC$53,INDEX(T_Equipos[Grupo],MATCH(BD16,T_Equipos[NombreEquipo],0)))</f>
        <v>3</v>
      </c>
      <c r="DE16" s="733"/>
      <c r="DF16" s="733">
        <f t="shared" ca="1" si="52"/>
        <v>3</v>
      </c>
      <c r="DG16" s="733">
        <f ca="1">IF(DB16="-","-",COUNTIFS(DF$6:DF$53,"&lt;"&amp;DF16,$BC$6:$BC$53,INDEX(T_Equipos[Grupo],MATCH(BD16,T_Equipos[NombreEquipo],0))))</f>
        <v>2</v>
      </c>
      <c r="DH16" s="733">
        <f ca="1">DA16+COUNTIFS(DB$6:DB$53,DB16,DG$6:DG$53,"&lt;"&amp;DG16,$BC$6:$BC$53,INDEX(T_Equipos[Grupo],MATCH(BD16,T_Equipos[NombreEquipo],0)))</f>
        <v>3</v>
      </c>
      <c r="DI16" s="721"/>
      <c r="DJ16" s="721">
        <f t="shared" ca="1" si="53"/>
        <v>1</v>
      </c>
      <c r="DK16" s="721">
        <f t="shared" ca="1" si="24"/>
        <v>0</v>
      </c>
      <c r="DL16" s="721">
        <f t="shared" ca="1" si="33"/>
        <v>1</v>
      </c>
      <c r="DM16" s="715" t="str">
        <f t="shared" ca="1" si="34"/>
        <v>1.1</v>
      </c>
      <c r="DN16" s="721" cm="1">
        <f t="array" aca="1" ref="DN16" ca="1">OFFSET(Horarios!$P$3,DJ16-1,0,DL16,1)</f>
        <v>1</v>
      </c>
      <c r="DO16" s="721"/>
      <c r="DP16" s="721" t="s">
        <v>91</v>
      </c>
      <c r="DQ16" s="721" t="str">
        <f t="shared" ca="1" si="35"/>
        <v>Haití</v>
      </c>
      <c r="DR16" s="721"/>
      <c r="DS16" s="721"/>
      <c r="DT16" s="721" t="str">
        <f t="shared" ca="1" si="15"/>
        <v>Suiza-Canadá</v>
      </c>
      <c r="DU16" s="721"/>
      <c r="DV16" s="721"/>
      <c r="DW16" s="8"/>
    </row>
    <row r="17" spans="1:127" ht="15.75" thickBot="1">
      <c r="A17" s="716"/>
      <c r="B17" s="719"/>
      <c r="C17" s="716"/>
      <c r="D17" s="721" t="str">
        <f t="shared" si="54"/>
        <v>Pendiente</v>
      </c>
      <c r="E17" s="721" t="str">
        <f t="shared" si="55"/>
        <v>-</v>
      </c>
      <c r="F17" s="721" t="str">
        <f t="shared" si="56"/>
        <v>-</v>
      </c>
      <c r="G17" s="721"/>
      <c r="H17" s="721" t="str">
        <f t="shared" si="57"/>
        <v>-</v>
      </c>
      <c r="I17" s="721" t="str">
        <f t="shared" si="58"/>
        <v>-</v>
      </c>
      <c r="J17" s="721"/>
      <c r="K17" s="721" t="str">
        <f t="shared" si="59"/>
        <v>-</v>
      </c>
      <c r="L17" s="721" t="str">
        <f t="shared" si="60"/>
        <v>-</v>
      </c>
      <c r="M17" s="721"/>
      <c r="N17" s="721" t="str">
        <f t="shared" si="61"/>
        <v>-</v>
      </c>
      <c r="O17" s="721" t="str">
        <f t="shared" si="62"/>
        <v>-</v>
      </c>
      <c r="P17" s="721"/>
      <c r="Q17" s="721" t="str">
        <f t="shared" si="63"/>
        <v>-</v>
      </c>
      <c r="R17" s="721" t="str">
        <f t="shared" si="64"/>
        <v>-</v>
      </c>
      <c r="S17" s="721"/>
      <c r="T17" s="721" t="str">
        <f t="shared" si="65"/>
        <v>-</v>
      </c>
      <c r="U17" s="721" t="str">
        <f t="shared" si="66"/>
        <v>-</v>
      </c>
      <c r="V17" s="162"/>
      <c r="W17" s="817"/>
      <c r="X17" s="218">
        <f ca="1">Horarios!C17</f>
        <v>46197.875</v>
      </c>
      <c r="Y17" s="219">
        <f ca="1">Horarios!C17</f>
        <v>46197.875</v>
      </c>
      <c r="Z17" s="220" t="str">
        <f>$Z$8</f>
        <v>J3</v>
      </c>
      <c r="AA17" s="221" t="str">
        <f ca="1">A14</f>
        <v>Bosnia y Herzegovina</v>
      </c>
      <c r="AB17" s="458" t="str" cm="1">
        <f t="array" aca="1" ref="AB17" ca="1">Ver_flag_local</f>
        <v/>
      </c>
      <c r="AC17" s="222"/>
      <c r="AD17" s="223"/>
      <c r="AE17" s="463" t="str" cm="1">
        <f t="array" aca="1" ref="AE17" ca="1">Ver_flag_visit</f>
        <v/>
      </c>
      <c r="AF17" s="224" t="str">
        <f ca="1">A15</f>
        <v>Catar</v>
      </c>
      <c r="AG17" s="396">
        <f t="shared" si="67"/>
        <v>0</v>
      </c>
      <c r="AH17" s="186">
        <v>52</v>
      </c>
      <c r="AI17" s="15" t="str">
        <f t="shared" si="72"/>
        <v>4B</v>
      </c>
      <c r="AJ17" s="250">
        <v>4</v>
      </c>
      <c r="AK17" s="468" t="str" cm="1">
        <f t="array" aca="1" ref="AK17" ca="1">Ver_flag_visit</f>
        <v/>
      </c>
      <c r="AL17" s="251" t="str">
        <f ca="1">IFERROR(INDEX($BD$6:$BD$53,MATCH(AI17,$BN$6:$BN$53,0)),"")</f>
        <v>Suiza</v>
      </c>
      <c r="AM17" s="252">
        <f t="shared" ca="1" si="71"/>
        <v>0</v>
      </c>
      <c r="AN17" s="253">
        <f t="shared" ca="1" si="71"/>
        <v>0</v>
      </c>
      <c r="AO17" s="253">
        <f t="shared" ca="1" si="71"/>
        <v>0</v>
      </c>
      <c r="AP17" s="253">
        <f t="shared" ca="1" si="71"/>
        <v>0</v>
      </c>
      <c r="AQ17" s="253">
        <f t="shared" ca="1" si="71"/>
        <v>0</v>
      </c>
      <c r="AR17" s="253">
        <f t="shared" ca="1" si="71"/>
        <v>0</v>
      </c>
      <c r="AS17" s="253">
        <f t="shared" ca="1" si="71"/>
        <v>0</v>
      </c>
      <c r="AT17" s="254">
        <f t="shared" ca="1" si="71"/>
        <v>0</v>
      </c>
      <c r="AU17" s="403">
        <f ca="1">INDEX($DL$6:$DL$53,MATCH(AI17,$DP$6:$DP$53,0))</f>
        <v>1</v>
      </c>
      <c r="AV17" s="207" t="str">
        <f ca="1">INDEX($BD$6:$BD$53,MATCH(AI17,$BM$6:$BM$53,0))</f>
        <v>Suiza</v>
      </c>
      <c r="AW17" s="410"/>
      <c r="AX17" s="208"/>
      <c r="AY17" s="230" t="str">
        <f ca="1">+A16</f>
        <v>Suiza</v>
      </c>
      <c r="AZ17" s="231"/>
      <c r="BA17" s="165"/>
      <c r="BB17" s="721"/>
      <c r="BC17" s="733" t="str">
        <f ca="1">+INDEX(T_Equipos[Grupo],MATCH(WORLDCUP!BD17,T_Equipos[NombreEquipo],0))</f>
        <v>C</v>
      </c>
      <c r="BD17" s="721" t="str">
        <f ca="1">+Equipos!B13</f>
        <v>Escocia</v>
      </c>
      <c r="BE17" s="725">
        <f t="shared" ca="1" si="25"/>
        <v>0</v>
      </c>
      <c r="BF17" s="725">
        <f t="shared" ca="1" si="26"/>
        <v>0</v>
      </c>
      <c r="BG17" s="725">
        <f t="shared" ca="1" si="17"/>
        <v>0</v>
      </c>
      <c r="BH17" s="725">
        <f t="shared" ca="1" si="18"/>
        <v>0</v>
      </c>
      <c r="BI17" s="725">
        <f t="shared" ca="1" si="19"/>
        <v>0</v>
      </c>
      <c r="BJ17" s="725">
        <f t="shared" ca="1" si="20"/>
        <v>0</v>
      </c>
      <c r="BK17" s="725">
        <f t="shared" ca="1" si="21"/>
        <v>0</v>
      </c>
      <c r="BL17" s="725">
        <f t="shared" ca="1" si="27"/>
        <v>0</v>
      </c>
      <c r="BM17" s="725" t="str">
        <f t="shared" ca="1" si="22"/>
        <v>4C</v>
      </c>
      <c r="BN17" s="725" t="str">
        <f t="shared" ca="1" si="23"/>
        <v>4C</v>
      </c>
      <c r="BO17" s="734">
        <f t="shared" ca="1" si="28"/>
        <v>0</v>
      </c>
      <c r="BP17" s="734">
        <f ca="1">COUNTIFS($BO$6:$BO$53,"&gt;"&amp;BO17,$BC$6:$BC$53,INDEX(T_Equipos[Grupo],MATCH(BD17,T_Equipos[NombreEquipo],0)))+1</f>
        <v>1</v>
      </c>
      <c r="BQ17" s="734" t="str">
        <f ca="1">IF(COUNTIFS($BP$6:$BP$53,BP17,$BC$6:$BC$53,INDEX(T_Equipos[Grupo],MATCH(BD17,T_Equipos[NombreEquipo],0)))=1,"-","P."&amp;BP17&amp;" ("&amp;COUNTIFS($BP$6:$BP$53,BP17,$BC$6:$BC$53,INDEX(T_Equipos[Grupo],MATCH(BD17,T_Equipos[NombreEquipo],0)))&amp;")")</f>
        <v>P.1 (4)</v>
      </c>
      <c r="BR17" s="734">
        <f t="shared" ca="1" si="29"/>
        <v>0</v>
      </c>
      <c r="BS17" s="734">
        <f ca="1">BP17+COUNTIFS($BQ$6:$BQ$53,BQ17,$BR$6:BR$53,"&gt;"&amp;BR17,$BC$6:$BC$53,INDEX(T_Equipos[Grupo],MATCH(BD17,T_Equipos[NombreEquipo],0)))</f>
        <v>1</v>
      </c>
      <c r="BT17" s="734" t="str">
        <f ca="1">IF(COUNTIFS($BS$6:$BS$53,BS17,$BC$6:$BC$53,INDEX(T_Equipos[Grupo],MATCH(BD17,T_Equipos[NombreEquipo],0)))=1,"-","P."&amp;BS17&amp;" ("&amp;COUNTIFS($BS$6:$BS$53,BS17,$BC$6:$BC$53,INDEX(T_Equipos[Grupo],MATCH(BD17,T_Equipos[NombreEquipo],0)))&amp;")")</f>
        <v>P.1 (4)</v>
      </c>
      <c r="BU17" s="735">
        <f t="shared" ca="1" si="36"/>
        <v>0</v>
      </c>
      <c r="BV17" s="735">
        <f t="shared" ca="1" si="37"/>
        <v>0</v>
      </c>
      <c r="BW17" s="735">
        <f t="shared" ca="1" si="38"/>
        <v>0</v>
      </c>
      <c r="BX17" s="735">
        <f t="shared" ca="1" si="39"/>
        <v>0</v>
      </c>
      <c r="BY17" s="735">
        <f ca="1">BS17+COUNTIFS($BT$6:$BT$53,BT17,$BX$6:BX$53,"&gt;"&amp;BX17,$BC$6:$BC$53,INDEX(T_Equipos[Grupo],MATCH(BD17,T_Equipos[NombreEquipo],0)))</f>
        <v>1</v>
      </c>
      <c r="BZ17" s="734" t="str">
        <f ca="1">IF(COUNTIFS($BY$6:$BY$53,BY17,$BC$6:$BC$53,INDEX(T_Equipos[Grupo],MATCH(BD17,T_Equipos[NombreEquipo],0)))=1,"-","P."&amp;BY17&amp;" ("&amp;COUNTIFS($BY$6:$BY$53,BY17,$BC$6:$BC$53,INDEX(T_Equipos[Grupo],MATCH(BD17,T_Equipos[NombreEquipo],0)))&amp;")")</f>
        <v>P.1 (4)</v>
      </c>
      <c r="CA17" s="735">
        <f t="shared" ca="1" si="40"/>
        <v>0</v>
      </c>
      <c r="CB17" s="735">
        <f t="shared" ca="1" si="41"/>
        <v>0</v>
      </c>
      <c r="CC17" s="735">
        <f t="shared" ca="1" si="42"/>
        <v>0</v>
      </c>
      <c r="CD17" s="735">
        <f ca="1">BY17+COUNTIFS($BZ$6:$BZ$53,BZ17,$CC$6:CC$53,"&gt;"&amp;CC17,$BC$6:$BC$53,INDEX(T_Equipos[Grupo],MATCH(BD17,T_Equipos[NombreEquipo],0)))</f>
        <v>1</v>
      </c>
      <c r="CE17" s="734" t="str">
        <f ca="1">IF(COUNTIFS($CD$6:$CD$53,CD17,$BC$6:$BC$53,INDEX(T_Equipos[Grupo],MATCH(BD17,T_Equipos[NombreEquipo],0)))=1,"-","P."&amp;CD17&amp;" ("&amp;COUNTIFS($CD$6:$CD$53,CD17,$BC$6:$BC$53,INDEX(T_Equipos[Grupo],MATCH(BD17,T_Equipos[NombreEquipo],0)))&amp;")")</f>
        <v>P.1 (4)</v>
      </c>
      <c r="CF17" s="735">
        <f t="shared" ca="1" si="43"/>
        <v>0</v>
      </c>
      <c r="CG17" s="735">
        <f ca="1">CD17+COUNTIFS($CE$6:$CE$53,CE17,$CF$6:CF$53,"&gt;"&amp;CF17,$BC$6:$BC$53,INDEX(T_Equipos[Grupo],MATCH(BD17,T_Equipos[NombreEquipo],0)))</f>
        <v>1</v>
      </c>
      <c r="CH17" s="734" t="str">
        <f ca="1">IF(COUNTIFS($CG$6:$CG$53,CG17,$BC$6:$BC$53,INDEX(T_Equipos[Grupo],MATCH(BD17,T_Equipos[NombreEquipo],0)))=1,"-","P."&amp;CG17&amp;" ("&amp;COUNTIFS($CG$6:$CG$53,CG17,$BC$6:$BC$53,INDEX(T_Equipos[Grupo],MATCH(BD17,T_Equipos[NombreEquipo],0)))&amp;")")</f>
        <v>P.1 (4)</v>
      </c>
      <c r="CI17" s="735">
        <f t="shared" ca="1" si="44"/>
        <v>0</v>
      </c>
      <c r="CJ17" s="735">
        <f t="shared" ca="1" si="45"/>
        <v>0</v>
      </c>
      <c r="CK17" s="735">
        <f t="shared" ca="1" si="46"/>
        <v>0</v>
      </c>
      <c r="CL17" s="735">
        <f t="shared" ca="1" si="47"/>
        <v>0</v>
      </c>
      <c r="CM17" s="735">
        <f ca="1">CG17+COUNTIFS($CH$6:$CH$53,CH17,$CL$6:CL$53,"&gt;"&amp;CL17,$BC$6:$BC$53,INDEX(T_Equipos[Grupo],MATCH(BD17,T_Equipos[NombreEquipo],0)))</f>
        <v>1</v>
      </c>
      <c r="CN17" s="734" t="str">
        <f ca="1">IF(COUNTIFS($CM$6:$CM$53,CM17,$BC$6:$BC$53,INDEX(T_Equipos[Grupo],MATCH(BD17,T_Equipos[NombreEquipo],0)))=1,"-","P."&amp;CM17&amp;" ("&amp;COUNTIFS($CM$6:$CM$53,CM17,$BC$6:$BC$53,INDEX(T_Equipos[Grupo],MATCH(BD17,T_Equipos[NombreEquipo],0)))&amp;")")</f>
        <v>P.1 (4)</v>
      </c>
      <c r="CO17" s="735">
        <f t="shared" ca="1" si="48"/>
        <v>0</v>
      </c>
      <c r="CP17" s="735">
        <f t="shared" ca="1" si="49"/>
        <v>0</v>
      </c>
      <c r="CQ17" s="735">
        <f t="shared" ca="1" si="50"/>
        <v>0</v>
      </c>
      <c r="CR17" s="735">
        <f ca="1">CM17+COUNTIFS($CN$6:$CN$53,CN17,$CQ$6:CQ$53,"&gt;"&amp;CQ17,$BC$6:$BC$53,INDEX(T_Equipos[Grupo],MATCH(BD17,T_Equipos[NombreEquipo],0)))</f>
        <v>1</v>
      </c>
      <c r="CS17" s="734" t="str">
        <f ca="1">IF(COUNTIFS($CR$6:$CR$53,CR17,$BC$6:$BC$53,INDEX(T_Equipos[Grupo],MATCH(BD17,T_Equipos[NombreEquipo],0)))=1,"-","P."&amp;CR17&amp;" ("&amp;COUNTIFS($CR$6:$CR$53,CR17,$BC$6:$BC$53,INDEX(T_Equipos[Grupo],MATCH(BD17,T_Equipos[NombreEquipo],0)))&amp;")")</f>
        <v>P.1 (4)</v>
      </c>
      <c r="CT17" s="735">
        <f t="shared" ca="1" si="51"/>
        <v>0</v>
      </c>
      <c r="CU17" s="735">
        <f ca="1">CR17+COUNTIFS($CS$6:$CS$53,CS17,$CT$6:CT$53,"&gt;"&amp;CT17,$BC$6:$BC$53,INDEX(T_Equipos[Grupo],MATCH(BD17,T_Equipos[NombreEquipo],0)))</f>
        <v>1</v>
      </c>
      <c r="CV17" s="734" t="str">
        <f ca="1">IF(COUNTIFS($CU$6:$CU$53,CU17,$BC$6:$BC$53,INDEX(T_Equipos[Grupo],MATCH(BD17,T_Equipos[NombreEquipo],0)))=1,"-","P."&amp;CU17&amp;" ("&amp;COUNTIFS($CU$6:$CU$53,CU17,$BC$6:$BC$53,INDEX(T_Equipos[Grupo],MATCH(BD17,T_Equipos[NombreEquipo],0)))&amp;")")</f>
        <v>P.1 (4)</v>
      </c>
      <c r="CW17" s="734">
        <f t="shared" ca="1" si="30"/>
        <v>0</v>
      </c>
      <c r="CX17" s="734">
        <f ca="1">CU17+COUNTIFS($CV$6:$CV$53,CV17,$CW$6:CW$53,"&gt;"&amp;CW17,$BC$6:$BC$53,INDEX(T_Equipos[Grupo],MATCH(BD17,T_Equipos[NombreEquipo],0)))</f>
        <v>1</v>
      </c>
      <c r="CY17" s="734" t="str">
        <f ca="1">IF(COUNTIFS($CX$6:$CX$53,CX17,$BC$6:$BC$53,INDEX(T_Equipos[Grupo],MATCH(BD17,T_Equipos[NombreEquipo],0)))=1,"-","P."&amp;CX17&amp;" ("&amp;COUNTIFS($CX$6:$CX$53,CX17,$BC$6:$BC$53,INDEX(T_Equipos[Grupo],MATCH(BD17,T_Equipos[NombreEquipo],0)))&amp;")")</f>
        <v>P.1 (4)</v>
      </c>
      <c r="CZ17" s="734">
        <f t="shared" ca="1" si="31"/>
        <v>0</v>
      </c>
      <c r="DA17" s="735">
        <f ca="1">CX17+COUNTIFS($CY$6:$CY$53,CY17,$CZ$6:CZ$53,"&gt;"&amp;CZ17,$BC$6:$BC$53,INDEX(T_Equipos[Grupo],MATCH(BD17,T_Equipos[NombreEquipo],0)))</f>
        <v>1</v>
      </c>
      <c r="DB17" s="734" t="str">
        <f ca="1">IF(COUNTIFS($DA$6:$DA$53,DA17,$BC$6:$BC$53,INDEX(T_Equipos[Grupo],MATCH(BD17,T_Equipos[NombreEquipo],0)))=1,"-","P."&amp;DA17&amp;" ("&amp;COUNTIFS($DA$6:$DA$53,DA17,$BC$6:$BC$53,INDEX(T_Equipos[Grupo],MATCH(BD17,T_Equipos[NombreEquipo],0)))&amp;")")</f>
        <v>P.1 (4)</v>
      </c>
      <c r="DC17" s="733">
        <f ca="1">IF(DB17="-","-",COUNTIFS(T_Equipos[Rank],"&lt;"&amp;INDEX(T_Equipos[Rank],MATCH(BD17,T_Equipos[NombreEquipo],0)),$BC$6:$BC$53,INDEX(T_Equipos[Grupo],MATCH(BD17,T_Equipos[NombreEquipo],0)))+1)</f>
        <v>4</v>
      </c>
      <c r="DD17" s="733">
        <f ca="1">DA17+COUNTIFS($DB$6:$DB$53,DB17,$DC$6:DC$53,"&lt;"&amp;DC17,$BC$6:$BC$53,INDEX(T_Equipos[Grupo],MATCH(BD17,T_Equipos[NombreEquipo],0)))</f>
        <v>4</v>
      </c>
      <c r="DE17" s="733"/>
      <c r="DF17" s="733">
        <f t="shared" ca="1" si="52"/>
        <v>4</v>
      </c>
      <c r="DG17" s="733">
        <f ca="1">IF(DB17="-","-",COUNTIFS(DF$6:DF$53,"&lt;"&amp;DF17,$BC$6:$BC$53,INDEX(T_Equipos[Grupo],MATCH(BD17,T_Equipos[NombreEquipo],0))))</f>
        <v>3</v>
      </c>
      <c r="DH17" s="733">
        <f ca="1">DA17+COUNTIFS(DB$6:DB$53,DB17,DG$6:DG$53,"&lt;"&amp;DG17,$BC$6:$BC$53,INDEX(T_Equipos[Grupo],MATCH(BD17,T_Equipos[NombreEquipo],0)))</f>
        <v>4</v>
      </c>
      <c r="DI17" s="721"/>
      <c r="DJ17" s="721">
        <f t="shared" ca="1" si="53"/>
        <v>1</v>
      </c>
      <c r="DK17" s="721">
        <f t="shared" ca="1" si="24"/>
        <v>0</v>
      </c>
      <c r="DL17" s="721">
        <f t="shared" ca="1" si="33"/>
        <v>1</v>
      </c>
      <c r="DM17" s="715" t="str">
        <f t="shared" ca="1" si="34"/>
        <v>1.1</v>
      </c>
      <c r="DN17" s="721" cm="1">
        <f t="array" aca="1" ref="DN17" ca="1">OFFSET(Horarios!$P$3,DJ17-1,0,DL17,1)</f>
        <v>1</v>
      </c>
      <c r="DO17" s="721"/>
      <c r="DP17" s="721" t="s">
        <v>657</v>
      </c>
      <c r="DQ17" s="721" t="str">
        <f t="shared" ca="1" si="35"/>
        <v>Escocia</v>
      </c>
      <c r="DR17" s="721"/>
      <c r="DS17" s="721"/>
      <c r="DT17" s="721" t="str">
        <f t="shared" ca="1" si="15"/>
        <v>Bosnia y Herzegovina-Catar</v>
      </c>
      <c r="DU17" s="721"/>
      <c r="DV17" s="721"/>
      <c r="DW17" s="8"/>
    </row>
    <row r="18" spans="1:127" ht="15.75" thickBot="1">
      <c r="A18" s="716"/>
      <c r="B18" s="719"/>
      <c r="C18" s="716"/>
      <c r="D18" s="721"/>
      <c r="E18" s="721"/>
      <c r="F18" s="721"/>
      <c r="G18" s="721"/>
      <c r="H18" s="721"/>
      <c r="I18" s="721"/>
      <c r="J18" s="721"/>
      <c r="K18" s="721"/>
      <c r="L18" s="721"/>
      <c r="M18" s="721"/>
      <c r="N18" s="721"/>
      <c r="O18" s="721"/>
      <c r="P18" s="721"/>
      <c r="Q18" s="721"/>
      <c r="R18" s="721"/>
      <c r="S18" s="721"/>
      <c r="T18" s="721"/>
      <c r="U18" s="721"/>
      <c r="V18" s="162"/>
      <c r="W18" s="232"/>
      <c r="X18" s="233"/>
      <c r="Y18" s="232"/>
      <c r="Z18" s="234"/>
      <c r="AA18" s="235"/>
      <c r="AB18" s="461"/>
      <c r="AC18" s="237"/>
      <c r="AD18" s="237"/>
      <c r="AE18" s="461"/>
      <c r="AF18" s="238"/>
      <c r="AG18" s="398"/>
      <c r="AH18" s="186"/>
      <c r="AI18" s="161"/>
      <c r="AJ18" s="239"/>
      <c r="AK18" s="240"/>
      <c r="AL18" s="176"/>
      <c r="AM18" s="241"/>
      <c r="AN18" s="239"/>
      <c r="AO18" s="239"/>
      <c r="AP18" s="239"/>
      <c r="AQ18" s="239"/>
      <c r="AR18" s="239"/>
      <c r="AS18" s="239"/>
      <c r="AT18" s="239"/>
      <c r="AU18" s="403"/>
      <c r="AV18" s="206"/>
      <c r="AW18" s="411"/>
      <c r="AX18" s="208"/>
      <c r="AY18" s="232"/>
      <c r="AZ18" s="233"/>
      <c r="BA18" s="165"/>
      <c r="BB18" s="721"/>
      <c r="BC18" s="733" t="str">
        <f ca="1">+INDEX(T_Equipos[Grupo],MATCH(WORLDCUP!BD18,T_Equipos[NombreEquipo],0))</f>
        <v>D</v>
      </c>
      <c r="BD18" s="721" t="str">
        <f ca="1">+Equipos!B14</f>
        <v>Estados Unidos</v>
      </c>
      <c r="BE18" s="725">
        <f t="shared" ca="1" si="25"/>
        <v>0</v>
      </c>
      <c r="BF18" s="725">
        <f t="shared" ca="1" si="26"/>
        <v>0</v>
      </c>
      <c r="BG18" s="725">
        <f t="shared" ca="1" si="17"/>
        <v>0</v>
      </c>
      <c r="BH18" s="725">
        <f t="shared" ca="1" si="18"/>
        <v>0</v>
      </c>
      <c r="BI18" s="725">
        <f t="shared" ca="1" si="19"/>
        <v>0</v>
      </c>
      <c r="BJ18" s="725">
        <f t="shared" ca="1" si="20"/>
        <v>0</v>
      </c>
      <c r="BK18" s="725">
        <f t="shared" ca="1" si="21"/>
        <v>0</v>
      </c>
      <c r="BL18" s="725">
        <f t="shared" ca="1" si="27"/>
        <v>0</v>
      </c>
      <c r="BM18" s="725" t="str">
        <f t="shared" ca="1" si="22"/>
        <v>1D</v>
      </c>
      <c r="BN18" s="725" t="str">
        <f t="shared" ca="1" si="23"/>
        <v>1D</v>
      </c>
      <c r="BO18" s="735">
        <f t="shared" ca="1" si="28"/>
        <v>0</v>
      </c>
      <c r="BP18" s="734">
        <f ca="1">COUNTIFS($BO$6:$BO$53,"&gt;"&amp;BO18,$BC$6:$BC$53,INDEX(T_Equipos[Grupo],MATCH(BD18,T_Equipos[NombreEquipo],0)))+1</f>
        <v>1</v>
      </c>
      <c r="BQ18" s="734" t="str">
        <f ca="1">IF(COUNTIFS($BP$6:$BP$53,BP18,$BC$6:$BC$53,INDEX(T_Equipos[Grupo],MATCH(BD18,T_Equipos[NombreEquipo],0)))=1,"-","P."&amp;BP18&amp;" ("&amp;COUNTIFS($BP$6:$BP$53,BP18,$BC$6:$BC$53,INDEX(T_Equipos[Grupo],MATCH(BD18,T_Equipos[NombreEquipo],0)))&amp;")")</f>
        <v>P.1 (4)</v>
      </c>
      <c r="BR18" s="735">
        <f t="shared" ca="1" si="29"/>
        <v>0</v>
      </c>
      <c r="BS18" s="734">
        <f ca="1">BP18+COUNTIFS($BQ$6:$BQ$53,BQ18,$BR$6:BR$53,"&gt;"&amp;BR18,$BC$6:$BC$53,INDEX(T_Equipos[Grupo],MATCH(BD18,T_Equipos[NombreEquipo],0)))</f>
        <v>1</v>
      </c>
      <c r="BT18" s="734" t="str">
        <f ca="1">IF(COUNTIFS($BS$6:$BS$53,BS18,$BC$6:$BC$53,INDEX(T_Equipos[Grupo],MATCH(BD18,T_Equipos[NombreEquipo],0)))=1,"-","P."&amp;BS18&amp;" ("&amp;COUNTIFS($BS$6:$BS$53,BS18,$BC$6:$BC$53,INDEX(T_Equipos[Grupo],MATCH(BD18,T_Equipos[NombreEquipo],0)))&amp;")")</f>
        <v>P.1 (4)</v>
      </c>
      <c r="BU18" s="735">
        <f t="shared" ca="1" si="36"/>
        <v>0</v>
      </c>
      <c r="BV18" s="735">
        <f t="shared" ca="1" si="37"/>
        <v>0</v>
      </c>
      <c r="BW18" s="735">
        <f t="shared" ca="1" si="38"/>
        <v>0</v>
      </c>
      <c r="BX18" s="735">
        <f t="shared" ca="1" si="39"/>
        <v>0</v>
      </c>
      <c r="BY18" s="735">
        <f ca="1">BS18+COUNTIFS($BT$6:$BT$53,BT18,$BX$6:BX$53,"&gt;"&amp;BX18,$BC$6:$BC$53,INDEX(T_Equipos[Grupo],MATCH(BD18,T_Equipos[NombreEquipo],0)))</f>
        <v>1</v>
      </c>
      <c r="BZ18" s="734" t="str">
        <f ca="1">IF(COUNTIFS($BY$6:$BY$53,BY18,$BC$6:$BC$53,INDEX(T_Equipos[Grupo],MATCH(BD18,T_Equipos[NombreEquipo],0)))=1,"-","P."&amp;BY18&amp;" ("&amp;COUNTIFS($BY$6:$BY$53,BY18,$BC$6:$BC$53,INDEX(T_Equipos[Grupo],MATCH(BD18,T_Equipos[NombreEquipo],0)))&amp;")")</f>
        <v>P.1 (4)</v>
      </c>
      <c r="CA18" s="735">
        <f t="shared" ca="1" si="40"/>
        <v>0</v>
      </c>
      <c r="CB18" s="735">
        <f t="shared" ca="1" si="41"/>
        <v>0</v>
      </c>
      <c r="CC18" s="735">
        <f t="shared" ca="1" si="42"/>
        <v>0</v>
      </c>
      <c r="CD18" s="735">
        <f ca="1">BY18+COUNTIFS($BZ$6:$BZ$53,BZ18,$CC$6:CC$53,"&gt;"&amp;CC18,$BC$6:$BC$53,INDEX(T_Equipos[Grupo],MATCH(BD18,T_Equipos[NombreEquipo],0)))</f>
        <v>1</v>
      </c>
      <c r="CE18" s="734" t="str">
        <f ca="1">IF(COUNTIFS($CD$6:$CD$53,CD18,$BC$6:$BC$53,INDEX(T_Equipos[Grupo],MATCH(BD18,T_Equipos[NombreEquipo],0)))=1,"-","P."&amp;CD18&amp;" ("&amp;COUNTIFS($CD$6:$CD$53,CD18,$BC$6:$BC$53,INDEX(T_Equipos[Grupo],MATCH(BD18,T_Equipos[NombreEquipo],0)))&amp;")")</f>
        <v>P.1 (4)</v>
      </c>
      <c r="CF18" s="735">
        <f t="shared" ca="1" si="43"/>
        <v>0</v>
      </c>
      <c r="CG18" s="735">
        <f ca="1">CD18+COUNTIFS($CE$6:$CE$53,CE18,$CF$6:CF$53,"&gt;"&amp;CF18,$BC$6:$BC$53,INDEX(T_Equipos[Grupo],MATCH(BD18,T_Equipos[NombreEquipo],0)))</f>
        <v>1</v>
      </c>
      <c r="CH18" s="734" t="str">
        <f ca="1">IF(COUNTIFS($CG$6:$CG$53,CG18,$BC$6:$BC$53,INDEX(T_Equipos[Grupo],MATCH(BD18,T_Equipos[NombreEquipo],0)))=1,"-","P."&amp;CG18&amp;" ("&amp;COUNTIFS($CG$6:$CG$53,CG18,$BC$6:$BC$53,INDEX(T_Equipos[Grupo],MATCH(BD18,T_Equipos[NombreEquipo],0)))&amp;")")</f>
        <v>P.1 (4)</v>
      </c>
      <c r="CI18" s="735">
        <f t="shared" ca="1" si="44"/>
        <v>0</v>
      </c>
      <c r="CJ18" s="735">
        <f t="shared" ca="1" si="45"/>
        <v>0</v>
      </c>
      <c r="CK18" s="735">
        <f t="shared" ca="1" si="46"/>
        <v>0</v>
      </c>
      <c r="CL18" s="735">
        <f t="shared" ca="1" si="47"/>
        <v>0</v>
      </c>
      <c r="CM18" s="735">
        <f ca="1">CG18+COUNTIFS($CH$6:$CH$53,CH18,$CL$6:CL$53,"&gt;"&amp;CL18,$BC$6:$BC$53,INDEX(T_Equipos[Grupo],MATCH(BD18,T_Equipos[NombreEquipo],0)))</f>
        <v>1</v>
      </c>
      <c r="CN18" s="734" t="str">
        <f ca="1">IF(COUNTIFS($CM$6:$CM$53,CM18,$BC$6:$BC$53,INDEX(T_Equipos[Grupo],MATCH(BD18,T_Equipos[NombreEquipo],0)))=1,"-","P."&amp;CM18&amp;" ("&amp;COUNTIFS($CM$6:$CM$53,CM18,$BC$6:$BC$53,INDEX(T_Equipos[Grupo],MATCH(BD18,T_Equipos[NombreEquipo],0)))&amp;")")</f>
        <v>P.1 (4)</v>
      </c>
      <c r="CO18" s="735">
        <f t="shared" ca="1" si="48"/>
        <v>0</v>
      </c>
      <c r="CP18" s="735">
        <f t="shared" ca="1" si="49"/>
        <v>0</v>
      </c>
      <c r="CQ18" s="735">
        <f t="shared" ca="1" si="50"/>
        <v>0</v>
      </c>
      <c r="CR18" s="735">
        <f ca="1">CM18+COUNTIFS($CN$6:$CN$53,CN18,$CQ$6:CQ$53,"&gt;"&amp;CQ18,$BC$6:$BC$53,INDEX(T_Equipos[Grupo],MATCH(BD18,T_Equipos[NombreEquipo],0)))</f>
        <v>1</v>
      </c>
      <c r="CS18" s="734" t="str">
        <f ca="1">IF(COUNTIFS($CR$6:$CR$53,CR18,$BC$6:$BC$53,INDEX(T_Equipos[Grupo],MATCH(BD18,T_Equipos[NombreEquipo],0)))=1,"-","P."&amp;CR18&amp;" ("&amp;COUNTIFS($CR$6:$CR$53,CR18,$BC$6:$BC$53,INDEX(T_Equipos[Grupo],MATCH(BD18,T_Equipos[NombreEquipo],0)))&amp;")")</f>
        <v>P.1 (4)</v>
      </c>
      <c r="CT18" s="735">
        <f t="shared" ca="1" si="51"/>
        <v>0</v>
      </c>
      <c r="CU18" s="735">
        <f ca="1">CR18+COUNTIFS($CS$6:$CS$53,CS18,$CT$6:CT$53,"&gt;"&amp;CT18,$BC$6:$BC$53,INDEX(T_Equipos[Grupo],MATCH(BD18,T_Equipos[NombreEquipo],0)))</f>
        <v>1</v>
      </c>
      <c r="CV18" s="734" t="str">
        <f ca="1">IF(COUNTIFS($CU$6:$CU$53,CU18,$BC$6:$BC$53,INDEX(T_Equipos[Grupo],MATCH(BD18,T_Equipos[NombreEquipo],0)))=1,"-","P."&amp;CU18&amp;" ("&amp;COUNTIFS($CU$6:$CU$53,CU18,$BC$6:$BC$53,INDEX(T_Equipos[Grupo],MATCH(BD18,T_Equipos[NombreEquipo],0)))&amp;")")</f>
        <v>P.1 (4)</v>
      </c>
      <c r="CW18" s="734">
        <f t="shared" ca="1" si="30"/>
        <v>0</v>
      </c>
      <c r="CX18" s="734">
        <f ca="1">CU18+COUNTIFS($CV$6:$CV$53,CV18,$CW$6:CW$53,"&gt;"&amp;CW18,$BC$6:$BC$53,INDEX(T_Equipos[Grupo],MATCH(BD18,T_Equipos[NombreEquipo],0)))</f>
        <v>1</v>
      </c>
      <c r="CY18" s="734" t="str">
        <f ca="1">IF(COUNTIFS($CX$6:$CX$53,CX18,$BC$6:$BC$53,INDEX(T_Equipos[Grupo],MATCH(BD18,T_Equipos[NombreEquipo],0)))=1,"-","P."&amp;CX18&amp;" ("&amp;COUNTIFS($CX$6:$CX$53,CX18,$BC$6:$BC$53,INDEX(T_Equipos[Grupo],MATCH(BD18,T_Equipos[NombreEquipo],0)))&amp;")")</f>
        <v>P.1 (4)</v>
      </c>
      <c r="CZ18" s="734">
        <f t="shared" ca="1" si="31"/>
        <v>0</v>
      </c>
      <c r="DA18" s="735">
        <f ca="1">CX18+COUNTIFS($CY$6:$CY$53,CY18,$CZ$6:CZ$53,"&gt;"&amp;CZ18,$BC$6:$BC$53,INDEX(T_Equipos[Grupo],MATCH(BD18,T_Equipos[NombreEquipo],0)))</f>
        <v>1</v>
      </c>
      <c r="DB18" s="734" t="str">
        <f ca="1">IF(COUNTIFS($DA$6:$DA$53,DA18,$BC$6:$BC$53,INDEX(T_Equipos[Grupo],MATCH(BD18,T_Equipos[NombreEquipo],0)))=1,"-","P."&amp;DA18&amp;" ("&amp;COUNTIFS($DA$6:$DA$53,DA18,$BC$6:$BC$53,INDEX(T_Equipos[Grupo],MATCH(BD18,T_Equipos[NombreEquipo],0)))&amp;")")</f>
        <v>P.1 (4)</v>
      </c>
      <c r="DC18" s="733">
        <f ca="1">IF(DB18="-","-",COUNTIFS(T_Equipos[Rank],"&lt;"&amp;INDEX(T_Equipos[Rank],MATCH(BD18,T_Equipos[NombreEquipo],0)),$BC$6:$BC$53,INDEX(T_Equipos[Grupo],MATCH(BD18,T_Equipos[NombreEquipo],0)))+1)</f>
        <v>1</v>
      </c>
      <c r="DD18" s="733">
        <f ca="1">DA18+COUNTIFS($DB$6:$DB$53,DB18,$DC$6:DC$53,"&lt;"&amp;DC18,$BC$6:$BC$53,INDEX(T_Equipos[Grupo],MATCH(BD18,T_Equipos[NombreEquipo],0)))</f>
        <v>1</v>
      </c>
      <c r="DE18" s="733"/>
      <c r="DF18" s="733">
        <f t="shared" ca="1" si="52"/>
        <v>1</v>
      </c>
      <c r="DG18" s="733">
        <f ca="1">IF(DB18="-","-",COUNTIFS(DF$6:DF$53,"&lt;"&amp;DF18,$BC$6:$BC$53,INDEX(T_Equipos[Grupo],MATCH(BD18,T_Equipos[NombreEquipo],0))))</f>
        <v>0</v>
      </c>
      <c r="DH18" s="733">
        <f ca="1">DA18+COUNTIFS(DB$6:DB$53,DB18,DG$6:DG$53,"&lt;"&amp;DG18,$BC$6:$BC$53,INDEX(T_Equipos[Grupo],MATCH(BD18,T_Equipos[NombreEquipo],0)))</f>
        <v>1</v>
      </c>
      <c r="DI18" s="721"/>
      <c r="DJ18" s="721">
        <f t="shared" ca="1" si="53"/>
        <v>1</v>
      </c>
      <c r="DK18" s="721">
        <f t="shared" ca="1" si="24"/>
        <v>0</v>
      </c>
      <c r="DL18" s="721">
        <f t="shared" ca="1" si="33"/>
        <v>1</v>
      </c>
      <c r="DM18" s="715" t="str">
        <f t="shared" ca="1" si="34"/>
        <v>1.1</v>
      </c>
      <c r="DN18" s="721" cm="1">
        <f t="array" aca="1" ref="DN18" ca="1">OFFSET(Horarios!$P$3,DJ18-1,0,DL18,1)</f>
        <v>1</v>
      </c>
      <c r="DO18" s="721"/>
      <c r="DP18" s="721" t="s">
        <v>658</v>
      </c>
      <c r="DQ18" s="721" t="str">
        <f t="shared" ca="1" si="35"/>
        <v>Estados Unidos</v>
      </c>
      <c r="DR18" s="721"/>
      <c r="DS18" s="721"/>
      <c r="DT18" s="721" t="str">
        <f t="shared" si="15"/>
        <v>-</v>
      </c>
      <c r="DU18" s="721"/>
      <c r="DV18" s="721"/>
      <c r="DW18" s="8"/>
    </row>
    <row r="19" spans="1:127" ht="15.75" thickBot="1">
      <c r="A19" s="716"/>
      <c r="B19" s="719"/>
      <c r="C19" s="716"/>
      <c r="D19" s="716"/>
      <c r="E19" s="716"/>
      <c r="F19" s="716"/>
      <c r="G19" s="716"/>
      <c r="H19" s="716"/>
      <c r="I19" s="716"/>
      <c r="J19" s="716"/>
      <c r="K19" s="716"/>
      <c r="L19" s="716"/>
      <c r="M19" s="716"/>
      <c r="N19" s="721"/>
      <c r="O19" s="721"/>
      <c r="P19" s="721"/>
      <c r="Q19" s="721"/>
      <c r="R19" s="721"/>
      <c r="S19" s="721"/>
      <c r="T19" s="721"/>
      <c r="U19" s="721"/>
      <c r="V19" s="162"/>
      <c r="W19" s="169"/>
      <c r="X19" s="170" t="str">
        <f>X3</f>
        <v>Fecha</v>
      </c>
      <c r="Y19" s="170" t="str">
        <f>Y3</f>
        <v>Hora</v>
      </c>
      <c r="Z19" s="171" t="str">
        <f>Z3</f>
        <v>Jor.</v>
      </c>
      <c r="AA19" s="172" t="str">
        <f>AA3</f>
        <v>Casa</v>
      </c>
      <c r="AB19" s="171"/>
      <c r="AC19" s="171" t="str">
        <f>AC3</f>
        <v>Gol</v>
      </c>
      <c r="AD19" s="171" t="str">
        <f>AD3</f>
        <v>Gol</v>
      </c>
      <c r="AE19" s="171"/>
      <c r="AF19" s="174" t="str">
        <f>AF3</f>
        <v>Fuera</v>
      </c>
      <c r="AG19" s="397"/>
      <c r="AH19" s="186"/>
      <c r="AI19" s="14"/>
      <c r="AJ19" s="176"/>
      <c r="AK19" s="242"/>
      <c r="AL19" s="176"/>
      <c r="AM19" s="176"/>
      <c r="AN19" s="176"/>
      <c r="AO19" s="176"/>
      <c r="AP19" s="176"/>
      <c r="AQ19" s="176"/>
      <c r="AR19" s="176"/>
      <c r="AS19" s="176"/>
      <c r="AT19" s="176"/>
      <c r="AU19" s="404"/>
      <c r="AV19" s="18"/>
      <c r="AW19" s="412"/>
      <c r="AX19" s="243"/>
      <c r="AY19" s="232"/>
      <c r="AZ19" s="233"/>
      <c r="BA19" s="165"/>
      <c r="BB19" s="721"/>
      <c r="BC19" s="733" t="str">
        <f ca="1">+INDEX(T_Equipos[Grupo],MATCH(WORLDCUP!BD19,T_Equipos[NombreEquipo],0))</f>
        <v>D</v>
      </c>
      <c r="BD19" s="721" t="str">
        <f ca="1">+Equipos!B15</f>
        <v>Paraguay</v>
      </c>
      <c r="BE19" s="725">
        <f t="shared" ca="1" si="25"/>
        <v>0</v>
      </c>
      <c r="BF19" s="725">
        <f t="shared" ca="1" si="26"/>
        <v>0</v>
      </c>
      <c r="BG19" s="725">
        <f t="shared" ca="1" si="17"/>
        <v>0</v>
      </c>
      <c r="BH19" s="725">
        <f t="shared" ca="1" si="18"/>
        <v>0</v>
      </c>
      <c r="BI19" s="725">
        <f t="shared" ca="1" si="19"/>
        <v>0</v>
      </c>
      <c r="BJ19" s="725">
        <f t="shared" ca="1" si="20"/>
        <v>0</v>
      </c>
      <c r="BK19" s="725">
        <f t="shared" ca="1" si="21"/>
        <v>0</v>
      </c>
      <c r="BL19" s="725">
        <f t="shared" ca="1" si="27"/>
        <v>0</v>
      </c>
      <c r="BM19" s="725" t="str">
        <f t="shared" ca="1" si="22"/>
        <v>2D</v>
      </c>
      <c r="BN19" s="725" t="str">
        <f t="shared" ca="1" si="23"/>
        <v>2D</v>
      </c>
      <c r="BO19" s="735">
        <f t="shared" ca="1" si="28"/>
        <v>0</v>
      </c>
      <c r="BP19" s="734">
        <f ca="1">COUNTIFS($BO$6:$BO$53,"&gt;"&amp;BO19,$BC$6:$BC$53,INDEX(T_Equipos[Grupo],MATCH(BD19,T_Equipos[NombreEquipo],0)))+1</f>
        <v>1</v>
      </c>
      <c r="BQ19" s="734" t="str">
        <f ca="1">IF(COUNTIFS($BP$6:$BP$53,BP19,$BC$6:$BC$53,INDEX(T_Equipos[Grupo],MATCH(BD19,T_Equipos[NombreEquipo],0)))=1,"-","P."&amp;BP19&amp;" ("&amp;COUNTIFS($BP$6:$BP$53,BP19,$BC$6:$BC$53,INDEX(T_Equipos[Grupo],MATCH(BD19,T_Equipos[NombreEquipo],0)))&amp;")")</f>
        <v>P.1 (4)</v>
      </c>
      <c r="BR19" s="735">
        <f t="shared" ca="1" si="29"/>
        <v>0</v>
      </c>
      <c r="BS19" s="734">
        <f ca="1">BP19+COUNTIFS($BQ$6:$BQ$53,BQ19,$BR$6:BR$53,"&gt;"&amp;BR19,$BC$6:$BC$53,INDEX(T_Equipos[Grupo],MATCH(BD19,T_Equipos[NombreEquipo],0)))</f>
        <v>1</v>
      </c>
      <c r="BT19" s="734" t="str">
        <f ca="1">IF(COUNTIFS($BS$6:$BS$53,BS19,$BC$6:$BC$53,INDEX(T_Equipos[Grupo],MATCH(BD19,T_Equipos[NombreEquipo],0)))=1,"-","P."&amp;BS19&amp;" ("&amp;COUNTIFS($BS$6:$BS$53,BS19,$BC$6:$BC$53,INDEX(T_Equipos[Grupo],MATCH(BD19,T_Equipos[NombreEquipo],0)))&amp;")")</f>
        <v>P.1 (4)</v>
      </c>
      <c r="BU19" s="735">
        <f t="shared" ca="1" si="36"/>
        <v>0</v>
      </c>
      <c r="BV19" s="735">
        <f t="shared" ca="1" si="37"/>
        <v>0</v>
      </c>
      <c r="BW19" s="735">
        <f t="shared" ca="1" si="38"/>
        <v>0</v>
      </c>
      <c r="BX19" s="735">
        <f t="shared" ca="1" si="39"/>
        <v>0</v>
      </c>
      <c r="BY19" s="735">
        <f ca="1">BS19+COUNTIFS($BT$6:$BT$53,BT19,$BX$6:BX$53,"&gt;"&amp;BX19,$BC$6:$BC$53,INDEX(T_Equipos[Grupo],MATCH(BD19,T_Equipos[NombreEquipo],0)))</f>
        <v>1</v>
      </c>
      <c r="BZ19" s="734" t="str">
        <f ca="1">IF(COUNTIFS($BY$6:$BY$53,BY19,$BC$6:$BC$53,INDEX(T_Equipos[Grupo],MATCH(BD19,T_Equipos[NombreEquipo],0)))=1,"-","P."&amp;BY19&amp;" ("&amp;COUNTIFS($BY$6:$BY$53,BY19,$BC$6:$BC$53,INDEX(T_Equipos[Grupo],MATCH(BD19,T_Equipos[NombreEquipo],0)))&amp;")")</f>
        <v>P.1 (4)</v>
      </c>
      <c r="CA19" s="735">
        <f t="shared" ca="1" si="40"/>
        <v>0</v>
      </c>
      <c r="CB19" s="735">
        <f t="shared" ca="1" si="41"/>
        <v>0</v>
      </c>
      <c r="CC19" s="735">
        <f t="shared" ca="1" si="42"/>
        <v>0</v>
      </c>
      <c r="CD19" s="735">
        <f ca="1">BY19+COUNTIFS($BZ$6:$BZ$53,BZ19,$CC$6:CC$53,"&gt;"&amp;CC19,$BC$6:$BC$53,INDEX(T_Equipos[Grupo],MATCH(BD19,T_Equipos[NombreEquipo],0)))</f>
        <v>1</v>
      </c>
      <c r="CE19" s="734" t="str">
        <f ca="1">IF(COUNTIFS($CD$6:$CD$53,CD19,$BC$6:$BC$53,INDEX(T_Equipos[Grupo],MATCH(BD19,T_Equipos[NombreEquipo],0)))=1,"-","P."&amp;CD19&amp;" ("&amp;COUNTIFS($CD$6:$CD$53,CD19,$BC$6:$BC$53,INDEX(T_Equipos[Grupo],MATCH(BD19,T_Equipos[NombreEquipo],0)))&amp;")")</f>
        <v>P.1 (4)</v>
      </c>
      <c r="CF19" s="735">
        <f t="shared" ca="1" si="43"/>
        <v>0</v>
      </c>
      <c r="CG19" s="735">
        <f ca="1">CD19+COUNTIFS($CE$6:$CE$53,CE19,$CF$6:CF$53,"&gt;"&amp;CF19,$BC$6:$BC$53,INDEX(T_Equipos[Grupo],MATCH(BD19,T_Equipos[NombreEquipo],0)))</f>
        <v>1</v>
      </c>
      <c r="CH19" s="734" t="str">
        <f ca="1">IF(COUNTIFS($CG$6:$CG$53,CG19,$BC$6:$BC$53,INDEX(T_Equipos[Grupo],MATCH(BD19,T_Equipos[NombreEquipo],0)))=1,"-","P."&amp;CG19&amp;" ("&amp;COUNTIFS($CG$6:$CG$53,CG19,$BC$6:$BC$53,INDEX(T_Equipos[Grupo],MATCH(BD19,T_Equipos[NombreEquipo],0)))&amp;")")</f>
        <v>P.1 (4)</v>
      </c>
      <c r="CI19" s="735">
        <f t="shared" ca="1" si="44"/>
        <v>0</v>
      </c>
      <c r="CJ19" s="735">
        <f t="shared" ca="1" si="45"/>
        <v>0</v>
      </c>
      <c r="CK19" s="735">
        <f t="shared" ca="1" si="46"/>
        <v>0</v>
      </c>
      <c r="CL19" s="735">
        <f t="shared" ca="1" si="47"/>
        <v>0</v>
      </c>
      <c r="CM19" s="735">
        <f ca="1">CG19+COUNTIFS($CH$6:$CH$53,CH19,$CL$6:CL$53,"&gt;"&amp;CL19,$BC$6:$BC$53,INDEX(T_Equipos[Grupo],MATCH(BD19,T_Equipos[NombreEquipo],0)))</f>
        <v>1</v>
      </c>
      <c r="CN19" s="734" t="str">
        <f ca="1">IF(COUNTIFS($CM$6:$CM$53,CM19,$BC$6:$BC$53,INDEX(T_Equipos[Grupo],MATCH(BD19,T_Equipos[NombreEquipo],0)))=1,"-","P."&amp;CM19&amp;" ("&amp;COUNTIFS($CM$6:$CM$53,CM19,$BC$6:$BC$53,INDEX(T_Equipos[Grupo],MATCH(BD19,T_Equipos[NombreEquipo],0)))&amp;")")</f>
        <v>P.1 (4)</v>
      </c>
      <c r="CO19" s="735">
        <f t="shared" ca="1" si="48"/>
        <v>0</v>
      </c>
      <c r="CP19" s="735">
        <f t="shared" ca="1" si="49"/>
        <v>0</v>
      </c>
      <c r="CQ19" s="735">
        <f t="shared" ca="1" si="50"/>
        <v>0</v>
      </c>
      <c r="CR19" s="735">
        <f ca="1">CM19+COUNTIFS($CN$6:$CN$53,CN19,$CQ$6:CQ$53,"&gt;"&amp;CQ19,$BC$6:$BC$53,INDEX(T_Equipos[Grupo],MATCH(BD19,T_Equipos[NombreEquipo],0)))</f>
        <v>1</v>
      </c>
      <c r="CS19" s="734" t="str">
        <f ca="1">IF(COUNTIFS($CR$6:$CR$53,CR19,$BC$6:$BC$53,INDEX(T_Equipos[Grupo],MATCH(BD19,T_Equipos[NombreEquipo],0)))=1,"-","P."&amp;CR19&amp;" ("&amp;COUNTIFS($CR$6:$CR$53,CR19,$BC$6:$BC$53,INDEX(T_Equipos[Grupo],MATCH(BD19,T_Equipos[NombreEquipo],0)))&amp;")")</f>
        <v>P.1 (4)</v>
      </c>
      <c r="CT19" s="735">
        <f t="shared" ca="1" si="51"/>
        <v>0</v>
      </c>
      <c r="CU19" s="735">
        <f ca="1">CR19+COUNTIFS($CS$6:$CS$53,CS19,$CT$6:CT$53,"&gt;"&amp;CT19,$BC$6:$BC$53,INDEX(T_Equipos[Grupo],MATCH(BD19,T_Equipos[NombreEquipo],0)))</f>
        <v>1</v>
      </c>
      <c r="CV19" s="734" t="str">
        <f ca="1">IF(COUNTIFS($CU$6:$CU$53,CU19,$BC$6:$BC$53,INDEX(T_Equipos[Grupo],MATCH(BD19,T_Equipos[NombreEquipo],0)))=1,"-","P."&amp;CU19&amp;" ("&amp;COUNTIFS($CU$6:$CU$53,CU19,$BC$6:$BC$53,INDEX(T_Equipos[Grupo],MATCH(BD19,T_Equipos[NombreEquipo],0)))&amp;")")</f>
        <v>P.1 (4)</v>
      </c>
      <c r="CW19" s="734">
        <f t="shared" ca="1" si="30"/>
        <v>0</v>
      </c>
      <c r="CX19" s="734">
        <f ca="1">CU19+COUNTIFS($CV$6:$CV$53,CV19,$CW$6:CW$53,"&gt;"&amp;CW19,$BC$6:$BC$53,INDEX(T_Equipos[Grupo],MATCH(BD19,T_Equipos[NombreEquipo],0)))</f>
        <v>1</v>
      </c>
      <c r="CY19" s="734" t="str">
        <f ca="1">IF(COUNTIFS($CX$6:$CX$53,CX19,$BC$6:$BC$53,INDEX(T_Equipos[Grupo],MATCH(BD19,T_Equipos[NombreEquipo],0)))=1,"-","P."&amp;CX19&amp;" ("&amp;COUNTIFS($CX$6:$CX$53,CX19,$BC$6:$BC$53,INDEX(T_Equipos[Grupo],MATCH(BD19,T_Equipos[NombreEquipo],0)))&amp;")")</f>
        <v>P.1 (4)</v>
      </c>
      <c r="CZ19" s="734">
        <f t="shared" ca="1" si="31"/>
        <v>0</v>
      </c>
      <c r="DA19" s="735">
        <f ca="1">CX19+COUNTIFS($CY$6:$CY$53,CY19,$CZ$6:CZ$53,"&gt;"&amp;CZ19,$BC$6:$BC$53,INDEX(T_Equipos[Grupo],MATCH(BD19,T_Equipos[NombreEquipo],0)))</f>
        <v>1</v>
      </c>
      <c r="DB19" s="734" t="str">
        <f ca="1">IF(COUNTIFS($DA$6:$DA$53,DA19,$BC$6:$BC$53,INDEX(T_Equipos[Grupo],MATCH(BD19,T_Equipos[NombreEquipo],0)))=1,"-","P."&amp;DA19&amp;" ("&amp;COUNTIFS($DA$6:$DA$53,DA19,$BC$6:$BC$53,INDEX(T_Equipos[Grupo],MATCH(BD19,T_Equipos[NombreEquipo],0)))&amp;")")</f>
        <v>P.1 (4)</v>
      </c>
      <c r="DC19" s="733">
        <f ca="1">IF(DB19="-","-",COUNTIFS(T_Equipos[Rank],"&lt;"&amp;INDEX(T_Equipos[Rank],MATCH(BD19,T_Equipos[NombreEquipo],0)),$BC$6:$BC$53,INDEX(T_Equipos[Grupo],MATCH(BD19,T_Equipos[NombreEquipo],0)))+1)</f>
        <v>2</v>
      </c>
      <c r="DD19" s="733">
        <f ca="1">DA19+COUNTIFS($DB$6:$DB$53,DB19,$DC$6:DC$53,"&lt;"&amp;DC19,$BC$6:$BC$53,INDEX(T_Equipos[Grupo],MATCH(BD19,T_Equipos[NombreEquipo],0)))</f>
        <v>2</v>
      </c>
      <c r="DE19" s="733"/>
      <c r="DF19" s="733">
        <f t="shared" ca="1" si="52"/>
        <v>2</v>
      </c>
      <c r="DG19" s="733">
        <f ca="1">IF(DB19="-","-",COUNTIFS(DF$6:DF$53,"&lt;"&amp;DF19,$BC$6:$BC$53,INDEX(T_Equipos[Grupo],MATCH(BD19,T_Equipos[NombreEquipo],0))))</f>
        <v>1</v>
      </c>
      <c r="DH19" s="733">
        <f ca="1">DA19+COUNTIFS(DB$6:DB$53,DB19,DG$6:DG$53,"&lt;"&amp;DG19,$BC$6:$BC$53,INDEX(T_Equipos[Grupo],MATCH(BD19,T_Equipos[NombreEquipo],0)))</f>
        <v>2</v>
      </c>
      <c r="DI19" s="721"/>
      <c r="DJ19" s="721">
        <f t="shared" ca="1" si="53"/>
        <v>1</v>
      </c>
      <c r="DK19" s="721">
        <f t="shared" ca="1" si="24"/>
        <v>0</v>
      </c>
      <c r="DL19" s="721">
        <f t="shared" ca="1" si="33"/>
        <v>1</v>
      </c>
      <c r="DM19" s="715" t="str">
        <f t="shared" ca="1" si="34"/>
        <v>1.1</v>
      </c>
      <c r="DN19" s="721" cm="1">
        <f t="array" aca="1" ref="DN19" ca="1">OFFSET(Horarios!$P$3,DJ19-1,0,DL19,1)</f>
        <v>1</v>
      </c>
      <c r="DO19" s="721"/>
      <c r="DP19" s="721" t="s">
        <v>659</v>
      </c>
      <c r="DQ19" s="721" t="str">
        <f t="shared" ca="1" si="35"/>
        <v>Paraguay</v>
      </c>
      <c r="DR19" s="721"/>
      <c r="DS19" s="721"/>
      <c r="DT19" s="721" t="str">
        <f t="shared" si="15"/>
        <v>Casa-Fuera</v>
      </c>
      <c r="DU19" s="721"/>
      <c r="DV19" s="721"/>
      <c r="DW19" s="8"/>
    </row>
    <row r="20" spans="1:127" ht="15" customHeight="1" thickBot="1">
      <c r="A20" s="718" t="s">
        <v>30</v>
      </c>
      <c r="B20" s="719" t="s">
        <v>2</v>
      </c>
      <c r="C20" s="720">
        <f>COUNTIF(Equipos!$C$2:$C$49,WORLDCUP!B20)</f>
        <v>4</v>
      </c>
      <c r="D20" s="721" t="str">
        <f t="shared" ref="D20:D25" si="73">IF(OR(AC20="",AD20=""),"Pendiente",IF(AC20&gt;AD20,"Local",IF(AC20&lt;AD20,"Visitante","Empate")))</f>
        <v>Pendiente</v>
      </c>
      <c r="E20" s="721" t="str">
        <f t="shared" ref="E20:E25" si="74">IF(D20="Pendiente","-",INDEX($BT$6:$BT$53,MATCH($AA20,$BD$6:$BD$53,0)))</f>
        <v>-</v>
      </c>
      <c r="F20" s="721" t="str">
        <f t="shared" ref="F20:F25" si="75">IF(D20="Pendiente","-",INDEX($BT$6:$BT$53,MATCH($AF20,$BD$6:$BD$53,0)))</f>
        <v>-</v>
      </c>
      <c r="G20" s="721"/>
      <c r="H20" s="721" t="str">
        <f t="shared" ref="H20:H25" si="76">IF(D20="Pendiente","-",INDEX($BZ$6:$BZ$53,MATCH($AA20,$BD$6:$BD$53,0)))</f>
        <v>-</v>
      </c>
      <c r="I20" s="721" t="str">
        <f t="shared" ref="I20:I25" si="77">IF(D20="Pendiente","-",INDEX($BZ$6:$BZ$53,MATCH($AF20,$BD$6:$BD$53,0)))</f>
        <v>-</v>
      </c>
      <c r="J20" s="721"/>
      <c r="K20" s="721" t="str">
        <f t="shared" ref="K20:K25" si="78">IF(D20="Pendiente","-",INDEX($CE$6:$CE$53,MATCH($AA20,$BD$6:$BD$53,0)))</f>
        <v>-</v>
      </c>
      <c r="L20" s="721" t="str">
        <f t="shared" ref="L20:L25" si="79">IF(D20="Pendiente","-",INDEX($CE$6:$CE$53,MATCH($AF20,$BD$6:$BD$53,0)))</f>
        <v>-</v>
      </c>
      <c r="M20" s="721"/>
      <c r="N20" s="721" t="str">
        <f t="shared" ref="N20:N25" si="80">IF(D20="Pendiente","-",INDEX($CH$6:$CH$53,MATCH($AA20,$BD$6:$BD$53,0)))</f>
        <v>-</v>
      </c>
      <c r="O20" s="721" t="str">
        <f t="shared" ref="O20:O25" si="81">IF(D20="Pendiente","-",INDEX($CH$6:$CH$53,MATCH($AF20,$BD$6:$BD$53,0)))</f>
        <v>-</v>
      </c>
      <c r="P20" s="721"/>
      <c r="Q20" s="721" t="str">
        <f t="shared" ref="Q20:Q25" si="82">IF(D20="Pendiente","-",INDEX($CN$6:$CN$53,MATCH($AA20,$BD$6:$BD$53,0)))</f>
        <v>-</v>
      </c>
      <c r="R20" s="721" t="str">
        <f t="shared" ref="R20:R25" si="83">IF(D20="Pendiente","-",INDEX($CN$6:$CN$53,MATCH($AF20,$BD$6:$BD$53,0)))</f>
        <v>-</v>
      </c>
      <c r="S20" s="721"/>
      <c r="T20" s="721" t="str">
        <f t="shared" ref="T20:T25" si="84">IF(D20="Pendiente","-",INDEX($CS$6:$CS$53,MATCH($AA20,$BD$6:$BD$53,0)))</f>
        <v>-</v>
      </c>
      <c r="U20" s="721" t="str">
        <f t="shared" ref="U20:U25" si="85">IF(D20="Pendiente","-",INDEX($CS$6:$CS$53,MATCH($AF20,$BD$6:$BD$53,0)))</f>
        <v>-</v>
      </c>
      <c r="V20" s="162"/>
      <c r="W20" s="825" t="s">
        <v>2</v>
      </c>
      <c r="X20" s="179">
        <f ca="1">Horarios!C20</f>
        <v>46187</v>
      </c>
      <c r="Y20" s="180">
        <f ca="1">Horarios!C20</f>
        <v>46187</v>
      </c>
      <c r="Z20" s="181" t="str">
        <f>$Z$4</f>
        <v>J1</v>
      </c>
      <c r="AA20" s="182" t="str">
        <f ca="1">A21</f>
        <v>Brasil</v>
      </c>
      <c r="AB20" s="457" t="str" cm="1">
        <f t="array" aca="1" ref="AB20" ca="1">Ver_flag_local</f>
        <v/>
      </c>
      <c r="AC20" s="183"/>
      <c r="AD20" s="184"/>
      <c r="AE20" s="462" t="str" cm="1">
        <f t="array" aca="1" ref="AE20" ca="1">Ver_flag_visit</f>
        <v/>
      </c>
      <c r="AF20" s="185" t="str">
        <f ca="1">A22</f>
        <v>Marruecos</v>
      </c>
      <c r="AG20" s="396">
        <f t="shared" ref="AG20:AG25" si="86">IF(NOT(OR(ISBLANK(AC20),ISBLANK(AD20))),1,0)</f>
        <v>0</v>
      </c>
      <c r="AH20" s="186">
        <v>7</v>
      </c>
      <c r="AI20" s="15"/>
      <c r="AJ20" s="187" t="str">
        <f>CONCATENATE(AJ3," ",B20)</f>
        <v>Grupo C</v>
      </c>
      <c r="AK20" s="188"/>
      <c r="AL20" s="188"/>
      <c r="AM20" s="188"/>
      <c r="AN20" s="188"/>
      <c r="AO20" s="188"/>
      <c r="AP20" s="188"/>
      <c r="AQ20" s="188"/>
      <c r="AR20" s="188"/>
      <c r="AS20" s="188"/>
      <c r="AT20" s="189"/>
      <c r="AU20" s="404"/>
      <c r="AV20" s="190" t="str">
        <f t="shared" ref="AV20" ca="1" si="87">IF(AU21&gt;0,$AV$3,"")</f>
        <v/>
      </c>
      <c r="AW20" s="198"/>
      <c r="AX20" s="245"/>
      <c r="AY20" s="232"/>
      <c r="AZ20" s="233"/>
      <c r="BA20" s="165"/>
      <c r="BB20" s="721"/>
      <c r="BC20" s="733" t="str">
        <f ca="1">+INDEX(T_Equipos[Grupo],MATCH(WORLDCUP!BD20,T_Equipos[NombreEquipo],0))</f>
        <v>D</v>
      </c>
      <c r="BD20" s="721" t="str">
        <f ca="1">+Equipos!B16</f>
        <v>Australia</v>
      </c>
      <c r="BE20" s="725">
        <f t="shared" ca="1" si="25"/>
        <v>0</v>
      </c>
      <c r="BF20" s="725">
        <f t="shared" ca="1" si="26"/>
        <v>0</v>
      </c>
      <c r="BG20" s="725">
        <f t="shared" ca="1" si="17"/>
        <v>0</v>
      </c>
      <c r="BH20" s="725">
        <f t="shared" ca="1" si="18"/>
        <v>0</v>
      </c>
      <c r="BI20" s="725">
        <f t="shared" ca="1" si="19"/>
        <v>0</v>
      </c>
      <c r="BJ20" s="725">
        <f t="shared" ca="1" si="20"/>
        <v>0</v>
      </c>
      <c r="BK20" s="725">
        <f t="shared" ca="1" si="21"/>
        <v>0</v>
      </c>
      <c r="BL20" s="725">
        <f t="shared" ca="1" si="27"/>
        <v>0</v>
      </c>
      <c r="BM20" s="725" t="str">
        <f t="shared" ca="1" si="22"/>
        <v>3D</v>
      </c>
      <c r="BN20" s="725" t="str">
        <f t="shared" ca="1" si="23"/>
        <v>3D</v>
      </c>
      <c r="BO20" s="735">
        <f t="shared" ca="1" si="28"/>
        <v>0</v>
      </c>
      <c r="BP20" s="734">
        <f ca="1">COUNTIFS($BO$6:$BO$53,"&gt;"&amp;BO20,$BC$6:$BC$53,INDEX(T_Equipos[Grupo],MATCH(BD20,T_Equipos[NombreEquipo],0)))+1</f>
        <v>1</v>
      </c>
      <c r="BQ20" s="734" t="str">
        <f ca="1">IF(COUNTIFS($BP$6:$BP$53,BP20,$BC$6:$BC$53,INDEX(T_Equipos[Grupo],MATCH(BD20,T_Equipos[NombreEquipo],0)))=1,"-","P."&amp;BP20&amp;" ("&amp;COUNTIFS($BP$6:$BP$53,BP20,$BC$6:$BC$53,INDEX(T_Equipos[Grupo],MATCH(BD20,T_Equipos[NombreEquipo],0)))&amp;")")</f>
        <v>P.1 (4)</v>
      </c>
      <c r="BR20" s="735">
        <f t="shared" ca="1" si="29"/>
        <v>0</v>
      </c>
      <c r="BS20" s="734">
        <f ca="1">BP20+COUNTIFS($BQ$6:$BQ$53,BQ20,$BR$6:BR$53,"&gt;"&amp;BR20,$BC$6:$BC$53,INDEX(T_Equipos[Grupo],MATCH(BD20,T_Equipos[NombreEquipo],0)))</f>
        <v>1</v>
      </c>
      <c r="BT20" s="734" t="str">
        <f ca="1">IF(COUNTIFS($BS$6:$BS$53,BS20,$BC$6:$BC$53,INDEX(T_Equipos[Grupo],MATCH(BD20,T_Equipos[NombreEquipo],0)))=1,"-","P."&amp;BS20&amp;" ("&amp;COUNTIFS($BS$6:$BS$53,BS20,$BC$6:$BC$53,INDEX(T_Equipos[Grupo],MATCH(BD20,T_Equipos[NombreEquipo],0)))&amp;")")</f>
        <v>P.1 (4)</v>
      </c>
      <c r="BU20" s="735">
        <f t="shared" ca="1" si="36"/>
        <v>0</v>
      </c>
      <c r="BV20" s="735">
        <f t="shared" ca="1" si="37"/>
        <v>0</v>
      </c>
      <c r="BW20" s="735">
        <f t="shared" ca="1" si="38"/>
        <v>0</v>
      </c>
      <c r="BX20" s="735">
        <f t="shared" ca="1" si="39"/>
        <v>0</v>
      </c>
      <c r="BY20" s="735">
        <f ca="1">BS20+COUNTIFS($BT$6:$BT$53,BT20,$BX$6:BX$53,"&gt;"&amp;BX20,$BC$6:$BC$53,INDEX(T_Equipos[Grupo],MATCH(BD20,T_Equipos[NombreEquipo],0)))</f>
        <v>1</v>
      </c>
      <c r="BZ20" s="734" t="str">
        <f ca="1">IF(COUNTIFS($BY$6:$BY$53,BY20,$BC$6:$BC$53,INDEX(T_Equipos[Grupo],MATCH(BD20,T_Equipos[NombreEquipo],0)))=1,"-","P."&amp;BY20&amp;" ("&amp;COUNTIFS($BY$6:$BY$53,BY20,$BC$6:$BC$53,INDEX(T_Equipos[Grupo],MATCH(BD20,T_Equipos[NombreEquipo],0)))&amp;")")</f>
        <v>P.1 (4)</v>
      </c>
      <c r="CA20" s="735">
        <f t="shared" ca="1" si="40"/>
        <v>0</v>
      </c>
      <c r="CB20" s="735">
        <f t="shared" ca="1" si="41"/>
        <v>0</v>
      </c>
      <c r="CC20" s="735">
        <f t="shared" ca="1" si="42"/>
        <v>0</v>
      </c>
      <c r="CD20" s="735">
        <f ca="1">BY20+COUNTIFS($BZ$6:$BZ$53,BZ20,$CC$6:CC$53,"&gt;"&amp;CC20,$BC$6:$BC$53,INDEX(T_Equipos[Grupo],MATCH(BD20,T_Equipos[NombreEquipo],0)))</f>
        <v>1</v>
      </c>
      <c r="CE20" s="734" t="str">
        <f ca="1">IF(COUNTIFS($CD$6:$CD$53,CD20,$BC$6:$BC$53,INDEX(T_Equipos[Grupo],MATCH(BD20,T_Equipos[NombreEquipo],0)))=1,"-","P."&amp;CD20&amp;" ("&amp;COUNTIFS($CD$6:$CD$53,CD20,$BC$6:$BC$53,INDEX(T_Equipos[Grupo],MATCH(BD20,T_Equipos[NombreEquipo],0)))&amp;")")</f>
        <v>P.1 (4)</v>
      </c>
      <c r="CF20" s="735">
        <f t="shared" ca="1" si="43"/>
        <v>0</v>
      </c>
      <c r="CG20" s="735">
        <f ca="1">CD20+COUNTIFS($CE$6:$CE$53,CE20,$CF$6:CF$53,"&gt;"&amp;CF20,$BC$6:$BC$53,INDEX(T_Equipos[Grupo],MATCH(BD20,T_Equipos[NombreEquipo],0)))</f>
        <v>1</v>
      </c>
      <c r="CH20" s="734" t="str">
        <f ca="1">IF(COUNTIFS($CG$6:$CG$53,CG20,$BC$6:$BC$53,INDEX(T_Equipos[Grupo],MATCH(BD20,T_Equipos[NombreEquipo],0)))=1,"-","P."&amp;CG20&amp;" ("&amp;COUNTIFS($CG$6:$CG$53,CG20,$BC$6:$BC$53,INDEX(T_Equipos[Grupo],MATCH(BD20,T_Equipos[NombreEquipo],0)))&amp;")")</f>
        <v>P.1 (4)</v>
      </c>
      <c r="CI20" s="735">
        <f t="shared" ca="1" si="44"/>
        <v>0</v>
      </c>
      <c r="CJ20" s="735">
        <f t="shared" ca="1" si="45"/>
        <v>0</v>
      </c>
      <c r="CK20" s="735">
        <f t="shared" ca="1" si="46"/>
        <v>0</v>
      </c>
      <c r="CL20" s="735">
        <f t="shared" ca="1" si="47"/>
        <v>0</v>
      </c>
      <c r="CM20" s="735">
        <f ca="1">CG20+COUNTIFS($CH$6:$CH$53,CH20,$CL$6:CL$53,"&gt;"&amp;CL20,$BC$6:$BC$53,INDEX(T_Equipos[Grupo],MATCH(BD20,T_Equipos[NombreEquipo],0)))</f>
        <v>1</v>
      </c>
      <c r="CN20" s="734" t="str">
        <f ca="1">IF(COUNTIFS($CM$6:$CM$53,CM20,$BC$6:$BC$53,INDEX(T_Equipos[Grupo],MATCH(BD20,T_Equipos[NombreEquipo],0)))=1,"-","P."&amp;CM20&amp;" ("&amp;COUNTIFS($CM$6:$CM$53,CM20,$BC$6:$BC$53,INDEX(T_Equipos[Grupo],MATCH(BD20,T_Equipos[NombreEquipo],0)))&amp;")")</f>
        <v>P.1 (4)</v>
      </c>
      <c r="CO20" s="735">
        <f t="shared" ca="1" si="48"/>
        <v>0</v>
      </c>
      <c r="CP20" s="735">
        <f t="shared" ca="1" si="49"/>
        <v>0</v>
      </c>
      <c r="CQ20" s="735">
        <f t="shared" ca="1" si="50"/>
        <v>0</v>
      </c>
      <c r="CR20" s="735">
        <f ca="1">CM20+COUNTIFS($CN$6:$CN$53,CN20,$CQ$6:CQ$53,"&gt;"&amp;CQ20,$BC$6:$BC$53,INDEX(T_Equipos[Grupo],MATCH(BD20,T_Equipos[NombreEquipo],0)))</f>
        <v>1</v>
      </c>
      <c r="CS20" s="734" t="str">
        <f ca="1">IF(COUNTIFS($CR$6:$CR$53,CR20,$BC$6:$BC$53,INDEX(T_Equipos[Grupo],MATCH(BD20,T_Equipos[NombreEquipo],0)))=1,"-","P."&amp;CR20&amp;" ("&amp;COUNTIFS($CR$6:$CR$53,CR20,$BC$6:$BC$53,INDEX(T_Equipos[Grupo],MATCH(BD20,T_Equipos[NombreEquipo],0)))&amp;")")</f>
        <v>P.1 (4)</v>
      </c>
      <c r="CT20" s="735">
        <f t="shared" ca="1" si="51"/>
        <v>0</v>
      </c>
      <c r="CU20" s="735">
        <f ca="1">CR20+COUNTIFS($CS$6:$CS$53,CS20,$CT$6:CT$53,"&gt;"&amp;CT20,$BC$6:$BC$53,INDEX(T_Equipos[Grupo],MATCH(BD20,T_Equipos[NombreEquipo],0)))</f>
        <v>1</v>
      </c>
      <c r="CV20" s="734" t="str">
        <f ca="1">IF(COUNTIFS($CU$6:$CU$53,CU20,$BC$6:$BC$53,INDEX(T_Equipos[Grupo],MATCH(BD20,T_Equipos[NombreEquipo],0)))=1,"-","P."&amp;CU20&amp;" ("&amp;COUNTIFS($CU$6:$CU$53,CU20,$BC$6:$BC$53,INDEX(T_Equipos[Grupo],MATCH(BD20,T_Equipos[NombreEquipo],0)))&amp;")")</f>
        <v>P.1 (4)</v>
      </c>
      <c r="CW20" s="734">
        <f t="shared" ca="1" si="30"/>
        <v>0</v>
      </c>
      <c r="CX20" s="734">
        <f ca="1">CU20+COUNTIFS($CV$6:$CV$53,CV20,$CW$6:CW$53,"&gt;"&amp;CW20,$BC$6:$BC$53,INDEX(T_Equipos[Grupo],MATCH(BD20,T_Equipos[NombreEquipo],0)))</f>
        <v>1</v>
      </c>
      <c r="CY20" s="734" t="str">
        <f ca="1">IF(COUNTIFS($CX$6:$CX$53,CX20,$BC$6:$BC$53,INDEX(T_Equipos[Grupo],MATCH(BD20,T_Equipos[NombreEquipo],0)))=1,"-","P."&amp;CX20&amp;" ("&amp;COUNTIFS($CX$6:$CX$53,CX20,$BC$6:$BC$53,INDEX(T_Equipos[Grupo],MATCH(BD20,T_Equipos[NombreEquipo],0)))&amp;")")</f>
        <v>P.1 (4)</v>
      </c>
      <c r="CZ20" s="734">
        <f t="shared" ca="1" si="31"/>
        <v>0</v>
      </c>
      <c r="DA20" s="735">
        <f ca="1">CX20+COUNTIFS($CY$6:$CY$53,CY20,$CZ$6:CZ$53,"&gt;"&amp;CZ20,$BC$6:$BC$53,INDEX(T_Equipos[Grupo],MATCH(BD20,T_Equipos[NombreEquipo],0)))</f>
        <v>1</v>
      </c>
      <c r="DB20" s="734" t="str">
        <f ca="1">IF(COUNTIFS($DA$6:$DA$53,DA20,$BC$6:$BC$53,INDEX(T_Equipos[Grupo],MATCH(BD20,T_Equipos[NombreEquipo],0)))=1,"-","P."&amp;DA20&amp;" ("&amp;COUNTIFS($DA$6:$DA$53,DA20,$BC$6:$BC$53,INDEX(T_Equipos[Grupo],MATCH(BD20,T_Equipos[NombreEquipo],0)))&amp;")")</f>
        <v>P.1 (4)</v>
      </c>
      <c r="DC20" s="733">
        <f ca="1">IF(DB20="-","-",COUNTIFS(T_Equipos[Rank],"&lt;"&amp;INDEX(T_Equipos[Rank],MATCH(BD20,T_Equipos[NombreEquipo],0)),$BC$6:$BC$53,INDEX(T_Equipos[Grupo],MATCH(BD20,T_Equipos[NombreEquipo],0)))+1)</f>
        <v>3</v>
      </c>
      <c r="DD20" s="733">
        <f ca="1">DA20+COUNTIFS($DB$6:$DB$53,DB20,$DC$6:DC$53,"&lt;"&amp;DC20,$BC$6:$BC$53,INDEX(T_Equipos[Grupo],MATCH(BD20,T_Equipos[NombreEquipo],0)))</f>
        <v>3</v>
      </c>
      <c r="DE20" s="733"/>
      <c r="DF20" s="733">
        <f t="shared" ca="1" si="52"/>
        <v>3</v>
      </c>
      <c r="DG20" s="733">
        <f ca="1">IF(DB20="-","-",COUNTIFS(DF$6:DF$53,"&lt;"&amp;DF20,$BC$6:$BC$53,INDEX(T_Equipos[Grupo],MATCH(BD20,T_Equipos[NombreEquipo],0))))</f>
        <v>2</v>
      </c>
      <c r="DH20" s="733">
        <f ca="1">DA20+COUNTIFS(DB$6:DB$53,DB20,DG$6:DG$53,"&lt;"&amp;DG20,$BC$6:$BC$53,INDEX(T_Equipos[Grupo],MATCH(BD20,T_Equipos[NombreEquipo],0)))</f>
        <v>3</v>
      </c>
      <c r="DI20" s="721"/>
      <c r="DJ20" s="721">
        <f t="shared" ca="1" si="53"/>
        <v>1</v>
      </c>
      <c r="DK20" s="721">
        <f t="shared" ca="1" si="24"/>
        <v>0</v>
      </c>
      <c r="DL20" s="721">
        <f t="shared" ca="1" si="33"/>
        <v>1</v>
      </c>
      <c r="DM20" s="715" t="str">
        <f t="shared" ca="1" si="34"/>
        <v>1.1</v>
      </c>
      <c r="DN20" s="721" cm="1">
        <f t="array" aca="1" ref="DN20" ca="1">OFFSET(Horarios!$P$3,DJ20-1,0,DL20,1)</f>
        <v>1</v>
      </c>
      <c r="DO20" s="721"/>
      <c r="DP20" s="721" t="s">
        <v>92</v>
      </c>
      <c r="DQ20" s="721" t="str">
        <f t="shared" ca="1" si="35"/>
        <v>Australia</v>
      </c>
      <c r="DR20" s="721"/>
      <c r="DS20" s="721"/>
      <c r="DT20" s="721" t="str">
        <f t="shared" ca="1" si="15"/>
        <v>Brasil-Marruecos</v>
      </c>
      <c r="DU20" s="721"/>
      <c r="DV20" s="721"/>
      <c r="DW20" s="8"/>
    </row>
    <row r="21" spans="1:127" ht="15.95" customHeight="1">
      <c r="A21" s="722" t="str">
        <f ca="1">+Equipos!B10</f>
        <v>Brasil</v>
      </c>
      <c r="B21" s="719"/>
      <c r="C21" s="719"/>
      <c r="D21" s="721" t="str">
        <f t="shared" si="73"/>
        <v>Pendiente</v>
      </c>
      <c r="E21" s="721" t="str">
        <f t="shared" si="74"/>
        <v>-</v>
      </c>
      <c r="F21" s="721" t="str">
        <f t="shared" si="75"/>
        <v>-</v>
      </c>
      <c r="G21" s="721"/>
      <c r="H21" s="721" t="str">
        <f t="shared" si="76"/>
        <v>-</v>
      </c>
      <c r="I21" s="721" t="str">
        <f t="shared" si="77"/>
        <v>-</v>
      </c>
      <c r="J21" s="721"/>
      <c r="K21" s="721" t="str">
        <f t="shared" si="78"/>
        <v>-</v>
      </c>
      <c r="L21" s="721" t="str">
        <f t="shared" si="79"/>
        <v>-</v>
      </c>
      <c r="M21" s="721"/>
      <c r="N21" s="721" t="str">
        <f t="shared" si="80"/>
        <v>-</v>
      </c>
      <c r="O21" s="721" t="str">
        <f t="shared" si="81"/>
        <v>-</v>
      </c>
      <c r="P21" s="721"/>
      <c r="Q21" s="721" t="str">
        <f t="shared" si="82"/>
        <v>-</v>
      </c>
      <c r="R21" s="721" t="str">
        <f t="shared" si="83"/>
        <v>-</v>
      </c>
      <c r="S21" s="721"/>
      <c r="T21" s="721" t="str">
        <f t="shared" si="84"/>
        <v>-</v>
      </c>
      <c r="U21" s="721" t="str">
        <f t="shared" si="85"/>
        <v>-</v>
      </c>
      <c r="V21" s="162"/>
      <c r="W21" s="825"/>
      <c r="X21" s="179">
        <f ca="1">Horarios!C21</f>
        <v>46187.125</v>
      </c>
      <c r="Y21" s="180">
        <f ca="1">Horarios!C21</f>
        <v>46187.125</v>
      </c>
      <c r="Z21" s="181" t="str">
        <f>$Z$4</f>
        <v>J1</v>
      </c>
      <c r="AA21" s="182" t="str">
        <f ca="1">A23</f>
        <v>Haití</v>
      </c>
      <c r="AB21" s="457" t="str" cm="1">
        <f t="array" aca="1" ref="AB21" ca="1">Ver_flag_local</f>
        <v/>
      </c>
      <c r="AC21" s="183"/>
      <c r="AD21" s="184"/>
      <c r="AE21" s="462" t="str" cm="1">
        <f t="array" aca="1" ref="AE21" ca="1">Ver_flag_visit</f>
        <v/>
      </c>
      <c r="AF21" s="185" t="str">
        <f ca="1">A24</f>
        <v>Escocia</v>
      </c>
      <c r="AG21" s="396">
        <f t="shared" si="86"/>
        <v>0</v>
      </c>
      <c r="AH21" s="186">
        <v>5</v>
      </c>
      <c r="AI21" s="15"/>
      <c r="AJ21" s="194" t="str">
        <f>AJ5</f>
        <v>Pos</v>
      </c>
      <c r="AK21" s="195"/>
      <c r="AL21" s="196" t="str">
        <f t="shared" ref="AL21:AT21" si="88">AL5</f>
        <v>Selección</v>
      </c>
      <c r="AM21" s="195" t="str">
        <f t="shared" si="88"/>
        <v>Pts</v>
      </c>
      <c r="AN21" s="195" t="str">
        <f t="shared" si="88"/>
        <v>J</v>
      </c>
      <c r="AO21" s="195" t="str">
        <f t="shared" si="88"/>
        <v>G</v>
      </c>
      <c r="AP21" s="195" t="str">
        <f t="shared" si="88"/>
        <v>E</v>
      </c>
      <c r="AQ21" s="195" t="str">
        <f t="shared" si="88"/>
        <v>P</v>
      </c>
      <c r="AR21" s="195" t="str">
        <f t="shared" si="88"/>
        <v>GF</v>
      </c>
      <c r="AS21" s="195" t="str">
        <f t="shared" si="88"/>
        <v>GC</v>
      </c>
      <c r="AT21" s="197" t="str">
        <f t="shared" si="88"/>
        <v>DG</v>
      </c>
      <c r="AU21" s="404">
        <f t="shared" ref="AU21" ca="1" si="89">COUNTIF(AU22:AU25,"&gt;1")</f>
        <v>0</v>
      </c>
      <c r="AV21" s="198"/>
      <c r="AW21" s="198"/>
      <c r="AX21" s="245"/>
      <c r="AY21" s="199" t="str">
        <f>AL21</f>
        <v>Selección</v>
      </c>
      <c r="AZ21" s="200" t="str">
        <f>+Idiomas!$D$69</f>
        <v>Puntos penalizados</v>
      </c>
      <c r="BA21" s="165"/>
      <c r="BB21" s="721"/>
      <c r="BC21" s="733" t="str">
        <f ca="1">+INDEX(T_Equipos[Grupo],MATCH(WORLDCUP!BD21,T_Equipos[NombreEquipo],0))</f>
        <v>D</v>
      </c>
      <c r="BD21" s="721" t="str">
        <f ca="1">+Equipos!B17</f>
        <v>Turquía</v>
      </c>
      <c r="BE21" s="725">
        <f t="shared" ca="1" si="25"/>
        <v>0</v>
      </c>
      <c r="BF21" s="725">
        <f t="shared" ca="1" si="26"/>
        <v>0</v>
      </c>
      <c r="BG21" s="725">
        <f t="shared" ca="1" si="17"/>
        <v>0</v>
      </c>
      <c r="BH21" s="725">
        <f t="shared" ca="1" si="18"/>
        <v>0</v>
      </c>
      <c r="BI21" s="725">
        <f t="shared" ca="1" si="19"/>
        <v>0</v>
      </c>
      <c r="BJ21" s="725">
        <f t="shared" ca="1" si="20"/>
        <v>0</v>
      </c>
      <c r="BK21" s="725">
        <f t="shared" ca="1" si="21"/>
        <v>0</v>
      </c>
      <c r="BL21" s="725">
        <f t="shared" ca="1" si="27"/>
        <v>0</v>
      </c>
      <c r="BM21" s="725" t="str">
        <f t="shared" ca="1" si="22"/>
        <v>4D</v>
      </c>
      <c r="BN21" s="725" t="str">
        <f t="shared" ca="1" si="23"/>
        <v>4D</v>
      </c>
      <c r="BO21" s="735">
        <f t="shared" ca="1" si="28"/>
        <v>0</v>
      </c>
      <c r="BP21" s="734">
        <f ca="1">COUNTIFS($BO$6:$BO$53,"&gt;"&amp;BO21,$BC$6:$BC$53,INDEX(T_Equipos[Grupo],MATCH(BD21,T_Equipos[NombreEquipo],0)))+1</f>
        <v>1</v>
      </c>
      <c r="BQ21" s="734" t="str">
        <f ca="1">IF(COUNTIFS($BP$6:$BP$53,BP21,$BC$6:$BC$53,INDEX(T_Equipos[Grupo],MATCH(BD21,T_Equipos[NombreEquipo],0)))=1,"-","P."&amp;BP21&amp;" ("&amp;COUNTIFS($BP$6:$BP$53,BP21,$BC$6:$BC$53,INDEX(T_Equipos[Grupo],MATCH(BD21,T_Equipos[NombreEquipo],0)))&amp;")")</f>
        <v>P.1 (4)</v>
      </c>
      <c r="BR21" s="735">
        <f t="shared" ca="1" si="29"/>
        <v>0</v>
      </c>
      <c r="BS21" s="734">
        <f ca="1">BP21+COUNTIFS($BQ$6:$BQ$53,BQ21,$BR$6:BR$53,"&gt;"&amp;BR21,$BC$6:$BC$53,INDEX(T_Equipos[Grupo],MATCH(BD21,T_Equipos[NombreEquipo],0)))</f>
        <v>1</v>
      </c>
      <c r="BT21" s="734" t="str">
        <f ca="1">IF(COUNTIFS($BS$6:$BS$53,BS21,$BC$6:$BC$53,INDEX(T_Equipos[Grupo],MATCH(BD21,T_Equipos[NombreEquipo],0)))=1,"-","P."&amp;BS21&amp;" ("&amp;COUNTIFS($BS$6:$BS$53,BS21,$BC$6:$BC$53,INDEX(T_Equipos[Grupo],MATCH(BD21,T_Equipos[NombreEquipo],0)))&amp;")")</f>
        <v>P.1 (4)</v>
      </c>
      <c r="BU21" s="735">
        <f t="shared" ca="1" si="36"/>
        <v>0</v>
      </c>
      <c r="BV21" s="735">
        <f t="shared" ca="1" si="37"/>
        <v>0</v>
      </c>
      <c r="BW21" s="735">
        <f t="shared" ca="1" si="38"/>
        <v>0</v>
      </c>
      <c r="BX21" s="735">
        <f t="shared" ca="1" si="39"/>
        <v>0</v>
      </c>
      <c r="BY21" s="735">
        <f ca="1">BS21+COUNTIFS($BT$6:$BT$53,BT21,$BX$6:BX$53,"&gt;"&amp;BX21,$BC$6:$BC$53,INDEX(T_Equipos[Grupo],MATCH(BD21,T_Equipos[NombreEquipo],0)))</f>
        <v>1</v>
      </c>
      <c r="BZ21" s="734" t="str">
        <f ca="1">IF(COUNTIFS($BY$6:$BY$53,BY21,$BC$6:$BC$53,INDEX(T_Equipos[Grupo],MATCH(BD21,T_Equipos[NombreEquipo],0)))=1,"-","P."&amp;BY21&amp;" ("&amp;COUNTIFS($BY$6:$BY$53,BY21,$BC$6:$BC$53,INDEX(T_Equipos[Grupo],MATCH(BD21,T_Equipos[NombreEquipo],0)))&amp;")")</f>
        <v>P.1 (4)</v>
      </c>
      <c r="CA21" s="735">
        <f t="shared" ca="1" si="40"/>
        <v>0</v>
      </c>
      <c r="CB21" s="735">
        <f t="shared" ca="1" si="41"/>
        <v>0</v>
      </c>
      <c r="CC21" s="735">
        <f t="shared" ca="1" si="42"/>
        <v>0</v>
      </c>
      <c r="CD21" s="735">
        <f ca="1">BY21+COUNTIFS($BZ$6:$BZ$53,BZ21,$CC$6:CC$53,"&gt;"&amp;CC21,$BC$6:$BC$53,INDEX(T_Equipos[Grupo],MATCH(BD21,T_Equipos[NombreEquipo],0)))</f>
        <v>1</v>
      </c>
      <c r="CE21" s="734" t="str">
        <f ca="1">IF(COUNTIFS($CD$6:$CD$53,CD21,$BC$6:$BC$53,INDEX(T_Equipos[Grupo],MATCH(BD21,T_Equipos[NombreEquipo],0)))=1,"-","P."&amp;CD21&amp;" ("&amp;COUNTIFS($CD$6:$CD$53,CD21,$BC$6:$BC$53,INDEX(T_Equipos[Grupo],MATCH(BD21,T_Equipos[NombreEquipo],0)))&amp;")")</f>
        <v>P.1 (4)</v>
      </c>
      <c r="CF21" s="735">
        <f t="shared" ca="1" si="43"/>
        <v>0</v>
      </c>
      <c r="CG21" s="735">
        <f ca="1">CD21+COUNTIFS($CE$6:$CE$53,CE21,$CF$6:CF$53,"&gt;"&amp;CF21,$BC$6:$BC$53,INDEX(T_Equipos[Grupo],MATCH(BD21,T_Equipos[NombreEquipo],0)))</f>
        <v>1</v>
      </c>
      <c r="CH21" s="734" t="str">
        <f ca="1">IF(COUNTIFS($CG$6:$CG$53,CG21,$BC$6:$BC$53,INDEX(T_Equipos[Grupo],MATCH(BD21,T_Equipos[NombreEquipo],0)))=1,"-","P."&amp;CG21&amp;" ("&amp;COUNTIFS($CG$6:$CG$53,CG21,$BC$6:$BC$53,INDEX(T_Equipos[Grupo],MATCH(BD21,T_Equipos[NombreEquipo],0)))&amp;")")</f>
        <v>P.1 (4)</v>
      </c>
      <c r="CI21" s="735">
        <f t="shared" ca="1" si="44"/>
        <v>0</v>
      </c>
      <c r="CJ21" s="735">
        <f t="shared" ca="1" si="45"/>
        <v>0</v>
      </c>
      <c r="CK21" s="735">
        <f t="shared" ca="1" si="46"/>
        <v>0</v>
      </c>
      <c r="CL21" s="735">
        <f t="shared" ca="1" si="47"/>
        <v>0</v>
      </c>
      <c r="CM21" s="735">
        <f ca="1">CG21+COUNTIFS($CH$6:$CH$53,CH21,$CL$6:CL$53,"&gt;"&amp;CL21,$BC$6:$BC$53,INDEX(T_Equipos[Grupo],MATCH(BD21,T_Equipos[NombreEquipo],0)))</f>
        <v>1</v>
      </c>
      <c r="CN21" s="734" t="str">
        <f ca="1">IF(COUNTIFS($CM$6:$CM$53,CM21,$BC$6:$BC$53,INDEX(T_Equipos[Grupo],MATCH(BD21,T_Equipos[NombreEquipo],0)))=1,"-","P."&amp;CM21&amp;" ("&amp;COUNTIFS($CM$6:$CM$53,CM21,$BC$6:$BC$53,INDEX(T_Equipos[Grupo],MATCH(BD21,T_Equipos[NombreEquipo],0)))&amp;")")</f>
        <v>P.1 (4)</v>
      </c>
      <c r="CO21" s="735">
        <f t="shared" ca="1" si="48"/>
        <v>0</v>
      </c>
      <c r="CP21" s="735">
        <f t="shared" ca="1" si="49"/>
        <v>0</v>
      </c>
      <c r="CQ21" s="735">
        <f t="shared" ca="1" si="50"/>
        <v>0</v>
      </c>
      <c r="CR21" s="735">
        <f ca="1">CM21+COUNTIFS($CN$6:$CN$53,CN21,$CQ$6:CQ$53,"&gt;"&amp;CQ21,$BC$6:$BC$53,INDEX(T_Equipos[Grupo],MATCH(BD21,T_Equipos[NombreEquipo],0)))</f>
        <v>1</v>
      </c>
      <c r="CS21" s="734" t="str">
        <f ca="1">IF(COUNTIFS($CR$6:$CR$53,CR21,$BC$6:$BC$53,INDEX(T_Equipos[Grupo],MATCH(BD21,T_Equipos[NombreEquipo],0)))=1,"-","P."&amp;CR21&amp;" ("&amp;COUNTIFS($CR$6:$CR$53,CR21,$BC$6:$BC$53,INDEX(T_Equipos[Grupo],MATCH(BD21,T_Equipos[NombreEquipo],0)))&amp;")")</f>
        <v>P.1 (4)</v>
      </c>
      <c r="CT21" s="735">
        <f t="shared" ca="1" si="51"/>
        <v>0</v>
      </c>
      <c r="CU21" s="735">
        <f ca="1">CR21+COUNTIFS($CS$6:$CS$53,CS21,$CT$6:CT$53,"&gt;"&amp;CT21,$BC$6:$BC$53,INDEX(T_Equipos[Grupo],MATCH(BD21,T_Equipos[NombreEquipo],0)))</f>
        <v>1</v>
      </c>
      <c r="CV21" s="734" t="str">
        <f ca="1">IF(COUNTIFS($CU$6:$CU$53,CU21,$BC$6:$BC$53,INDEX(T_Equipos[Grupo],MATCH(BD21,T_Equipos[NombreEquipo],0)))=1,"-","P."&amp;CU21&amp;" ("&amp;COUNTIFS($CU$6:$CU$53,CU21,$BC$6:$BC$53,INDEX(T_Equipos[Grupo],MATCH(BD21,T_Equipos[NombreEquipo],0)))&amp;")")</f>
        <v>P.1 (4)</v>
      </c>
      <c r="CW21" s="734">
        <f t="shared" ca="1" si="30"/>
        <v>0</v>
      </c>
      <c r="CX21" s="734">
        <f ca="1">CU21+COUNTIFS($CV$6:$CV$53,CV21,$CW$6:CW$53,"&gt;"&amp;CW21,$BC$6:$BC$53,INDEX(T_Equipos[Grupo],MATCH(BD21,T_Equipos[NombreEquipo],0)))</f>
        <v>1</v>
      </c>
      <c r="CY21" s="734" t="str">
        <f ca="1">IF(COUNTIFS($CX$6:$CX$53,CX21,$BC$6:$BC$53,INDEX(T_Equipos[Grupo],MATCH(BD21,T_Equipos[NombreEquipo],0)))=1,"-","P."&amp;CX21&amp;" ("&amp;COUNTIFS($CX$6:$CX$53,CX21,$BC$6:$BC$53,INDEX(T_Equipos[Grupo],MATCH(BD21,T_Equipos[NombreEquipo],0)))&amp;")")</f>
        <v>P.1 (4)</v>
      </c>
      <c r="CZ21" s="734">
        <f t="shared" ca="1" si="31"/>
        <v>0</v>
      </c>
      <c r="DA21" s="735">
        <f ca="1">CX21+COUNTIFS($CY$6:$CY$53,CY21,$CZ$6:CZ$53,"&gt;"&amp;CZ21,$BC$6:$BC$53,INDEX(T_Equipos[Grupo],MATCH(BD21,T_Equipos[NombreEquipo],0)))</f>
        <v>1</v>
      </c>
      <c r="DB21" s="734" t="str">
        <f ca="1">IF(COUNTIFS($DA$6:$DA$53,DA21,$BC$6:$BC$53,INDEX(T_Equipos[Grupo],MATCH(BD21,T_Equipos[NombreEquipo],0)))=1,"-","P."&amp;DA21&amp;" ("&amp;COUNTIFS($DA$6:$DA$53,DA21,$BC$6:$BC$53,INDEX(T_Equipos[Grupo],MATCH(BD21,T_Equipos[NombreEquipo],0)))&amp;")")</f>
        <v>P.1 (4)</v>
      </c>
      <c r="DC21" s="733">
        <f ca="1">IF(DB21="-","-",COUNTIFS(T_Equipos[Rank],"&lt;"&amp;INDEX(T_Equipos[Rank],MATCH(BD21,T_Equipos[NombreEquipo],0)),$BC$6:$BC$53,INDEX(T_Equipos[Grupo],MATCH(BD21,T_Equipos[NombreEquipo],0)))+1)</f>
        <v>4</v>
      </c>
      <c r="DD21" s="733">
        <f ca="1">DA21+COUNTIFS($DB$6:$DB$53,DB21,$DC$6:DC$53,"&lt;"&amp;DC21,$BC$6:$BC$53,INDEX(T_Equipos[Grupo],MATCH(BD21,T_Equipos[NombreEquipo],0)))</f>
        <v>4</v>
      </c>
      <c r="DE21" s="733"/>
      <c r="DF21" s="733">
        <f t="shared" ca="1" si="52"/>
        <v>4</v>
      </c>
      <c r="DG21" s="733">
        <f ca="1">IF(DB21="-","-",COUNTIFS(DF$6:DF$53,"&lt;"&amp;DF21,$BC$6:$BC$53,INDEX(T_Equipos[Grupo],MATCH(BD21,T_Equipos[NombreEquipo],0))))</f>
        <v>3</v>
      </c>
      <c r="DH21" s="733">
        <f ca="1">DA21+COUNTIFS(DB$6:DB$53,DB21,DG$6:DG$53,"&lt;"&amp;DG21,$BC$6:$BC$53,INDEX(T_Equipos[Grupo],MATCH(BD21,T_Equipos[NombreEquipo],0)))</f>
        <v>4</v>
      </c>
      <c r="DI21" s="721"/>
      <c r="DJ21" s="721">
        <f t="shared" ca="1" si="53"/>
        <v>1</v>
      </c>
      <c r="DK21" s="721">
        <f t="shared" ca="1" si="24"/>
        <v>0</v>
      </c>
      <c r="DL21" s="721">
        <f t="shared" ca="1" si="33"/>
        <v>1</v>
      </c>
      <c r="DM21" s="715" t="str">
        <f t="shared" ca="1" si="34"/>
        <v>1.1</v>
      </c>
      <c r="DN21" s="721" cm="1">
        <f t="array" aca="1" ref="DN21" ca="1">OFFSET(Horarios!$P$3,DJ21-1,0,DL21,1)</f>
        <v>1</v>
      </c>
      <c r="DO21" s="721"/>
      <c r="DP21" s="721" t="s">
        <v>660</v>
      </c>
      <c r="DQ21" s="721" t="str">
        <f t="shared" ca="1" si="35"/>
        <v>Turquía</v>
      </c>
      <c r="DR21" s="721"/>
      <c r="DS21" s="721"/>
      <c r="DT21" s="721" t="str">
        <f t="shared" ca="1" si="15"/>
        <v>Haití-Escocia</v>
      </c>
      <c r="DU21" s="721"/>
      <c r="DV21" s="721"/>
      <c r="DW21" s="8"/>
    </row>
    <row r="22" spans="1:127" ht="15.95" customHeight="1">
      <c r="A22" s="722" t="str">
        <f ca="1">+Equipos!B11</f>
        <v>Marruecos</v>
      </c>
      <c r="B22" s="719"/>
      <c r="C22" s="723"/>
      <c r="D22" s="721" t="str">
        <f t="shared" si="73"/>
        <v>Pendiente</v>
      </c>
      <c r="E22" s="721" t="str">
        <f t="shared" si="74"/>
        <v>-</v>
      </c>
      <c r="F22" s="721" t="str">
        <f t="shared" si="75"/>
        <v>-</v>
      </c>
      <c r="G22" s="721"/>
      <c r="H22" s="721" t="str">
        <f t="shared" si="76"/>
        <v>-</v>
      </c>
      <c r="I22" s="721" t="str">
        <f t="shared" si="77"/>
        <v>-</v>
      </c>
      <c r="J22" s="721"/>
      <c r="K22" s="721" t="str">
        <f t="shared" si="78"/>
        <v>-</v>
      </c>
      <c r="L22" s="721" t="str">
        <f t="shared" si="79"/>
        <v>-</v>
      </c>
      <c r="M22" s="721"/>
      <c r="N22" s="721" t="str">
        <f t="shared" si="80"/>
        <v>-</v>
      </c>
      <c r="O22" s="721" t="str">
        <f t="shared" si="81"/>
        <v>-</v>
      </c>
      <c r="P22" s="721"/>
      <c r="Q22" s="721" t="str">
        <f t="shared" si="82"/>
        <v>-</v>
      </c>
      <c r="R22" s="721" t="str">
        <f t="shared" si="83"/>
        <v>-</v>
      </c>
      <c r="S22" s="721"/>
      <c r="T22" s="721" t="str">
        <f t="shared" si="84"/>
        <v>-</v>
      </c>
      <c r="U22" s="721" t="str">
        <f t="shared" si="85"/>
        <v>-</v>
      </c>
      <c r="V22" s="162"/>
      <c r="W22" s="825"/>
      <c r="X22" s="179">
        <f ca="1">Horarios!C22</f>
        <v>46193</v>
      </c>
      <c r="Y22" s="180">
        <f ca="1">Horarios!C22</f>
        <v>46193</v>
      </c>
      <c r="Z22" s="181" t="str">
        <f>$Z$6</f>
        <v>J2</v>
      </c>
      <c r="AA22" s="182" t="str">
        <f ca="1">A24</f>
        <v>Escocia</v>
      </c>
      <c r="AB22" s="457" t="str" cm="1">
        <f t="array" aca="1" ref="AB22" ca="1">Ver_flag_local</f>
        <v/>
      </c>
      <c r="AC22" s="183"/>
      <c r="AD22" s="184"/>
      <c r="AE22" s="462" t="str" cm="1">
        <f t="array" aca="1" ref="AE22" ca="1">Ver_flag_visit</f>
        <v/>
      </c>
      <c r="AF22" s="185" t="str">
        <f ca="1">A22</f>
        <v>Marruecos</v>
      </c>
      <c r="AG22" s="396">
        <f t="shared" si="86"/>
        <v>0</v>
      </c>
      <c r="AH22" s="186">
        <v>30</v>
      </c>
      <c r="AI22" s="15" t="str">
        <f>AJ22&amp;$B$20</f>
        <v>1C</v>
      </c>
      <c r="AJ22" s="201">
        <v>1</v>
      </c>
      <c r="AK22" s="467" t="str" cm="1">
        <f t="array" aca="1" ref="AK22" ca="1">Ver_flag_visit</f>
        <v/>
      </c>
      <c r="AL22" s="202" t="str">
        <f ca="1">IFERROR(INDEX($BD$6:$BD$53,MATCH(AI22,$BN$6:$BN$53,0)),"")</f>
        <v>Brasil</v>
      </c>
      <c r="AM22" s="203">
        <f t="shared" ref="AM22:AT25" ca="1" si="90">INDEX($BE$6:$BN$53,MATCH($AL22,$BD$6:$BD$53,0),MATCH(AM$5,$BE$5:$BN$5,0))</f>
        <v>0</v>
      </c>
      <c r="AN22" s="204">
        <f t="shared" ca="1" si="90"/>
        <v>0</v>
      </c>
      <c r="AO22" s="204">
        <f t="shared" ca="1" si="90"/>
        <v>0</v>
      </c>
      <c r="AP22" s="204">
        <f t="shared" ca="1" si="90"/>
        <v>0</v>
      </c>
      <c r="AQ22" s="204">
        <f t="shared" ca="1" si="90"/>
        <v>0</v>
      </c>
      <c r="AR22" s="204">
        <f t="shared" ca="1" si="90"/>
        <v>0</v>
      </c>
      <c r="AS22" s="204">
        <f t="shared" ca="1" si="90"/>
        <v>0</v>
      </c>
      <c r="AT22" s="205">
        <f t="shared" ca="1" si="90"/>
        <v>0</v>
      </c>
      <c r="AU22" s="403">
        <f ca="1">INDEX($DL$6:$DL$53,MATCH(AI22,$DP$6:$DP$53,0))</f>
        <v>1</v>
      </c>
      <c r="AV22" s="207" t="str">
        <f ca="1">INDEX($BD$6:$BD$53,MATCH(AI22,$BM$6:$BM$53,0))</f>
        <v>Brasil</v>
      </c>
      <c r="AW22" s="410"/>
      <c r="AX22" s="208"/>
      <c r="AY22" s="209" t="str">
        <f ca="1">+A21</f>
        <v>Brasil</v>
      </c>
      <c r="AZ22" s="210"/>
      <c r="BA22" s="165"/>
      <c r="BB22" s="721"/>
      <c r="BC22" s="733" t="str">
        <f ca="1">+INDEX(T_Equipos[Grupo],MATCH(WORLDCUP!BD22,T_Equipos[NombreEquipo],0))</f>
        <v>E</v>
      </c>
      <c r="BD22" s="721" t="str">
        <f ca="1">+Equipos!B18</f>
        <v>Alemania</v>
      </c>
      <c r="BE22" s="725">
        <f t="shared" ca="1" si="25"/>
        <v>0</v>
      </c>
      <c r="BF22" s="725">
        <f t="shared" ca="1" si="26"/>
        <v>0</v>
      </c>
      <c r="BG22" s="725">
        <f t="shared" ca="1" si="17"/>
        <v>0</v>
      </c>
      <c r="BH22" s="725">
        <f t="shared" ca="1" si="18"/>
        <v>0</v>
      </c>
      <c r="BI22" s="725">
        <f t="shared" ca="1" si="19"/>
        <v>0</v>
      </c>
      <c r="BJ22" s="725">
        <f t="shared" ca="1" si="20"/>
        <v>0</v>
      </c>
      <c r="BK22" s="725">
        <f t="shared" ca="1" si="21"/>
        <v>0</v>
      </c>
      <c r="BL22" s="725">
        <f t="shared" ca="1" si="27"/>
        <v>0</v>
      </c>
      <c r="BM22" s="725" t="str">
        <f t="shared" ca="1" si="22"/>
        <v>1E</v>
      </c>
      <c r="BN22" s="725" t="str">
        <f t="shared" ca="1" si="23"/>
        <v>1E</v>
      </c>
      <c r="BO22" s="734">
        <f t="shared" ca="1" si="28"/>
        <v>0</v>
      </c>
      <c r="BP22" s="734">
        <f ca="1">COUNTIFS($BO$6:$BO$53,"&gt;"&amp;BO22,$BC$6:$BC$53,INDEX(T_Equipos[Grupo],MATCH(BD22,T_Equipos[NombreEquipo],0)))+1</f>
        <v>1</v>
      </c>
      <c r="BQ22" s="734" t="str">
        <f ca="1">IF(COUNTIFS($BP$6:$BP$53,BP22,$BC$6:$BC$53,INDEX(T_Equipos[Grupo],MATCH(BD22,T_Equipos[NombreEquipo],0)))=1,"-","P."&amp;BP22&amp;" ("&amp;COUNTIFS($BP$6:$BP$53,BP22,$BC$6:$BC$53,INDEX(T_Equipos[Grupo],MATCH(BD22,T_Equipos[NombreEquipo],0)))&amp;")")</f>
        <v>P.1 (4)</v>
      </c>
      <c r="BR22" s="734">
        <f t="shared" ca="1" si="29"/>
        <v>0</v>
      </c>
      <c r="BS22" s="734">
        <f ca="1">BP22+COUNTIFS($BQ$6:$BQ$53,BQ22,$BR$6:BR$53,"&gt;"&amp;BR22,$BC$6:$BC$53,INDEX(T_Equipos[Grupo],MATCH(BD22,T_Equipos[NombreEquipo],0)))</f>
        <v>1</v>
      </c>
      <c r="BT22" s="734" t="str">
        <f ca="1">IF(COUNTIFS($BS$6:$BS$53,BS22,$BC$6:$BC$53,INDEX(T_Equipos[Grupo],MATCH(BD22,T_Equipos[NombreEquipo],0)))=1,"-","P."&amp;BS22&amp;" ("&amp;COUNTIFS($BS$6:$BS$53,BS22,$BC$6:$BC$53,INDEX(T_Equipos[Grupo],MATCH(BD22,T_Equipos[NombreEquipo],0)))&amp;")")</f>
        <v>P.1 (4)</v>
      </c>
      <c r="BU22" s="735">
        <f t="shared" ca="1" si="36"/>
        <v>0</v>
      </c>
      <c r="BV22" s="735">
        <f t="shared" ca="1" si="37"/>
        <v>0</v>
      </c>
      <c r="BW22" s="735">
        <f t="shared" ca="1" si="38"/>
        <v>0</v>
      </c>
      <c r="BX22" s="735">
        <f t="shared" ca="1" si="39"/>
        <v>0</v>
      </c>
      <c r="BY22" s="735">
        <f ca="1">BS22+COUNTIFS($BT$6:$BT$53,BT22,$BX$6:BX$53,"&gt;"&amp;BX22,$BC$6:$BC$53,INDEX(T_Equipos[Grupo],MATCH(BD22,T_Equipos[NombreEquipo],0)))</f>
        <v>1</v>
      </c>
      <c r="BZ22" s="734" t="str">
        <f ca="1">IF(COUNTIFS($BY$6:$BY$53,BY22,$BC$6:$BC$53,INDEX(T_Equipos[Grupo],MATCH(BD22,T_Equipos[NombreEquipo],0)))=1,"-","P."&amp;BY22&amp;" ("&amp;COUNTIFS($BY$6:$BY$53,BY22,$BC$6:$BC$53,INDEX(T_Equipos[Grupo],MATCH(BD22,T_Equipos[NombreEquipo],0)))&amp;")")</f>
        <v>P.1 (4)</v>
      </c>
      <c r="CA22" s="735">
        <f t="shared" ca="1" si="40"/>
        <v>0</v>
      </c>
      <c r="CB22" s="735">
        <f t="shared" ca="1" si="41"/>
        <v>0</v>
      </c>
      <c r="CC22" s="735">
        <f t="shared" ca="1" si="42"/>
        <v>0</v>
      </c>
      <c r="CD22" s="735">
        <f ca="1">BY22+COUNTIFS($BZ$6:$BZ$53,BZ22,$CC$6:CC$53,"&gt;"&amp;CC22,$BC$6:$BC$53,INDEX(T_Equipos[Grupo],MATCH(BD22,T_Equipos[NombreEquipo],0)))</f>
        <v>1</v>
      </c>
      <c r="CE22" s="734" t="str">
        <f ca="1">IF(COUNTIFS($CD$6:$CD$53,CD22,$BC$6:$BC$53,INDEX(T_Equipos[Grupo],MATCH(BD22,T_Equipos[NombreEquipo],0)))=1,"-","P."&amp;CD22&amp;" ("&amp;COUNTIFS($CD$6:$CD$53,CD22,$BC$6:$BC$53,INDEX(T_Equipos[Grupo],MATCH(BD22,T_Equipos[NombreEquipo],0)))&amp;")")</f>
        <v>P.1 (4)</v>
      </c>
      <c r="CF22" s="735">
        <f t="shared" ca="1" si="43"/>
        <v>0</v>
      </c>
      <c r="CG22" s="735">
        <f ca="1">CD22+COUNTIFS($CE$6:$CE$53,CE22,$CF$6:CF$53,"&gt;"&amp;CF22,$BC$6:$BC$53,INDEX(T_Equipos[Grupo],MATCH(BD22,T_Equipos[NombreEquipo],0)))</f>
        <v>1</v>
      </c>
      <c r="CH22" s="734" t="str">
        <f ca="1">IF(COUNTIFS($CG$6:$CG$53,CG22,$BC$6:$BC$53,INDEX(T_Equipos[Grupo],MATCH(BD22,T_Equipos[NombreEquipo],0)))=1,"-","P."&amp;CG22&amp;" ("&amp;COUNTIFS($CG$6:$CG$53,CG22,$BC$6:$BC$53,INDEX(T_Equipos[Grupo],MATCH(BD22,T_Equipos[NombreEquipo],0)))&amp;")")</f>
        <v>P.1 (4)</v>
      </c>
      <c r="CI22" s="735">
        <f t="shared" ca="1" si="44"/>
        <v>0</v>
      </c>
      <c r="CJ22" s="735">
        <f t="shared" ca="1" si="45"/>
        <v>0</v>
      </c>
      <c r="CK22" s="735">
        <f t="shared" ca="1" si="46"/>
        <v>0</v>
      </c>
      <c r="CL22" s="735">
        <f t="shared" ca="1" si="47"/>
        <v>0</v>
      </c>
      <c r="CM22" s="735">
        <f ca="1">CG22+COUNTIFS($CH$6:$CH$53,CH22,$CL$6:CL$53,"&gt;"&amp;CL22,$BC$6:$BC$53,INDEX(T_Equipos[Grupo],MATCH(BD22,T_Equipos[NombreEquipo],0)))</f>
        <v>1</v>
      </c>
      <c r="CN22" s="734" t="str">
        <f ca="1">IF(COUNTIFS($CM$6:$CM$53,CM22,$BC$6:$BC$53,INDEX(T_Equipos[Grupo],MATCH(BD22,T_Equipos[NombreEquipo],0)))=1,"-","P."&amp;CM22&amp;" ("&amp;COUNTIFS($CM$6:$CM$53,CM22,$BC$6:$BC$53,INDEX(T_Equipos[Grupo],MATCH(BD22,T_Equipos[NombreEquipo],0)))&amp;")")</f>
        <v>P.1 (4)</v>
      </c>
      <c r="CO22" s="735">
        <f t="shared" ca="1" si="48"/>
        <v>0</v>
      </c>
      <c r="CP22" s="735">
        <f t="shared" ca="1" si="49"/>
        <v>0</v>
      </c>
      <c r="CQ22" s="735">
        <f t="shared" ca="1" si="50"/>
        <v>0</v>
      </c>
      <c r="CR22" s="735">
        <f ca="1">CM22+COUNTIFS($CN$6:$CN$53,CN22,$CQ$6:CQ$53,"&gt;"&amp;CQ22,$BC$6:$BC$53,INDEX(T_Equipos[Grupo],MATCH(BD22,T_Equipos[NombreEquipo],0)))</f>
        <v>1</v>
      </c>
      <c r="CS22" s="734" t="str">
        <f ca="1">IF(COUNTIFS($CR$6:$CR$53,CR22,$BC$6:$BC$53,INDEX(T_Equipos[Grupo],MATCH(BD22,T_Equipos[NombreEquipo],0)))=1,"-","P."&amp;CR22&amp;" ("&amp;COUNTIFS($CR$6:$CR$53,CR22,$BC$6:$BC$53,INDEX(T_Equipos[Grupo],MATCH(BD22,T_Equipos[NombreEquipo],0)))&amp;")")</f>
        <v>P.1 (4)</v>
      </c>
      <c r="CT22" s="735">
        <f t="shared" ca="1" si="51"/>
        <v>0</v>
      </c>
      <c r="CU22" s="735">
        <f ca="1">CR22+COUNTIFS($CS$6:$CS$53,CS22,$CT$6:CT$53,"&gt;"&amp;CT22,$BC$6:$BC$53,INDEX(T_Equipos[Grupo],MATCH(BD22,T_Equipos[NombreEquipo],0)))</f>
        <v>1</v>
      </c>
      <c r="CV22" s="734" t="str">
        <f ca="1">IF(COUNTIFS($CU$6:$CU$53,CU22,$BC$6:$BC$53,INDEX(T_Equipos[Grupo],MATCH(BD22,T_Equipos[NombreEquipo],0)))=1,"-","P."&amp;CU22&amp;" ("&amp;COUNTIFS($CU$6:$CU$53,CU22,$BC$6:$BC$53,INDEX(T_Equipos[Grupo],MATCH(BD22,T_Equipos[NombreEquipo],0)))&amp;")")</f>
        <v>P.1 (4)</v>
      </c>
      <c r="CW22" s="734">
        <f t="shared" ca="1" si="30"/>
        <v>0</v>
      </c>
      <c r="CX22" s="734">
        <f ca="1">CU22+COUNTIFS($CV$6:$CV$53,CV22,$CW$6:CW$53,"&gt;"&amp;CW22,$BC$6:$BC$53,INDEX(T_Equipos[Grupo],MATCH(BD22,T_Equipos[NombreEquipo],0)))</f>
        <v>1</v>
      </c>
      <c r="CY22" s="734" t="str">
        <f ca="1">IF(COUNTIFS($CX$6:$CX$53,CX22,$BC$6:$BC$53,INDEX(T_Equipos[Grupo],MATCH(BD22,T_Equipos[NombreEquipo],0)))=1,"-","P."&amp;CX22&amp;" ("&amp;COUNTIFS($CX$6:$CX$53,CX22,$BC$6:$BC$53,INDEX(T_Equipos[Grupo],MATCH(BD22,T_Equipos[NombreEquipo],0)))&amp;")")</f>
        <v>P.1 (4)</v>
      </c>
      <c r="CZ22" s="734">
        <f t="shared" ca="1" si="31"/>
        <v>0</v>
      </c>
      <c r="DA22" s="735">
        <f ca="1">CX22+COUNTIFS($CY$6:$CY$53,CY22,$CZ$6:CZ$53,"&gt;"&amp;CZ22,$BC$6:$BC$53,INDEX(T_Equipos[Grupo],MATCH(BD22,T_Equipos[NombreEquipo],0)))</f>
        <v>1</v>
      </c>
      <c r="DB22" s="734" t="str">
        <f ca="1">IF(COUNTIFS($DA$6:$DA$53,DA22,$BC$6:$BC$53,INDEX(T_Equipos[Grupo],MATCH(BD22,T_Equipos[NombreEquipo],0)))=1,"-","P."&amp;DA22&amp;" ("&amp;COUNTIFS($DA$6:$DA$53,DA22,$BC$6:$BC$53,INDEX(T_Equipos[Grupo],MATCH(BD22,T_Equipos[NombreEquipo],0)))&amp;")")</f>
        <v>P.1 (4)</v>
      </c>
      <c r="DC22" s="733">
        <f ca="1">IF(DB22="-","-",COUNTIFS(T_Equipos[Rank],"&lt;"&amp;INDEX(T_Equipos[Rank],MATCH(BD22,T_Equipos[NombreEquipo],0)),$BC$6:$BC$53,INDEX(T_Equipos[Grupo],MATCH(BD22,T_Equipos[NombreEquipo],0)))+1)</f>
        <v>1</v>
      </c>
      <c r="DD22" s="733">
        <f ca="1">DA22+COUNTIFS($DB$6:$DB$53,DB22,$DC$6:DC$53,"&lt;"&amp;DC22,$BC$6:$BC$53,INDEX(T_Equipos[Grupo],MATCH(BD22,T_Equipos[NombreEquipo],0)))</f>
        <v>1</v>
      </c>
      <c r="DE22" s="733"/>
      <c r="DF22" s="733">
        <f t="shared" ca="1" si="52"/>
        <v>1</v>
      </c>
      <c r="DG22" s="733">
        <f ca="1">IF(DB22="-","-",COUNTIFS(DF$6:DF$53,"&lt;"&amp;DF22,$BC$6:$BC$53,INDEX(T_Equipos[Grupo],MATCH(BD22,T_Equipos[NombreEquipo],0))))</f>
        <v>0</v>
      </c>
      <c r="DH22" s="733">
        <f ca="1">DA22+COUNTIFS(DB$6:DB$53,DB22,DG$6:DG$53,"&lt;"&amp;DG22,$BC$6:$BC$53,INDEX(T_Equipos[Grupo],MATCH(BD22,T_Equipos[NombreEquipo],0)))</f>
        <v>1</v>
      </c>
      <c r="DI22" s="721"/>
      <c r="DJ22" s="721">
        <f t="shared" ca="1" si="53"/>
        <v>1</v>
      </c>
      <c r="DK22" s="721">
        <f t="shared" ca="1" si="24"/>
        <v>0</v>
      </c>
      <c r="DL22" s="721">
        <f t="shared" ca="1" si="33"/>
        <v>1</v>
      </c>
      <c r="DM22" s="715" t="str">
        <f t="shared" ca="1" si="34"/>
        <v>1.1</v>
      </c>
      <c r="DN22" s="721" cm="1">
        <f t="array" aca="1" ref="DN22" ca="1">OFFSET(Horarios!$P$3,DJ22-1,0,DL22,1)</f>
        <v>1</v>
      </c>
      <c r="DO22" s="721"/>
      <c r="DP22" s="721" t="s">
        <v>661</v>
      </c>
      <c r="DQ22" s="721" t="str">
        <f t="shared" ca="1" si="35"/>
        <v>Alemania</v>
      </c>
      <c r="DR22" s="721"/>
      <c r="DS22" s="721"/>
      <c r="DT22" s="721" t="str">
        <f t="shared" ca="1" si="15"/>
        <v>Escocia-Marruecos</v>
      </c>
      <c r="DU22" s="721"/>
      <c r="DV22" s="721"/>
      <c r="DW22" s="8"/>
    </row>
    <row r="23" spans="1:127" ht="15.95" customHeight="1">
      <c r="A23" s="722" t="str">
        <f ca="1">+Equipos!B12</f>
        <v>Haití</v>
      </c>
      <c r="B23" s="719"/>
      <c r="C23" s="721"/>
      <c r="D23" s="721" t="str">
        <f t="shared" si="73"/>
        <v>Pendiente</v>
      </c>
      <c r="E23" s="721" t="str">
        <f t="shared" si="74"/>
        <v>-</v>
      </c>
      <c r="F23" s="721" t="str">
        <f t="shared" si="75"/>
        <v>-</v>
      </c>
      <c r="G23" s="721"/>
      <c r="H23" s="721" t="str">
        <f t="shared" si="76"/>
        <v>-</v>
      </c>
      <c r="I23" s="721" t="str">
        <f t="shared" si="77"/>
        <v>-</v>
      </c>
      <c r="J23" s="721"/>
      <c r="K23" s="721" t="str">
        <f t="shared" si="78"/>
        <v>-</v>
      </c>
      <c r="L23" s="721" t="str">
        <f t="shared" si="79"/>
        <v>-</v>
      </c>
      <c r="M23" s="721"/>
      <c r="N23" s="721" t="str">
        <f t="shared" si="80"/>
        <v>-</v>
      </c>
      <c r="O23" s="721" t="str">
        <f t="shared" si="81"/>
        <v>-</v>
      </c>
      <c r="P23" s="721"/>
      <c r="Q23" s="721" t="str">
        <f t="shared" si="82"/>
        <v>-</v>
      </c>
      <c r="R23" s="721" t="str">
        <f t="shared" si="83"/>
        <v>-</v>
      </c>
      <c r="S23" s="721"/>
      <c r="T23" s="721" t="str">
        <f t="shared" si="84"/>
        <v>-</v>
      </c>
      <c r="U23" s="721" t="str">
        <f t="shared" si="85"/>
        <v>-</v>
      </c>
      <c r="V23" s="162"/>
      <c r="W23" s="825"/>
      <c r="X23" s="179">
        <f ca="1">Horarios!C23</f>
        <v>46193.104166666664</v>
      </c>
      <c r="Y23" s="180">
        <f ca="1">Horarios!C23</f>
        <v>46193.104166666664</v>
      </c>
      <c r="Z23" s="181" t="str">
        <f>$Z$6</f>
        <v>J2</v>
      </c>
      <c r="AA23" s="182" t="str">
        <f ca="1">A21</f>
        <v>Brasil</v>
      </c>
      <c r="AB23" s="457" t="str" cm="1">
        <f t="array" aca="1" ref="AB23" ca="1">Ver_flag_local</f>
        <v/>
      </c>
      <c r="AC23" s="183"/>
      <c r="AD23" s="184"/>
      <c r="AE23" s="462" t="str" cm="1">
        <f t="array" aca="1" ref="AE23" ca="1">Ver_flag_visit</f>
        <v/>
      </c>
      <c r="AF23" s="185" t="str">
        <f ca="1">A23</f>
        <v>Haití</v>
      </c>
      <c r="AG23" s="396">
        <f t="shared" si="86"/>
        <v>0</v>
      </c>
      <c r="AH23" s="186">
        <v>29</v>
      </c>
      <c r="AI23" s="15" t="str">
        <f t="shared" ref="AI23:AI25" si="91">AJ23&amp;$B$20</f>
        <v>2C</v>
      </c>
      <c r="AJ23" s="211">
        <v>2</v>
      </c>
      <c r="AK23" s="465" t="str" cm="1">
        <f t="array" aca="1" ref="AK23" ca="1">Ver_flag_visit</f>
        <v/>
      </c>
      <c r="AL23" s="212" t="str">
        <f ca="1">IFERROR(INDEX($BD$6:$BD$53,MATCH(AI23,$BN$6:$BN$53,0)),"")</f>
        <v>Marruecos</v>
      </c>
      <c r="AM23" s="213">
        <f t="shared" ca="1" si="90"/>
        <v>0</v>
      </c>
      <c r="AN23" s="214">
        <f t="shared" ca="1" si="90"/>
        <v>0</v>
      </c>
      <c r="AO23" s="214">
        <f t="shared" ca="1" si="90"/>
        <v>0</v>
      </c>
      <c r="AP23" s="214">
        <f t="shared" ca="1" si="90"/>
        <v>0</v>
      </c>
      <c r="AQ23" s="214">
        <f t="shared" ca="1" si="90"/>
        <v>0</v>
      </c>
      <c r="AR23" s="214">
        <f t="shared" ca="1" si="90"/>
        <v>0</v>
      </c>
      <c r="AS23" s="214">
        <f t="shared" ca="1" si="90"/>
        <v>0</v>
      </c>
      <c r="AT23" s="215">
        <f t="shared" ca="1" si="90"/>
        <v>0</v>
      </c>
      <c r="AU23" s="403">
        <f ca="1">INDEX($DL$6:$DL$53,MATCH(AI23,$DP$6:$DP$53,0))</f>
        <v>1</v>
      </c>
      <c r="AV23" s="207" t="str">
        <f ca="1">INDEX($BD$6:$BD$53,MATCH(AI23,$BM$6:$BM$53,0))</f>
        <v>Marruecos</v>
      </c>
      <c r="AW23" s="410"/>
      <c r="AX23" s="208"/>
      <c r="AY23" s="216" t="str">
        <f ca="1">+A22</f>
        <v>Marruecos</v>
      </c>
      <c r="AZ23" s="217"/>
      <c r="BA23" s="165"/>
      <c r="BB23" s="721"/>
      <c r="BC23" s="733" t="str">
        <f ca="1">+INDEX(T_Equipos[Grupo],MATCH(WORLDCUP!BD23,T_Equipos[NombreEquipo],0))</f>
        <v>E</v>
      </c>
      <c r="BD23" s="721" t="str">
        <f ca="1">+Equipos!B19</f>
        <v>Curazao</v>
      </c>
      <c r="BE23" s="725">
        <f t="shared" ca="1" si="25"/>
        <v>0</v>
      </c>
      <c r="BF23" s="725">
        <f t="shared" ca="1" si="26"/>
        <v>0</v>
      </c>
      <c r="BG23" s="725">
        <f t="shared" ca="1" si="17"/>
        <v>0</v>
      </c>
      <c r="BH23" s="725">
        <f t="shared" ca="1" si="18"/>
        <v>0</v>
      </c>
      <c r="BI23" s="725">
        <f t="shared" ca="1" si="19"/>
        <v>0</v>
      </c>
      <c r="BJ23" s="725">
        <f t="shared" ca="1" si="20"/>
        <v>0</v>
      </c>
      <c r="BK23" s="725">
        <f t="shared" ca="1" si="21"/>
        <v>0</v>
      </c>
      <c r="BL23" s="725">
        <f t="shared" ca="1" si="27"/>
        <v>0</v>
      </c>
      <c r="BM23" s="725" t="str">
        <f t="shared" ca="1" si="22"/>
        <v>2E</v>
      </c>
      <c r="BN23" s="725" t="str">
        <f t="shared" ca="1" si="23"/>
        <v>2E</v>
      </c>
      <c r="BO23" s="734">
        <f t="shared" ca="1" si="28"/>
        <v>0</v>
      </c>
      <c r="BP23" s="734">
        <f ca="1">COUNTIFS($BO$6:$BO$53,"&gt;"&amp;BO23,$BC$6:$BC$53,INDEX(T_Equipos[Grupo],MATCH(BD23,T_Equipos[NombreEquipo],0)))+1</f>
        <v>1</v>
      </c>
      <c r="BQ23" s="734" t="str">
        <f ca="1">IF(COUNTIFS($BP$6:$BP$53,BP23,$BC$6:$BC$53,INDEX(T_Equipos[Grupo],MATCH(BD23,T_Equipos[NombreEquipo],0)))=1,"-","P."&amp;BP23&amp;" ("&amp;COUNTIFS($BP$6:$BP$53,BP23,$BC$6:$BC$53,INDEX(T_Equipos[Grupo],MATCH(BD23,T_Equipos[NombreEquipo],0)))&amp;")")</f>
        <v>P.1 (4)</v>
      </c>
      <c r="BR23" s="734">
        <f t="shared" ca="1" si="29"/>
        <v>0</v>
      </c>
      <c r="BS23" s="734">
        <f ca="1">BP23+COUNTIFS($BQ$6:$BQ$53,BQ23,$BR$6:BR$53,"&gt;"&amp;BR23,$BC$6:$BC$53,INDEX(T_Equipos[Grupo],MATCH(BD23,T_Equipos[NombreEquipo],0)))</f>
        <v>1</v>
      </c>
      <c r="BT23" s="734" t="str">
        <f ca="1">IF(COUNTIFS($BS$6:$BS$53,BS23,$BC$6:$BC$53,INDEX(T_Equipos[Grupo],MATCH(BD23,T_Equipos[NombreEquipo],0)))=1,"-","P."&amp;BS23&amp;" ("&amp;COUNTIFS($BS$6:$BS$53,BS23,$BC$6:$BC$53,INDEX(T_Equipos[Grupo],MATCH(BD23,T_Equipos[NombreEquipo],0)))&amp;")")</f>
        <v>P.1 (4)</v>
      </c>
      <c r="BU23" s="735">
        <f t="shared" ca="1" si="36"/>
        <v>0</v>
      </c>
      <c r="BV23" s="735">
        <f t="shared" ca="1" si="37"/>
        <v>0</v>
      </c>
      <c r="BW23" s="735">
        <f t="shared" ca="1" si="38"/>
        <v>0</v>
      </c>
      <c r="BX23" s="735">
        <f t="shared" ca="1" si="39"/>
        <v>0</v>
      </c>
      <c r="BY23" s="735">
        <f ca="1">BS23+COUNTIFS($BT$6:$BT$53,BT23,$BX$6:BX$53,"&gt;"&amp;BX23,$BC$6:$BC$53,INDEX(T_Equipos[Grupo],MATCH(BD23,T_Equipos[NombreEquipo],0)))</f>
        <v>1</v>
      </c>
      <c r="BZ23" s="734" t="str">
        <f ca="1">IF(COUNTIFS($BY$6:$BY$53,BY23,$BC$6:$BC$53,INDEX(T_Equipos[Grupo],MATCH(BD23,T_Equipos[NombreEquipo],0)))=1,"-","P."&amp;BY23&amp;" ("&amp;COUNTIFS($BY$6:$BY$53,BY23,$BC$6:$BC$53,INDEX(T_Equipos[Grupo],MATCH(BD23,T_Equipos[NombreEquipo],0)))&amp;")")</f>
        <v>P.1 (4)</v>
      </c>
      <c r="CA23" s="735">
        <f t="shared" ca="1" si="40"/>
        <v>0</v>
      </c>
      <c r="CB23" s="735">
        <f t="shared" ca="1" si="41"/>
        <v>0</v>
      </c>
      <c r="CC23" s="735">
        <f t="shared" ca="1" si="42"/>
        <v>0</v>
      </c>
      <c r="CD23" s="735">
        <f ca="1">BY23+COUNTIFS($BZ$6:$BZ$53,BZ23,$CC$6:CC$53,"&gt;"&amp;CC23,$BC$6:$BC$53,INDEX(T_Equipos[Grupo],MATCH(BD23,T_Equipos[NombreEquipo],0)))</f>
        <v>1</v>
      </c>
      <c r="CE23" s="734" t="str">
        <f ca="1">IF(COUNTIFS($CD$6:$CD$53,CD23,$BC$6:$BC$53,INDEX(T_Equipos[Grupo],MATCH(BD23,T_Equipos[NombreEquipo],0)))=1,"-","P."&amp;CD23&amp;" ("&amp;COUNTIFS($CD$6:$CD$53,CD23,$BC$6:$BC$53,INDEX(T_Equipos[Grupo],MATCH(BD23,T_Equipos[NombreEquipo],0)))&amp;")")</f>
        <v>P.1 (4)</v>
      </c>
      <c r="CF23" s="735">
        <f t="shared" ca="1" si="43"/>
        <v>0</v>
      </c>
      <c r="CG23" s="735">
        <f ca="1">CD23+COUNTIFS($CE$6:$CE$53,CE23,$CF$6:CF$53,"&gt;"&amp;CF23,$BC$6:$BC$53,INDEX(T_Equipos[Grupo],MATCH(BD23,T_Equipos[NombreEquipo],0)))</f>
        <v>1</v>
      </c>
      <c r="CH23" s="734" t="str">
        <f ca="1">IF(COUNTIFS($CG$6:$CG$53,CG23,$BC$6:$BC$53,INDEX(T_Equipos[Grupo],MATCH(BD23,T_Equipos[NombreEquipo],0)))=1,"-","P."&amp;CG23&amp;" ("&amp;COUNTIFS($CG$6:$CG$53,CG23,$BC$6:$BC$53,INDEX(T_Equipos[Grupo],MATCH(BD23,T_Equipos[NombreEquipo],0)))&amp;")")</f>
        <v>P.1 (4)</v>
      </c>
      <c r="CI23" s="735">
        <f t="shared" ca="1" si="44"/>
        <v>0</v>
      </c>
      <c r="CJ23" s="735">
        <f t="shared" ca="1" si="45"/>
        <v>0</v>
      </c>
      <c r="CK23" s="735">
        <f t="shared" ca="1" si="46"/>
        <v>0</v>
      </c>
      <c r="CL23" s="735">
        <f t="shared" ca="1" si="47"/>
        <v>0</v>
      </c>
      <c r="CM23" s="735">
        <f ca="1">CG23+COUNTIFS($CH$6:$CH$53,CH23,$CL$6:CL$53,"&gt;"&amp;CL23,$BC$6:$BC$53,INDEX(T_Equipos[Grupo],MATCH(BD23,T_Equipos[NombreEquipo],0)))</f>
        <v>1</v>
      </c>
      <c r="CN23" s="734" t="str">
        <f ca="1">IF(COUNTIFS($CM$6:$CM$53,CM23,$BC$6:$BC$53,INDEX(T_Equipos[Grupo],MATCH(BD23,T_Equipos[NombreEquipo],0)))=1,"-","P."&amp;CM23&amp;" ("&amp;COUNTIFS($CM$6:$CM$53,CM23,$BC$6:$BC$53,INDEX(T_Equipos[Grupo],MATCH(BD23,T_Equipos[NombreEquipo],0)))&amp;")")</f>
        <v>P.1 (4)</v>
      </c>
      <c r="CO23" s="735">
        <f t="shared" ca="1" si="48"/>
        <v>0</v>
      </c>
      <c r="CP23" s="735">
        <f t="shared" ca="1" si="49"/>
        <v>0</v>
      </c>
      <c r="CQ23" s="735">
        <f t="shared" ca="1" si="50"/>
        <v>0</v>
      </c>
      <c r="CR23" s="735">
        <f ca="1">CM23+COUNTIFS($CN$6:$CN$53,CN23,$CQ$6:CQ$53,"&gt;"&amp;CQ23,$BC$6:$BC$53,INDEX(T_Equipos[Grupo],MATCH(BD23,T_Equipos[NombreEquipo],0)))</f>
        <v>1</v>
      </c>
      <c r="CS23" s="734" t="str">
        <f ca="1">IF(COUNTIFS($CR$6:$CR$53,CR23,$BC$6:$BC$53,INDEX(T_Equipos[Grupo],MATCH(BD23,T_Equipos[NombreEquipo],0)))=1,"-","P."&amp;CR23&amp;" ("&amp;COUNTIFS($CR$6:$CR$53,CR23,$BC$6:$BC$53,INDEX(T_Equipos[Grupo],MATCH(BD23,T_Equipos[NombreEquipo],0)))&amp;")")</f>
        <v>P.1 (4)</v>
      </c>
      <c r="CT23" s="735">
        <f t="shared" ca="1" si="51"/>
        <v>0</v>
      </c>
      <c r="CU23" s="735">
        <f ca="1">CR23+COUNTIFS($CS$6:$CS$53,CS23,$CT$6:CT$53,"&gt;"&amp;CT23,$BC$6:$BC$53,INDEX(T_Equipos[Grupo],MATCH(BD23,T_Equipos[NombreEquipo],0)))</f>
        <v>1</v>
      </c>
      <c r="CV23" s="734" t="str">
        <f ca="1">IF(COUNTIFS($CU$6:$CU$53,CU23,$BC$6:$BC$53,INDEX(T_Equipos[Grupo],MATCH(BD23,T_Equipos[NombreEquipo],0)))=1,"-","P."&amp;CU23&amp;" ("&amp;COUNTIFS($CU$6:$CU$53,CU23,$BC$6:$BC$53,INDEX(T_Equipos[Grupo],MATCH(BD23,T_Equipos[NombreEquipo],0)))&amp;")")</f>
        <v>P.1 (4)</v>
      </c>
      <c r="CW23" s="734">
        <f t="shared" ca="1" si="30"/>
        <v>0</v>
      </c>
      <c r="CX23" s="734">
        <f ca="1">CU23+COUNTIFS($CV$6:$CV$53,CV23,$CW$6:CW$53,"&gt;"&amp;CW23,$BC$6:$BC$53,INDEX(T_Equipos[Grupo],MATCH(BD23,T_Equipos[NombreEquipo],0)))</f>
        <v>1</v>
      </c>
      <c r="CY23" s="734" t="str">
        <f ca="1">IF(COUNTIFS($CX$6:$CX$53,CX23,$BC$6:$BC$53,INDEX(T_Equipos[Grupo],MATCH(BD23,T_Equipos[NombreEquipo],0)))=1,"-","P."&amp;CX23&amp;" ("&amp;COUNTIFS($CX$6:$CX$53,CX23,$BC$6:$BC$53,INDEX(T_Equipos[Grupo],MATCH(BD23,T_Equipos[NombreEquipo],0)))&amp;")")</f>
        <v>P.1 (4)</v>
      </c>
      <c r="CZ23" s="734">
        <f t="shared" ca="1" si="31"/>
        <v>0</v>
      </c>
      <c r="DA23" s="735">
        <f ca="1">CX23+COUNTIFS($CY$6:$CY$53,CY23,$CZ$6:CZ$53,"&gt;"&amp;CZ23,$BC$6:$BC$53,INDEX(T_Equipos[Grupo],MATCH(BD23,T_Equipos[NombreEquipo],0)))</f>
        <v>1</v>
      </c>
      <c r="DB23" s="734" t="str">
        <f ca="1">IF(COUNTIFS($DA$6:$DA$53,DA23,$BC$6:$BC$53,INDEX(T_Equipos[Grupo],MATCH(BD23,T_Equipos[NombreEquipo],0)))=1,"-","P."&amp;DA23&amp;" ("&amp;COUNTIFS($DA$6:$DA$53,DA23,$BC$6:$BC$53,INDEX(T_Equipos[Grupo],MATCH(BD23,T_Equipos[NombreEquipo],0)))&amp;")")</f>
        <v>P.1 (4)</v>
      </c>
      <c r="DC23" s="733">
        <f ca="1">IF(DB23="-","-",COUNTIFS(T_Equipos[Rank],"&lt;"&amp;INDEX(T_Equipos[Rank],MATCH(BD23,T_Equipos[NombreEquipo],0)),$BC$6:$BC$53,INDEX(T_Equipos[Grupo],MATCH(BD23,T_Equipos[NombreEquipo],0)))+1)</f>
        <v>2</v>
      </c>
      <c r="DD23" s="733">
        <f ca="1">DA23+COUNTIFS($DB$6:$DB$53,DB23,$DC$6:DC$53,"&lt;"&amp;DC23,$BC$6:$BC$53,INDEX(T_Equipos[Grupo],MATCH(BD23,T_Equipos[NombreEquipo],0)))</f>
        <v>2</v>
      </c>
      <c r="DE23" s="733"/>
      <c r="DF23" s="733">
        <f t="shared" ca="1" si="52"/>
        <v>2.0019999999999998</v>
      </c>
      <c r="DG23" s="733">
        <f ca="1">IF(DB23="-","-",COUNTIFS(DF$6:DF$53,"&lt;"&amp;DF23,$BC$6:$BC$53,INDEX(T_Equipos[Grupo],MATCH(BD23,T_Equipos[NombreEquipo],0))))</f>
        <v>1</v>
      </c>
      <c r="DH23" s="733">
        <f ca="1">DA23+COUNTIFS(DB$6:DB$53,DB23,DG$6:DG$53,"&lt;"&amp;DG23,$BC$6:$BC$53,INDEX(T_Equipos[Grupo],MATCH(BD23,T_Equipos[NombreEquipo],0)))</f>
        <v>2</v>
      </c>
      <c r="DI23" s="721"/>
      <c r="DJ23" s="721">
        <f t="shared" ca="1" si="53"/>
        <v>1</v>
      </c>
      <c r="DK23" s="721">
        <f t="shared" ca="1" si="24"/>
        <v>0</v>
      </c>
      <c r="DL23" s="721">
        <f t="shared" ca="1" si="33"/>
        <v>1</v>
      </c>
      <c r="DM23" s="715" t="str">
        <f t="shared" ca="1" si="34"/>
        <v>1.1</v>
      </c>
      <c r="DN23" s="721" cm="1">
        <f t="array" aca="1" ref="DN23" ca="1">OFFSET(Horarios!$P$3,DJ23-1,0,DL23,1)</f>
        <v>1</v>
      </c>
      <c r="DO23" s="721"/>
      <c r="DP23" s="721" t="s">
        <v>662</v>
      </c>
      <c r="DQ23" s="721" t="str">
        <f t="shared" ca="1" si="35"/>
        <v>Curazao</v>
      </c>
      <c r="DR23" s="721"/>
      <c r="DS23" s="721"/>
      <c r="DT23" s="721" t="str">
        <f t="shared" ca="1" si="15"/>
        <v>Brasil-Haití</v>
      </c>
      <c r="DU23" s="721"/>
      <c r="DV23" s="721"/>
      <c r="DW23" s="8"/>
    </row>
    <row r="24" spans="1:127" ht="15.95" customHeight="1">
      <c r="A24" s="722" t="str">
        <f ca="1">+Equipos!B13</f>
        <v>Escocia</v>
      </c>
      <c r="B24" s="719"/>
      <c r="C24" s="721"/>
      <c r="D24" s="721" t="str">
        <f t="shared" si="73"/>
        <v>Pendiente</v>
      </c>
      <c r="E24" s="721" t="str">
        <f t="shared" si="74"/>
        <v>-</v>
      </c>
      <c r="F24" s="721" t="str">
        <f t="shared" si="75"/>
        <v>-</v>
      </c>
      <c r="G24" s="721"/>
      <c r="H24" s="721" t="str">
        <f t="shared" si="76"/>
        <v>-</v>
      </c>
      <c r="I24" s="721" t="str">
        <f t="shared" si="77"/>
        <v>-</v>
      </c>
      <c r="J24" s="721"/>
      <c r="K24" s="721" t="str">
        <f t="shared" si="78"/>
        <v>-</v>
      </c>
      <c r="L24" s="721" t="str">
        <f t="shared" si="79"/>
        <v>-</v>
      </c>
      <c r="M24" s="721"/>
      <c r="N24" s="721" t="str">
        <f t="shared" si="80"/>
        <v>-</v>
      </c>
      <c r="O24" s="721" t="str">
        <f t="shared" si="81"/>
        <v>-</v>
      </c>
      <c r="P24" s="721"/>
      <c r="Q24" s="721" t="str">
        <f t="shared" si="82"/>
        <v>-</v>
      </c>
      <c r="R24" s="721" t="str">
        <f t="shared" si="83"/>
        <v>-</v>
      </c>
      <c r="S24" s="721"/>
      <c r="T24" s="721" t="str">
        <f t="shared" si="84"/>
        <v>-</v>
      </c>
      <c r="U24" s="721" t="str">
        <f t="shared" si="85"/>
        <v>-</v>
      </c>
      <c r="V24" s="162"/>
      <c r="W24" s="825"/>
      <c r="X24" s="179">
        <f ca="1">Horarios!C24</f>
        <v>46198</v>
      </c>
      <c r="Y24" s="180">
        <f ca="1">Horarios!C24</f>
        <v>46198</v>
      </c>
      <c r="Z24" s="181" t="str">
        <f>$Z$8</f>
        <v>J3</v>
      </c>
      <c r="AA24" s="182" t="str">
        <f ca="1">A24</f>
        <v>Escocia</v>
      </c>
      <c r="AB24" s="457" t="str" cm="1">
        <f t="array" aca="1" ref="AB24" ca="1">Ver_flag_local</f>
        <v/>
      </c>
      <c r="AC24" s="183"/>
      <c r="AD24" s="184"/>
      <c r="AE24" s="462" t="str" cm="1">
        <f t="array" aca="1" ref="AE24" ca="1">Ver_flag_visit</f>
        <v/>
      </c>
      <c r="AF24" s="185" t="str">
        <f ca="1">A21</f>
        <v>Brasil</v>
      </c>
      <c r="AG24" s="396">
        <f t="shared" si="86"/>
        <v>0</v>
      </c>
      <c r="AH24" s="186">
        <v>49</v>
      </c>
      <c r="AI24" s="15" t="str">
        <f t="shared" si="91"/>
        <v>3C</v>
      </c>
      <c r="AJ24" s="211">
        <v>3</v>
      </c>
      <c r="AK24" s="465" t="str" cm="1">
        <f t="array" aca="1" ref="AK24" ca="1">Ver_flag_visit</f>
        <v/>
      </c>
      <c r="AL24" s="212" t="str">
        <f ca="1">IFERROR(INDEX($BD$6:$BD$53,MATCH(AI24,$BN$6:$BN$53,0)),"")</f>
        <v>Haití</v>
      </c>
      <c r="AM24" s="213">
        <f t="shared" ca="1" si="90"/>
        <v>0</v>
      </c>
      <c r="AN24" s="214">
        <f t="shared" ca="1" si="90"/>
        <v>0</v>
      </c>
      <c r="AO24" s="214">
        <f t="shared" ca="1" si="90"/>
        <v>0</v>
      </c>
      <c r="AP24" s="214">
        <f t="shared" ca="1" si="90"/>
        <v>0</v>
      </c>
      <c r="AQ24" s="214">
        <f t="shared" ca="1" si="90"/>
        <v>0</v>
      </c>
      <c r="AR24" s="214">
        <f t="shared" ca="1" si="90"/>
        <v>0</v>
      </c>
      <c r="AS24" s="214">
        <f t="shared" ca="1" si="90"/>
        <v>0</v>
      </c>
      <c r="AT24" s="215">
        <f t="shared" ca="1" si="90"/>
        <v>0</v>
      </c>
      <c r="AU24" s="403">
        <f ca="1">INDEX($DL$6:$DL$53,MATCH(AI24,$DP$6:$DP$53,0))</f>
        <v>1</v>
      </c>
      <c r="AV24" s="207" t="str">
        <f ca="1">INDEX($BD$6:$BD$53,MATCH(AI24,$BM$6:$BM$53,0))</f>
        <v>Haití</v>
      </c>
      <c r="AW24" s="410"/>
      <c r="AX24" s="208"/>
      <c r="AY24" s="209" t="str">
        <f ca="1">+A23</f>
        <v>Haití</v>
      </c>
      <c r="AZ24" s="210"/>
      <c r="BA24" s="165"/>
      <c r="BB24" s="721"/>
      <c r="BC24" s="733" t="str">
        <f ca="1">+INDEX(T_Equipos[Grupo],MATCH(WORLDCUP!BD24,T_Equipos[NombreEquipo],0))</f>
        <v>E</v>
      </c>
      <c r="BD24" s="721" t="str">
        <f ca="1">+Equipos!B20</f>
        <v>Costa de Marfil</v>
      </c>
      <c r="BE24" s="725">
        <f t="shared" ca="1" si="25"/>
        <v>0</v>
      </c>
      <c r="BF24" s="725">
        <f t="shared" ca="1" si="26"/>
        <v>0</v>
      </c>
      <c r="BG24" s="725">
        <f t="shared" ca="1" si="17"/>
        <v>0</v>
      </c>
      <c r="BH24" s="725">
        <f t="shared" ca="1" si="18"/>
        <v>0</v>
      </c>
      <c r="BI24" s="725">
        <f t="shared" ca="1" si="19"/>
        <v>0</v>
      </c>
      <c r="BJ24" s="725">
        <f t="shared" ca="1" si="20"/>
        <v>0</v>
      </c>
      <c r="BK24" s="725">
        <f t="shared" ca="1" si="21"/>
        <v>0</v>
      </c>
      <c r="BL24" s="725">
        <f t="shared" ca="1" si="27"/>
        <v>0</v>
      </c>
      <c r="BM24" s="725" t="str">
        <f t="shared" ca="1" si="22"/>
        <v>3E</v>
      </c>
      <c r="BN24" s="725" t="str">
        <f t="shared" ca="1" si="23"/>
        <v>3E</v>
      </c>
      <c r="BO24" s="734">
        <f t="shared" ca="1" si="28"/>
        <v>0</v>
      </c>
      <c r="BP24" s="734">
        <f ca="1">COUNTIFS($BO$6:$BO$53,"&gt;"&amp;BO24,$BC$6:$BC$53,INDEX(T_Equipos[Grupo],MATCH(BD24,T_Equipos[NombreEquipo],0)))+1</f>
        <v>1</v>
      </c>
      <c r="BQ24" s="734" t="str">
        <f ca="1">IF(COUNTIFS($BP$6:$BP$53,BP24,$BC$6:$BC$53,INDEX(T_Equipos[Grupo],MATCH(BD24,T_Equipos[NombreEquipo],0)))=1,"-","P."&amp;BP24&amp;" ("&amp;COUNTIFS($BP$6:$BP$53,BP24,$BC$6:$BC$53,INDEX(T_Equipos[Grupo],MATCH(BD24,T_Equipos[NombreEquipo],0)))&amp;")")</f>
        <v>P.1 (4)</v>
      </c>
      <c r="BR24" s="734">
        <f t="shared" ca="1" si="29"/>
        <v>0</v>
      </c>
      <c r="BS24" s="734">
        <f ca="1">BP24+COUNTIFS($BQ$6:$BQ$53,BQ24,$BR$6:BR$53,"&gt;"&amp;BR24,$BC$6:$BC$53,INDEX(T_Equipos[Grupo],MATCH(BD24,T_Equipos[NombreEquipo],0)))</f>
        <v>1</v>
      </c>
      <c r="BT24" s="734" t="str">
        <f ca="1">IF(COUNTIFS($BS$6:$BS$53,BS24,$BC$6:$BC$53,INDEX(T_Equipos[Grupo],MATCH(BD24,T_Equipos[NombreEquipo],0)))=1,"-","P."&amp;BS24&amp;" ("&amp;COUNTIFS($BS$6:$BS$53,BS24,$BC$6:$BC$53,INDEX(T_Equipos[Grupo],MATCH(BD24,T_Equipos[NombreEquipo],0)))&amp;")")</f>
        <v>P.1 (4)</v>
      </c>
      <c r="BU24" s="735">
        <f t="shared" ca="1" si="36"/>
        <v>0</v>
      </c>
      <c r="BV24" s="735">
        <f t="shared" ca="1" si="37"/>
        <v>0</v>
      </c>
      <c r="BW24" s="735">
        <f t="shared" ca="1" si="38"/>
        <v>0</v>
      </c>
      <c r="BX24" s="735">
        <f t="shared" ca="1" si="39"/>
        <v>0</v>
      </c>
      <c r="BY24" s="735">
        <f ca="1">BS24+COUNTIFS($BT$6:$BT$53,BT24,$BX$6:BX$53,"&gt;"&amp;BX24,$BC$6:$BC$53,INDEX(T_Equipos[Grupo],MATCH(BD24,T_Equipos[NombreEquipo],0)))</f>
        <v>1</v>
      </c>
      <c r="BZ24" s="734" t="str">
        <f ca="1">IF(COUNTIFS($BY$6:$BY$53,BY24,$BC$6:$BC$53,INDEX(T_Equipos[Grupo],MATCH(BD24,T_Equipos[NombreEquipo],0)))=1,"-","P."&amp;BY24&amp;" ("&amp;COUNTIFS($BY$6:$BY$53,BY24,$BC$6:$BC$53,INDEX(T_Equipos[Grupo],MATCH(BD24,T_Equipos[NombreEquipo],0)))&amp;")")</f>
        <v>P.1 (4)</v>
      </c>
      <c r="CA24" s="735">
        <f t="shared" ca="1" si="40"/>
        <v>0</v>
      </c>
      <c r="CB24" s="735">
        <f t="shared" ca="1" si="41"/>
        <v>0</v>
      </c>
      <c r="CC24" s="735">
        <f t="shared" ca="1" si="42"/>
        <v>0</v>
      </c>
      <c r="CD24" s="735">
        <f ca="1">BY24+COUNTIFS($BZ$6:$BZ$53,BZ24,$CC$6:CC$53,"&gt;"&amp;CC24,$BC$6:$BC$53,INDEX(T_Equipos[Grupo],MATCH(BD24,T_Equipos[NombreEquipo],0)))</f>
        <v>1</v>
      </c>
      <c r="CE24" s="734" t="str">
        <f ca="1">IF(COUNTIFS($CD$6:$CD$53,CD24,$BC$6:$BC$53,INDEX(T_Equipos[Grupo],MATCH(BD24,T_Equipos[NombreEquipo],0)))=1,"-","P."&amp;CD24&amp;" ("&amp;COUNTIFS($CD$6:$CD$53,CD24,$BC$6:$BC$53,INDEX(T_Equipos[Grupo],MATCH(BD24,T_Equipos[NombreEquipo],0)))&amp;")")</f>
        <v>P.1 (4)</v>
      </c>
      <c r="CF24" s="735">
        <f t="shared" ca="1" si="43"/>
        <v>0</v>
      </c>
      <c r="CG24" s="735">
        <f ca="1">CD24+COUNTIFS($CE$6:$CE$53,CE24,$CF$6:CF$53,"&gt;"&amp;CF24,$BC$6:$BC$53,INDEX(T_Equipos[Grupo],MATCH(BD24,T_Equipos[NombreEquipo],0)))</f>
        <v>1</v>
      </c>
      <c r="CH24" s="734" t="str">
        <f ca="1">IF(COUNTIFS($CG$6:$CG$53,CG24,$BC$6:$BC$53,INDEX(T_Equipos[Grupo],MATCH(BD24,T_Equipos[NombreEquipo],0)))=1,"-","P."&amp;CG24&amp;" ("&amp;COUNTIFS($CG$6:$CG$53,CG24,$BC$6:$BC$53,INDEX(T_Equipos[Grupo],MATCH(BD24,T_Equipos[NombreEquipo],0)))&amp;")")</f>
        <v>P.1 (4)</v>
      </c>
      <c r="CI24" s="735">
        <f t="shared" ca="1" si="44"/>
        <v>0</v>
      </c>
      <c r="CJ24" s="735">
        <f t="shared" ca="1" si="45"/>
        <v>0</v>
      </c>
      <c r="CK24" s="735">
        <f t="shared" ca="1" si="46"/>
        <v>0</v>
      </c>
      <c r="CL24" s="735">
        <f t="shared" ca="1" si="47"/>
        <v>0</v>
      </c>
      <c r="CM24" s="735">
        <f ca="1">CG24+COUNTIFS($CH$6:$CH$53,CH24,$CL$6:CL$53,"&gt;"&amp;CL24,$BC$6:$BC$53,INDEX(T_Equipos[Grupo],MATCH(BD24,T_Equipos[NombreEquipo],0)))</f>
        <v>1</v>
      </c>
      <c r="CN24" s="734" t="str">
        <f ca="1">IF(COUNTIFS($CM$6:$CM$53,CM24,$BC$6:$BC$53,INDEX(T_Equipos[Grupo],MATCH(BD24,T_Equipos[NombreEquipo],0)))=1,"-","P."&amp;CM24&amp;" ("&amp;COUNTIFS($CM$6:$CM$53,CM24,$BC$6:$BC$53,INDEX(T_Equipos[Grupo],MATCH(BD24,T_Equipos[NombreEquipo],0)))&amp;")")</f>
        <v>P.1 (4)</v>
      </c>
      <c r="CO24" s="735">
        <f t="shared" ca="1" si="48"/>
        <v>0</v>
      </c>
      <c r="CP24" s="735">
        <f t="shared" ca="1" si="49"/>
        <v>0</v>
      </c>
      <c r="CQ24" s="735">
        <f t="shared" ca="1" si="50"/>
        <v>0</v>
      </c>
      <c r="CR24" s="735">
        <f ca="1">CM24+COUNTIFS($CN$6:$CN$53,CN24,$CQ$6:CQ$53,"&gt;"&amp;CQ24,$BC$6:$BC$53,INDEX(T_Equipos[Grupo],MATCH(BD24,T_Equipos[NombreEquipo],0)))</f>
        <v>1</v>
      </c>
      <c r="CS24" s="734" t="str">
        <f ca="1">IF(COUNTIFS($CR$6:$CR$53,CR24,$BC$6:$BC$53,INDEX(T_Equipos[Grupo],MATCH(BD24,T_Equipos[NombreEquipo],0)))=1,"-","P."&amp;CR24&amp;" ("&amp;COUNTIFS($CR$6:$CR$53,CR24,$BC$6:$BC$53,INDEX(T_Equipos[Grupo],MATCH(BD24,T_Equipos[NombreEquipo],0)))&amp;")")</f>
        <v>P.1 (4)</v>
      </c>
      <c r="CT24" s="735">
        <f t="shared" ca="1" si="51"/>
        <v>0</v>
      </c>
      <c r="CU24" s="735">
        <f ca="1">CR24+COUNTIFS($CS$6:$CS$53,CS24,$CT$6:CT$53,"&gt;"&amp;CT24,$BC$6:$BC$53,INDEX(T_Equipos[Grupo],MATCH(BD24,T_Equipos[NombreEquipo],0)))</f>
        <v>1</v>
      </c>
      <c r="CV24" s="734" t="str">
        <f ca="1">IF(COUNTIFS($CU$6:$CU$53,CU24,$BC$6:$BC$53,INDEX(T_Equipos[Grupo],MATCH(BD24,T_Equipos[NombreEquipo],0)))=1,"-","P."&amp;CU24&amp;" ("&amp;COUNTIFS($CU$6:$CU$53,CU24,$BC$6:$BC$53,INDEX(T_Equipos[Grupo],MATCH(BD24,T_Equipos[NombreEquipo],0)))&amp;")")</f>
        <v>P.1 (4)</v>
      </c>
      <c r="CW24" s="734">
        <f t="shared" ca="1" si="30"/>
        <v>0</v>
      </c>
      <c r="CX24" s="734">
        <f ca="1">CU24+COUNTIFS($CV$6:$CV$53,CV24,$CW$6:CW$53,"&gt;"&amp;CW24,$BC$6:$BC$53,INDEX(T_Equipos[Grupo],MATCH(BD24,T_Equipos[NombreEquipo],0)))</f>
        <v>1</v>
      </c>
      <c r="CY24" s="734" t="str">
        <f ca="1">IF(COUNTIFS($CX$6:$CX$53,CX24,$BC$6:$BC$53,INDEX(T_Equipos[Grupo],MATCH(BD24,T_Equipos[NombreEquipo],0)))=1,"-","P."&amp;CX24&amp;" ("&amp;COUNTIFS($CX$6:$CX$53,CX24,$BC$6:$BC$53,INDEX(T_Equipos[Grupo],MATCH(BD24,T_Equipos[NombreEquipo],0)))&amp;")")</f>
        <v>P.1 (4)</v>
      </c>
      <c r="CZ24" s="734">
        <f t="shared" ca="1" si="31"/>
        <v>0</v>
      </c>
      <c r="DA24" s="735">
        <f ca="1">CX24+COUNTIFS($CY$6:$CY$53,CY24,$CZ$6:CZ$53,"&gt;"&amp;CZ24,$BC$6:$BC$53,INDEX(T_Equipos[Grupo],MATCH(BD24,T_Equipos[NombreEquipo],0)))</f>
        <v>1</v>
      </c>
      <c r="DB24" s="734" t="str">
        <f ca="1">IF(COUNTIFS($DA$6:$DA$53,DA24,$BC$6:$BC$53,INDEX(T_Equipos[Grupo],MATCH(BD24,T_Equipos[NombreEquipo],0)))=1,"-","P."&amp;DA24&amp;" ("&amp;COUNTIFS($DA$6:$DA$53,DA24,$BC$6:$BC$53,INDEX(T_Equipos[Grupo],MATCH(BD24,T_Equipos[NombreEquipo],0)))&amp;")")</f>
        <v>P.1 (4)</v>
      </c>
      <c r="DC24" s="733">
        <f ca="1">IF(DB24="-","-",COUNTIFS(T_Equipos[Rank],"&lt;"&amp;INDEX(T_Equipos[Rank],MATCH(BD24,T_Equipos[NombreEquipo],0)),$BC$6:$BC$53,INDEX(T_Equipos[Grupo],MATCH(BD24,T_Equipos[NombreEquipo],0)))+1)</f>
        <v>3</v>
      </c>
      <c r="DD24" s="733">
        <f ca="1">DA24+COUNTIFS($DB$6:$DB$53,DB24,$DC$6:DC$53,"&lt;"&amp;DC24,$BC$6:$BC$53,INDEX(T_Equipos[Grupo],MATCH(BD24,T_Equipos[NombreEquipo],0)))</f>
        <v>3</v>
      </c>
      <c r="DE24" s="733"/>
      <c r="DF24" s="733">
        <f t="shared" ca="1" si="52"/>
        <v>3.0030000000000001</v>
      </c>
      <c r="DG24" s="733">
        <f ca="1">IF(DB24="-","-",COUNTIFS(DF$6:DF$53,"&lt;"&amp;DF24,$BC$6:$BC$53,INDEX(T_Equipos[Grupo],MATCH(BD24,T_Equipos[NombreEquipo],0))))</f>
        <v>2</v>
      </c>
      <c r="DH24" s="733">
        <f ca="1">DA24+COUNTIFS(DB$6:DB$53,DB24,DG$6:DG$53,"&lt;"&amp;DG24,$BC$6:$BC$53,INDEX(T_Equipos[Grupo],MATCH(BD24,T_Equipos[NombreEquipo],0)))</f>
        <v>3</v>
      </c>
      <c r="DI24" s="721"/>
      <c r="DJ24" s="721">
        <f t="shared" ca="1" si="53"/>
        <v>1</v>
      </c>
      <c r="DK24" s="721">
        <f t="shared" ca="1" si="24"/>
        <v>0</v>
      </c>
      <c r="DL24" s="721">
        <f t="shared" ca="1" si="33"/>
        <v>1</v>
      </c>
      <c r="DM24" s="715" t="str">
        <f t="shared" ca="1" si="34"/>
        <v>1.1</v>
      </c>
      <c r="DN24" s="721" cm="1">
        <f t="array" aca="1" ref="DN24" ca="1">OFFSET(Horarios!$P$3,DJ24-1,0,DL24,1)</f>
        <v>1</v>
      </c>
      <c r="DO24" s="721"/>
      <c r="DP24" s="721" t="s">
        <v>93</v>
      </c>
      <c r="DQ24" s="721" t="str">
        <f t="shared" ca="1" si="35"/>
        <v>Costa de Marfil</v>
      </c>
      <c r="DR24" s="721"/>
      <c r="DS24" s="721"/>
      <c r="DT24" s="721" t="str">
        <f t="shared" ca="1" si="15"/>
        <v>Escocia-Brasil</v>
      </c>
      <c r="DU24" s="721"/>
      <c r="DV24" s="721"/>
      <c r="DW24" s="8"/>
    </row>
    <row r="25" spans="1:127" ht="17.100000000000001" customHeight="1" thickBot="1">
      <c r="A25" s="716"/>
      <c r="B25" s="716"/>
      <c r="C25" s="716"/>
      <c r="D25" s="721" t="str">
        <f t="shared" si="73"/>
        <v>Pendiente</v>
      </c>
      <c r="E25" s="721" t="str">
        <f t="shared" si="74"/>
        <v>-</v>
      </c>
      <c r="F25" s="721" t="str">
        <f t="shared" si="75"/>
        <v>-</v>
      </c>
      <c r="G25" s="721"/>
      <c r="H25" s="721" t="str">
        <f t="shared" si="76"/>
        <v>-</v>
      </c>
      <c r="I25" s="721" t="str">
        <f t="shared" si="77"/>
        <v>-</v>
      </c>
      <c r="J25" s="721"/>
      <c r="K25" s="721" t="str">
        <f t="shared" si="78"/>
        <v>-</v>
      </c>
      <c r="L25" s="721" t="str">
        <f t="shared" si="79"/>
        <v>-</v>
      </c>
      <c r="M25" s="721"/>
      <c r="N25" s="721" t="str">
        <f t="shared" si="80"/>
        <v>-</v>
      </c>
      <c r="O25" s="721" t="str">
        <f t="shared" si="81"/>
        <v>-</v>
      </c>
      <c r="P25" s="721"/>
      <c r="Q25" s="721" t="str">
        <f t="shared" si="82"/>
        <v>-</v>
      </c>
      <c r="R25" s="721" t="str">
        <f t="shared" si="83"/>
        <v>-</v>
      </c>
      <c r="S25" s="721"/>
      <c r="T25" s="721" t="str">
        <f t="shared" si="84"/>
        <v>-</v>
      </c>
      <c r="U25" s="721" t="str">
        <f t="shared" si="85"/>
        <v>-</v>
      </c>
      <c r="V25" s="162"/>
      <c r="W25" s="826"/>
      <c r="X25" s="218">
        <f ca="1">Horarios!C25</f>
        <v>46198</v>
      </c>
      <c r="Y25" s="219">
        <f ca="1">Horarios!C25</f>
        <v>46198</v>
      </c>
      <c r="Z25" s="220" t="str">
        <f>$Z$8</f>
        <v>J3</v>
      </c>
      <c r="AA25" s="221" t="str">
        <f ca="1">A22</f>
        <v>Marruecos</v>
      </c>
      <c r="AB25" s="458" t="str" cm="1">
        <f t="array" aca="1" ref="AB25" ca="1">Ver_flag_local</f>
        <v/>
      </c>
      <c r="AC25" s="222"/>
      <c r="AD25" s="223"/>
      <c r="AE25" s="463" t="str" cm="1">
        <f t="array" aca="1" ref="AE25" ca="1">Ver_flag_visit</f>
        <v/>
      </c>
      <c r="AF25" s="224" t="str">
        <f ca="1">A23</f>
        <v>Haití</v>
      </c>
      <c r="AG25" s="396">
        <f t="shared" si="86"/>
        <v>0</v>
      </c>
      <c r="AH25" s="186">
        <v>50</v>
      </c>
      <c r="AI25" s="15" t="str">
        <f t="shared" si="91"/>
        <v>4C</v>
      </c>
      <c r="AJ25" s="225">
        <v>4</v>
      </c>
      <c r="AK25" s="466" t="str" cm="1">
        <f t="array" aca="1" ref="AK25" ca="1">Ver_flag_visit</f>
        <v/>
      </c>
      <c r="AL25" s="226" t="str">
        <f ca="1">IFERROR(INDEX($BD$6:$BD$53,MATCH(AI25,$BN$6:$BN$53,0)),"")</f>
        <v>Escocia</v>
      </c>
      <c r="AM25" s="227">
        <f t="shared" ca="1" si="90"/>
        <v>0</v>
      </c>
      <c r="AN25" s="228">
        <f t="shared" ca="1" si="90"/>
        <v>0</v>
      </c>
      <c r="AO25" s="228">
        <f t="shared" ca="1" si="90"/>
        <v>0</v>
      </c>
      <c r="AP25" s="228">
        <f t="shared" ca="1" si="90"/>
        <v>0</v>
      </c>
      <c r="AQ25" s="228">
        <f t="shared" ca="1" si="90"/>
        <v>0</v>
      </c>
      <c r="AR25" s="228">
        <f t="shared" ca="1" si="90"/>
        <v>0</v>
      </c>
      <c r="AS25" s="228">
        <f t="shared" ca="1" si="90"/>
        <v>0</v>
      </c>
      <c r="AT25" s="229">
        <f t="shared" ca="1" si="90"/>
        <v>0</v>
      </c>
      <c r="AU25" s="403">
        <f ca="1">INDEX($DL$6:$DL$53,MATCH(AI25,$DP$6:$DP$53,0))</f>
        <v>1</v>
      </c>
      <c r="AV25" s="207" t="str">
        <f ca="1">INDEX($BD$6:$BD$53,MATCH(AI25,$BM$6:$BM$53,0))</f>
        <v>Escocia</v>
      </c>
      <c r="AW25" s="410"/>
      <c r="AX25" s="208"/>
      <c r="AY25" s="230" t="str">
        <f ca="1">+A24</f>
        <v>Escocia</v>
      </c>
      <c r="AZ25" s="231"/>
      <c r="BA25" s="165"/>
      <c r="BB25" s="721"/>
      <c r="BC25" s="733" t="str">
        <f ca="1">+INDEX(T_Equipos[Grupo],MATCH(WORLDCUP!BD25,T_Equipos[NombreEquipo],0))</f>
        <v>E</v>
      </c>
      <c r="BD25" s="721" t="str">
        <f ca="1">+Equipos!B21</f>
        <v>Ecuador</v>
      </c>
      <c r="BE25" s="725">
        <f t="shared" ca="1" si="25"/>
        <v>0</v>
      </c>
      <c r="BF25" s="725">
        <f t="shared" ca="1" si="26"/>
        <v>0</v>
      </c>
      <c r="BG25" s="725">
        <f t="shared" ca="1" si="17"/>
        <v>0</v>
      </c>
      <c r="BH25" s="725">
        <f t="shared" ca="1" si="18"/>
        <v>0</v>
      </c>
      <c r="BI25" s="725">
        <f t="shared" ca="1" si="19"/>
        <v>0</v>
      </c>
      <c r="BJ25" s="725">
        <f t="shared" ca="1" si="20"/>
        <v>0</v>
      </c>
      <c r="BK25" s="725">
        <f t="shared" ca="1" si="21"/>
        <v>0</v>
      </c>
      <c r="BL25" s="725">
        <f t="shared" ca="1" si="27"/>
        <v>0</v>
      </c>
      <c r="BM25" s="725" t="str">
        <f t="shared" ca="1" si="22"/>
        <v>4E</v>
      </c>
      <c r="BN25" s="725" t="str">
        <f t="shared" ca="1" si="23"/>
        <v>4E</v>
      </c>
      <c r="BO25" s="734">
        <f t="shared" ca="1" si="28"/>
        <v>0</v>
      </c>
      <c r="BP25" s="734">
        <f ca="1">COUNTIFS($BO$6:$BO$53,"&gt;"&amp;BO25,$BC$6:$BC$53,INDEX(T_Equipos[Grupo],MATCH(BD25,T_Equipos[NombreEquipo],0)))+1</f>
        <v>1</v>
      </c>
      <c r="BQ25" s="734" t="str">
        <f ca="1">IF(COUNTIFS($BP$6:$BP$53,BP25,$BC$6:$BC$53,INDEX(T_Equipos[Grupo],MATCH(BD25,T_Equipos[NombreEquipo],0)))=1,"-","P."&amp;BP25&amp;" ("&amp;COUNTIFS($BP$6:$BP$53,BP25,$BC$6:$BC$53,INDEX(T_Equipos[Grupo],MATCH(BD25,T_Equipos[NombreEquipo],0)))&amp;")")</f>
        <v>P.1 (4)</v>
      </c>
      <c r="BR25" s="734">
        <f t="shared" ca="1" si="29"/>
        <v>0</v>
      </c>
      <c r="BS25" s="734">
        <f ca="1">BP25+COUNTIFS($BQ$6:$BQ$53,BQ25,$BR$6:BR$53,"&gt;"&amp;BR25,$BC$6:$BC$53,INDEX(T_Equipos[Grupo],MATCH(BD25,T_Equipos[NombreEquipo],0)))</f>
        <v>1</v>
      </c>
      <c r="BT25" s="734" t="str">
        <f ca="1">IF(COUNTIFS($BS$6:$BS$53,BS25,$BC$6:$BC$53,INDEX(T_Equipos[Grupo],MATCH(BD25,T_Equipos[NombreEquipo],0)))=1,"-","P."&amp;BS25&amp;" ("&amp;COUNTIFS($BS$6:$BS$53,BS25,$BC$6:$BC$53,INDEX(T_Equipos[Grupo],MATCH(BD25,T_Equipos[NombreEquipo],0)))&amp;")")</f>
        <v>P.1 (4)</v>
      </c>
      <c r="BU25" s="735">
        <f t="shared" ca="1" si="36"/>
        <v>0</v>
      </c>
      <c r="BV25" s="735">
        <f t="shared" ca="1" si="37"/>
        <v>0</v>
      </c>
      <c r="BW25" s="735">
        <f t="shared" ca="1" si="38"/>
        <v>0</v>
      </c>
      <c r="BX25" s="735">
        <f t="shared" ca="1" si="39"/>
        <v>0</v>
      </c>
      <c r="BY25" s="735">
        <f ca="1">BS25+COUNTIFS($BT$6:$BT$53,BT25,$BX$6:BX$53,"&gt;"&amp;BX25,$BC$6:$BC$53,INDEX(T_Equipos[Grupo],MATCH(BD25,T_Equipos[NombreEquipo],0)))</f>
        <v>1</v>
      </c>
      <c r="BZ25" s="734" t="str">
        <f ca="1">IF(COUNTIFS($BY$6:$BY$53,BY25,$BC$6:$BC$53,INDEX(T_Equipos[Grupo],MATCH(BD25,T_Equipos[NombreEquipo],0)))=1,"-","P."&amp;BY25&amp;" ("&amp;COUNTIFS($BY$6:$BY$53,BY25,$BC$6:$BC$53,INDEX(T_Equipos[Grupo],MATCH(BD25,T_Equipos[NombreEquipo],0)))&amp;")")</f>
        <v>P.1 (4)</v>
      </c>
      <c r="CA25" s="735">
        <f t="shared" ca="1" si="40"/>
        <v>0</v>
      </c>
      <c r="CB25" s="735">
        <f t="shared" ca="1" si="41"/>
        <v>0</v>
      </c>
      <c r="CC25" s="735">
        <f t="shared" ca="1" si="42"/>
        <v>0</v>
      </c>
      <c r="CD25" s="735">
        <f ca="1">BY25+COUNTIFS($BZ$6:$BZ$53,BZ25,$CC$6:CC$53,"&gt;"&amp;CC25,$BC$6:$BC$53,INDEX(T_Equipos[Grupo],MATCH(BD25,T_Equipos[NombreEquipo],0)))</f>
        <v>1</v>
      </c>
      <c r="CE25" s="734" t="str">
        <f ca="1">IF(COUNTIFS($CD$6:$CD$53,CD25,$BC$6:$BC$53,INDEX(T_Equipos[Grupo],MATCH(BD25,T_Equipos[NombreEquipo],0)))=1,"-","P."&amp;CD25&amp;" ("&amp;COUNTIFS($CD$6:$CD$53,CD25,$BC$6:$BC$53,INDEX(T_Equipos[Grupo],MATCH(BD25,T_Equipos[NombreEquipo],0)))&amp;")")</f>
        <v>P.1 (4)</v>
      </c>
      <c r="CF25" s="735">
        <f t="shared" ca="1" si="43"/>
        <v>0</v>
      </c>
      <c r="CG25" s="735">
        <f ca="1">CD25+COUNTIFS($CE$6:$CE$53,CE25,$CF$6:CF$53,"&gt;"&amp;CF25,$BC$6:$BC$53,INDEX(T_Equipos[Grupo],MATCH(BD25,T_Equipos[NombreEquipo],0)))</f>
        <v>1</v>
      </c>
      <c r="CH25" s="734" t="str">
        <f ca="1">IF(COUNTIFS($CG$6:$CG$53,CG25,$BC$6:$BC$53,INDEX(T_Equipos[Grupo],MATCH(BD25,T_Equipos[NombreEquipo],0)))=1,"-","P."&amp;CG25&amp;" ("&amp;COUNTIFS($CG$6:$CG$53,CG25,$BC$6:$BC$53,INDEX(T_Equipos[Grupo],MATCH(BD25,T_Equipos[NombreEquipo],0)))&amp;")")</f>
        <v>P.1 (4)</v>
      </c>
      <c r="CI25" s="735">
        <f t="shared" ca="1" si="44"/>
        <v>0</v>
      </c>
      <c r="CJ25" s="735">
        <f t="shared" ca="1" si="45"/>
        <v>0</v>
      </c>
      <c r="CK25" s="735">
        <f t="shared" ca="1" si="46"/>
        <v>0</v>
      </c>
      <c r="CL25" s="735">
        <f t="shared" ca="1" si="47"/>
        <v>0</v>
      </c>
      <c r="CM25" s="735">
        <f ca="1">CG25+COUNTIFS($CH$6:$CH$53,CH25,$CL$6:CL$53,"&gt;"&amp;CL25,$BC$6:$BC$53,INDEX(T_Equipos[Grupo],MATCH(BD25,T_Equipos[NombreEquipo],0)))</f>
        <v>1</v>
      </c>
      <c r="CN25" s="734" t="str">
        <f ca="1">IF(COUNTIFS($CM$6:$CM$53,CM25,$BC$6:$BC$53,INDEX(T_Equipos[Grupo],MATCH(BD25,T_Equipos[NombreEquipo],0)))=1,"-","P."&amp;CM25&amp;" ("&amp;COUNTIFS($CM$6:$CM$53,CM25,$BC$6:$BC$53,INDEX(T_Equipos[Grupo],MATCH(BD25,T_Equipos[NombreEquipo],0)))&amp;")")</f>
        <v>P.1 (4)</v>
      </c>
      <c r="CO25" s="735">
        <f t="shared" ca="1" si="48"/>
        <v>0</v>
      </c>
      <c r="CP25" s="735">
        <f t="shared" ca="1" si="49"/>
        <v>0</v>
      </c>
      <c r="CQ25" s="735">
        <f t="shared" ca="1" si="50"/>
        <v>0</v>
      </c>
      <c r="CR25" s="735">
        <f ca="1">CM25+COUNTIFS($CN$6:$CN$53,CN25,$CQ$6:CQ$53,"&gt;"&amp;CQ25,$BC$6:$BC$53,INDEX(T_Equipos[Grupo],MATCH(BD25,T_Equipos[NombreEquipo],0)))</f>
        <v>1</v>
      </c>
      <c r="CS25" s="734" t="str">
        <f ca="1">IF(COUNTIFS($CR$6:$CR$53,CR25,$BC$6:$BC$53,INDEX(T_Equipos[Grupo],MATCH(BD25,T_Equipos[NombreEquipo],0)))=1,"-","P."&amp;CR25&amp;" ("&amp;COUNTIFS($CR$6:$CR$53,CR25,$BC$6:$BC$53,INDEX(T_Equipos[Grupo],MATCH(BD25,T_Equipos[NombreEquipo],0)))&amp;")")</f>
        <v>P.1 (4)</v>
      </c>
      <c r="CT25" s="735">
        <f t="shared" ca="1" si="51"/>
        <v>0</v>
      </c>
      <c r="CU25" s="735">
        <f ca="1">CR25+COUNTIFS($CS$6:$CS$53,CS25,$CT$6:CT$53,"&gt;"&amp;CT25,$BC$6:$BC$53,INDEX(T_Equipos[Grupo],MATCH(BD25,T_Equipos[NombreEquipo],0)))</f>
        <v>1</v>
      </c>
      <c r="CV25" s="734" t="str">
        <f ca="1">IF(COUNTIFS($CU$6:$CU$53,CU25,$BC$6:$BC$53,INDEX(T_Equipos[Grupo],MATCH(BD25,T_Equipos[NombreEquipo],0)))=1,"-","P."&amp;CU25&amp;" ("&amp;COUNTIFS($CU$6:$CU$53,CU25,$BC$6:$BC$53,INDEX(T_Equipos[Grupo],MATCH(BD25,T_Equipos[NombreEquipo],0)))&amp;")")</f>
        <v>P.1 (4)</v>
      </c>
      <c r="CW25" s="734">
        <f t="shared" ca="1" si="30"/>
        <v>0</v>
      </c>
      <c r="CX25" s="734">
        <f ca="1">CU25+COUNTIFS($CV$6:$CV$53,CV25,$CW$6:CW$53,"&gt;"&amp;CW25,$BC$6:$BC$53,INDEX(T_Equipos[Grupo],MATCH(BD25,T_Equipos[NombreEquipo],0)))</f>
        <v>1</v>
      </c>
      <c r="CY25" s="734" t="str">
        <f ca="1">IF(COUNTIFS($CX$6:$CX$53,CX25,$BC$6:$BC$53,INDEX(T_Equipos[Grupo],MATCH(BD25,T_Equipos[NombreEquipo],0)))=1,"-","P."&amp;CX25&amp;" ("&amp;COUNTIFS($CX$6:$CX$53,CX25,$BC$6:$BC$53,INDEX(T_Equipos[Grupo],MATCH(BD25,T_Equipos[NombreEquipo],0)))&amp;")")</f>
        <v>P.1 (4)</v>
      </c>
      <c r="CZ25" s="734">
        <f t="shared" ca="1" si="31"/>
        <v>0</v>
      </c>
      <c r="DA25" s="735">
        <f ca="1">CX25+COUNTIFS($CY$6:$CY$53,CY25,$CZ$6:CZ$53,"&gt;"&amp;CZ25,$BC$6:$BC$53,INDEX(T_Equipos[Grupo],MATCH(BD25,T_Equipos[NombreEquipo],0)))</f>
        <v>1</v>
      </c>
      <c r="DB25" s="734" t="str">
        <f ca="1">IF(COUNTIFS($DA$6:$DA$53,DA25,$BC$6:$BC$53,INDEX(T_Equipos[Grupo],MATCH(BD25,T_Equipos[NombreEquipo],0)))=1,"-","P."&amp;DA25&amp;" ("&amp;COUNTIFS($DA$6:$DA$53,DA25,$BC$6:$BC$53,INDEX(T_Equipos[Grupo],MATCH(BD25,T_Equipos[NombreEquipo],0)))&amp;")")</f>
        <v>P.1 (4)</v>
      </c>
      <c r="DC25" s="733">
        <f ca="1">IF(DB25="-","-",COUNTIFS(T_Equipos[Rank],"&lt;"&amp;INDEX(T_Equipos[Rank],MATCH(BD25,T_Equipos[NombreEquipo],0)),$BC$6:$BC$53,INDEX(T_Equipos[Grupo],MATCH(BD25,T_Equipos[NombreEquipo],0)))+1)</f>
        <v>4</v>
      </c>
      <c r="DD25" s="733">
        <f ca="1">DA25+COUNTIFS($DB$6:$DB$53,DB25,$DC$6:DC$53,"&lt;"&amp;DC25,$BC$6:$BC$53,INDEX(T_Equipos[Grupo],MATCH(BD25,T_Equipos[NombreEquipo],0)))</f>
        <v>4</v>
      </c>
      <c r="DE25" s="733"/>
      <c r="DF25" s="733">
        <f t="shared" ca="1" si="52"/>
        <v>4</v>
      </c>
      <c r="DG25" s="733">
        <f ca="1">IF(DB25="-","-",COUNTIFS(DF$6:DF$53,"&lt;"&amp;DF25,$BC$6:$BC$53,INDEX(T_Equipos[Grupo],MATCH(BD25,T_Equipos[NombreEquipo],0))))</f>
        <v>3</v>
      </c>
      <c r="DH25" s="733">
        <f ca="1">DA25+COUNTIFS(DB$6:DB$53,DB25,DG$6:DG$53,"&lt;"&amp;DG25,$BC$6:$BC$53,INDEX(T_Equipos[Grupo],MATCH(BD25,T_Equipos[NombreEquipo],0)))</f>
        <v>4</v>
      </c>
      <c r="DI25" s="721"/>
      <c r="DJ25" s="721">
        <f t="shared" ca="1" si="53"/>
        <v>1</v>
      </c>
      <c r="DK25" s="721">
        <f t="shared" ca="1" si="24"/>
        <v>0</v>
      </c>
      <c r="DL25" s="721">
        <f t="shared" ca="1" si="33"/>
        <v>1</v>
      </c>
      <c r="DM25" s="715" t="str">
        <f t="shared" ca="1" si="34"/>
        <v>1.1</v>
      </c>
      <c r="DN25" s="721" cm="1">
        <f t="array" aca="1" ref="DN25" ca="1">OFFSET(Horarios!$P$3,DJ25-1,0,DL25,1)</f>
        <v>1</v>
      </c>
      <c r="DO25" s="721"/>
      <c r="DP25" s="721" t="s">
        <v>663</v>
      </c>
      <c r="DQ25" s="721" t="str">
        <f t="shared" ca="1" si="35"/>
        <v>Ecuador</v>
      </c>
      <c r="DR25" s="721"/>
      <c r="DS25" s="721"/>
      <c r="DT25" s="721" t="str">
        <f t="shared" ca="1" si="15"/>
        <v>Marruecos-Haití</v>
      </c>
      <c r="DU25" s="721"/>
      <c r="DV25" s="721"/>
      <c r="DW25" s="8"/>
    </row>
    <row r="26" spans="1:127" ht="15.75" thickBot="1">
      <c r="A26" s="716"/>
      <c r="B26" s="716"/>
      <c r="C26" s="716"/>
      <c r="D26" s="721"/>
      <c r="E26" s="721"/>
      <c r="F26" s="721"/>
      <c r="G26" s="721"/>
      <c r="H26" s="721"/>
      <c r="I26" s="721"/>
      <c r="J26" s="721"/>
      <c r="K26" s="721"/>
      <c r="L26" s="721"/>
      <c r="M26" s="721"/>
      <c r="N26" s="721"/>
      <c r="O26" s="721"/>
      <c r="P26" s="721"/>
      <c r="Q26" s="721"/>
      <c r="R26" s="721"/>
      <c r="S26" s="721"/>
      <c r="T26" s="721"/>
      <c r="U26" s="721"/>
      <c r="V26" s="162"/>
      <c r="W26" s="232"/>
      <c r="X26" s="233"/>
      <c r="Y26" s="232"/>
      <c r="Z26" s="234"/>
      <c r="AA26" s="235"/>
      <c r="AB26" s="461"/>
      <c r="AC26" s="237"/>
      <c r="AD26" s="237"/>
      <c r="AE26" s="461"/>
      <c r="AF26" s="238"/>
      <c r="AG26" s="398"/>
      <c r="AH26" s="186"/>
      <c r="AI26" s="161"/>
      <c r="AJ26" s="239"/>
      <c r="AK26" s="240"/>
      <c r="AL26" s="176"/>
      <c r="AM26" s="241"/>
      <c r="AN26" s="239"/>
      <c r="AO26" s="239"/>
      <c r="AP26" s="239"/>
      <c r="AQ26" s="239"/>
      <c r="AR26" s="239"/>
      <c r="AS26" s="239"/>
      <c r="AT26" s="239"/>
      <c r="AU26" s="403"/>
      <c r="AV26" s="206"/>
      <c r="AW26" s="411"/>
      <c r="AX26" s="208"/>
      <c r="AY26" s="232"/>
      <c r="AZ26" s="233"/>
      <c r="BA26" s="165"/>
      <c r="BB26" s="721"/>
      <c r="BC26" s="733" t="str">
        <f ca="1">+INDEX(T_Equipos[Grupo],MATCH(WORLDCUP!BD26,T_Equipos[NombreEquipo],0))</f>
        <v>F</v>
      </c>
      <c r="BD26" s="721" t="str">
        <f ca="1">+Equipos!B22</f>
        <v>Países Bajos</v>
      </c>
      <c r="BE26" s="725">
        <f t="shared" ca="1" si="25"/>
        <v>0</v>
      </c>
      <c r="BF26" s="725">
        <f t="shared" ca="1" si="26"/>
        <v>0</v>
      </c>
      <c r="BG26" s="725">
        <f t="shared" ca="1" si="17"/>
        <v>0</v>
      </c>
      <c r="BH26" s="725">
        <f t="shared" ca="1" si="18"/>
        <v>0</v>
      </c>
      <c r="BI26" s="725">
        <f t="shared" ca="1" si="19"/>
        <v>0</v>
      </c>
      <c r="BJ26" s="725">
        <f t="shared" ca="1" si="20"/>
        <v>0</v>
      </c>
      <c r="BK26" s="725">
        <f t="shared" ca="1" si="21"/>
        <v>0</v>
      </c>
      <c r="BL26" s="725">
        <f t="shared" ca="1" si="27"/>
        <v>0</v>
      </c>
      <c r="BM26" s="725" t="str">
        <f t="shared" ca="1" si="22"/>
        <v>1F</v>
      </c>
      <c r="BN26" s="725" t="str">
        <f t="shared" ca="1" si="23"/>
        <v>1F</v>
      </c>
      <c r="BO26" s="735">
        <f t="shared" ca="1" si="28"/>
        <v>0</v>
      </c>
      <c r="BP26" s="734">
        <f ca="1">COUNTIFS($BO$6:$BO$53,"&gt;"&amp;BO26,$BC$6:$BC$53,INDEX(T_Equipos[Grupo],MATCH(BD26,T_Equipos[NombreEquipo],0)))+1</f>
        <v>1</v>
      </c>
      <c r="BQ26" s="734" t="str">
        <f ca="1">IF(COUNTIFS($BP$6:$BP$53,BP26,$BC$6:$BC$53,INDEX(T_Equipos[Grupo],MATCH(BD26,T_Equipos[NombreEquipo],0)))=1,"-","P."&amp;BP26&amp;" ("&amp;COUNTIFS($BP$6:$BP$53,BP26,$BC$6:$BC$53,INDEX(T_Equipos[Grupo],MATCH(BD26,T_Equipos[NombreEquipo],0)))&amp;")")</f>
        <v>P.1 (4)</v>
      </c>
      <c r="BR26" s="735">
        <f t="shared" ca="1" si="29"/>
        <v>0</v>
      </c>
      <c r="BS26" s="734">
        <f ca="1">BP26+COUNTIFS($BQ$6:$BQ$53,BQ26,$BR$6:BR$53,"&gt;"&amp;BR26,$BC$6:$BC$53,INDEX(T_Equipos[Grupo],MATCH(BD26,T_Equipos[NombreEquipo],0)))</f>
        <v>1</v>
      </c>
      <c r="BT26" s="734" t="str">
        <f ca="1">IF(COUNTIFS($BS$6:$BS$53,BS26,$BC$6:$BC$53,INDEX(T_Equipos[Grupo],MATCH(BD26,T_Equipos[NombreEquipo],0)))=1,"-","P."&amp;BS26&amp;" ("&amp;COUNTIFS($BS$6:$BS$53,BS26,$BC$6:$BC$53,INDEX(T_Equipos[Grupo],MATCH(BD26,T_Equipos[NombreEquipo],0)))&amp;")")</f>
        <v>P.1 (4)</v>
      </c>
      <c r="BU26" s="735">
        <f t="shared" ca="1" si="36"/>
        <v>0</v>
      </c>
      <c r="BV26" s="735">
        <f t="shared" ca="1" si="37"/>
        <v>0</v>
      </c>
      <c r="BW26" s="735">
        <f t="shared" ca="1" si="38"/>
        <v>0</v>
      </c>
      <c r="BX26" s="735">
        <f t="shared" ca="1" si="39"/>
        <v>0</v>
      </c>
      <c r="BY26" s="735">
        <f ca="1">BS26+COUNTIFS($BT$6:$BT$53,BT26,$BX$6:BX$53,"&gt;"&amp;BX26,$BC$6:$BC$53,INDEX(T_Equipos[Grupo],MATCH(BD26,T_Equipos[NombreEquipo],0)))</f>
        <v>1</v>
      </c>
      <c r="BZ26" s="734" t="str">
        <f ca="1">IF(COUNTIFS($BY$6:$BY$53,BY26,$BC$6:$BC$53,INDEX(T_Equipos[Grupo],MATCH(BD26,T_Equipos[NombreEquipo],0)))=1,"-","P."&amp;BY26&amp;" ("&amp;COUNTIFS($BY$6:$BY$53,BY26,$BC$6:$BC$53,INDEX(T_Equipos[Grupo],MATCH(BD26,T_Equipos[NombreEquipo],0)))&amp;")")</f>
        <v>P.1 (4)</v>
      </c>
      <c r="CA26" s="735">
        <f t="shared" ca="1" si="40"/>
        <v>0</v>
      </c>
      <c r="CB26" s="735">
        <f t="shared" ca="1" si="41"/>
        <v>0</v>
      </c>
      <c r="CC26" s="735">
        <f t="shared" ca="1" si="42"/>
        <v>0</v>
      </c>
      <c r="CD26" s="735">
        <f ca="1">BY26+COUNTIFS($BZ$6:$BZ$53,BZ26,$CC$6:CC$53,"&gt;"&amp;CC26,$BC$6:$BC$53,INDEX(T_Equipos[Grupo],MATCH(BD26,T_Equipos[NombreEquipo],0)))</f>
        <v>1</v>
      </c>
      <c r="CE26" s="734" t="str">
        <f ca="1">IF(COUNTIFS($CD$6:$CD$53,CD26,$BC$6:$BC$53,INDEX(T_Equipos[Grupo],MATCH(BD26,T_Equipos[NombreEquipo],0)))=1,"-","P."&amp;CD26&amp;" ("&amp;COUNTIFS($CD$6:$CD$53,CD26,$BC$6:$BC$53,INDEX(T_Equipos[Grupo],MATCH(BD26,T_Equipos[NombreEquipo],0)))&amp;")")</f>
        <v>P.1 (4)</v>
      </c>
      <c r="CF26" s="735">
        <f t="shared" ca="1" si="43"/>
        <v>0</v>
      </c>
      <c r="CG26" s="735">
        <f ca="1">CD26+COUNTIFS($CE$6:$CE$53,CE26,$CF$6:CF$53,"&gt;"&amp;CF26,$BC$6:$BC$53,INDEX(T_Equipos[Grupo],MATCH(BD26,T_Equipos[NombreEquipo],0)))</f>
        <v>1</v>
      </c>
      <c r="CH26" s="734" t="str">
        <f ca="1">IF(COUNTIFS($CG$6:$CG$53,CG26,$BC$6:$BC$53,INDEX(T_Equipos[Grupo],MATCH(BD26,T_Equipos[NombreEquipo],0)))=1,"-","P."&amp;CG26&amp;" ("&amp;COUNTIFS($CG$6:$CG$53,CG26,$BC$6:$BC$53,INDEX(T_Equipos[Grupo],MATCH(BD26,T_Equipos[NombreEquipo],0)))&amp;")")</f>
        <v>P.1 (4)</v>
      </c>
      <c r="CI26" s="735">
        <f t="shared" ca="1" si="44"/>
        <v>0</v>
      </c>
      <c r="CJ26" s="735">
        <f t="shared" ca="1" si="45"/>
        <v>0</v>
      </c>
      <c r="CK26" s="735">
        <f t="shared" ca="1" si="46"/>
        <v>0</v>
      </c>
      <c r="CL26" s="735">
        <f t="shared" ca="1" si="47"/>
        <v>0</v>
      </c>
      <c r="CM26" s="735">
        <f ca="1">CG26+COUNTIFS($CH$6:$CH$53,CH26,$CL$6:CL$53,"&gt;"&amp;CL26,$BC$6:$BC$53,INDEX(T_Equipos[Grupo],MATCH(BD26,T_Equipos[NombreEquipo],0)))</f>
        <v>1</v>
      </c>
      <c r="CN26" s="734" t="str">
        <f ca="1">IF(COUNTIFS($CM$6:$CM$53,CM26,$BC$6:$BC$53,INDEX(T_Equipos[Grupo],MATCH(BD26,T_Equipos[NombreEquipo],0)))=1,"-","P."&amp;CM26&amp;" ("&amp;COUNTIFS($CM$6:$CM$53,CM26,$BC$6:$BC$53,INDEX(T_Equipos[Grupo],MATCH(BD26,T_Equipos[NombreEquipo],0)))&amp;")")</f>
        <v>P.1 (4)</v>
      </c>
      <c r="CO26" s="735">
        <f t="shared" ca="1" si="48"/>
        <v>0</v>
      </c>
      <c r="CP26" s="735">
        <f t="shared" ca="1" si="49"/>
        <v>0</v>
      </c>
      <c r="CQ26" s="735">
        <f t="shared" ca="1" si="50"/>
        <v>0</v>
      </c>
      <c r="CR26" s="735">
        <f ca="1">CM26+COUNTIFS($CN$6:$CN$53,CN26,$CQ$6:CQ$53,"&gt;"&amp;CQ26,$BC$6:$BC$53,INDEX(T_Equipos[Grupo],MATCH(BD26,T_Equipos[NombreEquipo],0)))</f>
        <v>1</v>
      </c>
      <c r="CS26" s="734" t="str">
        <f ca="1">IF(COUNTIFS($CR$6:$CR$53,CR26,$BC$6:$BC$53,INDEX(T_Equipos[Grupo],MATCH(BD26,T_Equipos[NombreEquipo],0)))=1,"-","P."&amp;CR26&amp;" ("&amp;COUNTIFS($CR$6:$CR$53,CR26,$BC$6:$BC$53,INDEX(T_Equipos[Grupo],MATCH(BD26,T_Equipos[NombreEquipo],0)))&amp;")")</f>
        <v>P.1 (4)</v>
      </c>
      <c r="CT26" s="735">
        <f t="shared" ca="1" si="51"/>
        <v>0</v>
      </c>
      <c r="CU26" s="735">
        <f ca="1">CR26+COUNTIFS($CS$6:$CS$53,CS26,$CT$6:CT$53,"&gt;"&amp;CT26,$BC$6:$BC$53,INDEX(T_Equipos[Grupo],MATCH(BD26,T_Equipos[NombreEquipo],0)))</f>
        <v>1</v>
      </c>
      <c r="CV26" s="734" t="str">
        <f ca="1">IF(COUNTIFS($CU$6:$CU$53,CU26,$BC$6:$BC$53,INDEX(T_Equipos[Grupo],MATCH(BD26,T_Equipos[NombreEquipo],0)))=1,"-","P."&amp;CU26&amp;" ("&amp;COUNTIFS($CU$6:$CU$53,CU26,$BC$6:$BC$53,INDEX(T_Equipos[Grupo],MATCH(BD26,T_Equipos[NombreEquipo],0)))&amp;")")</f>
        <v>P.1 (4)</v>
      </c>
      <c r="CW26" s="734">
        <f t="shared" ca="1" si="30"/>
        <v>0</v>
      </c>
      <c r="CX26" s="734">
        <f ca="1">CU26+COUNTIFS($CV$6:$CV$53,CV26,$CW$6:CW$53,"&gt;"&amp;CW26,$BC$6:$BC$53,INDEX(T_Equipos[Grupo],MATCH(BD26,T_Equipos[NombreEquipo],0)))</f>
        <v>1</v>
      </c>
      <c r="CY26" s="734" t="str">
        <f ca="1">IF(COUNTIFS($CX$6:$CX$53,CX26,$BC$6:$BC$53,INDEX(T_Equipos[Grupo],MATCH(BD26,T_Equipos[NombreEquipo],0)))=1,"-","P."&amp;CX26&amp;" ("&amp;COUNTIFS($CX$6:$CX$53,CX26,$BC$6:$BC$53,INDEX(T_Equipos[Grupo],MATCH(BD26,T_Equipos[NombreEquipo],0)))&amp;")")</f>
        <v>P.1 (4)</v>
      </c>
      <c r="CZ26" s="734">
        <f t="shared" ca="1" si="31"/>
        <v>0</v>
      </c>
      <c r="DA26" s="735">
        <f ca="1">CX26+COUNTIFS($CY$6:$CY$53,CY26,$CZ$6:CZ$53,"&gt;"&amp;CZ26,$BC$6:$BC$53,INDEX(T_Equipos[Grupo],MATCH(BD26,T_Equipos[NombreEquipo],0)))</f>
        <v>1</v>
      </c>
      <c r="DB26" s="734" t="str">
        <f ca="1">IF(COUNTIFS($DA$6:$DA$53,DA26,$BC$6:$BC$53,INDEX(T_Equipos[Grupo],MATCH(BD26,T_Equipos[NombreEquipo],0)))=1,"-","P."&amp;DA26&amp;" ("&amp;COUNTIFS($DA$6:$DA$53,DA26,$BC$6:$BC$53,INDEX(T_Equipos[Grupo],MATCH(BD26,T_Equipos[NombreEquipo],0)))&amp;")")</f>
        <v>P.1 (4)</v>
      </c>
      <c r="DC26" s="733">
        <f ca="1">IF(DB26="-","-",COUNTIFS(T_Equipos[Rank],"&lt;"&amp;INDEX(T_Equipos[Rank],MATCH(BD26,T_Equipos[NombreEquipo],0)),$BC$6:$BC$53,INDEX(T_Equipos[Grupo],MATCH(BD26,T_Equipos[NombreEquipo],0)))+1)</f>
        <v>1</v>
      </c>
      <c r="DD26" s="733">
        <f ca="1">DA26+COUNTIFS($DB$6:$DB$53,DB26,$DC$6:DC$53,"&lt;"&amp;DC26,$BC$6:$BC$53,INDEX(T_Equipos[Grupo],MATCH(BD26,T_Equipos[NombreEquipo],0)))</f>
        <v>1</v>
      </c>
      <c r="DE26" s="733"/>
      <c r="DF26" s="733">
        <f t="shared" ca="1" si="52"/>
        <v>1</v>
      </c>
      <c r="DG26" s="733">
        <f ca="1">IF(DB26="-","-",COUNTIFS(DF$6:DF$53,"&lt;"&amp;DF26,$BC$6:$BC$53,INDEX(T_Equipos[Grupo],MATCH(BD26,T_Equipos[NombreEquipo],0))))</f>
        <v>0</v>
      </c>
      <c r="DH26" s="733">
        <f ca="1">DA26+COUNTIFS(DB$6:DB$53,DB26,DG$6:DG$53,"&lt;"&amp;DG26,$BC$6:$BC$53,INDEX(T_Equipos[Grupo],MATCH(BD26,T_Equipos[NombreEquipo],0)))</f>
        <v>1</v>
      </c>
      <c r="DI26" s="721"/>
      <c r="DJ26" s="721">
        <f t="shared" ca="1" si="53"/>
        <v>1</v>
      </c>
      <c r="DK26" s="721">
        <f t="shared" ca="1" si="24"/>
        <v>0</v>
      </c>
      <c r="DL26" s="721">
        <f t="shared" ca="1" si="33"/>
        <v>1</v>
      </c>
      <c r="DM26" s="715" t="str">
        <f t="shared" ca="1" si="34"/>
        <v>1.1</v>
      </c>
      <c r="DN26" s="721" cm="1">
        <f t="array" aca="1" ref="DN26" ca="1">OFFSET(Horarios!$P$3,DJ26-1,0,DL26,1)</f>
        <v>1</v>
      </c>
      <c r="DO26" s="721"/>
      <c r="DP26" s="721" t="s">
        <v>664</v>
      </c>
      <c r="DQ26" s="721" t="str">
        <f t="shared" ca="1" si="35"/>
        <v>Países Bajos</v>
      </c>
      <c r="DR26" s="721"/>
      <c r="DS26" s="721"/>
      <c r="DT26" s="721" t="str">
        <f t="shared" si="15"/>
        <v>-</v>
      </c>
      <c r="DU26" s="721"/>
      <c r="DV26" s="721"/>
      <c r="DW26" s="8"/>
    </row>
    <row r="27" spans="1:127" ht="15.75" thickBot="1">
      <c r="A27" s="716"/>
      <c r="B27" s="719"/>
      <c r="C27" s="716"/>
      <c r="D27" s="716"/>
      <c r="E27" s="716"/>
      <c r="F27" s="716"/>
      <c r="G27" s="716"/>
      <c r="H27" s="716"/>
      <c r="I27" s="716"/>
      <c r="J27" s="716"/>
      <c r="K27" s="716"/>
      <c r="L27" s="716"/>
      <c r="M27" s="716"/>
      <c r="N27" s="721"/>
      <c r="O27" s="721"/>
      <c r="P27" s="721"/>
      <c r="Q27" s="721"/>
      <c r="R27" s="721"/>
      <c r="S27" s="721"/>
      <c r="T27" s="721"/>
      <c r="U27" s="721"/>
      <c r="V27" s="162"/>
      <c r="W27" s="169"/>
      <c r="X27" s="170" t="str">
        <f>X11</f>
        <v>Fecha</v>
      </c>
      <c r="Y27" s="170" t="str">
        <f>Y11</f>
        <v>Hora</v>
      </c>
      <c r="Z27" s="171" t="str">
        <f t="shared" ref="Z27:AA27" si="92">Z11</f>
        <v>Jor.</v>
      </c>
      <c r="AA27" s="172" t="str">
        <f t="shared" si="92"/>
        <v>Casa</v>
      </c>
      <c r="AB27" s="171"/>
      <c r="AC27" s="171" t="str">
        <f>AC3</f>
        <v>Gol</v>
      </c>
      <c r="AD27" s="171" t="str">
        <f>AD3</f>
        <v>Gol</v>
      </c>
      <c r="AE27" s="171"/>
      <c r="AF27" s="174" t="str">
        <f t="shared" ref="AF27" si="93">AF11</f>
        <v>Fuera</v>
      </c>
      <c r="AG27" s="397"/>
      <c r="AH27" s="186"/>
      <c r="AI27" s="14"/>
      <c r="AJ27" s="176"/>
      <c r="AK27" s="242"/>
      <c r="AL27" s="176"/>
      <c r="AM27" s="176"/>
      <c r="AN27" s="176"/>
      <c r="AO27" s="176"/>
      <c r="AP27" s="176"/>
      <c r="AQ27" s="176"/>
      <c r="AR27" s="176"/>
      <c r="AS27" s="176"/>
      <c r="AT27" s="176"/>
      <c r="AU27" s="404"/>
      <c r="AV27" s="18"/>
      <c r="AW27" s="412"/>
      <c r="AX27" s="243"/>
      <c r="AY27" s="232"/>
      <c r="AZ27" s="233"/>
      <c r="BA27" s="165"/>
      <c r="BB27" s="721"/>
      <c r="BC27" s="733" t="str">
        <f ca="1">+INDEX(T_Equipos[Grupo],MATCH(WORLDCUP!BD27,T_Equipos[NombreEquipo],0))</f>
        <v>F</v>
      </c>
      <c r="BD27" s="721" t="str">
        <f ca="1">+Equipos!B23</f>
        <v>Japón</v>
      </c>
      <c r="BE27" s="725">
        <f t="shared" ca="1" si="25"/>
        <v>0</v>
      </c>
      <c r="BF27" s="725">
        <f t="shared" ca="1" si="26"/>
        <v>0</v>
      </c>
      <c r="BG27" s="725">
        <f t="shared" ca="1" si="17"/>
        <v>0</v>
      </c>
      <c r="BH27" s="725">
        <f t="shared" ca="1" si="18"/>
        <v>0</v>
      </c>
      <c r="BI27" s="725">
        <f t="shared" ca="1" si="19"/>
        <v>0</v>
      </c>
      <c r="BJ27" s="725">
        <f t="shared" ca="1" si="20"/>
        <v>0</v>
      </c>
      <c r="BK27" s="725">
        <f t="shared" ca="1" si="21"/>
        <v>0</v>
      </c>
      <c r="BL27" s="725">
        <f t="shared" ca="1" si="27"/>
        <v>0</v>
      </c>
      <c r="BM27" s="725" t="str">
        <f t="shared" ca="1" si="22"/>
        <v>2F</v>
      </c>
      <c r="BN27" s="725" t="str">
        <f t="shared" ca="1" si="23"/>
        <v>2F</v>
      </c>
      <c r="BO27" s="735">
        <f t="shared" ca="1" si="28"/>
        <v>0</v>
      </c>
      <c r="BP27" s="734">
        <f ca="1">COUNTIFS($BO$6:$BO$53,"&gt;"&amp;BO27,$BC$6:$BC$53,INDEX(T_Equipos[Grupo],MATCH(BD27,T_Equipos[NombreEquipo],0)))+1</f>
        <v>1</v>
      </c>
      <c r="BQ27" s="734" t="str">
        <f ca="1">IF(COUNTIFS($BP$6:$BP$53,BP27,$BC$6:$BC$53,INDEX(T_Equipos[Grupo],MATCH(BD27,T_Equipos[NombreEquipo],0)))=1,"-","P."&amp;BP27&amp;" ("&amp;COUNTIFS($BP$6:$BP$53,BP27,$BC$6:$BC$53,INDEX(T_Equipos[Grupo],MATCH(BD27,T_Equipos[NombreEquipo],0)))&amp;")")</f>
        <v>P.1 (4)</v>
      </c>
      <c r="BR27" s="735">
        <f t="shared" ca="1" si="29"/>
        <v>0</v>
      </c>
      <c r="BS27" s="734">
        <f ca="1">BP27+COUNTIFS($BQ$6:$BQ$53,BQ27,$BR$6:BR$53,"&gt;"&amp;BR27,$BC$6:$BC$53,INDEX(T_Equipos[Grupo],MATCH(BD27,T_Equipos[NombreEquipo],0)))</f>
        <v>1</v>
      </c>
      <c r="BT27" s="734" t="str">
        <f ca="1">IF(COUNTIFS($BS$6:$BS$53,BS27,$BC$6:$BC$53,INDEX(T_Equipos[Grupo],MATCH(BD27,T_Equipos[NombreEquipo],0)))=1,"-","P."&amp;BS27&amp;" ("&amp;COUNTIFS($BS$6:$BS$53,BS27,$BC$6:$BC$53,INDEX(T_Equipos[Grupo],MATCH(BD27,T_Equipos[NombreEquipo],0)))&amp;")")</f>
        <v>P.1 (4)</v>
      </c>
      <c r="BU27" s="735">
        <f t="shared" ca="1" si="36"/>
        <v>0</v>
      </c>
      <c r="BV27" s="735">
        <f t="shared" ca="1" si="37"/>
        <v>0</v>
      </c>
      <c r="BW27" s="735">
        <f t="shared" ca="1" si="38"/>
        <v>0</v>
      </c>
      <c r="BX27" s="735">
        <f t="shared" ca="1" si="39"/>
        <v>0</v>
      </c>
      <c r="BY27" s="735">
        <f ca="1">BS27+COUNTIFS($BT$6:$BT$53,BT27,$BX$6:BX$53,"&gt;"&amp;BX27,$BC$6:$BC$53,INDEX(T_Equipos[Grupo],MATCH(BD27,T_Equipos[NombreEquipo],0)))</f>
        <v>1</v>
      </c>
      <c r="BZ27" s="734" t="str">
        <f ca="1">IF(COUNTIFS($BY$6:$BY$53,BY27,$BC$6:$BC$53,INDEX(T_Equipos[Grupo],MATCH(BD27,T_Equipos[NombreEquipo],0)))=1,"-","P."&amp;BY27&amp;" ("&amp;COUNTIFS($BY$6:$BY$53,BY27,$BC$6:$BC$53,INDEX(T_Equipos[Grupo],MATCH(BD27,T_Equipos[NombreEquipo],0)))&amp;")")</f>
        <v>P.1 (4)</v>
      </c>
      <c r="CA27" s="735">
        <f t="shared" ca="1" si="40"/>
        <v>0</v>
      </c>
      <c r="CB27" s="735">
        <f t="shared" ca="1" si="41"/>
        <v>0</v>
      </c>
      <c r="CC27" s="735">
        <f t="shared" ca="1" si="42"/>
        <v>0</v>
      </c>
      <c r="CD27" s="735">
        <f ca="1">BY27+COUNTIFS($BZ$6:$BZ$53,BZ27,$CC$6:CC$53,"&gt;"&amp;CC27,$BC$6:$BC$53,INDEX(T_Equipos[Grupo],MATCH(BD27,T_Equipos[NombreEquipo],0)))</f>
        <v>1</v>
      </c>
      <c r="CE27" s="734" t="str">
        <f ca="1">IF(COUNTIFS($CD$6:$CD$53,CD27,$BC$6:$BC$53,INDEX(T_Equipos[Grupo],MATCH(BD27,T_Equipos[NombreEquipo],0)))=1,"-","P."&amp;CD27&amp;" ("&amp;COUNTIFS($CD$6:$CD$53,CD27,$BC$6:$BC$53,INDEX(T_Equipos[Grupo],MATCH(BD27,T_Equipos[NombreEquipo],0)))&amp;")")</f>
        <v>P.1 (4)</v>
      </c>
      <c r="CF27" s="735">
        <f t="shared" ca="1" si="43"/>
        <v>0</v>
      </c>
      <c r="CG27" s="735">
        <f ca="1">CD27+COUNTIFS($CE$6:$CE$53,CE27,$CF$6:CF$53,"&gt;"&amp;CF27,$BC$6:$BC$53,INDEX(T_Equipos[Grupo],MATCH(BD27,T_Equipos[NombreEquipo],0)))</f>
        <v>1</v>
      </c>
      <c r="CH27" s="734" t="str">
        <f ca="1">IF(COUNTIFS($CG$6:$CG$53,CG27,$BC$6:$BC$53,INDEX(T_Equipos[Grupo],MATCH(BD27,T_Equipos[NombreEquipo],0)))=1,"-","P."&amp;CG27&amp;" ("&amp;COUNTIFS($CG$6:$CG$53,CG27,$BC$6:$BC$53,INDEX(T_Equipos[Grupo],MATCH(BD27,T_Equipos[NombreEquipo],0)))&amp;")")</f>
        <v>P.1 (4)</v>
      </c>
      <c r="CI27" s="735">
        <f t="shared" ca="1" si="44"/>
        <v>0</v>
      </c>
      <c r="CJ27" s="735">
        <f t="shared" ca="1" si="45"/>
        <v>0</v>
      </c>
      <c r="CK27" s="735">
        <f t="shared" ca="1" si="46"/>
        <v>0</v>
      </c>
      <c r="CL27" s="735">
        <f t="shared" ca="1" si="47"/>
        <v>0</v>
      </c>
      <c r="CM27" s="735">
        <f ca="1">CG27+COUNTIFS($CH$6:$CH$53,CH27,$CL$6:CL$53,"&gt;"&amp;CL27,$BC$6:$BC$53,INDEX(T_Equipos[Grupo],MATCH(BD27,T_Equipos[NombreEquipo],0)))</f>
        <v>1</v>
      </c>
      <c r="CN27" s="734" t="str">
        <f ca="1">IF(COUNTIFS($CM$6:$CM$53,CM27,$BC$6:$BC$53,INDEX(T_Equipos[Grupo],MATCH(BD27,T_Equipos[NombreEquipo],0)))=1,"-","P."&amp;CM27&amp;" ("&amp;COUNTIFS($CM$6:$CM$53,CM27,$BC$6:$BC$53,INDEX(T_Equipos[Grupo],MATCH(BD27,T_Equipos[NombreEquipo],0)))&amp;")")</f>
        <v>P.1 (4)</v>
      </c>
      <c r="CO27" s="735">
        <f t="shared" ca="1" si="48"/>
        <v>0</v>
      </c>
      <c r="CP27" s="735">
        <f t="shared" ca="1" si="49"/>
        <v>0</v>
      </c>
      <c r="CQ27" s="735">
        <f t="shared" ca="1" si="50"/>
        <v>0</v>
      </c>
      <c r="CR27" s="735">
        <f ca="1">CM27+COUNTIFS($CN$6:$CN$53,CN27,$CQ$6:CQ$53,"&gt;"&amp;CQ27,$BC$6:$BC$53,INDEX(T_Equipos[Grupo],MATCH(BD27,T_Equipos[NombreEquipo],0)))</f>
        <v>1</v>
      </c>
      <c r="CS27" s="734" t="str">
        <f ca="1">IF(COUNTIFS($CR$6:$CR$53,CR27,$BC$6:$BC$53,INDEX(T_Equipos[Grupo],MATCH(BD27,T_Equipos[NombreEquipo],0)))=1,"-","P."&amp;CR27&amp;" ("&amp;COUNTIFS($CR$6:$CR$53,CR27,$BC$6:$BC$53,INDEX(T_Equipos[Grupo],MATCH(BD27,T_Equipos[NombreEquipo],0)))&amp;")")</f>
        <v>P.1 (4)</v>
      </c>
      <c r="CT27" s="735">
        <f t="shared" ca="1" si="51"/>
        <v>0</v>
      </c>
      <c r="CU27" s="735">
        <f ca="1">CR27+COUNTIFS($CS$6:$CS$53,CS27,$CT$6:CT$53,"&gt;"&amp;CT27,$BC$6:$BC$53,INDEX(T_Equipos[Grupo],MATCH(BD27,T_Equipos[NombreEquipo],0)))</f>
        <v>1</v>
      </c>
      <c r="CV27" s="734" t="str">
        <f ca="1">IF(COUNTIFS($CU$6:$CU$53,CU27,$BC$6:$BC$53,INDEX(T_Equipos[Grupo],MATCH(BD27,T_Equipos[NombreEquipo],0)))=1,"-","P."&amp;CU27&amp;" ("&amp;COUNTIFS($CU$6:$CU$53,CU27,$BC$6:$BC$53,INDEX(T_Equipos[Grupo],MATCH(BD27,T_Equipos[NombreEquipo],0)))&amp;")")</f>
        <v>P.1 (4)</v>
      </c>
      <c r="CW27" s="734">
        <f t="shared" ca="1" si="30"/>
        <v>0</v>
      </c>
      <c r="CX27" s="734">
        <f ca="1">CU27+COUNTIFS($CV$6:$CV$53,CV27,$CW$6:CW$53,"&gt;"&amp;CW27,$BC$6:$BC$53,INDEX(T_Equipos[Grupo],MATCH(BD27,T_Equipos[NombreEquipo],0)))</f>
        <v>1</v>
      </c>
      <c r="CY27" s="734" t="str">
        <f ca="1">IF(COUNTIFS($CX$6:$CX$53,CX27,$BC$6:$BC$53,INDEX(T_Equipos[Grupo],MATCH(BD27,T_Equipos[NombreEquipo],0)))=1,"-","P."&amp;CX27&amp;" ("&amp;COUNTIFS($CX$6:$CX$53,CX27,$BC$6:$BC$53,INDEX(T_Equipos[Grupo],MATCH(BD27,T_Equipos[NombreEquipo],0)))&amp;")")</f>
        <v>P.1 (4)</v>
      </c>
      <c r="CZ27" s="734">
        <f t="shared" ca="1" si="31"/>
        <v>0</v>
      </c>
      <c r="DA27" s="735">
        <f ca="1">CX27+COUNTIFS($CY$6:$CY$53,CY27,$CZ$6:CZ$53,"&gt;"&amp;CZ27,$BC$6:$BC$53,INDEX(T_Equipos[Grupo],MATCH(BD27,T_Equipos[NombreEquipo],0)))</f>
        <v>1</v>
      </c>
      <c r="DB27" s="734" t="str">
        <f ca="1">IF(COUNTIFS($DA$6:$DA$53,DA27,$BC$6:$BC$53,INDEX(T_Equipos[Grupo],MATCH(BD27,T_Equipos[NombreEquipo],0)))=1,"-","P."&amp;DA27&amp;" ("&amp;COUNTIFS($DA$6:$DA$53,DA27,$BC$6:$BC$53,INDEX(T_Equipos[Grupo],MATCH(BD27,T_Equipos[NombreEquipo],0)))&amp;")")</f>
        <v>P.1 (4)</v>
      </c>
      <c r="DC27" s="733">
        <f ca="1">IF(DB27="-","-",COUNTIFS(T_Equipos[Rank],"&lt;"&amp;INDEX(T_Equipos[Rank],MATCH(BD27,T_Equipos[NombreEquipo],0)),$BC$6:$BC$53,INDEX(T_Equipos[Grupo],MATCH(BD27,T_Equipos[NombreEquipo],0)))+1)</f>
        <v>2</v>
      </c>
      <c r="DD27" s="733">
        <f ca="1">DA27+COUNTIFS($DB$6:$DB$53,DB27,$DC$6:DC$53,"&lt;"&amp;DC27,$BC$6:$BC$53,INDEX(T_Equipos[Grupo],MATCH(BD27,T_Equipos[NombreEquipo],0)))</f>
        <v>2</v>
      </c>
      <c r="DE27" s="733"/>
      <c r="DF27" s="733">
        <f t="shared" ca="1" si="52"/>
        <v>2</v>
      </c>
      <c r="DG27" s="733">
        <f ca="1">IF(DB27="-","-",COUNTIFS(DF$6:DF$53,"&lt;"&amp;DF27,$BC$6:$BC$53,INDEX(T_Equipos[Grupo],MATCH(BD27,T_Equipos[NombreEquipo],0))))</f>
        <v>1</v>
      </c>
      <c r="DH27" s="733">
        <f ca="1">DA27+COUNTIFS(DB$6:DB$53,DB27,DG$6:DG$53,"&lt;"&amp;DG27,$BC$6:$BC$53,INDEX(T_Equipos[Grupo],MATCH(BD27,T_Equipos[NombreEquipo],0)))</f>
        <v>2</v>
      </c>
      <c r="DI27" s="721"/>
      <c r="DJ27" s="721">
        <f t="shared" ca="1" si="53"/>
        <v>1</v>
      </c>
      <c r="DK27" s="721">
        <f t="shared" ca="1" si="24"/>
        <v>0</v>
      </c>
      <c r="DL27" s="721">
        <f t="shared" ca="1" si="33"/>
        <v>1</v>
      </c>
      <c r="DM27" s="715" t="str">
        <f t="shared" ca="1" si="34"/>
        <v>1.1</v>
      </c>
      <c r="DN27" s="721" cm="1">
        <f t="array" aca="1" ref="DN27" ca="1">OFFSET(Horarios!$P$3,DJ27-1,0,DL27,1)</f>
        <v>1</v>
      </c>
      <c r="DO27" s="721"/>
      <c r="DP27" s="721" t="s">
        <v>665</v>
      </c>
      <c r="DQ27" s="721" t="str">
        <f t="shared" ca="1" si="35"/>
        <v>Japón</v>
      </c>
      <c r="DR27" s="721"/>
      <c r="DS27" s="721"/>
      <c r="DT27" s="721" t="str">
        <f t="shared" si="15"/>
        <v>Casa-Fuera</v>
      </c>
      <c r="DU27" s="721"/>
      <c r="DV27" s="721"/>
      <c r="DW27" s="8"/>
    </row>
    <row r="28" spans="1:127" ht="15" customHeight="1" thickBot="1">
      <c r="A28" s="718" t="s">
        <v>30</v>
      </c>
      <c r="B28" s="719" t="s">
        <v>73</v>
      </c>
      <c r="C28" s="720">
        <f>COUNTIF(Equipos!$C$2:$C$49,WORLDCUP!B28)</f>
        <v>4</v>
      </c>
      <c r="D28" s="721" t="str">
        <f t="shared" ref="D28:D33" si="94">IF(OR(AC28="",AD28=""),"Pendiente",IF(AC28&gt;AD28,"Local",IF(AC28&lt;AD28,"Visitante","Empate")))</f>
        <v>Pendiente</v>
      </c>
      <c r="E28" s="721" t="str">
        <f t="shared" ref="E28:E33" si="95">IF(D28="Pendiente","-",INDEX($BT$6:$BT$53,MATCH($AA28,$BD$6:$BD$53,0)))</f>
        <v>-</v>
      </c>
      <c r="F28" s="721" t="str">
        <f t="shared" ref="F28:F33" si="96">IF(D28="Pendiente","-",INDEX($BT$6:$BT$53,MATCH($AF28,$BD$6:$BD$53,0)))</f>
        <v>-</v>
      </c>
      <c r="G28" s="721"/>
      <c r="H28" s="721" t="str">
        <f t="shared" ref="H28:H33" si="97">IF(D28="Pendiente","-",INDEX($BZ$6:$BZ$53,MATCH($AA28,$BD$6:$BD$53,0)))</f>
        <v>-</v>
      </c>
      <c r="I28" s="721" t="str">
        <f t="shared" ref="I28:I33" si="98">IF(D28="Pendiente","-",INDEX($BZ$6:$BZ$53,MATCH($AF28,$BD$6:$BD$53,0)))</f>
        <v>-</v>
      </c>
      <c r="J28" s="721"/>
      <c r="K28" s="721" t="str">
        <f t="shared" ref="K28:K33" si="99">IF(D28="Pendiente","-",INDEX($CE$6:$CE$53,MATCH($AA28,$BD$6:$BD$53,0)))</f>
        <v>-</v>
      </c>
      <c r="L28" s="721" t="str">
        <f t="shared" ref="L28:L33" si="100">IF(D28="Pendiente","-",INDEX($CE$6:$CE$53,MATCH($AF28,$BD$6:$BD$53,0)))</f>
        <v>-</v>
      </c>
      <c r="M28" s="721"/>
      <c r="N28" s="721" t="str">
        <f t="shared" ref="N28:N33" si="101">IF(D28="Pendiente","-",INDEX($CH$6:$CH$53,MATCH($AA28,$BD$6:$BD$53,0)))</f>
        <v>-</v>
      </c>
      <c r="O28" s="721" t="str">
        <f t="shared" ref="O28:O33" si="102">IF(D28="Pendiente","-",INDEX($CH$6:$CH$53,MATCH($AF28,$BD$6:$BD$53,0)))</f>
        <v>-</v>
      </c>
      <c r="P28" s="721"/>
      <c r="Q28" s="721" t="str">
        <f t="shared" ref="Q28:Q33" si="103">IF(D28="Pendiente","-",INDEX($CN$6:$CN$53,MATCH($AA28,$BD$6:$BD$53,0)))</f>
        <v>-</v>
      </c>
      <c r="R28" s="721" t="str">
        <f t="shared" ref="R28:R33" si="104">IF(D28="Pendiente","-",INDEX($CN$6:$CN$53,MATCH($AF28,$BD$6:$BD$53,0)))</f>
        <v>-</v>
      </c>
      <c r="S28" s="721"/>
      <c r="T28" s="721" t="str">
        <f t="shared" ref="T28:T33" si="105">IF(D28="Pendiente","-",INDEX($CS$6:$CS$53,MATCH($AA28,$BD$6:$BD$53,0)))</f>
        <v>-</v>
      </c>
      <c r="U28" s="721" t="str">
        <f t="shared" ref="U28:U33" si="106">IF(D28="Pendiente","-",INDEX($CS$6:$CS$53,MATCH($AF28,$BD$6:$BD$53,0)))</f>
        <v>-</v>
      </c>
      <c r="V28" s="162"/>
      <c r="W28" s="827" t="s">
        <v>73</v>
      </c>
      <c r="X28" s="179">
        <f ca="1">Horarios!C28</f>
        <v>46186.125</v>
      </c>
      <c r="Y28" s="180">
        <f ca="1">Horarios!C28</f>
        <v>46186.125</v>
      </c>
      <c r="Z28" s="181" t="str">
        <f>$Z$4</f>
        <v>J1</v>
      </c>
      <c r="AA28" s="182" t="str">
        <f ca="1">A29</f>
        <v>Estados Unidos</v>
      </c>
      <c r="AB28" s="457" t="str" cm="1">
        <f t="array" aca="1" ref="AB28" ca="1">Ver_flag_local</f>
        <v/>
      </c>
      <c r="AC28" s="183"/>
      <c r="AD28" s="184"/>
      <c r="AE28" s="462" t="str" cm="1">
        <f t="array" aca="1" ref="AE28" ca="1">Ver_flag_visit</f>
        <v/>
      </c>
      <c r="AF28" s="185" t="str">
        <f ca="1">A30</f>
        <v>Paraguay</v>
      </c>
      <c r="AG28" s="396">
        <f t="shared" ref="AG28:AG33" si="107">IF(NOT(OR(ISBLANK(AC28),ISBLANK(AD28))),1,0)</f>
        <v>0</v>
      </c>
      <c r="AH28" s="186">
        <v>4</v>
      </c>
      <c r="AI28" s="15"/>
      <c r="AJ28" s="187" t="str">
        <f>CONCATENATE(AJ3," ",B28)</f>
        <v>Grupo D</v>
      </c>
      <c r="AK28" s="188"/>
      <c r="AL28" s="188"/>
      <c r="AM28" s="188"/>
      <c r="AN28" s="188"/>
      <c r="AO28" s="188"/>
      <c r="AP28" s="188"/>
      <c r="AQ28" s="188"/>
      <c r="AR28" s="188"/>
      <c r="AS28" s="188"/>
      <c r="AT28" s="189"/>
      <c r="AU28" s="404"/>
      <c r="AV28" s="190" t="str">
        <f t="shared" ref="AV28" ca="1" si="108">IF(AU29&gt;0,$AV$3,"")</f>
        <v/>
      </c>
      <c r="AW28" s="198"/>
      <c r="AX28" s="245"/>
      <c r="AY28" s="232"/>
      <c r="AZ28" s="233"/>
      <c r="BA28" s="165"/>
      <c r="BB28" s="721"/>
      <c r="BC28" s="733" t="str">
        <f ca="1">+INDEX(T_Equipos[Grupo],MATCH(WORLDCUP!BD28,T_Equipos[NombreEquipo],0))</f>
        <v>F</v>
      </c>
      <c r="BD28" s="721" t="str">
        <f ca="1">+Equipos!B24</f>
        <v>Suecia</v>
      </c>
      <c r="BE28" s="725">
        <f t="shared" ca="1" si="25"/>
        <v>0</v>
      </c>
      <c r="BF28" s="725">
        <f t="shared" ca="1" si="26"/>
        <v>0</v>
      </c>
      <c r="BG28" s="725">
        <f t="shared" ca="1" si="17"/>
        <v>0</v>
      </c>
      <c r="BH28" s="725">
        <f t="shared" ca="1" si="18"/>
        <v>0</v>
      </c>
      <c r="BI28" s="725">
        <f t="shared" ca="1" si="19"/>
        <v>0</v>
      </c>
      <c r="BJ28" s="725">
        <f t="shared" ca="1" si="20"/>
        <v>0</v>
      </c>
      <c r="BK28" s="725">
        <f t="shared" ca="1" si="21"/>
        <v>0</v>
      </c>
      <c r="BL28" s="725">
        <f t="shared" ca="1" si="27"/>
        <v>0</v>
      </c>
      <c r="BM28" s="725" t="str">
        <f t="shared" ca="1" si="22"/>
        <v>3F</v>
      </c>
      <c r="BN28" s="725" t="str">
        <f t="shared" ca="1" si="23"/>
        <v>3F</v>
      </c>
      <c r="BO28" s="735">
        <f t="shared" ca="1" si="28"/>
        <v>0</v>
      </c>
      <c r="BP28" s="734">
        <f ca="1">COUNTIFS($BO$6:$BO$53,"&gt;"&amp;BO28,$BC$6:$BC$53,INDEX(T_Equipos[Grupo],MATCH(BD28,T_Equipos[NombreEquipo],0)))+1</f>
        <v>1</v>
      </c>
      <c r="BQ28" s="734" t="str">
        <f ca="1">IF(COUNTIFS($BP$6:$BP$53,BP28,$BC$6:$BC$53,INDEX(T_Equipos[Grupo],MATCH(BD28,T_Equipos[NombreEquipo],0)))=1,"-","P."&amp;BP28&amp;" ("&amp;COUNTIFS($BP$6:$BP$53,BP28,$BC$6:$BC$53,INDEX(T_Equipos[Grupo],MATCH(BD28,T_Equipos[NombreEquipo],0)))&amp;")")</f>
        <v>P.1 (4)</v>
      </c>
      <c r="BR28" s="735">
        <f t="shared" ca="1" si="29"/>
        <v>0</v>
      </c>
      <c r="BS28" s="734">
        <f ca="1">BP28+COUNTIFS($BQ$6:$BQ$53,BQ28,$BR$6:BR$53,"&gt;"&amp;BR28,$BC$6:$BC$53,INDEX(T_Equipos[Grupo],MATCH(BD28,T_Equipos[NombreEquipo],0)))</f>
        <v>1</v>
      </c>
      <c r="BT28" s="734" t="str">
        <f ca="1">IF(COUNTIFS($BS$6:$BS$53,BS28,$BC$6:$BC$53,INDEX(T_Equipos[Grupo],MATCH(BD28,T_Equipos[NombreEquipo],0)))=1,"-","P."&amp;BS28&amp;" ("&amp;COUNTIFS($BS$6:$BS$53,BS28,$BC$6:$BC$53,INDEX(T_Equipos[Grupo],MATCH(BD28,T_Equipos[NombreEquipo],0)))&amp;")")</f>
        <v>P.1 (4)</v>
      </c>
      <c r="BU28" s="735">
        <f t="shared" ca="1" si="36"/>
        <v>0</v>
      </c>
      <c r="BV28" s="735">
        <f t="shared" ca="1" si="37"/>
        <v>0</v>
      </c>
      <c r="BW28" s="735">
        <f t="shared" ca="1" si="38"/>
        <v>0</v>
      </c>
      <c r="BX28" s="735">
        <f t="shared" ca="1" si="39"/>
        <v>0</v>
      </c>
      <c r="BY28" s="735">
        <f ca="1">BS28+COUNTIFS($BT$6:$BT$53,BT28,$BX$6:BX$53,"&gt;"&amp;BX28,$BC$6:$BC$53,INDEX(T_Equipos[Grupo],MATCH(BD28,T_Equipos[NombreEquipo],0)))</f>
        <v>1</v>
      </c>
      <c r="BZ28" s="734" t="str">
        <f ca="1">IF(COUNTIFS($BY$6:$BY$53,BY28,$BC$6:$BC$53,INDEX(T_Equipos[Grupo],MATCH(BD28,T_Equipos[NombreEquipo],0)))=1,"-","P."&amp;BY28&amp;" ("&amp;COUNTIFS($BY$6:$BY$53,BY28,$BC$6:$BC$53,INDEX(T_Equipos[Grupo],MATCH(BD28,T_Equipos[NombreEquipo],0)))&amp;")")</f>
        <v>P.1 (4)</v>
      </c>
      <c r="CA28" s="735">
        <f t="shared" ca="1" si="40"/>
        <v>0</v>
      </c>
      <c r="CB28" s="735">
        <f t="shared" ca="1" si="41"/>
        <v>0</v>
      </c>
      <c r="CC28" s="735">
        <f t="shared" ca="1" si="42"/>
        <v>0</v>
      </c>
      <c r="CD28" s="735">
        <f ca="1">BY28+COUNTIFS($BZ$6:$BZ$53,BZ28,$CC$6:CC$53,"&gt;"&amp;CC28,$BC$6:$BC$53,INDEX(T_Equipos[Grupo],MATCH(BD28,T_Equipos[NombreEquipo],0)))</f>
        <v>1</v>
      </c>
      <c r="CE28" s="734" t="str">
        <f ca="1">IF(COUNTIFS($CD$6:$CD$53,CD28,$BC$6:$BC$53,INDEX(T_Equipos[Grupo],MATCH(BD28,T_Equipos[NombreEquipo],0)))=1,"-","P."&amp;CD28&amp;" ("&amp;COUNTIFS($CD$6:$CD$53,CD28,$BC$6:$BC$53,INDEX(T_Equipos[Grupo],MATCH(BD28,T_Equipos[NombreEquipo],0)))&amp;")")</f>
        <v>P.1 (4)</v>
      </c>
      <c r="CF28" s="735">
        <f t="shared" ca="1" si="43"/>
        <v>0</v>
      </c>
      <c r="CG28" s="735">
        <f ca="1">CD28+COUNTIFS($CE$6:$CE$53,CE28,$CF$6:CF$53,"&gt;"&amp;CF28,$BC$6:$BC$53,INDEX(T_Equipos[Grupo],MATCH(BD28,T_Equipos[NombreEquipo],0)))</f>
        <v>1</v>
      </c>
      <c r="CH28" s="734" t="str">
        <f ca="1">IF(COUNTIFS($CG$6:$CG$53,CG28,$BC$6:$BC$53,INDEX(T_Equipos[Grupo],MATCH(BD28,T_Equipos[NombreEquipo],0)))=1,"-","P."&amp;CG28&amp;" ("&amp;COUNTIFS($CG$6:$CG$53,CG28,$BC$6:$BC$53,INDEX(T_Equipos[Grupo],MATCH(BD28,T_Equipos[NombreEquipo],0)))&amp;")")</f>
        <v>P.1 (4)</v>
      </c>
      <c r="CI28" s="735">
        <f t="shared" ca="1" si="44"/>
        <v>0</v>
      </c>
      <c r="CJ28" s="735">
        <f t="shared" ca="1" si="45"/>
        <v>0</v>
      </c>
      <c r="CK28" s="735">
        <f t="shared" ca="1" si="46"/>
        <v>0</v>
      </c>
      <c r="CL28" s="735">
        <f t="shared" ca="1" si="47"/>
        <v>0</v>
      </c>
      <c r="CM28" s="735">
        <f ca="1">CG28+COUNTIFS($CH$6:$CH$53,CH28,$CL$6:CL$53,"&gt;"&amp;CL28,$BC$6:$BC$53,INDEX(T_Equipos[Grupo],MATCH(BD28,T_Equipos[NombreEquipo],0)))</f>
        <v>1</v>
      </c>
      <c r="CN28" s="734" t="str">
        <f ca="1">IF(COUNTIFS($CM$6:$CM$53,CM28,$BC$6:$BC$53,INDEX(T_Equipos[Grupo],MATCH(BD28,T_Equipos[NombreEquipo],0)))=1,"-","P."&amp;CM28&amp;" ("&amp;COUNTIFS($CM$6:$CM$53,CM28,$BC$6:$BC$53,INDEX(T_Equipos[Grupo],MATCH(BD28,T_Equipos[NombreEquipo],0)))&amp;")")</f>
        <v>P.1 (4)</v>
      </c>
      <c r="CO28" s="735">
        <f t="shared" ca="1" si="48"/>
        <v>0</v>
      </c>
      <c r="CP28" s="735">
        <f t="shared" ca="1" si="49"/>
        <v>0</v>
      </c>
      <c r="CQ28" s="735">
        <f t="shared" ca="1" si="50"/>
        <v>0</v>
      </c>
      <c r="CR28" s="735">
        <f ca="1">CM28+COUNTIFS($CN$6:$CN$53,CN28,$CQ$6:CQ$53,"&gt;"&amp;CQ28,$BC$6:$BC$53,INDEX(T_Equipos[Grupo],MATCH(BD28,T_Equipos[NombreEquipo],0)))</f>
        <v>1</v>
      </c>
      <c r="CS28" s="734" t="str">
        <f ca="1">IF(COUNTIFS($CR$6:$CR$53,CR28,$BC$6:$BC$53,INDEX(T_Equipos[Grupo],MATCH(BD28,T_Equipos[NombreEquipo],0)))=1,"-","P."&amp;CR28&amp;" ("&amp;COUNTIFS($CR$6:$CR$53,CR28,$BC$6:$BC$53,INDEX(T_Equipos[Grupo],MATCH(BD28,T_Equipos[NombreEquipo],0)))&amp;")")</f>
        <v>P.1 (4)</v>
      </c>
      <c r="CT28" s="735">
        <f t="shared" ca="1" si="51"/>
        <v>0</v>
      </c>
      <c r="CU28" s="735">
        <f ca="1">CR28+COUNTIFS($CS$6:$CS$53,CS28,$CT$6:CT$53,"&gt;"&amp;CT28,$BC$6:$BC$53,INDEX(T_Equipos[Grupo],MATCH(BD28,T_Equipos[NombreEquipo],0)))</f>
        <v>1</v>
      </c>
      <c r="CV28" s="734" t="str">
        <f ca="1">IF(COUNTIFS($CU$6:$CU$53,CU28,$BC$6:$BC$53,INDEX(T_Equipos[Grupo],MATCH(BD28,T_Equipos[NombreEquipo],0)))=1,"-","P."&amp;CU28&amp;" ("&amp;COUNTIFS($CU$6:$CU$53,CU28,$BC$6:$BC$53,INDEX(T_Equipos[Grupo],MATCH(BD28,T_Equipos[NombreEquipo],0)))&amp;")")</f>
        <v>P.1 (4)</v>
      </c>
      <c r="CW28" s="734">
        <f t="shared" ca="1" si="30"/>
        <v>0</v>
      </c>
      <c r="CX28" s="734">
        <f ca="1">CU28+COUNTIFS($CV$6:$CV$53,CV28,$CW$6:CW$53,"&gt;"&amp;CW28,$BC$6:$BC$53,INDEX(T_Equipos[Grupo],MATCH(BD28,T_Equipos[NombreEquipo],0)))</f>
        <v>1</v>
      </c>
      <c r="CY28" s="734" t="str">
        <f ca="1">IF(COUNTIFS($CX$6:$CX$53,CX28,$BC$6:$BC$53,INDEX(T_Equipos[Grupo],MATCH(BD28,T_Equipos[NombreEquipo],0)))=1,"-","P."&amp;CX28&amp;" ("&amp;COUNTIFS($CX$6:$CX$53,CX28,$BC$6:$BC$53,INDEX(T_Equipos[Grupo],MATCH(BD28,T_Equipos[NombreEquipo],0)))&amp;")")</f>
        <v>P.1 (4)</v>
      </c>
      <c r="CZ28" s="734">
        <f t="shared" ca="1" si="31"/>
        <v>0</v>
      </c>
      <c r="DA28" s="735">
        <f ca="1">CX28+COUNTIFS($CY$6:$CY$53,CY28,$CZ$6:CZ$53,"&gt;"&amp;CZ28,$BC$6:$BC$53,INDEX(T_Equipos[Grupo],MATCH(BD28,T_Equipos[NombreEquipo],0)))</f>
        <v>1</v>
      </c>
      <c r="DB28" s="734" t="str">
        <f ca="1">IF(COUNTIFS($DA$6:$DA$53,DA28,$BC$6:$BC$53,INDEX(T_Equipos[Grupo],MATCH(BD28,T_Equipos[NombreEquipo],0)))=1,"-","P."&amp;DA28&amp;" ("&amp;COUNTIFS($DA$6:$DA$53,DA28,$BC$6:$BC$53,INDEX(T_Equipos[Grupo],MATCH(BD28,T_Equipos[NombreEquipo],0)))&amp;")")</f>
        <v>P.1 (4)</v>
      </c>
      <c r="DC28" s="733">
        <f ca="1">IF(DB28="-","-",COUNTIFS(T_Equipos[Rank],"&lt;"&amp;INDEX(T_Equipos[Rank],MATCH(BD28,T_Equipos[NombreEquipo],0)),$BC$6:$BC$53,INDEX(T_Equipos[Grupo],MATCH(BD28,T_Equipos[NombreEquipo],0)))+1)</f>
        <v>3</v>
      </c>
      <c r="DD28" s="733">
        <f ca="1">DA28+COUNTIFS($DB$6:$DB$53,DB28,$DC$6:DC$53,"&lt;"&amp;DC28,$BC$6:$BC$53,INDEX(T_Equipos[Grupo],MATCH(BD28,T_Equipos[NombreEquipo],0)))</f>
        <v>3</v>
      </c>
      <c r="DE28" s="733"/>
      <c r="DF28" s="733">
        <f t="shared" ca="1" si="52"/>
        <v>3</v>
      </c>
      <c r="DG28" s="733">
        <f ca="1">IF(DB28="-","-",COUNTIFS(DF$6:DF$53,"&lt;"&amp;DF28,$BC$6:$BC$53,INDEX(T_Equipos[Grupo],MATCH(BD28,T_Equipos[NombreEquipo],0))))</f>
        <v>2</v>
      </c>
      <c r="DH28" s="733">
        <f ca="1">DA28+COUNTIFS(DB$6:DB$53,DB28,DG$6:DG$53,"&lt;"&amp;DG28,$BC$6:$BC$53,INDEX(T_Equipos[Grupo],MATCH(BD28,T_Equipos[NombreEquipo],0)))</f>
        <v>3</v>
      </c>
      <c r="DI28" s="721"/>
      <c r="DJ28" s="721">
        <f t="shared" ca="1" si="53"/>
        <v>1</v>
      </c>
      <c r="DK28" s="721">
        <f t="shared" ca="1" si="24"/>
        <v>0</v>
      </c>
      <c r="DL28" s="721">
        <f t="shared" ca="1" si="33"/>
        <v>1</v>
      </c>
      <c r="DM28" s="715" t="str">
        <f t="shared" ca="1" si="34"/>
        <v>1.1</v>
      </c>
      <c r="DN28" s="721" cm="1">
        <f t="array" aca="1" ref="DN28" ca="1">OFFSET(Horarios!$P$3,DJ28-1,0,DL28,1)</f>
        <v>1</v>
      </c>
      <c r="DO28" s="721"/>
      <c r="DP28" s="721" t="s">
        <v>94</v>
      </c>
      <c r="DQ28" s="721" t="str">
        <f t="shared" ca="1" si="35"/>
        <v>Suecia</v>
      </c>
      <c r="DR28" s="721"/>
      <c r="DS28" s="721"/>
      <c r="DT28" s="721" t="str">
        <f t="shared" ca="1" si="15"/>
        <v>Estados Unidos-Paraguay</v>
      </c>
      <c r="DU28" s="721"/>
      <c r="DV28" s="721"/>
      <c r="DW28" s="8"/>
    </row>
    <row r="29" spans="1:127" ht="15.95" customHeight="1">
      <c r="A29" s="722" t="str">
        <f ca="1">+Equipos!B14</f>
        <v>Estados Unidos</v>
      </c>
      <c r="B29" s="719"/>
      <c r="C29" s="719"/>
      <c r="D29" s="721" t="str">
        <f t="shared" si="94"/>
        <v>Pendiente</v>
      </c>
      <c r="E29" s="721" t="str">
        <f t="shared" si="95"/>
        <v>-</v>
      </c>
      <c r="F29" s="721" t="str">
        <f t="shared" si="96"/>
        <v>-</v>
      </c>
      <c r="G29" s="721"/>
      <c r="H29" s="721" t="str">
        <f t="shared" si="97"/>
        <v>-</v>
      </c>
      <c r="I29" s="721" t="str">
        <f t="shared" si="98"/>
        <v>-</v>
      </c>
      <c r="J29" s="721"/>
      <c r="K29" s="721" t="str">
        <f t="shared" si="99"/>
        <v>-</v>
      </c>
      <c r="L29" s="721" t="str">
        <f t="shared" si="100"/>
        <v>-</v>
      </c>
      <c r="M29" s="721"/>
      <c r="N29" s="721" t="str">
        <f t="shared" si="101"/>
        <v>-</v>
      </c>
      <c r="O29" s="721" t="str">
        <f t="shared" si="102"/>
        <v>-</v>
      </c>
      <c r="P29" s="721"/>
      <c r="Q29" s="721" t="str">
        <f t="shared" si="103"/>
        <v>-</v>
      </c>
      <c r="R29" s="721" t="str">
        <f t="shared" si="104"/>
        <v>-</v>
      </c>
      <c r="S29" s="721"/>
      <c r="T29" s="721" t="str">
        <f t="shared" si="105"/>
        <v>-</v>
      </c>
      <c r="U29" s="721" t="str">
        <f t="shared" si="106"/>
        <v>-</v>
      </c>
      <c r="V29" s="162"/>
      <c r="W29" s="827"/>
      <c r="X29" s="179">
        <f ca="1">Horarios!C29</f>
        <v>46187.25</v>
      </c>
      <c r="Y29" s="180">
        <f ca="1">Horarios!C29</f>
        <v>46187.25</v>
      </c>
      <c r="Z29" s="181" t="str">
        <f>$Z$4</f>
        <v>J1</v>
      </c>
      <c r="AA29" s="182" t="str">
        <f ca="1">A31</f>
        <v>Australia</v>
      </c>
      <c r="AB29" s="457" t="str" cm="1">
        <f t="array" aca="1" ref="AB29" ca="1">Ver_flag_local</f>
        <v/>
      </c>
      <c r="AC29" s="183"/>
      <c r="AD29" s="184"/>
      <c r="AE29" s="462" t="str" cm="1">
        <f t="array" aca="1" ref="AE29" ca="1">Ver_flag_visit</f>
        <v/>
      </c>
      <c r="AF29" s="185" t="str">
        <f ca="1">A32</f>
        <v>Turquía</v>
      </c>
      <c r="AG29" s="396">
        <f t="shared" si="107"/>
        <v>0</v>
      </c>
      <c r="AH29" s="186">
        <v>6</v>
      </c>
      <c r="AI29" s="15"/>
      <c r="AJ29" s="194" t="str">
        <f>AJ5</f>
        <v>Pos</v>
      </c>
      <c r="AK29" s="195"/>
      <c r="AL29" s="196" t="str">
        <f t="shared" ref="AL29:AT29" si="109">AL5</f>
        <v>Selección</v>
      </c>
      <c r="AM29" s="195" t="str">
        <f t="shared" si="109"/>
        <v>Pts</v>
      </c>
      <c r="AN29" s="195" t="str">
        <f t="shared" si="109"/>
        <v>J</v>
      </c>
      <c r="AO29" s="195" t="str">
        <f t="shared" si="109"/>
        <v>G</v>
      </c>
      <c r="AP29" s="195" t="str">
        <f t="shared" si="109"/>
        <v>E</v>
      </c>
      <c r="AQ29" s="195" t="str">
        <f t="shared" si="109"/>
        <v>P</v>
      </c>
      <c r="AR29" s="195" t="str">
        <f t="shared" si="109"/>
        <v>GF</v>
      </c>
      <c r="AS29" s="195" t="str">
        <f t="shared" si="109"/>
        <v>GC</v>
      </c>
      <c r="AT29" s="197" t="str">
        <f t="shared" si="109"/>
        <v>DG</v>
      </c>
      <c r="AU29" s="404">
        <f t="shared" ref="AU29" ca="1" si="110">COUNTIF(AU30:AU33,"&gt;1")</f>
        <v>0</v>
      </c>
      <c r="AV29" s="198"/>
      <c r="AW29" s="198"/>
      <c r="AX29" s="245"/>
      <c r="AY29" s="199" t="str">
        <f>AL29</f>
        <v>Selección</v>
      </c>
      <c r="AZ29" s="200" t="str">
        <f>+Idiomas!$D$69</f>
        <v>Puntos penalizados</v>
      </c>
      <c r="BA29" s="165"/>
      <c r="BB29" s="721"/>
      <c r="BC29" s="733" t="str">
        <f ca="1">+INDEX(T_Equipos[Grupo],MATCH(WORLDCUP!BD29,T_Equipos[NombreEquipo],0))</f>
        <v>F</v>
      </c>
      <c r="BD29" s="721" t="str">
        <f ca="1">+Equipos!B25</f>
        <v>Túnez</v>
      </c>
      <c r="BE29" s="725">
        <f t="shared" ca="1" si="25"/>
        <v>0</v>
      </c>
      <c r="BF29" s="725">
        <f t="shared" ca="1" si="26"/>
        <v>0</v>
      </c>
      <c r="BG29" s="725">
        <f t="shared" ca="1" si="17"/>
        <v>0</v>
      </c>
      <c r="BH29" s="725">
        <f t="shared" ca="1" si="18"/>
        <v>0</v>
      </c>
      <c r="BI29" s="725">
        <f t="shared" ca="1" si="19"/>
        <v>0</v>
      </c>
      <c r="BJ29" s="725">
        <f t="shared" ca="1" si="20"/>
        <v>0</v>
      </c>
      <c r="BK29" s="725">
        <f t="shared" ca="1" si="21"/>
        <v>0</v>
      </c>
      <c r="BL29" s="725">
        <f t="shared" ca="1" si="27"/>
        <v>0</v>
      </c>
      <c r="BM29" s="725" t="str">
        <f t="shared" ca="1" si="22"/>
        <v>4F</v>
      </c>
      <c r="BN29" s="725" t="str">
        <f t="shared" ca="1" si="23"/>
        <v>4F</v>
      </c>
      <c r="BO29" s="735">
        <f t="shared" ca="1" si="28"/>
        <v>0</v>
      </c>
      <c r="BP29" s="734">
        <f ca="1">COUNTIFS($BO$6:$BO$53,"&gt;"&amp;BO29,$BC$6:$BC$53,INDEX(T_Equipos[Grupo],MATCH(BD29,T_Equipos[NombreEquipo],0)))+1</f>
        <v>1</v>
      </c>
      <c r="BQ29" s="734" t="str">
        <f ca="1">IF(COUNTIFS($BP$6:$BP$53,BP29,$BC$6:$BC$53,INDEX(T_Equipos[Grupo],MATCH(BD29,T_Equipos[NombreEquipo],0)))=1,"-","P."&amp;BP29&amp;" ("&amp;COUNTIFS($BP$6:$BP$53,BP29,$BC$6:$BC$53,INDEX(T_Equipos[Grupo],MATCH(BD29,T_Equipos[NombreEquipo],0)))&amp;")")</f>
        <v>P.1 (4)</v>
      </c>
      <c r="BR29" s="735">
        <f t="shared" ca="1" si="29"/>
        <v>0</v>
      </c>
      <c r="BS29" s="734">
        <f ca="1">BP29+COUNTIFS($BQ$6:$BQ$53,BQ29,$BR$6:BR$53,"&gt;"&amp;BR29,$BC$6:$BC$53,INDEX(T_Equipos[Grupo],MATCH(BD29,T_Equipos[NombreEquipo],0)))</f>
        <v>1</v>
      </c>
      <c r="BT29" s="734" t="str">
        <f ca="1">IF(COUNTIFS($BS$6:$BS$53,BS29,$BC$6:$BC$53,INDEX(T_Equipos[Grupo],MATCH(BD29,T_Equipos[NombreEquipo],0)))=1,"-","P."&amp;BS29&amp;" ("&amp;COUNTIFS($BS$6:$BS$53,BS29,$BC$6:$BC$53,INDEX(T_Equipos[Grupo],MATCH(BD29,T_Equipos[NombreEquipo],0)))&amp;")")</f>
        <v>P.1 (4)</v>
      </c>
      <c r="BU29" s="735">
        <f t="shared" ca="1" si="36"/>
        <v>0</v>
      </c>
      <c r="BV29" s="735">
        <f t="shared" ca="1" si="37"/>
        <v>0</v>
      </c>
      <c r="BW29" s="735">
        <f t="shared" ca="1" si="38"/>
        <v>0</v>
      </c>
      <c r="BX29" s="735">
        <f t="shared" ca="1" si="39"/>
        <v>0</v>
      </c>
      <c r="BY29" s="735">
        <f ca="1">BS29+COUNTIFS($BT$6:$BT$53,BT29,$BX$6:BX$53,"&gt;"&amp;BX29,$BC$6:$BC$53,INDEX(T_Equipos[Grupo],MATCH(BD29,T_Equipos[NombreEquipo],0)))</f>
        <v>1</v>
      </c>
      <c r="BZ29" s="734" t="str">
        <f ca="1">IF(COUNTIFS($BY$6:$BY$53,BY29,$BC$6:$BC$53,INDEX(T_Equipos[Grupo],MATCH(BD29,T_Equipos[NombreEquipo],0)))=1,"-","P."&amp;BY29&amp;" ("&amp;COUNTIFS($BY$6:$BY$53,BY29,$BC$6:$BC$53,INDEX(T_Equipos[Grupo],MATCH(BD29,T_Equipos[NombreEquipo],0)))&amp;")")</f>
        <v>P.1 (4)</v>
      </c>
      <c r="CA29" s="735">
        <f t="shared" ca="1" si="40"/>
        <v>0</v>
      </c>
      <c r="CB29" s="735">
        <f t="shared" ca="1" si="41"/>
        <v>0</v>
      </c>
      <c r="CC29" s="735">
        <f t="shared" ca="1" si="42"/>
        <v>0</v>
      </c>
      <c r="CD29" s="735">
        <f ca="1">BY29+COUNTIFS($BZ$6:$BZ$53,BZ29,$CC$6:CC$53,"&gt;"&amp;CC29,$BC$6:$BC$53,INDEX(T_Equipos[Grupo],MATCH(BD29,T_Equipos[NombreEquipo],0)))</f>
        <v>1</v>
      </c>
      <c r="CE29" s="734" t="str">
        <f ca="1">IF(COUNTIFS($CD$6:$CD$53,CD29,$BC$6:$BC$53,INDEX(T_Equipos[Grupo],MATCH(BD29,T_Equipos[NombreEquipo],0)))=1,"-","P."&amp;CD29&amp;" ("&amp;COUNTIFS($CD$6:$CD$53,CD29,$BC$6:$BC$53,INDEX(T_Equipos[Grupo],MATCH(BD29,T_Equipos[NombreEquipo],0)))&amp;")")</f>
        <v>P.1 (4)</v>
      </c>
      <c r="CF29" s="735">
        <f t="shared" ca="1" si="43"/>
        <v>0</v>
      </c>
      <c r="CG29" s="735">
        <f ca="1">CD29+COUNTIFS($CE$6:$CE$53,CE29,$CF$6:CF$53,"&gt;"&amp;CF29,$BC$6:$BC$53,INDEX(T_Equipos[Grupo],MATCH(BD29,T_Equipos[NombreEquipo],0)))</f>
        <v>1</v>
      </c>
      <c r="CH29" s="734" t="str">
        <f ca="1">IF(COUNTIFS($CG$6:$CG$53,CG29,$BC$6:$BC$53,INDEX(T_Equipos[Grupo],MATCH(BD29,T_Equipos[NombreEquipo],0)))=1,"-","P."&amp;CG29&amp;" ("&amp;COUNTIFS($CG$6:$CG$53,CG29,$BC$6:$BC$53,INDEX(T_Equipos[Grupo],MATCH(BD29,T_Equipos[NombreEquipo],0)))&amp;")")</f>
        <v>P.1 (4)</v>
      </c>
      <c r="CI29" s="735">
        <f t="shared" ca="1" si="44"/>
        <v>0</v>
      </c>
      <c r="CJ29" s="735">
        <f t="shared" ca="1" si="45"/>
        <v>0</v>
      </c>
      <c r="CK29" s="735">
        <f t="shared" ca="1" si="46"/>
        <v>0</v>
      </c>
      <c r="CL29" s="735">
        <f t="shared" ca="1" si="47"/>
        <v>0</v>
      </c>
      <c r="CM29" s="735">
        <f ca="1">CG29+COUNTIFS($CH$6:$CH$53,CH29,$CL$6:CL$53,"&gt;"&amp;CL29,$BC$6:$BC$53,INDEX(T_Equipos[Grupo],MATCH(BD29,T_Equipos[NombreEquipo],0)))</f>
        <v>1</v>
      </c>
      <c r="CN29" s="734" t="str">
        <f ca="1">IF(COUNTIFS($CM$6:$CM$53,CM29,$BC$6:$BC$53,INDEX(T_Equipos[Grupo],MATCH(BD29,T_Equipos[NombreEquipo],0)))=1,"-","P."&amp;CM29&amp;" ("&amp;COUNTIFS($CM$6:$CM$53,CM29,$BC$6:$BC$53,INDEX(T_Equipos[Grupo],MATCH(BD29,T_Equipos[NombreEquipo],0)))&amp;")")</f>
        <v>P.1 (4)</v>
      </c>
      <c r="CO29" s="735">
        <f t="shared" ca="1" si="48"/>
        <v>0</v>
      </c>
      <c r="CP29" s="735">
        <f t="shared" ca="1" si="49"/>
        <v>0</v>
      </c>
      <c r="CQ29" s="735">
        <f t="shared" ca="1" si="50"/>
        <v>0</v>
      </c>
      <c r="CR29" s="735">
        <f ca="1">CM29+COUNTIFS($CN$6:$CN$53,CN29,$CQ$6:CQ$53,"&gt;"&amp;CQ29,$BC$6:$BC$53,INDEX(T_Equipos[Grupo],MATCH(BD29,T_Equipos[NombreEquipo],0)))</f>
        <v>1</v>
      </c>
      <c r="CS29" s="734" t="str">
        <f ca="1">IF(COUNTIFS($CR$6:$CR$53,CR29,$BC$6:$BC$53,INDEX(T_Equipos[Grupo],MATCH(BD29,T_Equipos[NombreEquipo],0)))=1,"-","P."&amp;CR29&amp;" ("&amp;COUNTIFS($CR$6:$CR$53,CR29,$BC$6:$BC$53,INDEX(T_Equipos[Grupo],MATCH(BD29,T_Equipos[NombreEquipo],0)))&amp;")")</f>
        <v>P.1 (4)</v>
      </c>
      <c r="CT29" s="735">
        <f t="shared" ca="1" si="51"/>
        <v>0</v>
      </c>
      <c r="CU29" s="735">
        <f ca="1">CR29+COUNTIFS($CS$6:$CS$53,CS29,$CT$6:CT$53,"&gt;"&amp;CT29,$BC$6:$BC$53,INDEX(T_Equipos[Grupo],MATCH(BD29,T_Equipos[NombreEquipo],0)))</f>
        <v>1</v>
      </c>
      <c r="CV29" s="734" t="str">
        <f ca="1">IF(COUNTIFS($CU$6:$CU$53,CU29,$BC$6:$BC$53,INDEX(T_Equipos[Grupo],MATCH(BD29,T_Equipos[NombreEquipo],0)))=1,"-","P."&amp;CU29&amp;" ("&amp;COUNTIFS($CU$6:$CU$53,CU29,$BC$6:$BC$53,INDEX(T_Equipos[Grupo],MATCH(BD29,T_Equipos[NombreEquipo],0)))&amp;")")</f>
        <v>P.1 (4)</v>
      </c>
      <c r="CW29" s="734">
        <f t="shared" ca="1" si="30"/>
        <v>0</v>
      </c>
      <c r="CX29" s="734">
        <f ca="1">CU29+COUNTIFS($CV$6:$CV$53,CV29,$CW$6:CW$53,"&gt;"&amp;CW29,$BC$6:$BC$53,INDEX(T_Equipos[Grupo],MATCH(BD29,T_Equipos[NombreEquipo],0)))</f>
        <v>1</v>
      </c>
      <c r="CY29" s="734" t="str">
        <f ca="1">IF(COUNTIFS($CX$6:$CX$53,CX29,$BC$6:$BC$53,INDEX(T_Equipos[Grupo],MATCH(BD29,T_Equipos[NombreEquipo],0)))=1,"-","P."&amp;CX29&amp;" ("&amp;COUNTIFS($CX$6:$CX$53,CX29,$BC$6:$BC$53,INDEX(T_Equipos[Grupo],MATCH(BD29,T_Equipos[NombreEquipo],0)))&amp;")")</f>
        <v>P.1 (4)</v>
      </c>
      <c r="CZ29" s="734">
        <f t="shared" ca="1" si="31"/>
        <v>0</v>
      </c>
      <c r="DA29" s="735">
        <f ca="1">CX29+COUNTIFS($CY$6:$CY$53,CY29,$CZ$6:CZ$53,"&gt;"&amp;CZ29,$BC$6:$BC$53,INDEX(T_Equipos[Grupo],MATCH(BD29,T_Equipos[NombreEquipo],0)))</f>
        <v>1</v>
      </c>
      <c r="DB29" s="734" t="str">
        <f ca="1">IF(COUNTIFS($DA$6:$DA$53,DA29,$BC$6:$BC$53,INDEX(T_Equipos[Grupo],MATCH(BD29,T_Equipos[NombreEquipo],0)))=1,"-","P."&amp;DA29&amp;" ("&amp;COUNTIFS($DA$6:$DA$53,DA29,$BC$6:$BC$53,INDEX(T_Equipos[Grupo],MATCH(BD29,T_Equipos[NombreEquipo],0)))&amp;")")</f>
        <v>P.1 (4)</v>
      </c>
      <c r="DC29" s="733">
        <f ca="1">IF(DB29="-","-",COUNTIFS(T_Equipos[Rank],"&lt;"&amp;INDEX(T_Equipos[Rank],MATCH(BD29,T_Equipos[NombreEquipo],0)),$BC$6:$BC$53,INDEX(T_Equipos[Grupo],MATCH(BD29,T_Equipos[NombreEquipo],0)))+1)</f>
        <v>4</v>
      </c>
      <c r="DD29" s="733">
        <f ca="1">DA29+COUNTIFS($DB$6:$DB$53,DB29,$DC$6:DC$53,"&lt;"&amp;DC29,$BC$6:$BC$53,INDEX(T_Equipos[Grupo],MATCH(BD29,T_Equipos[NombreEquipo],0)))</f>
        <v>4</v>
      </c>
      <c r="DE29" s="733"/>
      <c r="DF29" s="733">
        <f t="shared" ca="1" si="52"/>
        <v>4</v>
      </c>
      <c r="DG29" s="733">
        <f ca="1">IF(DB29="-","-",COUNTIFS(DF$6:DF$53,"&lt;"&amp;DF29,$BC$6:$BC$53,INDEX(T_Equipos[Grupo],MATCH(BD29,T_Equipos[NombreEquipo],0))))</f>
        <v>3</v>
      </c>
      <c r="DH29" s="733">
        <f ca="1">DA29+COUNTIFS(DB$6:DB$53,DB29,DG$6:DG$53,"&lt;"&amp;DG29,$BC$6:$BC$53,INDEX(T_Equipos[Grupo],MATCH(BD29,T_Equipos[NombreEquipo],0)))</f>
        <v>4</v>
      </c>
      <c r="DI29" s="721"/>
      <c r="DJ29" s="721">
        <f t="shared" ca="1" si="53"/>
        <v>1</v>
      </c>
      <c r="DK29" s="721">
        <f t="shared" ca="1" si="24"/>
        <v>0</v>
      </c>
      <c r="DL29" s="721">
        <f t="shared" ca="1" si="33"/>
        <v>1</v>
      </c>
      <c r="DM29" s="715" t="str">
        <f t="shared" ca="1" si="34"/>
        <v>1.1</v>
      </c>
      <c r="DN29" s="721" cm="1">
        <f t="array" aca="1" ref="DN29" ca="1">OFFSET(Horarios!$P$3,DJ29-1,0,DL29,1)</f>
        <v>1</v>
      </c>
      <c r="DO29" s="721"/>
      <c r="DP29" s="721" t="s">
        <v>666</v>
      </c>
      <c r="DQ29" s="721" t="str">
        <f t="shared" ca="1" si="35"/>
        <v>Túnez</v>
      </c>
      <c r="DR29" s="721"/>
      <c r="DS29" s="721"/>
      <c r="DT29" s="721" t="str">
        <f t="shared" ca="1" si="15"/>
        <v>Australia-Turquía</v>
      </c>
      <c r="DU29" s="721"/>
      <c r="DV29" s="721"/>
      <c r="DW29" s="8"/>
    </row>
    <row r="30" spans="1:127" ht="15.95" customHeight="1">
      <c r="A30" s="722" t="str">
        <f ca="1">+Equipos!B15</f>
        <v>Paraguay</v>
      </c>
      <c r="B30" s="719"/>
      <c r="C30" s="723"/>
      <c r="D30" s="721" t="str">
        <f t="shared" si="94"/>
        <v>Pendiente</v>
      </c>
      <c r="E30" s="721" t="str">
        <f t="shared" si="95"/>
        <v>-</v>
      </c>
      <c r="F30" s="721" t="str">
        <f t="shared" si="96"/>
        <v>-</v>
      </c>
      <c r="G30" s="721"/>
      <c r="H30" s="721" t="str">
        <f t="shared" si="97"/>
        <v>-</v>
      </c>
      <c r="I30" s="721" t="str">
        <f t="shared" si="98"/>
        <v>-</v>
      </c>
      <c r="J30" s="721"/>
      <c r="K30" s="721" t="str">
        <f t="shared" si="99"/>
        <v>-</v>
      </c>
      <c r="L30" s="721" t="str">
        <f t="shared" si="100"/>
        <v>-</v>
      </c>
      <c r="M30" s="721"/>
      <c r="N30" s="721" t="str">
        <f t="shared" si="101"/>
        <v>-</v>
      </c>
      <c r="O30" s="721" t="str">
        <f t="shared" si="102"/>
        <v>-</v>
      </c>
      <c r="P30" s="721"/>
      <c r="Q30" s="721" t="str">
        <f t="shared" si="103"/>
        <v>-</v>
      </c>
      <c r="R30" s="721" t="str">
        <f t="shared" si="104"/>
        <v>-</v>
      </c>
      <c r="S30" s="721"/>
      <c r="T30" s="721" t="str">
        <f t="shared" si="105"/>
        <v>-</v>
      </c>
      <c r="U30" s="721" t="str">
        <f t="shared" si="106"/>
        <v>-</v>
      </c>
      <c r="V30" s="162"/>
      <c r="W30" s="827"/>
      <c r="X30" s="179">
        <f ca="1">Horarios!C30</f>
        <v>46192.875</v>
      </c>
      <c r="Y30" s="180">
        <f ca="1">Horarios!C30</f>
        <v>46192.875</v>
      </c>
      <c r="Z30" s="181" t="str">
        <f>$Z$6</f>
        <v>J2</v>
      </c>
      <c r="AA30" s="182" t="str">
        <f ca="1">A29</f>
        <v>Estados Unidos</v>
      </c>
      <c r="AB30" s="457" t="str" cm="1">
        <f t="array" aca="1" ref="AB30" ca="1">Ver_flag_local</f>
        <v/>
      </c>
      <c r="AC30" s="183"/>
      <c r="AD30" s="184"/>
      <c r="AE30" s="462" t="str" cm="1">
        <f t="array" aca="1" ref="AE30" ca="1">Ver_flag_visit</f>
        <v/>
      </c>
      <c r="AF30" s="185" t="str">
        <f ca="1">A31</f>
        <v>Australia</v>
      </c>
      <c r="AG30" s="396">
        <f t="shared" si="107"/>
        <v>0</v>
      </c>
      <c r="AH30" s="186">
        <v>32</v>
      </c>
      <c r="AI30" s="15" t="str">
        <f>AJ30&amp;$B$28</f>
        <v>1D</v>
      </c>
      <c r="AJ30" s="201">
        <v>1</v>
      </c>
      <c r="AK30" s="467" t="str" cm="1">
        <f t="array" aca="1" ref="AK30" ca="1">Ver_flag_visit</f>
        <v/>
      </c>
      <c r="AL30" s="202" t="str">
        <f ca="1">IFERROR(INDEX($BD$6:$BD$53,MATCH(AI30,$BN$6:$BN$53,0)),"")</f>
        <v>Estados Unidos</v>
      </c>
      <c r="AM30" s="203">
        <f t="shared" ref="AM30:AT33" ca="1" si="111">INDEX($BE$6:$BN$53,MATCH($AL30,$BD$6:$BD$53,0),MATCH(AM$5,$BE$5:$BN$5,0))</f>
        <v>0</v>
      </c>
      <c r="AN30" s="204">
        <f t="shared" ca="1" si="111"/>
        <v>0</v>
      </c>
      <c r="AO30" s="204">
        <f t="shared" ca="1" si="111"/>
        <v>0</v>
      </c>
      <c r="AP30" s="204">
        <f t="shared" ca="1" si="111"/>
        <v>0</v>
      </c>
      <c r="AQ30" s="204">
        <f t="shared" ca="1" si="111"/>
        <v>0</v>
      </c>
      <c r="AR30" s="204">
        <f t="shared" ca="1" si="111"/>
        <v>0</v>
      </c>
      <c r="AS30" s="204">
        <f t="shared" ca="1" si="111"/>
        <v>0</v>
      </c>
      <c r="AT30" s="205">
        <f t="shared" ca="1" si="111"/>
        <v>0</v>
      </c>
      <c r="AU30" s="403">
        <f ca="1">INDEX($DL$6:$DL$53,MATCH(AI30,$DP$6:$DP$53,0))</f>
        <v>1</v>
      </c>
      <c r="AV30" s="207" t="str">
        <f ca="1">INDEX($BD$6:$BD$53,MATCH(AI30,$BM$6:$BM$53,0))</f>
        <v>Estados Unidos</v>
      </c>
      <c r="AW30" s="410"/>
      <c r="AX30" s="208"/>
      <c r="AY30" s="209" t="str">
        <f ca="1">+A29</f>
        <v>Estados Unidos</v>
      </c>
      <c r="AZ30" s="210"/>
      <c r="BA30" s="165"/>
      <c r="BB30" s="721"/>
      <c r="BC30" s="733" t="str">
        <f ca="1">+INDEX(T_Equipos[Grupo],MATCH(WORLDCUP!BD30,T_Equipos[NombreEquipo],0))</f>
        <v>G</v>
      </c>
      <c r="BD30" s="721" t="str">
        <f ca="1">+Equipos!B26</f>
        <v>Bélgica</v>
      </c>
      <c r="BE30" s="725">
        <f t="shared" ca="1" si="25"/>
        <v>0</v>
      </c>
      <c r="BF30" s="725">
        <f t="shared" ca="1" si="26"/>
        <v>0</v>
      </c>
      <c r="BG30" s="725">
        <f t="shared" ca="1" si="17"/>
        <v>0</v>
      </c>
      <c r="BH30" s="725">
        <f t="shared" ca="1" si="18"/>
        <v>0</v>
      </c>
      <c r="BI30" s="725">
        <f t="shared" ca="1" si="19"/>
        <v>0</v>
      </c>
      <c r="BJ30" s="725">
        <f t="shared" ca="1" si="20"/>
        <v>0</v>
      </c>
      <c r="BK30" s="725">
        <f t="shared" ca="1" si="21"/>
        <v>0</v>
      </c>
      <c r="BL30" s="725">
        <f t="shared" ca="1" si="27"/>
        <v>0</v>
      </c>
      <c r="BM30" s="725" t="str">
        <f t="shared" ca="1" si="22"/>
        <v>1G</v>
      </c>
      <c r="BN30" s="725" t="str">
        <f t="shared" ca="1" si="23"/>
        <v>1G</v>
      </c>
      <c r="BO30" s="734">
        <f t="shared" ca="1" si="28"/>
        <v>0</v>
      </c>
      <c r="BP30" s="734">
        <f ca="1">COUNTIFS($BO$6:$BO$53,"&gt;"&amp;BO30,$BC$6:$BC$53,INDEX(T_Equipos[Grupo],MATCH(BD30,T_Equipos[NombreEquipo],0)))+1</f>
        <v>1</v>
      </c>
      <c r="BQ30" s="734" t="str">
        <f ca="1">IF(COUNTIFS($BP$6:$BP$53,BP30,$BC$6:$BC$53,INDEX(T_Equipos[Grupo],MATCH(BD30,T_Equipos[NombreEquipo],0)))=1,"-","P."&amp;BP30&amp;" ("&amp;COUNTIFS($BP$6:$BP$53,BP30,$BC$6:$BC$53,INDEX(T_Equipos[Grupo],MATCH(BD30,T_Equipos[NombreEquipo],0)))&amp;")")</f>
        <v>P.1 (4)</v>
      </c>
      <c r="BR30" s="734">
        <f t="shared" ca="1" si="29"/>
        <v>0</v>
      </c>
      <c r="BS30" s="734">
        <f ca="1">BP30+COUNTIFS($BQ$6:$BQ$53,BQ30,$BR$6:BR$53,"&gt;"&amp;BR30,$BC$6:$BC$53,INDEX(T_Equipos[Grupo],MATCH(BD30,T_Equipos[NombreEquipo],0)))</f>
        <v>1</v>
      </c>
      <c r="BT30" s="734" t="str">
        <f ca="1">IF(COUNTIFS($BS$6:$BS$53,BS30,$BC$6:$BC$53,INDEX(T_Equipos[Grupo],MATCH(BD30,T_Equipos[NombreEquipo],0)))=1,"-","P."&amp;BS30&amp;" ("&amp;COUNTIFS($BS$6:$BS$53,BS30,$BC$6:$BC$53,INDEX(T_Equipos[Grupo],MATCH(BD30,T_Equipos[NombreEquipo],0)))&amp;")")</f>
        <v>P.1 (4)</v>
      </c>
      <c r="BU30" s="735">
        <f t="shared" ca="1" si="36"/>
        <v>0</v>
      </c>
      <c r="BV30" s="735">
        <f t="shared" ca="1" si="37"/>
        <v>0</v>
      </c>
      <c r="BW30" s="735">
        <f t="shared" ca="1" si="38"/>
        <v>0</v>
      </c>
      <c r="BX30" s="735">
        <f t="shared" ca="1" si="39"/>
        <v>0</v>
      </c>
      <c r="BY30" s="735">
        <f ca="1">BS30+COUNTIFS($BT$6:$BT$53,BT30,$BX$6:BX$53,"&gt;"&amp;BX30,$BC$6:$BC$53,INDEX(T_Equipos[Grupo],MATCH(BD30,T_Equipos[NombreEquipo],0)))</f>
        <v>1</v>
      </c>
      <c r="BZ30" s="734" t="str">
        <f ca="1">IF(COUNTIFS($BY$6:$BY$53,BY30,$BC$6:$BC$53,INDEX(T_Equipos[Grupo],MATCH(BD30,T_Equipos[NombreEquipo],0)))=1,"-","P."&amp;BY30&amp;" ("&amp;COUNTIFS($BY$6:$BY$53,BY30,$BC$6:$BC$53,INDEX(T_Equipos[Grupo],MATCH(BD30,T_Equipos[NombreEquipo],0)))&amp;")")</f>
        <v>P.1 (4)</v>
      </c>
      <c r="CA30" s="735">
        <f t="shared" ca="1" si="40"/>
        <v>0</v>
      </c>
      <c r="CB30" s="735">
        <f t="shared" ca="1" si="41"/>
        <v>0</v>
      </c>
      <c r="CC30" s="735">
        <f t="shared" ca="1" si="42"/>
        <v>0</v>
      </c>
      <c r="CD30" s="735">
        <f ca="1">BY30+COUNTIFS($BZ$6:$BZ$53,BZ30,$CC$6:CC$53,"&gt;"&amp;CC30,$BC$6:$BC$53,INDEX(T_Equipos[Grupo],MATCH(BD30,T_Equipos[NombreEquipo],0)))</f>
        <v>1</v>
      </c>
      <c r="CE30" s="734" t="str">
        <f ca="1">IF(COUNTIFS($CD$6:$CD$53,CD30,$BC$6:$BC$53,INDEX(T_Equipos[Grupo],MATCH(BD30,T_Equipos[NombreEquipo],0)))=1,"-","P."&amp;CD30&amp;" ("&amp;COUNTIFS($CD$6:$CD$53,CD30,$BC$6:$BC$53,INDEX(T_Equipos[Grupo],MATCH(BD30,T_Equipos[NombreEquipo],0)))&amp;")")</f>
        <v>P.1 (4)</v>
      </c>
      <c r="CF30" s="735">
        <f t="shared" ca="1" si="43"/>
        <v>0</v>
      </c>
      <c r="CG30" s="735">
        <f ca="1">CD30+COUNTIFS($CE$6:$CE$53,CE30,$CF$6:CF$53,"&gt;"&amp;CF30,$BC$6:$BC$53,INDEX(T_Equipos[Grupo],MATCH(BD30,T_Equipos[NombreEquipo],0)))</f>
        <v>1</v>
      </c>
      <c r="CH30" s="734" t="str">
        <f ca="1">IF(COUNTIFS($CG$6:$CG$53,CG30,$BC$6:$BC$53,INDEX(T_Equipos[Grupo],MATCH(BD30,T_Equipos[NombreEquipo],0)))=1,"-","P."&amp;CG30&amp;" ("&amp;COUNTIFS($CG$6:$CG$53,CG30,$BC$6:$BC$53,INDEX(T_Equipos[Grupo],MATCH(BD30,T_Equipos[NombreEquipo],0)))&amp;")")</f>
        <v>P.1 (4)</v>
      </c>
      <c r="CI30" s="735">
        <f t="shared" ca="1" si="44"/>
        <v>0</v>
      </c>
      <c r="CJ30" s="735">
        <f t="shared" ca="1" si="45"/>
        <v>0</v>
      </c>
      <c r="CK30" s="735">
        <f t="shared" ca="1" si="46"/>
        <v>0</v>
      </c>
      <c r="CL30" s="735">
        <f t="shared" ca="1" si="47"/>
        <v>0</v>
      </c>
      <c r="CM30" s="735">
        <f ca="1">CG30+COUNTIFS($CH$6:$CH$53,CH30,$CL$6:CL$53,"&gt;"&amp;CL30,$BC$6:$BC$53,INDEX(T_Equipos[Grupo],MATCH(BD30,T_Equipos[NombreEquipo],0)))</f>
        <v>1</v>
      </c>
      <c r="CN30" s="734" t="str">
        <f ca="1">IF(COUNTIFS($CM$6:$CM$53,CM30,$BC$6:$BC$53,INDEX(T_Equipos[Grupo],MATCH(BD30,T_Equipos[NombreEquipo],0)))=1,"-","P."&amp;CM30&amp;" ("&amp;COUNTIFS($CM$6:$CM$53,CM30,$BC$6:$BC$53,INDEX(T_Equipos[Grupo],MATCH(BD30,T_Equipos[NombreEquipo],0)))&amp;")")</f>
        <v>P.1 (4)</v>
      </c>
      <c r="CO30" s="735">
        <f t="shared" ca="1" si="48"/>
        <v>0</v>
      </c>
      <c r="CP30" s="735">
        <f t="shared" ca="1" si="49"/>
        <v>0</v>
      </c>
      <c r="CQ30" s="735">
        <f t="shared" ca="1" si="50"/>
        <v>0</v>
      </c>
      <c r="CR30" s="735">
        <f ca="1">CM30+COUNTIFS($CN$6:$CN$53,CN30,$CQ$6:CQ$53,"&gt;"&amp;CQ30,$BC$6:$BC$53,INDEX(T_Equipos[Grupo],MATCH(BD30,T_Equipos[NombreEquipo],0)))</f>
        <v>1</v>
      </c>
      <c r="CS30" s="734" t="str">
        <f ca="1">IF(COUNTIFS($CR$6:$CR$53,CR30,$BC$6:$BC$53,INDEX(T_Equipos[Grupo],MATCH(BD30,T_Equipos[NombreEquipo],0)))=1,"-","P."&amp;CR30&amp;" ("&amp;COUNTIFS($CR$6:$CR$53,CR30,$BC$6:$BC$53,INDEX(T_Equipos[Grupo],MATCH(BD30,T_Equipos[NombreEquipo],0)))&amp;")")</f>
        <v>P.1 (4)</v>
      </c>
      <c r="CT30" s="735">
        <f t="shared" ca="1" si="51"/>
        <v>0</v>
      </c>
      <c r="CU30" s="735">
        <f ca="1">CR30+COUNTIFS($CS$6:$CS$53,CS30,$CT$6:CT$53,"&gt;"&amp;CT30,$BC$6:$BC$53,INDEX(T_Equipos[Grupo],MATCH(BD30,T_Equipos[NombreEquipo],0)))</f>
        <v>1</v>
      </c>
      <c r="CV30" s="734" t="str">
        <f ca="1">IF(COUNTIFS($CU$6:$CU$53,CU30,$BC$6:$BC$53,INDEX(T_Equipos[Grupo],MATCH(BD30,T_Equipos[NombreEquipo],0)))=1,"-","P."&amp;CU30&amp;" ("&amp;COUNTIFS($CU$6:$CU$53,CU30,$BC$6:$BC$53,INDEX(T_Equipos[Grupo],MATCH(BD30,T_Equipos[NombreEquipo],0)))&amp;")")</f>
        <v>P.1 (4)</v>
      </c>
      <c r="CW30" s="734">
        <f t="shared" ca="1" si="30"/>
        <v>0</v>
      </c>
      <c r="CX30" s="734">
        <f ca="1">CU30+COUNTIFS($CV$6:$CV$53,CV30,$CW$6:CW$53,"&gt;"&amp;CW30,$BC$6:$BC$53,INDEX(T_Equipos[Grupo],MATCH(BD30,T_Equipos[NombreEquipo],0)))</f>
        <v>1</v>
      </c>
      <c r="CY30" s="734" t="str">
        <f ca="1">IF(COUNTIFS($CX$6:$CX$53,CX30,$BC$6:$BC$53,INDEX(T_Equipos[Grupo],MATCH(BD30,T_Equipos[NombreEquipo],0)))=1,"-","P."&amp;CX30&amp;" ("&amp;COUNTIFS($CX$6:$CX$53,CX30,$BC$6:$BC$53,INDEX(T_Equipos[Grupo],MATCH(BD30,T_Equipos[NombreEquipo],0)))&amp;")")</f>
        <v>P.1 (4)</v>
      </c>
      <c r="CZ30" s="734">
        <f t="shared" ca="1" si="31"/>
        <v>0</v>
      </c>
      <c r="DA30" s="735">
        <f ca="1">CX30+COUNTIFS($CY$6:$CY$53,CY30,$CZ$6:CZ$53,"&gt;"&amp;CZ30,$BC$6:$BC$53,INDEX(T_Equipos[Grupo],MATCH(BD30,T_Equipos[NombreEquipo],0)))</f>
        <v>1</v>
      </c>
      <c r="DB30" s="734" t="str">
        <f ca="1">IF(COUNTIFS($DA$6:$DA$53,DA30,$BC$6:$BC$53,INDEX(T_Equipos[Grupo],MATCH(BD30,T_Equipos[NombreEquipo],0)))=1,"-","P."&amp;DA30&amp;" ("&amp;COUNTIFS($DA$6:$DA$53,DA30,$BC$6:$BC$53,INDEX(T_Equipos[Grupo],MATCH(BD30,T_Equipos[NombreEquipo],0)))&amp;")")</f>
        <v>P.1 (4)</v>
      </c>
      <c r="DC30" s="733">
        <f ca="1">IF(DB30="-","-",COUNTIFS(T_Equipos[Rank],"&lt;"&amp;INDEX(T_Equipos[Rank],MATCH(BD30,T_Equipos[NombreEquipo],0)),$BC$6:$BC$53,INDEX(T_Equipos[Grupo],MATCH(BD30,T_Equipos[NombreEquipo],0)))+1)</f>
        <v>1</v>
      </c>
      <c r="DD30" s="733">
        <f ca="1">DA30+COUNTIFS($DB$6:$DB$53,DB30,$DC$6:DC$53,"&lt;"&amp;DC30,$BC$6:$BC$53,INDEX(T_Equipos[Grupo],MATCH(BD30,T_Equipos[NombreEquipo],0)))</f>
        <v>1</v>
      </c>
      <c r="DE30" s="733"/>
      <c r="DF30" s="733">
        <f t="shared" ca="1" si="52"/>
        <v>1</v>
      </c>
      <c r="DG30" s="733">
        <f ca="1">IF(DB30="-","-",COUNTIFS(DF$6:DF$53,"&lt;"&amp;DF30,$BC$6:$BC$53,INDEX(T_Equipos[Grupo],MATCH(BD30,T_Equipos[NombreEquipo],0))))</f>
        <v>0</v>
      </c>
      <c r="DH30" s="733">
        <f ca="1">DA30+COUNTIFS(DB$6:DB$53,DB30,DG$6:DG$53,"&lt;"&amp;DG30,$BC$6:$BC$53,INDEX(T_Equipos[Grupo],MATCH(BD30,T_Equipos[NombreEquipo],0)))</f>
        <v>1</v>
      </c>
      <c r="DI30" s="721"/>
      <c r="DJ30" s="721">
        <f t="shared" ca="1" si="53"/>
        <v>1</v>
      </c>
      <c r="DK30" s="721">
        <f t="shared" ca="1" si="24"/>
        <v>0</v>
      </c>
      <c r="DL30" s="721">
        <f t="shared" ca="1" si="33"/>
        <v>1</v>
      </c>
      <c r="DM30" s="715" t="str">
        <f t="shared" ca="1" si="34"/>
        <v>1.1</v>
      </c>
      <c r="DN30" s="721" cm="1">
        <f t="array" aca="1" ref="DN30" ca="1">OFFSET(Horarios!$P$3,DJ30-1,0,DL30,1)</f>
        <v>1</v>
      </c>
      <c r="DO30" s="721"/>
      <c r="DP30" s="721" t="s">
        <v>667</v>
      </c>
      <c r="DQ30" s="721" t="str">
        <f t="shared" ca="1" si="35"/>
        <v>Bélgica</v>
      </c>
      <c r="DR30" s="721"/>
      <c r="DS30" s="721"/>
      <c r="DT30" s="721" t="str">
        <f t="shared" ca="1" si="15"/>
        <v>Estados Unidos-Australia</v>
      </c>
      <c r="DU30" s="721"/>
      <c r="DV30" s="721"/>
      <c r="DW30" s="8"/>
    </row>
    <row r="31" spans="1:127" ht="15.95" customHeight="1">
      <c r="A31" s="722" t="str">
        <f ca="1">+Equipos!B16</f>
        <v>Australia</v>
      </c>
      <c r="B31" s="719"/>
      <c r="C31" s="721"/>
      <c r="D31" s="721" t="str">
        <f t="shared" si="94"/>
        <v>Pendiente</v>
      </c>
      <c r="E31" s="721" t="str">
        <f t="shared" si="95"/>
        <v>-</v>
      </c>
      <c r="F31" s="721" t="str">
        <f t="shared" si="96"/>
        <v>-</v>
      </c>
      <c r="G31" s="721"/>
      <c r="H31" s="721" t="str">
        <f t="shared" si="97"/>
        <v>-</v>
      </c>
      <c r="I31" s="721" t="str">
        <f t="shared" si="98"/>
        <v>-</v>
      </c>
      <c r="J31" s="721"/>
      <c r="K31" s="721" t="str">
        <f t="shared" si="99"/>
        <v>-</v>
      </c>
      <c r="L31" s="721" t="str">
        <f t="shared" si="100"/>
        <v>-</v>
      </c>
      <c r="M31" s="721"/>
      <c r="N31" s="721" t="str">
        <f t="shared" si="101"/>
        <v>-</v>
      </c>
      <c r="O31" s="721" t="str">
        <f t="shared" si="102"/>
        <v>-</v>
      </c>
      <c r="P31" s="721"/>
      <c r="Q31" s="721" t="str">
        <f t="shared" si="103"/>
        <v>-</v>
      </c>
      <c r="R31" s="721" t="str">
        <f t="shared" si="104"/>
        <v>-</v>
      </c>
      <c r="S31" s="721"/>
      <c r="T31" s="721" t="str">
        <f t="shared" si="105"/>
        <v>-</v>
      </c>
      <c r="U31" s="721" t="str">
        <f t="shared" si="106"/>
        <v>-</v>
      </c>
      <c r="V31" s="162"/>
      <c r="W31" s="827"/>
      <c r="X31" s="179">
        <f ca="1">Horarios!C31</f>
        <v>46193.208333333336</v>
      </c>
      <c r="Y31" s="180">
        <f ca="1">Horarios!C31</f>
        <v>46193.208333333336</v>
      </c>
      <c r="Z31" s="181" t="str">
        <f>$Z$6</f>
        <v>J2</v>
      </c>
      <c r="AA31" s="182" t="str">
        <f ca="1">A32</f>
        <v>Turquía</v>
      </c>
      <c r="AB31" s="457" t="str" cm="1">
        <f t="array" aca="1" ref="AB31" ca="1">Ver_flag_local</f>
        <v/>
      </c>
      <c r="AC31" s="183"/>
      <c r="AD31" s="184"/>
      <c r="AE31" s="462" t="str" cm="1">
        <f t="array" aca="1" ref="AE31" ca="1">Ver_flag_visit</f>
        <v/>
      </c>
      <c r="AF31" s="185" t="str">
        <f ca="1">A30</f>
        <v>Paraguay</v>
      </c>
      <c r="AG31" s="396">
        <f t="shared" si="107"/>
        <v>0</v>
      </c>
      <c r="AH31" s="186">
        <v>31</v>
      </c>
      <c r="AI31" s="15" t="str">
        <f t="shared" ref="AI31:AI33" si="112">AJ31&amp;$B$28</f>
        <v>2D</v>
      </c>
      <c r="AJ31" s="211">
        <v>2</v>
      </c>
      <c r="AK31" s="465" t="str" cm="1">
        <f t="array" aca="1" ref="AK31" ca="1">Ver_flag_visit</f>
        <v/>
      </c>
      <c r="AL31" s="212" t="str">
        <f ca="1">IFERROR(INDEX($BD$6:$BD$53,MATCH(AI31,$BN$6:$BN$53,0)),"")</f>
        <v>Paraguay</v>
      </c>
      <c r="AM31" s="213">
        <f t="shared" ca="1" si="111"/>
        <v>0</v>
      </c>
      <c r="AN31" s="214">
        <f t="shared" ca="1" si="111"/>
        <v>0</v>
      </c>
      <c r="AO31" s="214">
        <f t="shared" ca="1" si="111"/>
        <v>0</v>
      </c>
      <c r="AP31" s="214">
        <f t="shared" ca="1" si="111"/>
        <v>0</v>
      </c>
      <c r="AQ31" s="214">
        <f t="shared" ca="1" si="111"/>
        <v>0</v>
      </c>
      <c r="AR31" s="214">
        <f t="shared" ca="1" si="111"/>
        <v>0</v>
      </c>
      <c r="AS31" s="214">
        <f t="shared" ca="1" si="111"/>
        <v>0</v>
      </c>
      <c r="AT31" s="215">
        <f t="shared" ca="1" si="111"/>
        <v>0</v>
      </c>
      <c r="AU31" s="403">
        <f ca="1">INDEX($DL$6:$DL$53,MATCH(AI31,$DP$6:$DP$53,0))</f>
        <v>1</v>
      </c>
      <c r="AV31" s="207" t="str">
        <f ca="1">INDEX($BD$6:$BD$53,MATCH(AI31,$BM$6:$BM$53,0))</f>
        <v>Paraguay</v>
      </c>
      <c r="AW31" s="410"/>
      <c r="AX31" s="208"/>
      <c r="AY31" s="216" t="str">
        <f ca="1">+A30</f>
        <v>Paraguay</v>
      </c>
      <c r="AZ31" s="217"/>
      <c r="BA31" s="165"/>
      <c r="BB31" s="721"/>
      <c r="BC31" s="733" t="str">
        <f ca="1">+INDEX(T_Equipos[Grupo],MATCH(WORLDCUP!BD31,T_Equipos[NombreEquipo],0))</f>
        <v>G</v>
      </c>
      <c r="BD31" s="721" t="str">
        <f ca="1">+Equipos!B27</f>
        <v>Egipto</v>
      </c>
      <c r="BE31" s="725">
        <f t="shared" ca="1" si="25"/>
        <v>0</v>
      </c>
      <c r="BF31" s="725">
        <f t="shared" ca="1" si="26"/>
        <v>0</v>
      </c>
      <c r="BG31" s="725">
        <f t="shared" ca="1" si="17"/>
        <v>0</v>
      </c>
      <c r="BH31" s="725">
        <f t="shared" ca="1" si="18"/>
        <v>0</v>
      </c>
      <c r="BI31" s="725">
        <f t="shared" ca="1" si="19"/>
        <v>0</v>
      </c>
      <c r="BJ31" s="725">
        <f t="shared" ca="1" si="20"/>
        <v>0</v>
      </c>
      <c r="BK31" s="725">
        <f t="shared" ca="1" si="21"/>
        <v>0</v>
      </c>
      <c r="BL31" s="725">
        <f t="shared" ca="1" si="27"/>
        <v>0</v>
      </c>
      <c r="BM31" s="725" t="str">
        <f t="shared" ca="1" si="22"/>
        <v>2G</v>
      </c>
      <c r="BN31" s="725" t="str">
        <f t="shared" ca="1" si="23"/>
        <v>2G</v>
      </c>
      <c r="BO31" s="734">
        <f t="shared" ca="1" si="28"/>
        <v>0</v>
      </c>
      <c r="BP31" s="734">
        <f ca="1">COUNTIFS($BO$6:$BO$53,"&gt;"&amp;BO31,$BC$6:$BC$53,INDEX(T_Equipos[Grupo],MATCH(BD31,T_Equipos[NombreEquipo],0)))+1</f>
        <v>1</v>
      </c>
      <c r="BQ31" s="734" t="str">
        <f ca="1">IF(COUNTIFS($BP$6:$BP$53,BP31,$BC$6:$BC$53,INDEX(T_Equipos[Grupo],MATCH(BD31,T_Equipos[NombreEquipo],0)))=1,"-","P."&amp;BP31&amp;" ("&amp;COUNTIFS($BP$6:$BP$53,BP31,$BC$6:$BC$53,INDEX(T_Equipos[Grupo],MATCH(BD31,T_Equipos[NombreEquipo],0)))&amp;")")</f>
        <v>P.1 (4)</v>
      </c>
      <c r="BR31" s="734">
        <f t="shared" ca="1" si="29"/>
        <v>0</v>
      </c>
      <c r="BS31" s="734">
        <f ca="1">BP31+COUNTIFS($BQ$6:$BQ$53,BQ31,$BR$6:BR$53,"&gt;"&amp;BR31,$BC$6:$BC$53,INDEX(T_Equipos[Grupo],MATCH(BD31,T_Equipos[NombreEquipo],0)))</f>
        <v>1</v>
      </c>
      <c r="BT31" s="734" t="str">
        <f ca="1">IF(COUNTIFS($BS$6:$BS$53,BS31,$BC$6:$BC$53,INDEX(T_Equipos[Grupo],MATCH(BD31,T_Equipos[NombreEquipo],0)))=1,"-","P."&amp;BS31&amp;" ("&amp;COUNTIFS($BS$6:$BS$53,BS31,$BC$6:$BC$53,INDEX(T_Equipos[Grupo],MATCH(BD31,T_Equipos[NombreEquipo],0)))&amp;")")</f>
        <v>P.1 (4)</v>
      </c>
      <c r="BU31" s="735">
        <f t="shared" ca="1" si="36"/>
        <v>0</v>
      </c>
      <c r="BV31" s="735">
        <f t="shared" ca="1" si="37"/>
        <v>0</v>
      </c>
      <c r="BW31" s="735">
        <f t="shared" ca="1" si="38"/>
        <v>0</v>
      </c>
      <c r="BX31" s="735">
        <f t="shared" ca="1" si="39"/>
        <v>0</v>
      </c>
      <c r="BY31" s="735">
        <f ca="1">BS31+COUNTIFS($BT$6:$BT$53,BT31,$BX$6:BX$53,"&gt;"&amp;BX31,$BC$6:$BC$53,INDEX(T_Equipos[Grupo],MATCH(BD31,T_Equipos[NombreEquipo],0)))</f>
        <v>1</v>
      </c>
      <c r="BZ31" s="734" t="str">
        <f ca="1">IF(COUNTIFS($BY$6:$BY$53,BY31,$BC$6:$BC$53,INDEX(T_Equipos[Grupo],MATCH(BD31,T_Equipos[NombreEquipo],0)))=1,"-","P."&amp;BY31&amp;" ("&amp;COUNTIFS($BY$6:$BY$53,BY31,$BC$6:$BC$53,INDEX(T_Equipos[Grupo],MATCH(BD31,T_Equipos[NombreEquipo],0)))&amp;")")</f>
        <v>P.1 (4)</v>
      </c>
      <c r="CA31" s="735">
        <f t="shared" ca="1" si="40"/>
        <v>0</v>
      </c>
      <c r="CB31" s="735">
        <f t="shared" ca="1" si="41"/>
        <v>0</v>
      </c>
      <c r="CC31" s="735">
        <f t="shared" ca="1" si="42"/>
        <v>0</v>
      </c>
      <c r="CD31" s="735">
        <f ca="1">BY31+COUNTIFS($BZ$6:$BZ$53,BZ31,$CC$6:CC$53,"&gt;"&amp;CC31,$BC$6:$BC$53,INDEX(T_Equipos[Grupo],MATCH(BD31,T_Equipos[NombreEquipo],0)))</f>
        <v>1</v>
      </c>
      <c r="CE31" s="734" t="str">
        <f ca="1">IF(COUNTIFS($CD$6:$CD$53,CD31,$BC$6:$BC$53,INDEX(T_Equipos[Grupo],MATCH(BD31,T_Equipos[NombreEquipo],0)))=1,"-","P."&amp;CD31&amp;" ("&amp;COUNTIFS($CD$6:$CD$53,CD31,$BC$6:$BC$53,INDEX(T_Equipos[Grupo],MATCH(BD31,T_Equipos[NombreEquipo],0)))&amp;")")</f>
        <v>P.1 (4)</v>
      </c>
      <c r="CF31" s="735">
        <f t="shared" ca="1" si="43"/>
        <v>0</v>
      </c>
      <c r="CG31" s="735">
        <f ca="1">CD31+COUNTIFS($CE$6:$CE$53,CE31,$CF$6:CF$53,"&gt;"&amp;CF31,$BC$6:$BC$53,INDEX(T_Equipos[Grupo],MATCH(BD31,T_Equipos[NombreEquipo],0)))</f>
        <v>1</v>
      </c>
      <c r="CH31" s="734" t="str">
        <f ca="1">IF(COUNTIFS($CG$6:$CG$53,CG31,$BC$6:$BC$53,INDEX(T_Equipos[Grupo],MATCH(BD31,T_Equipos[NombreEquipo],0)))=1,"-","P."&amp;CG31&amp;" ("&amp;COUNTIFS($CG$6:$CG$53,CG31,$BC$6:$BC$53,INDEX(T_Equipos[Grupo],MATCH(BD31,T_Equipos[NombreEquipo],0)))&amp;")")</f>
        <v>P.1 (4)</v>
      </c>
      <c r="CI31" s="735">
        <f t="shared" ca="1" si="44"/>
        <v>0</v>
      </c>
      <c r="CJ31" s="735">
        <f t="shared" ca="1" si="45"/>
        <v>0</v>
      </c>
      <c r="CK31" s="735">
        <f t="shared" ca="1" si="46"/>
        <v>0</v>
      </c>
      <c r="CL31" s="735">
        <f t="shared" ca="1" si="47"/>
        <v>0</v>
      </c>
      <c r="CM31" s="735">
        <f ca="1">CG31+COUNTIFS($CH$6:$CH$53,CH31,$CL$6:CL$53,"&gt;"&amp;CL31,$BC$6:$BC$53,INDEX(T_Equipos[Grupo],MATCH(BD31,T_Equipos[NombreEquipo],0)))</f>
        <v>1</v>
      </c>
      <c r="CN31" s="734" t="str">
        <f ca="1">IF(COUNTIFS($CM$6:$CM$53,CM31,$BC$6:$BC$53,INDEX(T_Equipos[Grupo],MATCH(BD31,T_Equipos[NombreEquipo],0)))=1,"-","P."&amp;CM31&amp;" ("&amp;COUNTIFS($CM$6:$CM$53,CM31,$BC$6:$BC$53,INDEX(T_Equipos[Grupo],MATCH(BD31,T_Equipos[NombreEquipo],0)))&amp;")")</f>
        <v>P.1 (4)</v>
      </c>
      <c r="CO31" s="735">
        <f t="shared" ca="1" si="48"/>
        <v>0</v>
      </c>
      <c r="CP31" s="735">
        <f t="shared" ca="1" si="49"/>
        <v>0</v>
      </c>
      <c r="CQ31" s="735">
        <f t="shared" ca="1" si="50"/>
        <v>0</v>
      </c>
      <c r="CR31" s="735">
        <f ca="1">CM31+COUNTIFS($CN$6:$CN$53,CN31,$CQ$6:CQ$53,"&gt;"&amp;CQ31,$BC$6:$BC$53,INDEX(T_Equipos[Grupo],MATCH(BD31,T_Equipos[NombreEquipo],0)))</f>
        <v>1</v>
      </c>
      <c r="CS31" s="734" t="str">
        <f ca="1">IF(COUNTIFS($CR$6:$CR$53,CR31,$BC$6:$BC$53,INDEX(T_Equipos[Grupo],MATCH(BD31,T_Equipos[NombreEquipo],0)))=1,"-","P."&amp;CR31&amp;" ("&amp;COUNTIFS($CR$6:$CR$53,CR31,$BC$6:$BC$53,INDEX(T_Equipos[Grupo],MATCH(BD31,T_Equipos[NombreEquipo],0)))&amp;")")</f>
        <v>P.1 (4)</v>
      </c>
      <c r="CT31" s="735">
        <f t="shared" ca="1" si="51"/>
        <v>0</v>
      </c>
      <c r="CU31" s="735">
        <f ca="1">CR31+COUNTIFS($CS$6:$CS$53,CS31,$CT$6:CT$53,"&gt;"&amp;CT31,$BC$6:$BC$53,INDEX(T_Equipos[Grupo],MATCH(BD31,T_Equipos[NombreEquipo],0)))</f>
        <v>1</v>
      </c>
      <c r="CV31" s="734" t="str">
        <f ca="1">IF(COUNTIFS($CU$6:$CU$53,CU31,$BC$6:$BC$53,INDEX(T_Equipos[Grupo],MATCH(BD31,T_Equipos[NombreEquipo],0)))=1,"-","P."&amp;CU31&amp;" ("&amp;COUNTIFS($CU$6:$CU$53,CU31,$BC$6:$BC$53,INDEX(T_Equipos[Grupo],MATCH(BD31,T_Equipos[NombreEquipo],0)))&amp;")")</f>
        <v>P.1 (4)</v>
      </c>
      <c r="CW31" s="734">
        <f t="shared" ca="1" si="30"/>
        <v>0</v>
      </c>
      <c r="CX31" s="734">
        <f ca="1">CU31+COUNTIFS($CV$6:$CV$53,CV31,$CW$6:CW$53,"&gt;"&amp;CW31,$BC$6:$BC$53,INDEX(T_Equipos[Grupo],MATCH(BD31,T_Equipos[NombreEquipo],0)))</f>
        <v>1</v>
      </c>
      <c r="CY31" s="734" t="str">
        <f ca="1">IF(COUNTIFS($CX$6:$CX$53,CX31,$BC$6:$BC$53,INDEX(T_Equipos[Grupo],MATCH(BD31,T_Equipos[NombreEquipo],0)))=1,"-","P."&amp;CX31&amp;" ("&amp;COUNTIFS($CX$6:$CX$53,CX31,$BC$6:$BC$53,INDEX(T_Equipos[Grupo],MATCH(BD31,T_Equipos[NombreEquipo],0)))&amp;")")</f>
        <v>P.1 (4)</v>
      </c>
      <c r="CZ31" s="734">
        <f t="shared" ca="1" si="31"/>
        <v>0</v>
      </c>
      <c r="DA31" s="735">
        <f ca="1">CX31+COUNTIFS($CY$6:$CY$53,CY31,$CZ$6:CZ$53,"&gt;"&amp;CZ31,$BC$6:$BC$53,INDEX(T_Equipos[Grupo],MATCH(BD31,T_Equipos[NombreEquipo],0)))</f>
        <v>1</v>
      </c>
      <c r="DB31" s="734" t="str">
        <f ca="1">IF(COUNTIFS($DA$6:$DA$53,DA31,$BC$6:$BC$53,INDEX(T_Equipos[Grupo],MATCH(BD31,T_Equipos[NombreEquipo],0)))=1,"-","P."&amp;DA31&amp;" ("&amp;COUNTIFS($DA$6:$DA$53,DA31,$BC$6:$BC$53,INDEX(T_Equipos[Grupo],MATCH(BD31,T_Equipos[NombreEquipo],0)))&amp;")")</f>
        <v>P.1 (4)</v>
      </c>
      <c r="DC31" s="733">
        <f ca="1">IF(DB31="-","-",COUNTIFS(T_Equipos[Rank],"&lt;"&amp;INDEX(T_Equipos[Rank],MATCH(BD31,T_Equipos[NombreEquipo],0)),$BC$6:$BC$53,INDEX(T_Equipos[Grupo],MATCH(BD31,T_Equipos[NombreEquipo],0)))+1)</f>
        <v>2</v>
      </c>
      <c r="DD31" s="733">
        <f ca="1">DA31+COUNTIFS($DB$6:$DB$53,DB31,$DC$6:DC$53,"&lt;"&amp;DC31,$BC$6:$BC$53,INDEX(T_Equipos[Grupo],MATCH(BD31,T_Equipos[NombreEquipo],0)))</f>
        <v>2</v>
      </c>
      <c r="DE31" s="733"/>
      <c r="DF31" s="733">
        <f t="shared" ca="1" si="52"/>
        <v>2</v>
      </c>
      <c r="DG31" s="733">
        <f ca="1">IF(DB31="-","-",COUNTIFS(DF$6:DF$53,"&lt;"&amp;DF31,$BC$6:$BC$53,INDEX(T_Equipos[Grupo],MATCH(BD31,T_Equipos[NombreEquipo],0))))</f>
        <v>1</v>
      </c>
      <c r="DH31" s="733">
        <f ca="1">DA31+COUNTIFS(DB$6:DB$53,DB31,DG$6:DG$53,"&lt;"&amp;DG31,$BC$6:$BC$53,INDEX(T_Equipos[Grupo],MATCH(BD31,T_Equipos[NombreEquipo],0)))</f>
        <v>2</v>
      </c>
      <c r="DI31" s="721"/>
      <c r="DJ31" s="721">
        <f t="shared" ca="1" si="53"/>
        <v>1</v>
      </c>
      <c r="DK31" s="721">
        <f t="shared" ca="1" si="24"/>
        <v>0</v>
      </c>
      <c r="DL31" s="721">
        <f t="shared" ca="1" si="33"/>
        <v>1</v>
      </c>
      <c r="DM31" s="715" t="str">
        <f t="shared" ca="1" si="34"/>
        <v>1.1</v>
      </c>
      <c r="DN31" s="721" cm="1">
        <f t="array" aca="1" ref="DN31" ca="1">OFFSET(Horarios!$P$3,DJ31-1,0,DL31,1)</f>
        <v>1</v>
      </c>
      <c r="DO31" s="721"/>
      <c r="DP31" s="721" t="s">
        <v>668</v>
      </c>
      <c r="DQ31" s="721" t="str">
        <f t="shared" ca="1" si="35"/>
        <v>Egipto</v>
      </c>
      <c r="DR31" s="721"/>
      <c r="DS31" s="721"/>
      <c r="DT31" s="721" t="str">
        <f t="shared" ca="1" si="15"/>
        <v>Turquía-Paraguay</v>
      </c>
      <c r="DU31" s="721"/>
      <c r="DV31" s="721"/>
      <c r="DW31" s="8"/>
    </row>
    <row r="32" spans="1:127" ht="15.95" customHeight="1">
      <c r="A32" s="722" t="str">
        <f ca="1">+Equipos!B17</f>
        <v>Turquía</v>
      </c>
      <c r="B32" s="719"/>
      <c r="C32" s="721"/>
      <c r="D32" s="721" t="str">
        <f t="shared" si="94"/>
        <v>Pendiente</v>
      </c>
      <c r="E32" s="721" t="str">
        <f t="shared" si="95"/>
        <v>-</v>
      </c>
      <c r="F32" s="721" t="str">
        <f t="shared" si="96"/>
        <v>-</v>
      </c>
      <c r="G32" s="721"/>
      <c r="H32" s="721" t="str">
        <f t="shared" si="97"/>
        <v>-</v>
      </c>
      <c r="I32" s="721" t="str">
        <f t="shared" si="98"/>
        <v>-</v>
      </c>
      <c r="J32" s="721"/>
      <c r="K32" s="721" t="str">
        <f t="shared" si="99"/>
        <v>-</v>
      </c>
      <c r="L32" s="721" t="str">
        <f t="shared" si="100"/>
        <v>-</v>
      </c>
      <c r="M32" s="721"/>
      <c r="N32" s="721" t="str">
        <f t="shared" si="101"/>
        <v>-</v>
      </c>
      <c r="O32" s="721" t="str">
        <f t="shared" si="102"/>
        <v>-</v>
      </c>
      <c r="P32" s="721"/>
      <c r="Q32" s="721" t="str">
        <f t="shared" si="103"/>
        <v>-</v>
      </c>
      <c r="R32" s="721" t="str">
        <f t="shared" si="104"/>
        <v>-</v>
      </c>
      <c r="S32" s="721"/>
      <c r="T32" s="721" t="str">
        <f t="shared" si="105"/>
        <v>-</v>
      </c>
      <c r="U32" s="721" t="str">
        <f t="shared" si="106"/>
        <v>-</v>
      </c>
      <c r="V32" s="162"/>
      <c r="W32" s="827"/>
      <c r="X32" s="179">
        <f ca="1">Horarios!C32</f>
        <v>46199.166666666664</v>
      </c>
      <c r="Y32" s="180">
        <f ca="1">Horarios!C32</f>
        <v>46199.166666666664</v>
      </c>
      <c r="Z32" s="181" t="str">
        <f>$Z$8</f>
        <v>J3</v>
      </c>
      <c r="AA32" s="182" t="str">
        <f ca="1">A32</f>
        <v>Turquía</v>
      </c>
      <c r="AB32" s="457" t="str" cm="1">
        <f t="array" aca="1" ref="AB32" ca="1">Ver_flag_local</f>
        <v/>
      </c>
      <c r="AC32" s="183"/>
      <c r="AD32" s="184"/>
      <c r="AE32" s="462" t="str" cm="1">
        <f t="array" aca="1" ref="AE32" ca="1">Ver_flag_visit</f>
        <v/>
      </c>
      <c r="AF32" s="185" t="str">
        <f ca="1">A29</f>
        <v>Estados Unidos</v>
      </c>
      <c r="AG32" s="396">
        <f t="shared" si="107"/>
        <v>0</v>
      </c>
      <c r="AH32" s="186">
        <v>59</v>
      </c>
      <c r="AI32" s="15" t="str">
        <f t="shared" si="112"/>
        <v>3D</v>
      </c>
      <c r="AJ32" s="211">
        <v>3</v>
      </c>
      <c r="AK32" s="465" t="str" cm="1">
        <f t="array" aca="1" ref="AK32" ca="1">Ver_flag_visit</f>
        <v/>
      </c>
      <c r="AL32" s="212" t="str">
        <f ca="1">IFERROR(INDEX($BD$6:$BD$53,MATCH(AI32,$BN$6:$BN$53,0)),"")</f>
        <v>Australia</v>
      </c>
      <c r="AM32" s="213">
        <f t="shared" ca="1" si="111"/>
        <v>0</v>
      </c>
      <c r="AN32" s="214">
        <f t="shared" ca="1" si="111"/>
        <v>0</v>
      </c>
      <c r="AO32" s="214">
        <f t="shared" ca="1" si="111"/>
        <v>0</v>
      </c>
      <c r="AP32" s="214">
        <f t="shared" ca="1" si="111"/>
        <v>0</v>
      </c>
      <c r="AQ32" s="214">
        <f t="shared" ca="1" si="111"/>
        <v>0</v>
      </c>
      <c r="AR32" s="214">
        <f t="shared" ca="1" si="111"/>
        <v>0</v>
      </c>
      <c r="AS32" s="214">
        <f t="shared" ca="1" si="111"/>
        <v>0</v>
      </c>
      <c r="AT32" s="215">
        <f t="shared" ca="1" si="111"/>
        <v>0</v>
      </c>
      <c r="AU32" s="403">
        <f ca="1">INDEX($DL$6:$DL$53,MATCH(AI32,$DP$6:$DP$53,0))</f>
        <v>1</v>
      </c>
      <c r="AV32" s="207" t="str">
        <f ca="1">INDEX($BD$6:$BD$53,MATCH(AI32,$BM$6:$BM$53,0))</f>
        <v>Australia</v>
      </c>
      <c r="AW32" s="410"/>
      <c r="AX32" s="208"/>
      <c r="AY32" s="209" t="str">
        <f ca="1">+A31</f>
        <v>Australia</v>
      </c>
      <c r="AZ32" s="210"/>
      <c r="BA32" s="165"/>
      <c r="BB32" s="721"/>
      <c r="BC32" s="733" t="str">
        <f ca="1">+INDEX(T_Equipos[Grupo],MATCH(WORLDCUP!BD32,T_Equipos[NombreEquipo],0))</f>
        <v>G</v>
      </c>
      <c r="BD32" s="721" t="str">
        <f ca="1">+Equipos!B28</f>
        <v>Irán</v>
      </c>
      <c r="BE32" s="725">
        <f t="shared" ca="1" si="25"/>
        <v>0</v>
      </c>
      <c r="BF32" s="725">
        <f t="shared" ca="1" si="26"/>
        <v>0</v>
      </c>
      <c r="BG32" s="725">
        <f t="shared" ca="1" si="17"/>
        <v>0</v>
      </c>
      <c r="BH32" s="725">
        <f t="shared" ca="1" si="18"/>
        <v>0</v>
      </c>
      <c r="BI32" s="725">
        <f t="shared" ca="1" si="19"/>
        <v>0</v>
      </c>
      <c r="BJ32" s="725">
        <f t="shared" ca="1" si="20"/>
        <v>0</v>
      </c>
      <c r="BK32" s="725">
        <f t="shared" ca="1" si="21"/>
        <v>0</v>
      </c>
      <c r="BL32" s="725">
        <f t="shared" ca="1" si="27"/>
        <v>0</v>
      </c>
      <c r="BM32" s="725" t="str">
        <f t="shared" ca="1" si="22"/>
        <v>3G</v>
      </c>
      <c r="BN32" s="725" t="str">
        <f t="shared" ca="1" si="23"/>
        <v>3G</v>
      </c>
      <c r="BO32" s="734">
        <f t="shared" ca="1" si="28"/>
        <v>0</v>
      </c>
      <c r="BP32" s="734">
        <f ca="1">COUNTIFS($BO$6:$BO$53,"&gt;"&amp;BO32,$BC$6:$BC$53,INDEX(T_Equipos[Grupo],MATCH(BD32,T_Equipos[NombreEquipo],0)))+1</f>
        <v>1</v>
      </c>
      <c r="BQ32" s="734" t="str">
        <f ca="1">IF(COUNTIFS($BP$6:$BP$53,BP32,$BC$6:$BC$53,INDEX(T_Equipos[Grupo],MATCH(BD32,T_Equipos[NombreEquipo],0)))=1,"-","P."&amp;BP32&amp;" ("&amp;COUNTIFS($BP$6:$BP$53,BP32,$BC$6:$BC$53,INDEX(T_Equipos[Grupo],MATCH(BD32,T_Equipos[NombreEquipo],0)))&amp;")")</f>
        <v>P.1 (4)</v>
      </c>
      <c r="BR32" s="734">
        <f t="shared" ca="1" si="29"/>
        <v>0</v>
      </c>
      <c r="BS32" s="734">
        <f ca="1">BP32+COUNTIFS($BQ$6:$BQ$53,BQ32,$BR$6:BR$53,"&gt;"&amp;BR32,$BC$6:$BC$53,INDEX(T_Equipos[Grupo],MATCH(BD32,T_Equipos[NombreEquipo],0)))</f>
        <v>1</v>
      </c>
      <c r="BT32" s="734" t="str">
        <f ca="1">IF(COUNTIFS($BS$6:$BS$53,BS32,$BC$6:$BC$53,INDEX(T_Equipos[Grupo],MATCH(BD32,T_Equipos[NombreEquipo],0)))=1,"-","P."&amp;BS32&amp;" ("&amp;COUNTIFS($BS$6:$BS$53,BS32,$BC$6:$BC$53,INDEX(T_Equipos[Grupo],MATCH(BD32,T_Equipos[NombreEquipo],0)))&amp;")")</f>
        <v>P.1 (4)</v>
      </c>
      <c r="BU32" s="735">
        <f t="shared" ca="1" si="36"/>
        <v>0</v>
      </c>
      <c r="BV32" s="735">
        <f t="shared" ca="1" si="37"/>
        <v>0</v>
      </c>
      <c r="BW32" s="735">
        <f t="shared" ca="1" si="38"/>
        <v>0</v>
      </c>
      <c r="BX32" s="735">
        <f t="shared" ca="1" si="39"/>
        <v>0</v>
      </c>
      <c r="BY32" s="735">
        <f ca="1">BS32+COUNTIFS($BT$6:$BT$53,BT32,$BX$6:BX$53,"&gt;"&amp;BX32,$BC$6:$BC$53,INDEX(T_Equipos[Grupo],MATCH(BD32,T_Equipos[NombreEquipo],0)))</f>
        <v>1</v>
      </c>
      <c r="BZ32" s="734" t="str">
        <f ca="1">IF(COUNTIFS($BY$6:$BY$53,BY32,$BC$6:$BC$53,INDEX(T_Equipos[Grupo],MATCH(BD32,T_Equipos[NombreEquipo],0)))=1,"-","P."&amp;BY32&amp;" ("&amp;COUNTIFS($BY$6:$BY$53,BY32,$BC$6:$BC$53,INDEX(T_Equipos[Grupo],MATCH(BD32,T_Equipos[NombreEquipo],0)))&amp;")")</f>
        <v>P.1 (4)</v>
      </c>
      <c r="CA32" s="735">
        <f t="shared" ca="1" si="40"/>
        <v>0</v>
      </c>
      <c r="CB32" s="735">
        <f t="shared" ca="1" si="41"/>
        <v>0</v>
      </c>
      <c r="CC32" s="735">
        <f t="shared" ca="1" si="42"/>
        <v>0</v>
      </c>
      <c r="CD32" s="735">
        <f ca="1">BY32+COUNTIFS($BZ$6:$BZ$53,BZ32,$CC$6:CC$53,"&gt;"&amp;CC32,$BC$6:$BC$53,INDEX(T_Equipos[Grupo],MATCH(BD32,T_Equipos[NombreEquipo],0)))</f>
        <v>1</v>
      </c>
      <c r="CE32" s="734" t="str">
        <f ca="1">IF(COUNTIFS($CD$6:$CD$53,CD32,$BC$6:$BC$53,INDEX(T_Equipos[Grupo],MATCH(BD32,T_Equipos[NombreEquipo],0)))=1,"-","P."&amp;CD32&amp;" ("&amp;COUNTIFS($CD$6:$CD$53,CD32,$BC$6:$BC$53,INDEX(T_Equipos[Grupo],MATCH(BD32,T_Equipos[NombreEquipo],0)))&amp;")")</f>
        <v>P.1 (4)</v>
      </c>
      <c r="CF32" s="735">
        <f t="shared" ca="1" si="43"/>
        <v>0</v>
      </c>
      <c r="CG32" s="735">
        <f ca="1">CD32+COUNTIFS($CE$6:$CE$53,CE32,$CF$6:CF$53,"&gt;"&amp;CF32,$BC$6:$BC$53,INDEX(T_Equipos[Grupo],MATCH(BD32,T_Equipos[NombreEquipo],0)))</f>
        <v>1</v>
      </c>
      <c r="CH32" s="734" t="str">
        <f ca="1">IF(COUNTIFS($CG$6:$CG$53,CG32,$BC$6:$BC$53,INDEX(T_Equipos[Grupo],MATCH(BD32,T_Equipos[NombreEquipo],0)))=1,"-","P."&amp;CG32&amp;" ("&amp;COUNTIFS($CG$6:$CG$53,CG32,$BC$6:$BC$53,INDEX(T_Equipos[Grupo],MATCH(BD32,T_Equipos[NombreEquipo],0)))&amp;")")</f>
        <v>P.1 (4)</v>
      </c>
      <c r="CI32" s="735">
        <f t="shared" ca="1" si="44"/>
        <v>0</v>
      </c>
      <c r="CJ32" s="735">
        <f t="shared" ca="1" si="45"/>
        <v>0</v>
      </c>
      <c r="CK32" s="735">
        <f t="shared" ca="1" si="46"/>
        <v>0</v>
      </c>
      <c r="CL32" s="735">
        <f t="shared" ca="1" si="47"/>
        <v>0</v>
      </c>
      <c r="CM32" s="735">
        <f ca="1">CG32+COUNTIFS($CH$6:$CH$53,CH32,$CL$6:CL$53,"&gt;"&amp;CL32,$BC$6:$BC$53,INDEX(T_Equipos[Grupo],MATCH(BD32,T_Equipos[NombreEquipo],0)))</f>
        <v>1</v>
      </c>
      <c r="CN32" s="734" t="str">
        <f ca="1">IF(COUNTIFS($CM$6:$CM$53,CM32,$BC$6:$BC$53,INDEX(T_Equipos[Grupo],MATCH(BD32,T_Equipos[NombreEquipo],0)))=1,"-","P."&amp;CM32&amp;" ("&amp;COUNTIFS($CM$6:$CM$53,CM32,$BC$6:$BC$53,INDEX(T_Equipos[Grupo],MATCH(BD32,T_Equipos[NombreEquipo],0)))&amp;")")</f>
        <v>P.1 (4)</v>
      </c>
      <c r="CO32" s="735">
        <f t="shared" ca="1" si="48"/>
        <v>0</v>
      </c>
      <c r="CP32" s="735">
        <f t="shared" ca="1" si="49"/>
        <v>0</v>
      </c>
      <c r="CQ32" s="735">
        <f t="shared" ca="1" si="50"/>
        <v>0</v>
      </c>
      <c r="CR32" s="735">
        <f ca="1">CM32+COUNTIFS($CN$6:$CN$53,CN32,$CQ$6:CQ$53,"&gt;"&amp;CQ32,$BC$6:$BC$53,INDEX(T_Equipos[Grupo],MATCH(BD32,T_Equipos[NombreEquipo],0)))</f>
        <v>1</v>
      </c>
      <c r="CS32" s="734" t="str">
        <f ca="1">IF(COUNTIFS($CR$6:$CR$53,CR32,$BC$6:$BC$53,INDEX(T_Equipos[Grupo],MATCH(BD32,T_Equipos[NombreEquipo],0)))=1,"-","P."&amp;CR32&amp;" ("&amp;COUNTIFS($CR$6:$CR$53,CR32,$BC$6:$BC$53,INDEX(T_Equipos[Grupo],MATCH(BD32,T_Equipos[NombreEquipo],0)))&amp;")")</f>
        <v>P.1 (4)</v>
      </c>
      <c r="CT32" s="735">
        <f t="shared" ca="1" si="51"/>
        <v>0</v>
      </c>
      <c r="CU32" s="735">
        <f ca="1">CR32+COUNTIFS($CS$6:$CS$53,CS32,$CT$6:CT$53,"&gt;"&amp;CT32,$BC$6:$BC$53,INDEX(T_Equipos[Grupo],MATCH(BD32,T_Equipos[NombreEquipo],0)))</f>
        <v>1</v>
      </c>
      <c r="CV32" s="734" t="str">
        <f ca="1">IF(COUNTIFS($CU$6:$CU$53,CU32,$BC$6:$BC$53,INDEX(T_Equipos[Grupo],MATCH(BD32,T_Equipos[NombreEquipo],0)))=1,"-","P."&amp;CU32&amp;" ("&amp;COUNTIFS($CU$6:$CU$53,CU32,$BC$6:$BC$53,INDEX(T_Equipos[Grupo],MATCH(BD32,T_Equipos[NombreEquipo],0)))&amp;")")</f>
        <v>P.1 (4)</v>
      </c>
      <c r="CW32" s="734">
        <f t="shared" ca="1" si="30"/>
        <v>0</v>
      </c>
      <c r="CX32" s="734">
        <f ca="1">CU32+COUNTIFS($CV$6:$CV$53,CV32,$CW$6:CW$53,"&gt;"&amp;CW32,$BC$6:$BC$53,INDEX(T_Equipos[Grupo],MATCH(BD32,T_Equipos[NombreEquipo],0)))</f>
        <v>1</v>
      </c>
      <c r="CY32" s="734" t="str">
        <f ca="1">IF(COUNTIFS($CX$6:$CX$53,CX32,$BC$6:$BC$53,INDEX(T_Equipos[Grupo],MATCH(BD32,T_Equipos[NombreEquipo],0)))=1,"-","P."&amp;CX32&amp;" ("&amp;COUNTIFS($CX$6:$CX$53,CX32,$BC$6:$BC$53,INDEX(T_Equipos[Grupo],MATCH(BD32,T_Equipos[NombreEquipo],0)))&amp;")")</f>
        <v>P.1 (4)</v>
      </c>
      <c r="CZ32" s="734">
        <f t="shared" ca="1" si="31"/>
        <v>0</v>
      </c>
      <c r="DA32" s="735">
        <f ca="1">CX32+COUNTIFS($CY$6:$CY$53,CY32,$CZ$6:CZ$53,"&gt;"&amp;CZ32,$BC$6:$BC$53,INDEX(T_Equipos[Grupo],MATCH(BD32,T_Equipos[NombreEquipo],0)))</f>
        <v>1</v>
      </c>
      <c r="DB32" s="734" t="str">
        <f ca="1">IF(COUNTIFS($DA$6:$DA$53,DA32,$BC$6:$BC$53,INDEX(T_Equipos[Grupo],MATCH(BD32,T_Equipos[NombreEquipo],0)))=1,"-","P."&amp;DA32&amp;" ("&amp;COUNTIFS($DA$6:$DA$53,DA32,$BC$6:$BC$53,INDEX(T_Equipos[Grupo],MATCH(BD32,T_Equipos[NombreEquipo],0)))&amp;")")</f>
        <v>P.1 (4)</v>
      </c>
      <c r="DC32" s="733">
        <f ca="1">IF(DB32="-","-",COUNTIFS(T_Equipos[Rank],"&lt;"&amp;INDEX(T_Equipos[Rank],MATCH(BD32,T_Equipos[NombreEquipo],0)),$BC$6:$BC$53,INDEX(T_Equipos[Grupo],MATCH(BD32,T_Equipos[NombreEquipo],0)))+1)</f>
        <v>3</v>
      </c>
      <c r="DD32" s="733">
        <f ca="1">DA32+COUNTIFS($DB$6:$DB$53,DB32,$DC$6:DC$53,"&lt;"&amp;DC32,$BC$6:$BC$53,INDEX(T_Equipos[Grupo],MATCH(BD32,T_Equipos[NombreEquipo],0)))</f>
        <v>3</v>
      </c>
      <c r="DE32" s="733"/>
      <c r="DF32" s="733">
        <f t="shared" ca="1" si="52"/>
        <v>3</v>
      </c>
      <c r="DG32" s="733">
        <f ca="1">IF(DB32="-","-",COUNTIFS(DF$6:DF$53,"&lt;"&amp;DF32,$BC$6:$BC$53,INDEX(T_Equipos[Grupo],MATCH(BD32,T_Equipos[NombreEquipo],0))))</f>
        <v>2</v>
      </c>
      <c r="DH32" s="733">
        <f ca="1">DA32+COUNTIFS(DB$6:DB$53,DB32,DG$6:DG$53,"&lt;"&amp;DG32,$BC$6:$BC$53,INDEX(T_Equipos[Grupo],MATCH(BD32,T_Equipos[NombreEquipo],0)))</f>
        <v>3</v>
      </c>
      <c r="DI32" s="721"/>
      <c r="DJ32" s="721">
        <f t="shared" ca="1" si="53"/>
        <v>1</v>
      </c>
      <c r="DK32" s="721">
        <f t="shared" ca="1" si="24"/>
        <v>0</v>
      </c>
      <c r="DL32" s="721">
        <f t="shared" ca="1" si="33"/>
        <v>1</v>
      </c>
      <c r="DM32" s="715" t="str">
        <f t="shared" ca="1" si="34"/>
        <v>1.1</v>
      </c>
      <c r="DN32" s="721" cm="1">
        <f t="array" aca="1" ref="DN32" ca="1">OFFSET(Horarios!$P$3,DJ32-1,0,DL32,1)</f>
        <v>1</v>
      </c>
      <c r="DO32" s="721"/>
      <c r="DP32" s="721" t="s">
        <v>435</v>
      </c>
      <c r="DQ32" s="721" t="str">
        <f t="shared" ca="1" si="35"/>
        <v>Irán</v>
      </c>
      <c r="DR32" s="721"/>
      <c r="DS32" s="721"/>
      <c r="DT32" s="721" t="str">
        <f t="shared" ca="1" si="15"/>
        <v>Turquía-Estados Unidos</v>
      </c>
      <c r="DU32" s="721"/>
      <c r="DV32" s="721"/>
      <c r="DW32" s="8"/>
    </row>
    <row r="33" spans="1:127" ht="17.100000000000001" customHeight="1" thickBot="1">
      <c r="A33" s="716"/>
      <c r="B33" s="716"/>
      <c r="C33" s="716"/>
      <c r="D33" s="721" t="str">
        <f t="shared" si="94"/>
        <v>Pendiente</v>
      </c>
      <c r="E33" s="721" t="str">
        <f t="shared" si="95"/>
        <v>-</v>
      </c>
      <c r="F33" s="721" t="str">
        <f t="shared" si="96"/>
        <v>-</v>
      </c>
      <c r="G33" s="721"/>
      <c r="H33" s="721" t="str">
        <f t="shared" si="97"/>
        <v>-</v>
      </c>
      <c r="I33" s="721" t="str">
        <f t="shared" si="98"/>
        <v>-</v>
      </c>
      <c r="J33" s="721"/>
      <c r="K33" s="721" t="str">
        <f t="shared" si="99"/>
        <v>-</v>
      </c>
      <c r="L33" s="721" t="str">
        <f t="shared" si="100"/>
        <v>-</v>
      </c>
      <c r="M33" s="721"/>
      <c r="N33" s="721" t="str">
        <f t="shared" si="101"/>
        <v>-</v>
      </c>
      <c r="O33" s="721" t="str">
        <f t="shared" si="102"/>
        <v>-</v>
      </c>
      <c r="P33" s="721"/>
      <c r="Q33" s="721" t="str">
        <f t="shared" si="103"/>
        <v>-</v>
      </c>
      <c r="R33" s="721" t="str">
        <f t="shared" si="104"/>
        <v>-</v>
      </c>
      <c r="S33" s="721"/>
      <c r="T33" s="721" t="str">
        <f t="shared" si="105"/>
        <v>-</v>
      </c>
      <c r="U33" s="721" t="str">
        <f t="shared" si="106"/>
        <v>-</v>
      </c>
      <c r="V33" s="162"/>
      <c r="W33" s="828"/>
      <c r="X33" s="218">
        <f ca="1">Horarios!C33</f>
        <v>46199.166666666664</v>
      </c>
      <c r="Y33" s="219">
        <f ca="1">Horarios!C33</f>
        <v>46199.166666666664</v>
      </c>
      <c r="Z33" s="220" t="str">
        <f>$Z$8</f>
        <v>J3</v>
      </c>
      <c r="AA33" s="221" t="str">
        <f ca="1">A30</f>
        <v>Paraguay</v>
      </c>
      <c r="AB33" s="458" t="str" cm="1">
        <f t="array" aca="1" ref="AB33" ca="1">Ver_flag_local</f>
        <v/>
      </c>
      <c r="AC33" s="222"/>
      <c r="AD33" s="223"/>
      <c r="AE33" s="463" t="str" cm="1">
        <f t="array" aca="1" ref="AE33" ca="1">Ver_flag_visit</f>
        <v/>
      </c>
      <c r="AF33" s="224" t="str">
        <f ca="1">A31</f>
        <v>Australia</v>
      </c>
      <c r="AG33" s="396">
        <f t="shared" si="107"/>
        <v>0</v>
      </c>
      <c r="AH33" s="186">
        <v>60</v>
      </c>
      <c r="AI33" s="15" t="str">
        <f t="shared" si="112"/>
        <v>4D</v>
      </c>
      <c r="AJ33" s="225">
        <v>4</v>
      </c>
      <c r="AK33" s="466" t="str" cm="1">
        <f t="array" aca="1" ref="AK33" ca="1">Ver_flag_visit</f>
        <v/>
      </c>
      <c r="AL33" s="226" t="str">
        <f ca="1">IFERROR(INDEX($BD$6:$BD$53,MATCH(AI33,$BN$6:$BN$53,0)),"")</f>
        <v>Turquía</v>
      </c>
      <c r="AM33" s="227">
        <f t="shared" ca="1" si="111"/>
        <v>0</v>
      </c>
      <c r="AN33" s="228">
        <f t="shared" ca="1" si="111"/>
        <v>0</v>
      </c>
      <c r="AO33" s="228">
        <f t="shared" ca="1" si="111"/>
        <v>0</v>
      </c>
      <c r="AP33" s="228">
        <f t="shared" ca="1" si="111"/>
        <v>0</v>
      </c>
      <c r="AQ33" s="228">
        <f t="shared" ca="1" si="111"/>
        <v>0</v>
      </c>
      <c r="AR33" s="228">
        <f t="shared" ca="1" si="111"/>
        <v>0</v>
      </c>
      <c r="AS33" s="228">
        <f t="shared" ca="1" si="111"/>
        <v>0</v>
      </c>
      <c r="AT33" s="229">
        <f t="shared" ca="1" si="111"/>
        <v>0</v>
      </c>
      <c r="AU33" s="403">
        <f ca="1">INDEX($DL$6:$DL$53,MATCH(AI33,$DP$6:$DP$53,0))</f>
        <v>1</v>
      </c>
      <c r="AV33" s="207" t="str">
        <f ca="1">INDEX($BD$6:$BD$53,MATCH(AI33,$BM$6:$BM$53,0))</f>
        <v>Turquía</v>
      </c>
      <c r="AW33" s="410"/>
      <c r="AX33" s="208"/>
      <c r="AY33" s="230" t="str">
        <f ca="1">+A32</f>
        <v>Turquía</v>
      </c>
      <c r="AZ33" s="231"/>
      <c r="BA33" s="165"/>
      <c r="BB33" s="721"/>
      <c r="BC33" s="733" t="str">
        <f ca="1">+INDEX(T_Equipos[Grupo],MATCH(WORLDCUP!BD33,T_Equipos[NombreEquipo],0))</f>
        <v>G</v>
      </c>
      <c r="BD33" s="721" t="str">
        <f ca="1">+Equipos!B29</f>
        <v>Nueva Zelanda</v>
      </c>
      <c r="BE33" s="725">
        <f t="shared" ca="1" si="25"/>
        <v>0</v>
      </c>
      <c r="BF33" s="725">
        <f t="shared" ca="1" si="26"/>
        <v>0</v>
      </c>
      <c r="BG33" s="725">
        <f t="shared" ca="1" si="17"/>
        <v>0</v>
      </c>
      <c r="BH33" s="725">
        <f t="shared" ca="1" si="18"/>
        <v>0</v>
      </c>
      <c r="BI33" s="725">
        <f t="shared" ca="1" si="19"/>
        <v>0</v>
      </c>
      <c r="BJ33" s="725">
        <f t="shared" ca="1" si="20"/>
        <v>0</v>
      </c>
      <c r="BK33" s="725">
        <f t="shared" ca="1" si="21"/>
        <v>0</v>
      </c>
      <c r="BL33" s="725">
        <f t="shared" ca="1" si="27"/>
        <v>0</v>
      </c>
      <c r="BM33" s="725" t="str">
        <f t="shared" ca="1" si="22"/>
        <v>4G</v>
      </c>
      <c r="BN33" s="725" t="str">
        <f t="shared" ca="1" si="23"/>
        <v>4G</v>
      </c>
      <c r="BO33" s="734">
        <f t="shared" ca="1" si="28"/>
        <v>0</v>
      </c>
      <c r="BP33" s="734">
        <f ca="1">COUNTIFS($BO$6:$BO$53,"&gt;"&amp;BO33,$BC$6:$BC$53,INDEX(T_Equipos[Grupo],MATCH(BD33,T_Equipos[NombreEquipo],0)))+1</f>
        <v>1</v>
      </c>
      <c r="BQ33" s="734" t="str">
        <f ca="1">IF(COUNTIFS($BP$6:$BP$53,BP33,$BC$6:$BC$53,INDEX(T_Equipos[Grupo],MATCH(BD33,T_Equipos[NombreEquipo],0)))=1,"-","P."&amp;BP33&amp;" ("&amp;COUNTIFS($BP$6:$BP$53,BP33,$BC$6:$BC$53,INDEX(T_Equipos[Grupo],MATCH(BD33,T_Equipos[NombreEquipo],0)))&amp;")")</f>
        <v>P.1 (4)</v>
      </c>
      <c r="BR33" s="734">
        <f t="shared" ca="1" si="29"/>
        <v>0</v>
      </c>
      <c r="BS33" s="734">
        <f ca="1">BP33+COUNTIFS($BQ$6:$BQ$53,BQ33,$BR$6:BR$53,"&gt;"&amp;BR33,$BC$6:$BC$53,INDEX(T_Equipos[Grupo],MATCH(BD33,T_Equipos[NombreEquipo],0)))</f>
        <v>1</v>
      </c>
      <c r="BT33" s="734" t="str">
        <f ca="1">IF(COUNTIFS($BS$6:$BS$53,BS33,$BC$6:$BC$53,INDEX(T_Equipos[Grupo],MATCH(BD33,T_Equipos[NombreEquipo],0)))=1,"-","P."&amp;BS33&amp;" ("&amp;COUNTIFS($BS$6:$BS$53,BS33,$BC$6:$BC$53,INDEX(T_Equipos[Grupo],MATCH(BD33,T_Equipos[NombreEquipo],0)))&amp;")")</f>
        <v>P.1 (4)</v>
      </c>
      <c r="BU33" s="735">
        <f t="shared" ca="1" si="36"/>
        <v>0</v>
      </c>
      <c r="BV33" s="735">
        <f t="shared" ca="1" si="37"/>
        <v>0</v>
      </c>
      <c r="BW33" s="735">
        <f t="shared" ca="1" si="38"/>
        <v>0</v>
      </c>
      <c r="BX33" s="735">
        <f t="shared" ca="1" si="39"/>
        <v>0</v>
      </c>
      <c r="BY33" s="735">
        <f ca="1">BS33+COUNTIFS($BT$6:$BT$53,BT33,$BX$6:BX$53,"&gt;"&amp;BX33,$BC$6:$BC$53,INDEX(T_Equipos[Grupo],MATCH(BD33,T_Equipos[NombreEquipo],0)))</f>
        <v>1</v>
      </c>
      <c r="BZ33" s="734" t="str">
        <f ca="1">IF(COUNTIFS($BY$6:$BY$53,BY33,$BC$6:$BC$53,INDEX(T_Equipos[Grupo],MATCH(BD33,T_Equipos[NombreEquipo],0)))=1,"-","P."&amp;BY33&amp;" ("&amp;COUNTIFS($BY$6:$BY$53,BY33,$BC$6:$BC$53,INDEX(T_Equipos[Grupo],MATCH(BD33,T_Equipos[NombreEquipo],0)))&amp;")")</f>
        <v>P.1 (4)</v>
      </c>
      <c r="CA33" s="735">
        <f t="shared" ca="1" si="40"/>
        <v>0</v>
      </c>
      <c r="CB33" s="735">
        <f t="shared" ca="1" si="41"/>
        <v>0</v>
      </c>
      <c r="CC33" s="735">
        <f t="shared" ca="1" si="42"/>
        <v>0</v>
      </c>
      <c r="CD33" s="735">
        <f ca="1">BY33+COUNTIFS($BZ$6:$BZ$53,BZ33,$CC$6:CC$53,"&gt;"&amp;CC33,$BC$6:$BC$53,INDEX(T_Equipos[Grupo],MATCH(BD33,T_Equipos[NombreEquipo],0)))</f>
        <v>1</v>
      </c>
      <c r="CE33" s="734" t="str">
        <f ca="1">IF(COUNTIFS($CD$6:$CD$53,CD33,$BC$6:$BC$53,INDEX(T_Equipos[Grupo],MATCH(BD33,T_Equipos[NombreEquipo],0)))=1,"-","P."&amp;CD33&amp;" ("&amp;COUNTIFS($CD$6:$CD$53,CD33,$BC$6:$BC$53,INDEX(T_Equipos[Grupo],MATCH(BD33,T_Equipos[NombreEquipo],0)))&amp;")")</f>
        <v>P.1 (4)</v>
      </c>
      <c r="CF33" s="735">
        <f t="shared" ca="1" si="43"/>
        <v>0</v>
      </c>
      <c r="CG33" s="735">
        <f ca="1">CD33+COUNTIFS($CE$6:$CE$53,CE33,$CF$6:CF$53,"&gt;"&amp;CF33,$BC$6:$BC$53,INDEX(T_Equipos[Grupo],MATCH(BD33,T_Equipos[NombreEquipo],0)))</f>
        <v>1</v>
      </c>
      <c r="CH33" s="734" t="str">
        <f ca="1">IF(COUNTIFS($CG$6:$CG$53,CG33,$BC$6:$BC$53,INDEX(T_Equipos[Grupo],MATCH(BD33,T_Equipos[NombreEquipo],0)))=1,"-","P."&amp;CG33&amp;" ("&amp;COUNTIFS($CG$6:$CG$53,CG33,$BC$6:$BC$53,INDEX(T_Equipos[Grupo],MATCH(BD33,T_Equipos[NombreEquipo],0)))&amp;")")</f>
        <v>P.1 (4)</v>
      </c>
      <c r="CI33" s="735">
        <f t="shared" ca="1" si="44"/>
        <v>0</v>
      </c>
      <c r="CJ33" s="735">
        <f t="shared" ca="1" si="45"/>
        <v>0</v>
      </c>
      <c r="CK33" s="735">
        <f t="shared" ca="1" si="46"/>
        <v>0</v>
      </c>
      <c r="CL33" s="735">
        <f t="shared" ca="1" si="47"/>
        <v>0</v>
      </c>
      <c r="CM33" s="735">
        <f ca="1">CG33+COUNTIFS($CH$6:$CH$53,CH33,$CL$6:CL$53,"&gt;"&amp;CL33,$BC$6:$BC$53,INDEX(T_Equipos[Grupo],MATCH(BD33,T_Equipos[NombreEquipo],0)))</f>
        <v>1</v>
      </c>
      <c r="CN33" s="734" t="str">
        <f ca="1">IF(COUNTIFS($CM$6:$CM$53,CM33,$BC$6:$BC$53,INDEX(T_Equipos[Grupo],MATCH(BD33,T_Equipos[NombreEquipo],0)))=1,"-","P."&amp;CM33&amp;" ("&amp;COUNTIFS($CM$6:$CM$53,CM33,$BC$6:$BC$53,INDEX(T_Equipos[Grupo],MATCH(BD33,T_Equipos[NombreEquipo],0)))&amp;")")</f>
        <v>P.1 (4)</v>
      </c>
      <c r="CO33" s="735">
        <f t="shared" ca="1" si="48"/>
        <v>0</v>
      </c>
      <c r="CP33" s="735">
        <f t="shared" ca="1" si="49"/>
        <v>0</v>
      </c>
      <c r="CQ33" s="735">
        <f t="shared" ca="1" si="50"/>
        <v>0</v>
      </c>
      <c r="CR33" s="735">
        <f ca="1">CM33+COUNTIFS($CN$6:$CN$53,CN33,$CQ$6:CQ$53,"&gt;"&amp;CQ33,$BC$6:$BC$53,INDEX(T_Equipos[Grupo],MATCH(BD33,T_Equipos[NombreEquipo],0)))</f>
        <v>1</v>
      </c>
      <c r="CS33" s="734" t="str">
        <f ca="1">IF(COUNTIFS($CR$6:$CR$53,CR33,$BC$6:$BC$53,INDEX(T_Equipos[Grupo],MATCH(BD33,T_Equipos[NombreEquipo],0)))=1,"-","P."&amp;CR33&amp;" ("&amp;COUNTIFS($CR$6:$CR$53,CR33,$BC$6:$BC$53,INDEX(T_Equipos[Grupo],MATCH(BD33,T_Equipos[NombreEquipo],0)))&amp;")")</f>
        <v>P.1 (4)</v>
      </c>
      <c r="CT33" s="735">
        <f t="shared" ca="1" si="51"/>
        <v>0</v>
      </c>
      <c r="CU33" s="735">
        <f ca="1">CR33+COUNTIFS($CS$6:$CS$53,CS33,$CT$6:CT$53,"&gt;"&amp;CT33,$BC$6:$BC$53,INDEX(T_Equipos[Grupo],MATCH(BD33,T_Equipos[NombreEquipo],0)))</f>
        <v>1</v>
      </c>
      <c r="CV33" s="734" t="str">
        <f ca="1">IF(COUNTIFS($CU$6:$CU$53,CU33,$BC$6:$BC$53,INDEX(T_Equipos[Grupo],MATCH(BD33,T_Equipos[NombreEquipo],0)))=1,"-","P."&amp;CU33&amp;" ("&amp;COUNTIFS($CU$6:$CU$53,CU33,$BC$6:$BC$53,INDEX(T_Equipos[Grupo],MATCH(BD33,T_Equipos[NombreEquipo],0)))&amp;")")</f>
        <v>P.1 (4)</v>
      </c>
      <c r="CW33" s="734">
        <f t="shared" ca="1" si="30"/>
        <v>0</v>
      </c>
      <c r="CX33" s="734">
        <f ca="1">CU33+COUNTIFS($CV$6:$CV$53,CV33,$CW$6:CW$53,"&gt;"&amp;CW33,$BC$6:$BC$53,INDEX(T_Equipos[Grupo],MATCH(BD33,T_Equipos[NombreEquipo],0)))</f>
        <v>1</v>
      </c>
      <c r="CY33" s="734" t="str">
        <f ca="1">IF(COUNTIFS($CX$6:$CX$53,CX33,$BC$6:$BC$53,INDEX(T_Equipos[Grupo],MATCH(BD33,T_Equipos[NombreEquipo],0)))=1,"-","P."&amp;CX33&amp;" ("&amp;COUNTIFS($CX$6:$CX$53,CX33,$BC$6:$BC$53,INDEX(T_Equipos[Grupo],MATCH(BD33,T_Equipos[NombreEquipo],0)))&amp;")")</f>
        <v>P.1 (4)</v>
      </c>
      <c r="CZ33" s="734">
        <f t="shared" ca="1" si="31"/>
        <v>0</v>
      </c>
      <c r="DA33" s="735">
        <f ca="1">CX33+COUNTIFS($CY$6:$CY$53,CY33,$CZ$6:CZ$53,"&gt;"&amp;CZ33,$BC$6:$BC$53,INDEX(T_Equipos[Grupo],MATCH(BD33,T_Equipos[NombreEquipo],0)))</f>
        <v>1</v>
      </c>
      <c r="DB33" s="734" t="str">
        <f ca="1">IF(COUNTIFS($DA$6:$DA$53,DA33,$BC$6:$BC$53,INDEX(T_Equipos[Grupo],MATCH(BD33,T_Equipos[NombreEquipo],0)))=1,"-","P."&amp;DA33&amp;" ("&amp;COUNTIFS($DA$6:$DA$53,DA33,$BC$6:$BC$53,INDEX(T_Equipos[Grupo],MATCH(BD33,T_Equipos[NombreEquipo],0)))&amp;")")</f>
        <v>P.1 (4)</v>
      </c>
      <c r="DC33" s="733">
        <f ca="1">IF(DB33="-","-",COUNTIFS(T_Equipos[Rank],"&lt;"&amp;INDEX(T_Equipos[Rank],MATCH(BD33,T_Equipos[NombreEquipo],0)),$BC$6:$BC$53,INDEX(T_Equipos[Grupo],MATCH(BD33,T_Equipos[NombreEquipo],0)))+1)</f>
        <v>4</v>
      </c>
      <c r="DD33" s="733">
        <f ca="1">DA33+COUNTIFS($DB$6:$DB$53,DB33,$DC$6:DC$53,"&lt;"&amp;DC33,$BC$6:$BC$53,INDEX(T_Equipos[Grupo],MATCH(BD33,T_Equipos[NombreEquipo],0)))</f>
        <v>4</v>
      </c>
      <c r="DE33" s="733"/>
      <c r="DF33" s="733">
        <f t="shared" ca="1" si="52"/>
        <v>4</v>
      </c>
      <c r="DG33" s="733">
        <f ca="1">IF(DB33="-","-",COUNTIFS(DF$6:DF$53,"&lt;"&amp;DF33,$BC$6:$BC$53,INDEX(T_Equipos[Grupo],MATCH(BD33,T_Equipos[NombreEquipo],0))))</f>
        <v>3</v>
      </c>
      <c r="DH33" s="733">
        <f ca="1">DA33+COUNTIFS(DB$6:DB$53,DB33,DG$6:DG$53,"&lt;"&amp;DG33,$BC$6:$BC$53,INDEX(T_Equipos[Grupo],MATCH(BD33,T_Equipos[NombreEquipo],0)))</f>
        <v>4</v>
      </c>
      <c r="DI33" s="721"/>
      <c r="DJ33" s="721">
        <f t="shared" ca="1" si="53"/>
        <v>1</v>
      </c>
      <c r="DK33" s="721">
        <f t="shared" ca="1" si="24"/>
        <v>0</v>
      </c>
      <c r="DL33" s="721">
        <f t="shared" ca="1" si="33"/>
        <v>1</v>
      </c>
      <c r="DM33" s="715" t="str">
        <f t="shared" ca="1" si="34"/>
        <v>1.1</v>
      </c>
      <c r="DN33" s="721" cm="1">
        <f t="array" aca="1" ref="DN33" ca="1">OFFSET(Horarios!$P$3,DJ33-1,0,DL33,1)</f>
        <v>1</v>
      </c>
      <c r="DO33" s="721"/>
      <c r="DP33" s="721" t="s">
        <v>669</v>
      </c>
      <c r="DQ33" s="721" t="str">
        <f t="shared" ca="1" si="35"/>
        <v>Nueva Zelanda</v>
      </c>
      <c r="DR33" s="721"/>
      <c r="DS33" s="721"/>
      <c r="DT33" s="721" t="str">
        <f t="shared" ca="1" si="15"/>
        <v>Paraguay-Australia</v>
      </c>
      <c r="DU33" s="721"/>
      <c r="DV33" s="721"/>
      <c r="DW33" s="8"/>
    </row>
    <row r="34" spans="1:127" ht="15.75" thickBot="1">
      <c r="A34" s="716"/>
      <c r="B34" s="716"/>
      <c r="C34" s="716"/>
      <c r="D34" s="721"/>
      <c r="E34" s="721"/>
      <c r="F34" s="721"/>
      <c r="G34" s="721"/>
      <c r="H34" s="721"/>
      <c r="I34" s="721"/>
      <c r="J34" s="721"/>
      <c r="K34" s="721"/>
      <c r="L34" s="721"/>
      <c r="M34" s="721"/>
      <c r="N34" s="721"/>
      <c r="O34" s="721"/>
      <c r="P34" s="721"/>
      <c r="Q34" s="721"/>
      <c r="R34" s="721"/>
      <c r="S34" s="721"/>
      <c r="T34" s="721"/>
      <c r="U34" s="721"/>
      <c r="V34" s="162"/>
      <c r="W34" s="232"/>
      <c r="X34" s="233"/>
      <c r="Y34" s="232"/>
      <c r="Z34" s="234"/>
      <c r="AA34" s="235"/>
      <c r="AB34" s="461"/>
      <c r="AC34" s="237"/>
      <c r="AD34" s="237"/>
      <c r="AE34" s="461"/>
      <c r="AF34" s="238"/>
      <c r="AG34" s="398"/>
      <c r="AH34" s="186"/>
      <c r="AI34" s="161"/>
      <c r="AJ34" s="239"/>
      <c r="AK34" s="240"/>
      <c r="AL34" s="176"/>
      <c r="AM34" s="241"/>
      <c r="AN34" s="239"/>
      <c r="AO34" s="239"/>
      <c r="AP34" s="239"/>
      <c r="AQ34" s="239"/>
      <c r="AR34" s="239"/>
      <c r="AS34" s="239"/>
      <c r="AT34" s="239"/>
      <c r="AU34" s="403"/>
      <c r="AV34" s="206"/>
      <c r="AW34" s="411"/>
      <c r="AX34" s="208"/>
      <c r="AY34" s="232"/>
      <c r="AZ34" s="233"/>
      <c r="BA34" s="165"/>
      <c r="BB34" s="721"/>
      <c r="BC34" s="733" t="str">
        <f ca="1">+INDEX(T_Equipos[Grupo],MATCH(WORLDCUP!BD34,T_Equipos[NombreEquipo],0))</f>
        <v>H</v>
      </c>
      <c r="BD34" s="721" t="str">
        <f ca="1">+Equipos!B30</f>
        <v>España</v>
      </c>
      <c r="BE34" s="725">
        <f t="shared" ca="1" si="25"/>
        <v>0</v>
      </c>
      <c r="BF34" s="725">
        <f t="shared" ca="1" si="26"/>
        <v>0</v>
      </c>
      <c r="BG34" s="725">
        <f t="shared" ca="1" si="17"/>
        <v>0</v>
      </c>
      <c r="BH34" s="725">
        <f t="shared" ca="1" si="18"/>
        <v>0</v>
      </c>
      <c r="BI34" s="725">
        <f t="shared" ca="1" si="19"/>
        <v>0</v>
      </c>
      <c r="BJ34" s="725">
        <f t="shared" ca="1" si="20"/>
        <v>0</v>
      </c>
      <c r="BK34" s="725">
        <f t="shared" ca="1" si="21"/>
        <v>0</v>
      </c>
      <c r="BL34" s="725">
        <f t="shared" ca="1" si="27"/>
        <v>0</v>
      </c>
      <c r="BM34" s="725" t="str">
        <f t="shared" ca="1" si="22"/>
        <v>1H</v>
      </c>
      <c r="BN34" s="725" t="str">
        <f t="shared" ca="1" si="23"/>
        <v>1H</v>
      </c>
      <c r="BO34" s="735">
        <f t="shared" ca="1" si="28"/>
        <v>0</v>
      </c>
      <c r="BP34" s="734">
        <f ca="1">COUNTIFS($BO$6:$BO$53,"&gt;"&amp;BO34,$BC$6:$BC$53,INDEX(T_Equipos[Grupo],MATCH(BD34,T_Equipos[NombreEquipo],0)))+1</f>
        <v>1</v>
      </c>
      <c r="BQ34" s="734" t="str">
        <f ca="1">IF(COUNTIFS($BP$6:$BP$53,BP34,$BC$6:$BC$53,INDEX(T_Equipos[Grupo],MATCH(BD34,T_Equipos[NombreEquipo],0)))=1,"-","P."&amp;BP34&amp;" ("&amp;COUNTIFS($BP$6:$BP$53,BP34,$BC$6:$BC$53,INDEX(T_Equipos[Grupo],MATCH(BD34,T_Equipos[NombreEquipo],0)))&amp;")")</f>
        <v>P.1 (4)</v>
      </c>
      <c r="BR34" s="735">
        <f t="shared" ca="1" si="29"/>
        <v>0</v>
      </c>
      <c r="BS34" s="734">
        <f ca="1">BP34+COUNTIFS($BQ$6:$BQ$53,BQ34,$BR$6:BR$53,"&gt;"&amp;BR34,$BC$6:$BC$53,INDEX(T_Equipos[Grupo],MATCH(BD34,T_Equipos[NombreEquipo],0)))</f>
        <v>1</v>
      </c>
      <c r="BT34" s="734" t="str">
        <f ca="1">IF(COUNTIFS($BS$6:$BS$53,BS34,$BC$6:$BC$53,INDEX(T_Equipos[Grupo],MATCH(BD34,T_Equipos[NombreEquipo],0)))=1,"-","P."&amp;BS34&amp;" ("&amp;COUNTIFS($BS$6:$BS$53,BS34,$BC$6:$BC$53,INDEX(T_Equipos[Grupo],MATCH(BD34,T_Equipos[NombreEquipo],0)))&amp;")")</f>
        <v>P.1 (4)</v>
      </c>
      <c r="BU34" s="735">
        <f t="shared" ca="1" si="36"/>
        <v>0</v>
      </c>
      <c r="BV34" s="735">
        <f t="shared" ca="1" si="37"/>
        <v>0</v>
      </c>
      <c r="BW34" s="735">
        <f t="shared" ca="1" si="38"/>
        <v>0</v>
      </c>
      <c r="BX34" s="735">
        <f t="shared" ca="1" si="39"/>
        <v>0</v>
      </c>
      <c r="BY34" s="735">
        <f ca="1">BS34+COUNTIFS($BT$6:$BT$53,BT34,$BX$6:BX$53,"&gt;"&amp;BX34,$BC$6:$BC$53,INDEX(T_Equipos[Grupo],MATCH(BD34,T_Equipos[NombreEquipo],0)))</f>
        <v>1</v>
      </c>
      <c r="BZ34" s="734" t="str">
        <f ca="1">IF(COUNTIFS($BY$6:$BY$53,BY34,$BC$6:$BC$53,INDEX(T_Equipos[Grupo],MATCH(BD34,T_Equipos[NombreEquipo],0)))=1,"-","P."&amp;BY34&amp;" ("&amp;COUNTIFS($BY$6:$BY$53,BY34,$BC$6:$BC$53,INDEX(T_Equipos[Grupo],MATCH(BD34,T_Equipos[NombreEquipo],0)))&amp;")")</f>
        <v>P.1 (4)</v>
      </c>
      <c r="CA34" s="735">
        <f t="shared" ca="1" si="40"/>
        <v>0</v>
      </c>
      <c r="CB34" s="735">
        <f t="shared" ca="1" si="41"/>
        <v>0</v>
      </c>
      <c r="CC34" s="735">
        <f t="shared" ca="1" si="42"/>
        <v>0</v>
      </c>
      <c r="CD34" s="735">
        <f ca="1">BY34+COUNTIFS($BZ$6:$BZ$53,BZ34,$CC$6:CC$53,"&gt;"&amp;CC34,$BC$6:$BC$53,INDEX(T_Equipos[Grupo],MATCH(BD34,T_Equipos[NombreEquipo],0)))</f>
        <v>1</v>
      </c>
      <c r="CE34" s="734" t="str">
        <f ca="1">IF(COUNTIFS($CD$6:$CD$53,CD34,$BC$6:$BC$53,INDEX(T_Equipos[Grupo],MATCH(BD34,T_Equipos[NombreEquipo],0)))=1,"-","P."&amp;CD34&amp;" ("&amp;COUNTIFS($CD$6:$CD$53,CD34,$BC$6:$BC$53,INDEX(T_Equipos[Grupo],MATCH(BD34,T_Equipos[NombreEquipo],0)))&amp;")")</f>
        <v>P.1 (4)</v>
      </c>
      <c r="CF34" s="735">
        <f t="shared" ca="1" si="43"/>
        <v>0</v>
      </c>
      <c r="CG34" s="735">
        <f ca="1">CD34+COUNTIFS($CE$6:$CE$53,CE34,$CF$6:CF$53,"&gt;"&amp;CF34,$BC$6:$BC$53,INDEX(T_Equipos[Grupo],MATCH(BD34,T_Equipos[NombreEquipo],0)))</f>
        <v>1</v>
      </c>
      <c r="CH34" s="734" t="str">
        <f ca="1">IF(COUNTIFS($CG$6:$CG$53,CG34,$BC$6:$BC$53,INDEX(T_Equipos[Grupo],MATCH(BD34,T_Equipos[NombreEquipo],0)))=1,"-","P."&amp;CG34&amp;" ("&amp;COUNTIFS($CG$6:$CG$53,CG34,$BC$6:$BC$53,INDEX(T_Equipos[Grupo],MATCH(BD34,T_Equipos[NombreEquipo],0)))&amp;")")</f>
        <v>P.1 (4)</v>
      </c>
      <c r="CI34" s="735">
        <f t="shared" ca="1" si="44"/>
        <v>0</v>
      </c>
      <c r="CJ34" s="735">
        <f t="shared" ca="1" si="45"/>
        <v>0</v>
      </c>
      <c r="CK34" s="735">
        <f t="shared" ca="1" si="46"/>
        <v>0</v>
      </c>
      <c r="CL34" s="735">
        <f t="shared" ca="1" si="47"/>
        <v>0</v>
      </c>
      <c r="CM34" s="735">
        <f ca="1">CG34+COUNTIFS($CH$6:$CH$53,CH34,$CL$6:CL$53,"&gt;"&amp;CL34,$BC$6:$BC$53,INDEX(T_Equipos[Grupo],MATCH(BD34,T_Equipos[NombreEquipo],0)))</f>
        <v>1</v>
      </c>
      <c r="CN34" s="734" t="str">
        <f ca="1">IF(COUNTIFS($CM$6:$CM$53,CM34,$BC$6:$BC$53,INDEX(T_Equipos[Grupo],MATCH(BD34,T_Equipos[NombreEquipo],0)))=1,"-","P."&amp;CM34&amp;" ("&amp;COUNTIFS($CM$6:$CM$53,CM34,$BC$6:$BC$53,INDEX(T_Equipos[Grupo],MATCH(BD34,T_Equipos[NombreEquipo],0)))&amp;")")</f>
        <v>P.1 (4)</v>
      </c>
      <c r="CO34" s="735">
        <f t="shared" ca="1" si="48"/>
        <v>0</v>
      </c>
      <c r="CP34" s="735">
        <f t="shared" ca="1" si="49"/>
        <v>0</v>
      </c>
      <c r="CQ34" s="735">
        <f t="shared" ca="1" si="50"/>
        <v>0</v>
      </c>
      <c r="CR34" s="735">
        <f ca="1">CM34+COUNTIFS($CN$6:$CN$53,CN34,$CQ$6:CQ$53,"&gt;"&amp;CQ34,$BC$6:$BC$53,INDEX(T_Equipos[Grupo],MATCH(BD34,T_Equipos[NombreEquipo],0)))</f>
        <v>1</v>
      </c>
      <c r="CS34" s="734" t="str">
        <f ca="1">IF(COUNTIFS($CR$6:$CR$53,CR34,$BC$6:$BC$53,INDEX(T_Equipos[Grupo],MATCH(BD34,T_Equipos[NombreEquipo],0)))=1,"-","P."&amp;CR34&amp;" ("&amp;COUNTIFS($CR$6:$CR$53,CR34,$BC$6:$BC$53,INDEX(T_Equipos[Grupo],MATCH(BD34,T_Equipos[NombreEquipo],0)))&amp;")")</f>
        <v>P.1 (4)</v>
      </c>
      <c r="CT34" s="735">
        <f t="shared" ca="1" si="51"/>
        <v>0</v>
      </c>
      <c r="CU34" s="735">
        <f ca="1">CR34+COUNTIFS($CS$6:$CS$53,CS34,$CT$6:CT$53,"&gt;"&amp;CT34,$BC$6:$BC$53,INDEX(T_Equipos[Grupo],MATCH(BD34,T_Equipos[NombreEquipo],0)))</f>
        <v>1</v>
      </c>
      <c r="CV34" s="734" t="str">
        <f ca="1">IF(COUNTIFS($CU$6:$CU$53,CU34,$BC$6:$BC$53,INDEX(T_Equipos[Grupo],MATCH(BD34,T_Equipos[NombreEquipo],0)))=1,"-","P."&amp;CU34&amp;" ("&amp;COUNTIFS($CU$6:$CU$53,CU34,$BC$6:$BC$53,INDEX(T_Equipos[Grupo],MATCH(BD34,T_Equipos[NombreEquipo],0)))&amp;")")</f>
        <v>P.1 (4)</v>
      </c>
      <c r="CW34" s="734">
        <f t="shared" ca="1" si="30"/>
        <v>0</v>
      </c>
      <c r="CX34" s="734">
        <f ca="1">CU34+COUNTIFS($CV$6:$CV$53,CV34,$CW$6:CW$53,"&gt;"&amp;CW34,$BC$6:$BC$53,INDEX(T_Equipos[Grupo],MATCH(BD34,T_Equipos[NombreEquipo],0)))</f>
        <v>1</v>
      </c>
      <c r="CY34" s="734" t="str">
        <f ca="1">IF(COUNTIFS($CX$6:$CX$53,CX34,$BC$6:$BC$53,INDEX(T_Equipos[Grupo],MATCH(BD34,T_Equipos[NombreEquipo],0)))=1,"-","P."&amp;CX34&amp;" ("&amp;COUNTIFS($CX$6:$CX$53,CX34,$BC$6:$BC$53,INDEX(T_Equipos[Grupo],MATCH(BD34,T_Equipos[NombreEquipo],0)))&amp;")")</f>
        <v>P.1 (4)</v>
      </c>
      <c r="CZ34" s="734">
        <f t="shared" ca="1" si="31"/>
        <v>0</v>
      </c>
      <c r="DA34" s="735">
        <f ca="1">CX34+COUNTIFS($CY$6:$CY$53,CY34,$CZ$6:CZ$53,"&gt;"&amp;CZ34,$BC$6:$BC$53,INDEX(T_Equipos[Grupo],MATCH(BD34,T_Equipos[NombreEquipo],0)))</f>
        <v>1</v>
      </c>
      <c r="DB34" s="734" t="str">
        <f ca="1">IF(COUNTIFS($DA$6:$DA$53,DA34,$BC$6:$BC$53,INDEX(T_Equipos[Grupo],MATCH(BD34,T_Equipos[NombreEquipo],0)))=1,"-","P."&amp;DA34&amp;" ("&amp;COUNTIFS($DA$6:$DA$53,DA34,$BC$6:$BC$53,INDEX(T_Equipos[Grupo],MATCH(BD34,T_Equipos[NombreEquipo],0)))&amp;")")</f>
        <v>P.1 (4)</v>
      </c>
      <c r="DC34" s="733">
        <f ca="1">IF(DB34="-","-",COUNTIFS(T_Equipos[Rank],"&lt;"&amp;INDEX(T_Equipos[Rank],MATCH(BD34,T_Equipos[NombreEquipo],0)),$BC$6:$BC$53,INDEX(T_Equipos[Grupo],MATCH(BD34,T_Equipos[NombreEquipo],0)))+1)</f>
        <v>1</v>
      </c>
      <c r="DD34" s="733">
        <f ca="1">DA34+COUNTIFS($DB$6:$DB$53,DB34,$DC$6:DC$53,"&lt;"&amp;DC34,$BC$6:$BC$53,INDEX(T_Equipos[Grupo],MATCH(BD34,T_Equipos[NombreEquipo],0)))</f>
        <v>1</v>
      </c>
      <c r="DE34" s="733"/>
      <c r="DF34" s="733">
        <f t="shared" ca="1" si="52"/>
        <v>1</v>
      </c>
      <c r="DG34" s="733">
        <f ca="1">IF(DB34="-","-",COUNTIFS(DF$6:DF$53,"&lt;"&amp;DF34,$BC$6:$BC$53,INDEX(T_Equipos[Grupo],MATCH(BD34,T_Equipos[NombreEquipo],0))))</f>
        <v>0</v>
      </c>
      <c r="DH34" s="733">
        <f ca="1">DA34+COUNTIFS(DB$6:DB$53,DB34,DG$6:DG$53,"&lt;"&amp;DG34,$BC$6:$BC$53,INDEX(T_Equipos[Grupo],MATCH(BD34,T_Equipos[NombreEquipo],0)))</f>
        <v>1</v>
      </c>
      <c r="DI34" s="721"/>
      <c r="DJ34" s="721">
        <f t="shared" ca="1" si="53"/>
        <v>1</v>
      </c>
      <c r="DK34" s="721">
        <f t="shared" ca="1" si="24"/>
        <v>0</v>
      </c>
      <c r="DL34" s="721">
        <f t="shared" ca="1" si="33"/>
        <v>1</v>
      </c>
      <c r="DM34" s="715" t="str">
        <f t="shared" ca="1" si="34"/>
        <v>1.1</v>
      </c>
      <c r="DN34" s="721" cm="1">
        <f t="array" aca="1" ref="DN34" ca="1">OFFSET(Horarios!$P$3,DJ34-1,0,DL34,1)</f>
        <v>1</v>
      </c>
      <c r="DO34" s="721"/>
      <c r="DP34" s="721" t="s">
        <v>670</v>
      </c>
      <c r="DQ34" s="721" t="str">
        <f t="shared" ca="1" si="35"/>
        <v>España</v>
      </c>
      <c r="DR34" s="721"/>
      <c r="DS34" s="721"/>
      <c r="DT34" s="721" t="str">
        <f t="shared" si="15"/>
        <v>-</v>
      </c>
      <c r="DU34" s="721"/>
      <c r="DV34" s="721"/>
      <c r="DW34" s="8"/>
    </row>
    <row r="35" spans="1:127" ht="15.75" thickBot="1">
      <c r="A35" s="716"/>
      <c r="B35" s="719"/>
      <c r="C35" s="716"/>
      <c r="D35" s="716"/>
      <c r="E35" s="716"/>
      <c r="F35" s="716"/>
      <c r="G35" s="716"/>
      <c r="H35" s="716"/>
      <c r="I35" s="716"/>
      <c r="J35" s="716"/>
      <c r="K35" s="716"/>
      <c r="L35" s="716"/>
      <c r="M35" s="716"/>
      <c r="N35" s="721"/>
      <c r="O35" s="721"/>
      <c r="P35" s="721"/>
      <c r="Q35" s="721"/>
      <c r="R35" s="721"/>
      <c r="S35" s="721"/>
      <c r="T35" s="721"/>
      <c r="U35" s="721"/>
      <c r="V35" s="162"/>
      <c r="W35" s="169"/>
      <c r="X35" s="170" t="str">
        <f>X19</f>
        <v>Fecha</v>
      </c>
      <c r="Y35" s="170" t="str">
        <f>Y19</f>
        <v>Hora</v>
      </c>
      <c r="Z35" s="171" t="str">
        <f t="shared" ref="Z35:AA35" si="113">Z19</f>
        <v>Jor.</v>
      </c>
      <c r="AA35" s="172" t="str">
        <f t="shared" si="113"/>
        <v>Casa</v>
      </c>
      <c r="AB35" s="171"/>
      <c r="AC35" s="171" t="str">
        <f>AC3</f>
        <v>Gol</v>
      </c>
      <c r="AD35" s="171" t="str">
        <f>AD3</f>
        <v>Gol</v>
      </c>
      <c r="AE35" s="171"/>
      <c r="AF35" s="174" t="str">
        <f t="shared" ref="AF35" si="114">AF19</f>
        <v>Fuera</v>
      </c>
      <c r="AG35" s="397"/>
      <c r="AH35" s="186"/>
      <c r="AI35" s="14"/>
      <c r="AJ35" s="176"/>
      <c r="AK35" s="242"/>
      <c r="AL35" s="176"/>
      <c r="AM35" s="176"/>
      <c r="AN35" s="176"/>
      <c r="AO35" s="176"/>
      <c r="AP35" s="176"/>
      <c r="AQ35" s="176"/>
      <c r="AR35" s="176"/>
      <c r="AS35" s="176"/>
      <c r="AT35" s="176"/>
      <c r="AU35" s="404"/>
      <c r="AV35" s="18"/>
      <c r="AW35" s="412"/>
      <c r="AX35" s="243"/>
      <c r="AY35" s="232"/>
      <c r="AZ35" s="233"/>
      <c r="BA35" s="165"/>
      <c r="BB35" s="721"/>
      <c r="BC35" s="733" t="str">
        <f ca="1">+INDEX(T_Equipos[Grupo],MATCH(WORLDCUP!BD35,T_Equipos[NombreEquipo],0))</f>
        <v>H</v>
      </c>
      <c r="BD35" s="721" t="str">
        <f ca="1">+Equipos!B31</f>
        <v>Cabo Verde</v>
      </c>
      <c r="BE35" s="725">
        <f t="shared" ca="1" si="25"/>
        <v>0</v>
      </c>
      <c r="BF35" s="725">
        <f t="shared" ca="1" si="26"/>
        <v>0</v>
      </c>
      <c r="BG35" s="725">
        <f t="shared" ca="1" si="17"/>
        <v>0</v>
      </c>
      <c r="BH35" s="725">
        <f t="shared" ca="1" si="18"/>
        <v>0</v>
      </c>
      <c r="BI35" s="725">
        <f t="shared" ca="1" si="19"/>
        <v>0</v>
      </c>
      <c r="BJ35" s="725">
        <f t="shared" ca="1" si="20"/>
        <v>0</v>
      </c>
      <c r="BK35" s="725">
        <f t="shared" ca="1" si="21"/>
        <v>0</v>
      </c>
      <c r="BL35" s="725">
        <f t="shared" ca="1" si="27"/>
        <v>0</v>
      </c>
      <c r="BM35" s="725" t="str">
        <f t="shared" ca="1" si="22"/>
        <v>2H</v>
      </c>
      <c r="BN35" s="725" t="str">
        <f t="shared" ca="1" si="23"/>
        <v>2H</v>
      </c>
      <c r="BO35" s="735">
        <f t="shared" ca="1" si="28"/>
        <v>0</v>
      </c>
      <c r="BP35" s="734">
        <f ca="1">COUNTIFS($BO$6:$BO$53,"&gt;"&amp;BO35,$BC$6:$BC$53,INDEX(T_Equipos[Grupo],MATCH(BD35,T_Equipos[NombreEquipo],0)))+1</f>
        <v>1</v>
      </c>
      <c r="BQ35" s="734" t="str">
        <f ca="1">IF(COUNTIFS($BP$6:$BP$53,BP35,$BC$6:$BC$53,INDEX(T_Equipos[Grupo],MATCH(BD35,T_Equipos[NombreEquipo],0)))=1,"-","P."&amp;BP35&amp;" ("&amp;COUNTIFS($BP$6:$BP$53,BP35,$BC$6:$BC$53,INDEX(T_Equipos[Grupo],MATCH(BD35,T_Equipos[NombreEquipo],0)))&amp;")")</f>
        <v>P.1 (4)</v>
      </c>
      <c r="BR35" s="735">
        <f t="shared" ca="1" si="29"/>
        <v>0</v>
      </c>
      <c r="BS35" s="734">
        <f ca="1">BP35+COUNTIFS($BQ$6:$BQ$53,BQ35,$BR$6:BR$53,"&gt;"&amp;BR35,$BC$6:$BC$53,INDEX(T_Equipos[Grupo],MATCH(BD35,T_Equipos[NombreEquipo],0)))</f>
        <v>1</v>
      </c>
      <c r="BT35" s="734" t="str">
        <f ca="1">IF(COUNTIFS($BS$6:$BS$53,BS35,$BC$6:$BC$53,INDEX(T_Equipos[Grupo],MATCH(BD35,T_Equipos[NombreEquipo],0)))=1,"-","P."&amp;BS35&amp;" ("&amp;COUNTIFS($BS$6:$BS$53,BS35,$BC$6:$BC$53,INDEX(T_Equipos[Grupo],MATCH(BD35,T_Equipos[NombreEquipo],0)))&amp;")")</f>
        <v>P.1 (4)</v>
      </c>
      <c r="BU35" s="735">
        <f t="shared" ca="1" si="36"/>
        <v>0</v>
      </c>
      <c r="BV35" s="735">
        <f t="shared" ca="1" si="37"/>
        <v>0</v>
      </c>
      <c r="BW35" s="735">
        <f t="shared" ca="1" si="38"/>
        <v>0</v>
      </c>
      <c r="BX35" s="735">
        <f t="shared" ca="1" si="39"/>
        <v>0</v>
      </c>
      <c r="BY35" s="735">
        <f ca="1">BS35+COUNTIFS($BT$6:$BT$53,BT35,$BX$6:BX$53,"&gt;"&amp;BX35,$BC$6:$BC$53,INDEX(T_Equipos[Grupo],MATCH(BD35,T_Equipos[NombreEquipo],0)))</f>
        <v>1</v>
      </c>
      <c r="BZ35" s="734" t="str">
        <f ca="1">IF(COUNTIFS($BY$6:$BY$53,BY35,$BC$6:$BC$53,INDEX(T_Equipos[Grupo],MATCH(BD35,T_Equipos[NombreEquipo],0)))=1,"-","P."&amp;BY35&amp;" ("&amp;COUNTIFS($BY$6:$BY$53,BY35,$BC$6:$BC$53,INDEX(T_Equipos[Grupo],MATCH(BD35,T_Equipos[NombreEquipo],0)))&amp;")")</f>
        <v>P.1 (4)</v>
      </c>
      <c r="CA35" s="735">
        <f t="shared" ca="1" si="40"/>
        <v>0</v>
      </c>
      <c r="CB35" s="735">
        <f t="shared" ca="1" si="41"/>
        <v>0</v>
      </c>
      <c r="CC35" s="735">
        <f t="shared" ca="1" si="42"/>
        <v>0</v>
      </c>
      <c r="CD35" s="735">
        <f ca="1">BY35+COUNTIFS($BZ$6:$BZ$53,BZ35,$CC$6:CC$53,"&gt;"&amp;CC35,$BC$6:$BC$53,INDEX(T_Equipos[Grupo],MATCH(BD35,T_Equipos[NombreEquipo],0)))</f>
        <v>1</v>
      </c>
      <c r="CE35" s="734" t="str">
        <f ca="1">IF(COUNTIFS($CD$6:$CD$53,CD35,$BC$6:$BC$53,INDEX(T_Equipos[Grupo],MATCH(BD35,T_Equipos[NombreEquipo],0)))=1,"-","P."&amp;CD35&amp;" ("&amp;COUNTIFS($CD$6:$CD$53,CD35,$BC$6:$BC$53,INDEX(T_Equipos[Grupo],MATCH(BD35,T_Equipos[NombreEquipo],0)))&amp;")")</f>
        <v>P.1 (4)</v>
      </c>
      <c r="CF35" s="735">
        <f t="shared" ca="1" si="43"/>
        <v>0</v>
      </c>
      <c r="CG35" s="735">
        <f ca="1">CD35+COUNTIFS($CE$6:$CE$53,CE35,$CF$6:CF$53,"&gt;"&amp;CF35,$BC$6:$BC$53,INDEX(T_Equipos[Grupo],MATCH(BD35,T_Equipos[NombreEquipo],0)))</f>
        <v>1</v>
      </c>
      <c r="CH35" s="734" t="str">
        <f ca="1">IF(COUNTIFS($CG$6:$CG$53,CG35,$BC$6:$BC$53,INDEX(T_Equipos[Grupo],MATCH(BD35,T_Equipos[NombreEquipo],0)))=1,"-","P."&amp;CG35&amp;" ("&amp;COUNTIFS($CG$6:$CG$53,CG35,$BC$6:$BC$53,INDEX(T_Equipos[Grupo],MATCH(BD35,T_Equipos[NombreEquipo],0)))&amp;")")</f>
        <v>P.1 (4)</v>
      </c>
      <c r="CI35" s="735">
        <f t="shared" ca="1" si="44"/>
        <v>0</v>
      </c>
      <c r="CJ35" s="735">
        <f t="shared" ca="1" si="45"/>
        <v>0</v>
      </c>
      <c r="CK35" s="735">
        <f t="shared" ca="1" si="46"/>
        <v>0</v>
      </c>
      <c r="CL35" s="735">
        <f t="shared" ca="1" si="47"/>
        <v>0</v>
      </c>
      <c r="CM35" s="735">
        <f ca="1">CG35+COUNTIFS($CH$6:$CH$53,CH35,$CL$6:CL$53,"&gt;"&amp;CL35,$BC$6:$BC$53,INDEX(T_Equipos[Grupo],MATCH(BD35,T_Equipos[NombreEquipo],0)))</f>
        <v>1</v>
      </c>
      <c r="CN35" s="734" t="str">
        <f ca="1">IF(COUNTIFS($CM$6:$CM$53,CM35,$BC$6:$BC$53,INDEX(T_Equipos[Grupo],MATCH(BD35,T_Equipos[NombreEquipo],0)))=1,"-","P."&amp;CM35&amp;" ("&amp;COUNTIFS($CM$6:$CM$53,CM35,$BC$6:$BC$53,INDEX(T_Equipos[Grupo],MATCH(BD35,T_Equipos[NombreEquipo],0)))&amp;")")</f>
        <v>P.1 (4)</v>
      </c>
      <c r="CO35" s="735">
        <f t="shared" ca="1" si="48"/>
        <v>0</v>
      </c>
      <c r="CP35" s="735">
        <f t="shared" ca="1" si="49"/>
        <v>0</v>
      </c>
      <c r="CQ35" s="735">
        <f t="shared" ca="1" si="50"/>
        <v>0</v>
      </c>
      <c r="CR35" s="735">
        <f ca="1">CM35+COUNTIFS($CN$6:$CN$53,CN35,$CQ$6:CQ$53,"&gt;"&amp;CQ35,$BC$6:$BC$53,INDEX(T_Equipos[Grupo],MATCH(BD35,T_Equipos[NombreEquipo],0)))</f>
        <v>1</v>
      </c>
      <c r="CS35" s="734" t="str">
        <f ca="1">IF(COUNTIFS($CR$6:$CR$53,CR35,$BC$6:$BC$53,INDEX(T_Equipos[Grupo],MATCH(BD35,T_Equipos[NombreEquipo],0)))=1,"-","P."&amp;CR35&amp;" ("&amp;COUNTIFS($CR$6:$CR$53,CR35,$BC$6:$BC$53,INDEX(T_Equipos[Grupo],MATCH(BD35,T_Equipos[NombreEquipo],0)))&amp;")")</f>
        <v>P.1 (4)</v>
      </c>
      <c r="CT35" s="735">
        <f t="shared" ca="1" si="51"/>
        <v>0</v>
      </c>
      <c r="CU35" s="735">
        <f ca="1">CR35+COUNTIFS($CS$6:$CS$53,CS35,$CT$6:CT$53,"&gt;"&amp;CT35,$BC$6:$BC$53,INDEX(T_Equipos[Grupo],MATCH(BD35,T_Equipos[NombreEquipo],0)))</f>
        <v>1</v>
      </c>
      <c r="CV35" s="734" t="str">
        <f ca="1">IF(COUNTIFS($CU$6:$CU$53,CU35,$BC$6:$BC$53,INDEX(T_Equipos[Grupo],MATCH(BD35,T_Equipos[NombreEquipo],0)))=1,"-","P."&amp;CU35&amp;" ("&amp;COUNTIFS($CU$6:$CU$53,CU35,$BC$6:$BC$53,INDEX(T_Equipos[Grupo],MATCH(BD35,T_Equipos[NombreEquipo],0)))&amp;")")</f>
        <v>P.1 (4)</v>
      </c>
      <c r="CW35" s="734">
        <f t="shared" ca="1" si="30"/>
        <v>0</v>
      </c>
      <c r="CX35" s="734">
        <f ca="1">CU35+COUNTIFS($CV$6:$CV$53,CV35,$CW$6:CW$53,"&gt;"&amp;CW35,$BC$6:$BC$53,INDEX(T_Equipos[Grupo],MATCH(BD35,T_Equipos[NombreEquipo],0)))</f>
        <v>1</v>
      </c>
      <c r="CY35" s="734" t="str">
        <f ca="1">IF(COUNTIFS($CX$6:$CX$53,CX35,$BC$6:$BC$53,INDEX(T_Equipos[Grupo],MATCH(BD35,T_Equipos[NombreEquipo],0)))=1,"-","P."&amp;CX35&amp;" ("&amp;COUNTIFS($CX$6:$CX$53,CX35,$BC$6:$BC$53,INDEX(T_Equipos[Grupo],MATCH(BD35,T_Equipos[NombreEquipo],0)))&amp;")")</f>
        <v>P.1 (4)</v>
      </c>
      <c r="CZ35" s="734">
        <f t="shared" ca="1" si="31"/>
        <v>0</v>
      </c>
      <c r="DA35" s="735">
        <f ca="1">CX35+COUNTIFS($CY$6:$CY$53,CY35,$CZ$6:CZ$53,"&gt;"&amp;CZ35,$BC$6:$BC$53,INDEX(T_Equipos[Grupo],MATCH(BD35,T_Equipos[NombreEquipo],0)))</f>
        <v>1</v>
      </c>
      <c r="DB35" s="734" t="str">
        <f ca="1">IF(COUNTIFS($DA$6:$DA$53,DA35,$BC$6:$BC$53,INDEX(T_Equipos[Grupo],MATCH(BD35,T_Equipos[NombreEquipo],0)))=1,"-","P."&amp;DA35&amp;" ("&amp;COUNTIFS($DA$6:$DA$53,DA35,$BC$6:$BC$53,INDEX(T_Equipos[Grupo],MATCH(BD35,T_Equipos[NombreEquipo],0)))&amp;")")</f>
        <v>P.1 (4)</v>
      </c>
      <c r="DC35" s="733">
        <f ca="1">IF(DB35="-","-",COUNTIFS(T_Equipos[Rank],"&lt;"&amp;INDEX(T_Equipos[Rank],MATCH(BD35,T_Equipos[NombreEquipo],0)),$BC$6:$BC$53,INDEX(T_Equipos[Grupo],MATCH(BD35,T_Equipos[NombreEquipo],0)))+1)</f>
        <v>2</v>
      </c>
      <c r="DD35" s="733">
        <f ca="1">DA35+COUNTIFS($DB$6:$DB$53,DB35,$DC$6:DC$53,"&lt;"&amp;DC35,$BC$6:$BC$53,INDEX(T_Equipos[Grupo],MATCH(BD35,T_Equipos[NombreEquipo],0)))</f>
        <v>2</v>
      </c>
      <c r="DE35" s="733"/>
      <c r="DF35" s="733">
        <f t="shared" ca="1" si="52"/>
        <v>2</v>
      </c>
      <c r="DG35" s="733">
        <f ca="1">IF(DB35="-","-",COUNTIFS(DF$6:DF$53,"&lt;"&amp;DF35,$BC$6:$BC$53,INDEX(T_Equipos[Grupo],MATCH(BD35,T_Equipos[NombreEquipo],0))))</f>
        <v>1</v>
      </c>
      <c r="DH35" s="733">
        <f ca="1">DA35+COUNTIFS(DB$6:DB$53,DB35,DG$6:DG$53,"&lt;"&amp;DG35,$BC$6:$BC$53,INDEX(T_Equipos[Grupo],MATCH(BD35,T_Equipos[NombreEquipo],0)))</f>
        <v>2</v>
      </c>
      <c r="DI35" s="721"/>
      <c r="DJ35" s="721">
        <f t="shared" ca="1" si="53"/>
        <v>1</v>
      </c>
      <c r="DK35" s="721">
        <f t="shared" ca="1" si="24"/>
        <v>0</v>
      </c>
      <c r="DL35" s="721">
        <f t="shared" ca="1" si="33"/>
        <v>1</v>
      </c>
      <c r="DM35" s="715" t="str">
        <f t="shared" ca="1" si="34"/>
        <v>1.1</v>
      </c>
      <c r="DN35" s="721" cm="1">
        <f t="array" aca="1" ref="DN35" ca="1">OFFSET(Horarios!$P$3,DJ35-1,0,DL35,1)</f>
        <v>1</v>
      </c>
      <c r="DO35" s="721"/>
      <c r="DP35" s="721" t="s">
        <v>671</v>
      </c>
      <c r="DQ35" s="721" t="str">
        <f t="shared" ca="1" si="35"/>
        <v>Cabo Verde</v>
      </c>
      <c r="DR35" s="721"/>
      <c r="DS35" s="721"/>
      <c r="DT35" s="721" t="str">
        <f t="shared" si="15"/>
        <v>Casa-Fuera</v>
      </c>
      <c r="DU35" s="721"/>
      <c r="DV35" s="721"/>
      <c r="DW35" s="8"/>
    </row>
    <row r="36" spans="1:127" ht="15" customHeight="1" thickBot="1">
      <c r="A36" s="718" t="s">
        <v>30</v>
      </c>
      <c r="B36" s="719" t="s">
        <v>3</v>
      </c>
      <c r="C36" s="720">
        <f>COUNTIF(Equipos!$C$2:$C$49,WORLDCUP!B36)</f>
        <v>4</v>
      </c>
      <c r="D36" s="721" t="str">
        <f t="shared" ref="D36:D41" si="115">IF(OR(AC36="",AD36=""),"Pendiente",IF(AC36&gt;AD36,"Local",IF(AC36&lt;AD36,"Visitante","Empate")))</f>
        <v>Pendiente</v>
      </c>
      <c r="E36" s="721" t="str">
        <f t="shared" ref="E36:E41" si="116">IF(D36="Pendiente","-",INDEX($BT$6:$BT$53,MATCH($AA36,$BD$6:$BD$53,0)))</f>
        <v>-</v>
      </c>
      <c r="F36" s="721" t="str">
        <f t="shared" ref="F36:F41" si="117">IF(D36="Pendiente","-",INDEX($BT$6:$BT$53,MATCH($AF36,$BD$6:$BD$53,0)))</f>
        <v>-</v>
      </c>
      <c r="G36" s="721"/>
      <c r="H36" s="721" t="str">
        <f t="shared" ref="H36:H41" si="118">IF(D36="Pendiente","-",INDEX($BZ$6:$BZ$53,MATCH($AA36,$BD$6:$BD$53,0)))</f>
        <v>-</v>
      </c>
      <c r="I36" s="721" t="str">
        <f t="shared" ref="I36:I41" si="119">IF(D36="Pendiente","-",INDEX($BZ$6:$BZ$53,MATCH($AF36,$BD$6:$BD$53,0)))</f>
        <v>-</v>
      </c>
      <c r="J36" s="721"/>
      <c r="K36" s="721" t="str">
        <f t="shared" ref="K36:K41" si="120">IF(D36="Pendiente","-",INDEX($CE$6:$CE$53,MATCH($AA36,$BD$6:$BD$53,0)))</f>
        <v>-</v>
      </c>
      <c r="L36" s="721" t="str">
        <f t="shared" ref="L36:L41" si="121">IF(D36="Pendiente","-",INDEX($CE$6:$CE$53,MATCH($AF36,$BD$6:$BD$53,0)))</f>
        <v>-</v>
      </c>
      <c r="M36" s="721"/>
      <c r="N36" s="721" t="str">
        <f t="shared" ref="N36:N41" si="122">IF(D36="Pendiente","-",INDEX($CH$6:$CH$53,MATCH($AA36,$BD$6:$BD$53,0)))</f>
        <v>-</v>
      </c>
      <c r="O36" s="721" t="str">
        <f t="shared" ref="O36:O41" si="123">IF(D36="Pendiente","-",INDEX($CH$6:$CH$53,MATCH($AF36,$BD$6:$BD$53,0)))</f>
        <v>-</v>
      </c>
      <c r="P36" s="721"/>
      <c r="Q36" s="721" t="str">
        <f t="shared" ref="Q36:Q41" si="124">IF(D36="Pendiente","-",INDEX($CN$6:$CN$53,MATCH($AA36,$BD$6:$BD$53,0)))</f>
        <v>-</v>
      </c>
      <c r="R36" s="721" t="str">
        <f t="shared" ref="R36:R41" si="125">IF(D36="Pendiente","-",INDEX($CN$6:$CN$53,MATCH($AF36,$BD$6:$BD$53,0)))</f>
        <v>-</v>
      </c>
      <c r="S36" s="721"/>
      <c r="T36" s="721" t="str">
        <f t="shared" ref="T36:T41" si="126">IF(D36="Pendiente","-",INDEX($CS$6:$CS$53,MATCH($AA36,$BD$6:$BD$53,0)))</f>
        <v>-</v>
      </c>
      <c r="U36" s="721" t="str">
        <f t="shared" ref="U36:U41" si="127">IF(D36="Pendiente","-",INDEX($CS$6:$CS$53,MATCH($AF36,$BD$6:$BD$53,0)))</f>
        <v>-</v>
      </c>
      <c r="V36" s="162"/>
      <c r="W36" s="829" t="s">
        <v>3</v>
      </c>
      <c r="X36" s="179">
        <f ca="1">Horarios!C36</f>
        <v>46187.791666666664</v>
      </c>
      <c r="Y36" s="180">
        <f ca="1">Horarios!C36</f>
        <v>46187.791666666664</v>
      </c>
      <c r="Z36" s="181" t="str">
        <f>$Z$4</f>
        <v>J1</v>
      </c>
      <c r="AA36" s="182" t="str">
        <f ca="1">A37</f>
        <v>Alemania</v>
      </c>
      <c r="AB36" s="457" t="str" cm="1">
        <f t="array" aca="1" ref="AB36" ca="1">Ver_flag_local</f>
        <v/>
      </c>
      <c r="AC36" s="183"/>
      <c r="AD36" s="184"/>
      <c r="AE36" s="462" t="str" cm="1">
        <f t="array" aca="1" ref="AE36" ca="1">Ver_flag_visit</f>
        <v/>
      </c>
      <c r="AF36" s="185" t="str">
        <f ca="1">A38</f>
        <v>Curazao</v>
      </c>
      <c r="AG36" s="396">
        <f t="shared" ref="AG36:AG41" si="128">IF(NOT(OR(ISBLANK(AC36),ISBLANK(AD36))),1,0)</f>
        <v>0</v>
      </c>
      <c r="AH36" s="186">
        <v>10</v>
      </c>
      <c r="AI36" s="15"/>
      <c r="AJ36" s="187" t="str">
        <f>CONCATENATE(AJ3," ",B36)</f>
        <v>Grupo E</v>
      </c>
      <c r="AK36" s="188"/>
      <c r="AL36" s="188"/>
      <c r="AM36" s="188"/>
      <c r="AN36" s="188"/>
      <c r="AO36" s="188"/>
      <c r="AP36" s="188"/>
      <c r="AQ36" s="188"/>
      <c r="AR36" s="188"/>
      <c r="AS36" s="188"/>
      <c r="AT36" s="189"/>
      <c r="AU36" s="404"/>
      <c r="AV36" s="190" t="str">
        <f t="shared" ref="AV36" ca="1" si="129">IF(AU37&gt;0,$AV$3,"")</f>
        <v/>
      </c>
      <c r="AW36" s="198"/>
      <c r="AX36" s="245"/>
      <c r="AY36" s="232"/>
      <c r="AZ36" s="233"/>
      <c r="BA36" s="165"/>
      <c r="BB36" s="721"/>
      <c r="BC36" s="733" t="str">
        <f ca="1">+INDEX(T_Equipos[Grupo],MATCH(WORLDCUP!BD36,T_Equipos[NombreEquipo],0))</f>
        <v>H</v>
      </c>
      <c r="BD36" s="721" t="str">
        <f ca="1">+Equipos!B32</f>
        <v>Arabia Saudita</v>
      </c>
      <c r="BE36" s="725">
        <f t="shared" ca="1" si="25"/>
        <v>0</v>
      </c>
      <c r="BF36" s="725">
        <f t="shared" ca="1" si="26"/>
        <v>0</v>
      </c>
      <c r="BG36" s="725">
        <f t="shared" ca="1" si="17"/>
        <v>0</v>
      </c>
      <c r="BH36" s="725">
        <f t="shared" ca="1" si="18"/>
        <v>0</v>
      </c>
      <c r="BI36" s="725">
        <f t="shared" ca="1" si="19"/>
        <v>0</v>
      </c>
      <c r="BJ36" s="725">
        <f t="shared" ca="1" si="20"/>
        <v>0</v>
      </c>
      <c r="BK36" s="725">
        <f t="shared" ca="1" si="21"/>
        <v>0</v>
      </c>
      <c r="BL36" s="725">
        <f t="shared" ca="1" si="27"/>
        <v>0</v>
      </c>
      <c r="BM36" s="725" t="str">
        <f t="shared" ca="1" si="22"/>
        <v>3H</v>
      </c>
      <c r="BN36" s="725" t="str">
        <f t="shared" ca="1" si="23"/>
        <v>3H</v>
      </c>
      <c r="BO36" s="735">
        <f t="shared" ca="1" si="28"/>
        <v>0</v>
      </c>
      <c r="BP36" s="734">
        <f ca="1">COUNTIFS($BO$6:$BO$53,"&gt;"&amp;BO36,$BC$6:$BC$53,INDEX(T_Equipos[Grupo],MATCH(BD36,T_Equipos[NombreEquipo],0)))+1</f>
        <v>1</v>
      </c>
      <c r="BQ36" s="734" t="str">
        <f ca="1">IF(COUNTIFS($BP$6:$BP$53,BP36,$BC$6:$BC$53,INDEX(T_Equipos[Grupo],MATCH(BD36,T_Equipos[NombreEquipo],0)))=1,"-","P."&amp;BP36&amp;" ("&amp;COUNTIFS($BP$6:$BP$53,BP36,$BC$6:$BC$53,INDEX(T_Equipos[Grupo],MATCH(BD36,T_Equipos[NombreEquipo],0)))&amp;")")</f>
        <v>P.1 (4)</v>
      </c>
      <c r="BR36" s="735">
        <f t="shared" ca="1" si="29"/>
        <v>0</v>
      </c>
      <c r="BS36" s="734">
        <f ca="1">BP36+COUNTIFS($BQ$6:$BQ$53,BQ36,$BR$6:BR$53,"&gt;"&amp;BR36,$BC$6:$BC$53,INDEX(T_Equipos[Grupo],MATCH(BD36,T_Equipos[NombreEquipo],0)))</f>
        <v>1</v>
      </c>
      <c r="BT36" s="734" t="str">
        <f ca="1">IF(COUNTIFS($BS$6:$BS$53,BS36,$BC$6:$BC$53,INDEX(T_Equipos[Grupo],MATCH(BD36,T_Equipos[NombreEquipo],0)))=1,"-","P."&amp;BS36&amp;" ("&amp;COUNTIFS($BS$6:$BS$53,BS36,$BC$6:$BC$53,INDEX(T_Equipos[Grupo],MATCH(BD36,T_Equipos[NombreEquipo],0)))&amp;")")</f>
        <v>P.1 (4)</v>
      </c>
      <c r="BU36" s="735">
        <f t="shared" ca="1" si="36"/>
        <v>0</v>
      </c>
      <c r="BV36" s="735">
        <f t="shared" ca="1" si="37"/>
        <v>0</v>
      </c>
      <c r="BW36" s="735">
        <f t="shared" ca="1" si="38"/>
        <v>0</v>
      </c>
      <c r="BX36" s="735">
        <f t="shared" ca="1" si="39"/>
        <v>0</v>
      </c>
      <c r="BY36" s="735">
        <f ca="1">BS36+COUNTIFS($BT$6:$BT$53,BT36,$BX$6:BX$53,"&gt;"&amp;BX36,$BC$6:$BC$53,INDEX(T_Equipos[Grupo],MATCH(BD36,T_Equipos[NombreEquipo],0)))</f>
        <v>1</v>
      </c>
      <c r="BZ36" s="734" t="str">
        <f ca="1">IF(COUNTIFS($BY$6:$BY$53,BY36,$BC$6:$BC$53,INDEX(T_Equipos[Grupo],MATCH(BD36,T_Equipos[NombreEquipo],0)))=1,"-","P."&amp;BY36&amp;" ("&amp;COUNTIFS($BY$6:$BY$53,BY36,$BC$6:$BC$53,INDEX(T_Equipos[Grupo],MATCH(BD36,T_Equipos[NombreEquipo],0)))&amp;")")</f>
        <v>P.1 (4)</v>
      </c>
      <c r="CA36" s="735">
        <f t="shared" ca="1" si="40"/>
        <v>0</v>
      </c>
      <c r="CB36" s="735">
        <f t="shared" ca="1" si="41"/>
        <v>0</v>
      </c>
      <c r="CC36" s="735">
        <f t="shared" ca="1" si="42"/>
        <v>0</v>
      </c>
      <c r="CD36" s="735">
        <f ca="1">BY36+COUNTIFS($BZ$6:$BZ$53,BZ36,$CC$6:CC$53,"&gt;"&amp;CC36,$BC$6:$BC$53,INDEX(T_Equipos[Grupo],MATCH(BD36,T_Equipos[NombreEquipo],0)))</f>
        <v>1</v>
      </c>
      <c r="CE36" s="734" t="str">
        <f ca="1">IF(COUNTIFS($CD$6:$CD$53,CD36,$BC$6:$BC$53,INDEX(T_Equipos[Grupo],MATCH(BD36,T_Equipos[NombreEquipo],0)))=1,"-","P."&amp;CD36&amp;" ("&amp;COUNTIFS($CD$6:$CD$53,CD36,$BC$6:$BC$53,INDEX(T_Equipos[Grupo],MATCH(BD36,T_Equipos[NombreEquipo],0)))&amp;")")</f>
        <v>P.1 (4)</v>
      </c>
      <c r="CF36" s="735">
        <f t="shared" ca="1" si="43"/>
        <v>0</v>
      </c>
      <c r="CG36" s="735">
        <f ca="1">CD36+COUNTIFS($CE$6:$CE$53,CE36,$CF$6:CF$53,"&gt;"&amp;CF36,$BC$6:$BC$53,INDEX(T_Equipos[Grupo],MATCH(BD36,T_Equipos[NombreEquipo],0)))</f>
        <v>1</v>
      </c>
      <c r="CH36" s="734" t="str">
        <f ca="1">IF(COUNTIFS($CG$6:$CG$53,CG36,$BC$6:$BC$53,INDEX(T_Equipos[Grupo],MATCH(BD36,T_Equipos[NombreEquipo],0)))=1,"-","P."&amp;CG36&amp;" ("&amp;COUNTIFS($CG$6:$CG$53,CG36,$BC$6:$BC$53,INDEX(T_Equipos[Grupo],MATCH(BD36,T_Equipos[NombreEquipo],0)))&amp;")")</f>
        <v>P.1 (4)</v>
      </c>
      <c r="CI36" s="735">
        <f t="shared" ca="1" si="44"/>
        <v>0</v>
      </c>
      <c r="CJ36" s="735">
        <f t="shared" ca="1" si="45"/>
        <v>0</v>
      </c>
      <c r="CK36" s="735">
        <f t="shared" ca="1" si="46"/>
        <v>0</v>
      </c>
      <c r="CL36" s="735">
        <f t="shared" ca="1" si="47"/>
        <v>0</v>
      </c>
      <c r="CM36" s="735">
        <f ca="1">CG36+COUNTIFS($CH$6:$CH$53,CH36,$CL$6:CL$53,"&gt;"&amp;CL36,$BC$6:$BC$53,INDEX(T_Equipos[Grupo],MATCH(BD36,T_Equipos[NombreEquipo],0)))</f>
        <v>1</v>
      </c>
      <c r="CN36" s="734" t="str">
        <f ca="1">IF(COUNTIFS($CM$6:$CM$53,CM36,$BC$6:$BC$53,INDEX(T_Equipos[Grupo],MATCH(BD36,T_Equipos[NombreEquipo],0)))=1,"-","P."&amp;CM36&amp;" ("&amp;COUNTIFS($CM$6:$CM$53,CM36,$BC$6:$BC$53,INDEX(T_Equipos[Grupo],MATCH(BD36,T_Equipos[NombreEquipo],0)))&amp;")")</f>
        <v>P.1 (4)</v>
      </c>
      <c r="CO36" s="735">
        <f t="shared" ca="1" si="48"/>
        <v>0</v>
      </c>
      <c r="CP36" s="735">
        <f t="shared" ca="1" si="49"/>
        <v>0</v>
      </c>
      <c r="CQ36" s="735">
        <f t="shared" ca="1" si="50"/>
        <v>0</v>
      </c>
      <c r="CR36" s="735">
        <f ca="1">CM36+COUNTIFS($CN$6:$CN$53,CN36,$CQ$6:CQ$53,"&gt;"&amp;CQ36,$BC$6:$BC$53,INDEX(T_Equipos[Grupo],MATCH(BD36,T_Equipos[NombreEquipo],0)))</f>
        <v>1</v>
      </c>
      <c r="CS36" s="734" t="str">
        <f ca="1">IF(COUNTIFS($CR$6:$CR$53,CR36,$BC$6:$BC$53,INDEX(T_Equipos[Grupo],MATCH(BD36,T_Equipos[NombreEquipo],0)))=1,"-","P."&amp;CR36&amp;" ("&amp;COUNTIFS($CR$6:$CR$53,CR36,$BC$6:$BC$53,INDEX(T_Equipos[Grupo],MATCH(BD36,T_Equipos[NombreEquipo],0)))&amp;")")</f>
        <v>P.1 (4)</v>
      </c>
      <c r="CT36" s="735">
        <f t="shared" ca="1" si="51"/>
        <v>0</v>
      </c>
      <c r="CU36" s="735">
        <f ca="1">CR36+COUNTIFS($CS$6:$CS$53,CS36,$CT$6:CT$53,"&gt;"&amp;CT36,$BC$6:$BC$53,INDEX(T_Equipos[Grupo],MATCH(BD36,T_Equipos[NombreEquipo],0)))</f>
        <v>1</v>
      </c>
      <c r="CV36" s="734" t="str">
        <f ca="1">IF(COUNTIFS($CU$6:$CU$53,CU36,$BC$6:$BC$53,INDEX(T_Equipos[Grupo],MATCH(BD36,T_Equipos[NombreEquipo],0)))=1,"-","P."&amp;CU36&amp;" ("&amp;COUNTIFS($CU$6:$CU$53,CU36,$BC$6:$BC$53,INDEX(T_Equipos[Grupo],MATCH(BD36,T_Equipos[NombreEquipo],0)))&amp;")")</f>
        <v>P.1 (4)</v>
      </c>
      <c r="CW36" s="734">
        <f t="shared" ca="1" si="30"/>
        <v>0</v>
      </c>
      <c r="CX36" s="734">
        <f ca="1">CU36+COUNTIFS($CV$6:$CV$53,CV36,$CW$6:CW$53,"&gt;"&amp;CW36,$BC$6:$BC$53,INDEX(T_Equipos[Grupo],MATCH(BD36,T_Equipos[NombreEquipo],0)))</f>
        <v>1</v>
      </c>
      <c r="CY36" s="734" t="str">
        <f ca="1">IF(COUNTIFS($CX$6:$CX$53,CX36,$BC$6:$BC$53,INDEX(T_Equipos[Grupo],MATCH(BD36,T_Equipos[NombreEquipo],0)))=1,"-","P."&amp;CX36&amp;" ("&amp;COUNTIFS($CX$6:$CX$53,CX36,$BC$6:$BC$53,INDEX(T_Equipos[Grupo],MATCH(BD36,T_Equipos[NombreEquipo],0)))&amp;")")</f>
        <v>P.1 (4)</v>
      </c>
      <c r="CZ36" s="734">
        <f t="shared" ca="1" si="31"/>
        <v>0</v>
      </c>
      <c r="DA36" s="735">
        <f ca="1">CX36+COUNTIFS($CY$6:$CY$53,CY36,$CZ$6:CZ$53,"&gt;"&amp;CZ36,$BC$6:$BC$53,INDEX(T_Equipos[Grupo],MATCH(BD36,T_Equipos[NombreEquipo],0)))</f>
        <v>1</v>
      </c>
      <c r="DB36" s="734" t="str">
        <f ca="1">IF(COUNTIFS($DA$6:$DA$53,DA36,$BC$6:$BC$53,INDEX(T_Equipos[Grupo],MATCH(BD36,T_Equipos[NombreEquipo],0)))=1,"-","P."&amp;DA36&amp;" ("&amp;COUNTIFS($DA$6:$DA$53,DA36,$BC$6:$BC$53,INDEX(T_Equipos[Grupo],MATCH(BD36,T_Equipos[NombreEquipo],0)))&amp;")")</f>
        <v>P.1 (4)</v>
      </c>
      <c r="DC36" s="733">
        <f ca="1">IF(DB36="-","-",COUNTIFS(T_Equipos[Rank],"&lt;"&amp;INDEX(T_Equipos[Rank],MATCH(BD36,T_Equipos[NombreEquipo],0)),$BC$6:$BC$53,INDEX(T_Equipos[Grupo],MATCH(BD36,T_Equipos[NombreEquipo],0)))+1)</f>
        <v>3</v>
      </c>
      <c r="DD36" s="733">
        <f ca="1">DA36+COUNTIFS($DB$6:$DB$53,DB36,$DC$6:DC$53,"&lt;"&amp;DC36,$BC$6:$BC$53,INDEX(T_Equipos[Grupo],MATCH(BD36,T_Equipos[NombreEquipo],0)))</f>
        <v>3</v>
      </c>
      <c r="DE36" s="733"/>
      <c r="DF36" s="733">
        <f t="shared" ca="1" si="52"/>
        <v>3</v>
      </c>
      <c r="DG36" s="733">
        <f ca="1">IF(DB36="-","-",COUNTIFS(DF$6:DF$53,"&lt;"&amp;DF36,$BC$6:$BC$53,INDEX(T_Equipos[Grupo],MATCH(BD36,T_Equipos[NombreEquipo],0))))</f>
        <v>2</v>
      </c>
      <c r="DH36" s="733">
        <f ca="1">DA36+COUNTIFS(DB$6:DB$53,DB36,DG$6:DG$53,"&lt;"&amp;DG36,$BC$6:$BC$53,INDEX(T_Equipos[Grupo],MATCH(BD36,T_Equipos[NombreEquipo],0)))</f>
        <v>3</v>
      </c>
      <c r="DI36" s="721"/>
      <c r="DJ36" s="721">
        <f t="shared" ca="1" si="53"/>
        <v>1</v>
      </c>
      <c r="DK36" s="721">
        <f t="shared" ca="1" si="24"/>
        <v>0</v>
      </c>
      <c r="DL36" s="721">
        <f t="shared" ca="1" si="33"/>
        <v>1</v>
      </c>
      <c r="DM36" s="715" t="str">
        <f t="shared" ca="1" si="34"/>
        <v>1.1</v>
      </c>
      <c r="DN36" s="721" cm="1">
        <f t="array" aca="1" ref="DN36" ca="1">OFFSET(Horarios!$P$3,DJ36-1,0,DL36,1)</f>
        <v>1</v>
      </c>
      <c r="DO36" s="721"/>
      <c r="DP36" s="721" t="s">
        <v>436</v>
      </c>
      <c r="DQ36" s="721" t="str">
        <f t="shared" ca="1" si="35"/>
        <v>Arabia Saudita</v>
      </c>
      <c r="DR36" s="721"/>
      <c r="DS36" s="721"/>
      <c r="DT36" s="721" t="str">
        <f t="shared" ca="1" si="15"/>
        <v>Alemania-Curazao</v>
      </c>
      <c r="DU36" s="721"/>
      <c r="DV36" s="721"/>
      <c r="DW36" s="8"/>
    </row>
    <row r="37" spans="1:127" ht="15.95" customHeight="1">
      <c r="A37" s="722" t="str">
        <f ca="1">+Equipos!B18</f>
        <v>Alemania</v>
      </c>
      <c r="B37" s="719"/>
      <c r="C37" s="719"/>
      <c r="D37" s="721" t="str">
        <f t="shared" si="115"/>
        <v>Pendiente</v>
      </c>
      <c r="E37" s="721" t="str">
        <f t="shared" si="116"/>
        <v>-</v>
      </c>
      <c r="F37" s="721" t="str">
        <f t="shared" si="117"/>
        <v>-</v>
      </c>
      <c r="G37" s="721"/>
      <c r="H37" s="721" t="str">
        <f t="shared" si="118"/>
        <v>-</v>
      </c>
      <c r="I37" s="721" t="str">
        <f t="shared" si="119"/>
        <v>-</v>
      </c>
      <c r="J37" s="721"/>
      <c r="K37" s="721" t="str">
        <f t="shared" si="120"/>
        <v>-</v>
      </c>
      <c r="L37" s="721" t="str">
        <f t="shared" si="121"/>
        <v>-</v>
      </c>
      <c r="M37" s="721"/>
      <c r="N37" s="721" t="str">
        <f t="shared" si="122"/>
        <v>-</v>
      </c>
      <c r="O37" s="721" t="str">
        <f t="shared" si="123"/>
        <v>-</v>
      </c>
      <c r="P37" s="721"/>
      <c r="Q37" s="721" t="str">
        <f t="shared" si="124"/>
        <v>-</v>
      </c>
      <c r="R37" s="721" t="str">
        <f t="shared" si="125"/>
        <v>-</v>
      </c>
      <c r="S37" s="721"/>
      <c r="T37" s="721" t="str">
        <f t="shared" si="126"/>
        <v>-</v>
      </c>
      <c r="U37" s="721" t="str">
        <f t="shared" si="127"/>
        <v>-</v>
      </c>
      <c r="V37" s="162"/>
      <c r="W37" s="829"/>
      <c r="X37" s="179">
        <f ca="1">Horarios!C37</f>
        <v>46188.041666666664</v>
      </c>
      <c r="Y37" s="180">
        <f ca="1">Horarios!C37</f>
        <v>46188.041666666664</v>
      </c>
      <c r="Z37" s="181" t="str">
        <f>$Z$4</f>
        <v>J1</v>
      </c>
      <c r="AA37" s="182" t="str">
        <f ca="1">A39</f>
        <v>Costa de Marfil</v>
      </c>
      <c r="AB37" s="457" t="str" cm="1">
        <f t="array" aca="1" ref="AB37" ca="1">Ver_flag_local</f>
        <v/>
      </c>
      <c r="AC37" s="183"/>
      <c r="AD37" s="184"/>
      <c r="AE37" s="462" t="str" cm="1">
        <f t="array" aca="1" ref="AE37" ca="1">Ver_flag_visit</f>
        <v/>
      </c>
      <c r="AF37" s="185" t="str">
        <f ca="1">A40</f>
        <v>Ecuador</v>
      </c>
      <c r="AG37" s="396">
        <f t="shared" si="128"/>
        <v>0</v>
      </c>
      <c r="AH37" s="186">
        <v>9</v>
      </c>
      <c r="AI37" s="15"/>
      <c r="AJ37" s="194" t="str">
        <f>AJ5</f>
        <v>Pos</v>
      </c>
      <c r="AK37" s="195"/>
      <c r="AL37" s="196" t="str">
        <f t="shared" ref="AL37:AT37" si="130">AL5</f>
        <v>Selección</v>
      </c>
      <c r="AM37" s="195" t="str">
        <f t="shared" si="130"/>
        <v>Pts</v>
      </c>
      <c r="AN37" s="195" t="str">
        <f t="shared" si="130"/>
        <v>J</v>
      </c>
      <c r="AO37" s="195" t="str">
        <f t="shared" si="130"/>
        <v>G</v>
      </c>
      <c r="AP37" s="195" t="str">
        <f t="shared" si="130"/>
        <v>E</v>
      </c>
      <c r="AQ37" s="195" t="str">
        <f t="shared" si="130"/>
        <v>P</v>
      </c>
      <c r="AR37" s="195" t="str">
        <f t="shared" si="130"/>
        <v>GF</v>
      </c>
      <c r="AS37" s="195" t="str">
        <f t="shared" si="130"/>
        <v>GC</v>
      </c>
      <c r="AT37" s="197" t="str">
        <f t="shared" si="130"/>
        <v>DG</v>
      </c>
      <c r="AU37" s="404">
        <f t="shared" ref="AU37" ca="1" si="131">COUNTIF(AU38:AU41,"&gt;1")</f>
        <v>0</v>
      </c>
      <c r="AV37" s="198"/>
      <c r="AW37" s="198"/>
      <c r="AX37" s="245"/>
      <c r="AY37" s="199" t="str">
        <f>AL37</f>
        <v>Selección</v>
      </c>
      <c r="AZ37" s="200" t="str">
        <f>+Idiomas!$D$69</f>
        <v>Puntos penalizados</v>
      </c>
      <c r="BA37" s="165"/>
      <c r="BB37" s="721"/>
      <c r="BC37" s="733" t="str">
        <f ca="1">+INDEX(T_Equipos[Grupo],MATCH(WORLDCUP!BD37,T_Equipos[NombreEquipo],0))</f>
        <v>H</v>
      </c>
      <c r="BD37" s="721" t="str">
        <f ca="1">+Equipos!B33</f>
        <v>Uruguay</v>
      </c>
      <c r="BE37" s="725">
        <f t="shared" ca="1" si="25"/>
        <v>0</v>
      </c>
      <c r="BF37" s="725">
        <f t="shared" ca="1" si="26"/>
        <v>0</v>
      </c>
      <c r="BG37" s="725">
        <f t="shared" ca="1" si="17"/>
        <v>0</v>
      </c>
      <c r="BH37" s="725">
        <f t="shared" ca="1" si="18"/>
        <v>0</v>
      </c>
      <c r="BI37" s="725">
        <f t="shared" ca="1" si="19"/>
        <v>0</v>
      </c>
      <c r="BJ37" s="725">
        <f t="shared" ca="1" si="20"/>
        <v>0</v>
      </c>
      <c r="BK37" s="725">
        <f t="shared" ca="1" si="21"/>
        <v>0</v>
      </c>
      <c r="BL37" s="725">
        <f t="shared" ca="1" si="27"/>
        <v>0</v>
      </c>
      <c r="BM37" s="725" t="str">
        <f t="shared" ca="1" si="22"/>
        <v>4H</v>
      </c>
      <c r="BN37" s="725" t="str">
        <f t="shared" ca="1" si="23"/>
        <v>4H</v>
      </c>
      <c r="BO37" s="735">
        <f t="shared" ca="1" si="28"/>
        <v>0</v>
      </c>
      <c r="BP37" s="734">
        <f ca="1">COUNTIFS($BO$6:$BO$53,"&gt;"&amp;BO37,$BC$6:$BC$53,INDEX(T_Equipos[Grupo],MATCH(BD37,T_Equipos[NombreEquipo],0)))+1</f>
        <v>1</v>
      </c>
      <c r="BQ37" s="734" t="str">
        <f ca="1">IF(COUNTIFS($BP$6:$BP$53,BP37,$BC$6:$BC$53,INDEX(T_Equipos[Grupo],MATCH(BD37,T_Equipos[NombreEquipo],0)))=1,"-","P."&amp;BP37&amp;" ("&amp;COUNTIFS($BP$6:$BP$53,BP37,$BC$6:$BC$53,INDEX(T_Equipos[Grupo],MATCH(BD37,T_Equipos[NombreEquipo],0)))&amp;")")</f>
        <v>P.1 (4)</v>
      </c>
      <c r="BR37" s="735">
        <f t="shared" ca="1" si="29"/>
        <v>0</v>
      </c>
      <c r="BS37" s="734">
        <f ca="1">BP37+COUNTIFS($BQ$6:$BQ$53,BQ37,$BR$6:BR$53,"&gt;"&amp;BR37,$BC$6:$BC$53,INDEX(T_Equipos[Grupo],MATCH(BD37,T_Equipos[NombreEquipo],0)))</f>
        <v>1</v>
      </c>
      <c r="BT37" s="734" t="str">
        <f ca="1">IF(COUNTIFS($BS$6:$BS$53,BS37,$BC$6:$BC$53,INDEX(T_Equipos[Grupo],MATCH(BD37,T_Equipos[NombreEquipo],0)))=1,"-","P."&amp;BS37&amp;" ("&amp;COUNTIFS($BS$6:$BS$53,BS37,$BC$6:$BC$53,INDEX(T_Equipos[Grupo],MATCH(BD37,T_Equipos[NombreEquipo],0)))&amp;")")</f>
        <v>P.1 (4)</v>
      </c>
      <c r="BU37" s="735">
        <f t="shared" ca="1" si="36"/>
        <v>0</v>
      </c>
      <c r="BV37" s="735">
        <f t="shared" ca="1" si="37"/>
        <v>0</v>
      </c>
      <c r="BW37" s="735">
        <f t="shared" ca="1" si="38"/>
        <v>0</v>
      </c>
      <c r="BX37" s="735">
        <f t="shared" ca="1" si="39"/>
        <v>0</v>
      </c>
      <c r="BY37" s="735">
        <f ca="1">BS37+COUNTIFS($BT$6:$BT$53,BT37,$BX$6:BX$53,"&gt;"&amp;BX37,$BC$6:$BC$53,INDEX(T_Equipos[Grupo],MATCH(BD37,T_Equipos[NombreEquipo],0)))</f>
        <v>1</v>
      </c>
      <c r="BZ37" s="734" t="str">
        <f ca="1">IF(COUNTIFS($BY$6:$BY$53,BY37,$BC$6:$BC$53,INDEX(T_Equipos[Grupo],MATCH(BD37,T_Equipos[NombreEquipo],0)))=1,"-","P."&amp;BY37&amp;" ("&amp;COUNTIFS($BY$6:$BY$53,BY37,$BC$6:$BC$53,INDEX(T_Equipos[Grupo],MATCH(BD37,T_Equipos[NombreEquipo],0)))&amp;")")</f>
        <v>P.1 (4)</v>
      </c>
      <c r="CA37" s="735">
        <f t="shared" ca="1" si="40"/>
        <v>0</v>
      </c>
      <c r="CB37" s="735">
        <f t="shared" ca="1" si="41"/>
        <v>0</v>
      </c>
      <c r="CC37" s="735">
        <f t="shared" ca="1" si="42"/>
        <v>0</v>
      </c>
      <c r="CD37" s="735">
        <f ca="1">BY37+COUNTIFS($BZ$6:$BZ$53,BZ37,$CC$6:CC$53,"&gt;"&amp;CC37,$BC$6:$BC$53,INDEX(T_Equipos[Grupo],MATCH(BD37,T_Equipos[NombreEquipo],0)))</f>
        <v>1</v>
      </c>
      <c r="CE37" s="734" t="str">
        <f ca="1">IF(COUNTIFS($CD$6:$CD$53,CD37,$BC$6:$BC$53,INDEX(T_Equipos[Grupo],MATCH(BD37,T_Equipos[NombreEquipo],0)))=1,"-","P."&amp;CD37&amp;" ("&amp;COUNTIFS($CD$6:$CD$53,CD37,$BC$6:$BC$53,INDEX(T_Equipos[Grupo],MATCH(BD37,T_Equipos[NombreEquipo],0)))&amp;")")</f>
        <v>P.1 (4)</v>
      </c>
      <c r="CF37" s="735">
        <f t="shared" ca="1" si="43"/>
        <v>0</v>
      </c>
      <c r="CG37" s="735">
        <f ca="1">CD37+COUNTIFS($CE$6:$CE$53,CE37,$CF$6:CF$53,"&gt;"&amp;CF37,$BC$6:$BC$53,INDEX(T_Equipos[Grupo],MATCH(BD37,T_Equipos[NombreEquipo],0)))</f>
        <v>1</v>
      </c>
      <c r="CH37" s="734" t="str">
        <f ca="1">IF(COUNTIFS($CG$6:$CG$53,CG37,$BC$6:$BC$53,INDEX(T_Equipos[Grupo],MATCH(BD37,T_Equipos[NombreEquipo],0)))=1,"-","P."&amp;CG37&amp;" ("&amp;COUNTIFS($CG$6:$CG$53,CG37,$BC$6:$BC$53,INDEX(T_Equipos[Grupo],MATCH(BD37,T_Equipos[NombreEquipo],0)))&amp;")")</f>
        <v>P.1 (4)</v>
      </c>
      <c r="CI37" s="735">
        <f t="shared" ca="1" si="44"/>
        <v>0</v>
      </c>
      <c r="CJ37" s="735">
        <f t="shared" ca="1" si="45"/>
        <v>0</v>
      </c>
      <c r="CK37" s="735">
        <f t="shared" ca="1" si="46"/>
        <v>0</v>
      </c>
      <c r="CL37" s="735">
        <f t="shared" ca="1" si="47"/>
        <v>0</v>
      </c>
      <c r="CM37" s="735">
        <f ca="1">CG37+COUNTIFS($CH$6:$CH$53,CH37,$CL$6:CL$53,"&gt;"&amp;CL37,$BC$6:$BC$53,INDEX(T_Equipos[Grupo],MATCH(BD37,T_Equipos[NombreEquipo],0)))</f>
        <v>1</v>
      </c>
      <c r="CN37" s="734" t="str">
        <f ca="1">IF(COUNTIFS($CM$6:$CM$53,CM37,$BC$6:$BC$53,INDEX(T_Equipos[Grupo],MATCH(BD37,T_Equipos[NombreEquipo],0)))=1,"-","P."&amp;CM37&amp;" ("&amp;COUNTIFS($CM$6:$CM$53,CM37,$BC$6:$BC$53,INDEX(T_Equipos[Grupo],MATCH(BD37,T_Equipos[NombreEquipo],0)))&amp;")")</f>
        <v>P.1 (4)</v>
      </c>
      <c r="CO37" s="735">
        <f t="shared" ca="1" si="48"/>
        <v>0</v>
      </c>
      <c r="CP37" s="735">
        <f t="shared" ca="1" si="49"/>
        <v>0</v>
      </c>
      <c r="CQ37" s="735">
        <f t="shared" ca="1" si="50"/>
        <v>0</v>
      </c>
      <c r="CR37" s="735">
        <f ca="1">CM37+COUNTIFS($CN$6:$CN$53,CN37,$CQ$6:CQ$53,"&gt;"&amp;CQ37,$BC$6:$BC$53,INDEX(T_Equipos[Grupo],MATCH(BD37,T_Equipos[NombreEquipo],0)))</f>
        <v>1</v>
      </c>
      <c r="CS37" s="734" t="str">
        <f ca="1">IF(COUNTIFS($CR$6:$CR$53,CR37,$BC$6:$BC$53,INDEX(T_Equipos[Grupo],MATCH(BD37,T_Equipos[NombreEquipo],0)))=1,"-","P."&amp;CR37&amp;" ("&amp;COUNTIFS($CR$6:$CR$53,CR37,$BC$6:$BC$53,INDEX(T_Equipos[Grupo],MATCH(BD37,T_Equipos[NombreEquipo],0)))&amp;")")</f>
        <v>P.1 (4)</v>
      </c>
      <c r="CT37" s="735">
        <f t="shared" ca="1" si="51"/>
        <v>0</v>
      </c>
      <c r="CU37" s="735">
        <f ca="1">CR37+COUNTIFS($CS$6:$CS$53,CS37,$CT$6:CT$53,"&gt;"&amp;CT37,$BC$6:$BC$53,INDEX(T_Equipos[Grupo],MATCH(BD37,T_Equipos[NombreEquipo],0)))</f>
        <v>1</v>
      </c>
      <c r="CV37" s="734" t="str">
        <f ca="1">IF(COUNTIFS($CU$6:$CU$53,CU37,$BC$6:$BC$53,INDEX(T_Equipos[Grupo],MATCH(BD37,T_Equipos[NombreEquipo],0)))=1,"-","P."&amp;CU37&amp;" ("&amp;COUNTIFS($CU$6:$CU$53,CU37,$BC$6:$BC$53,INDEX(T_Equipos[Grupo],MATCH(BD37,T_Equipos[NombreEquipo],0)))&amp;")")</f>
        <v>P.1 (4)</v>
      </c>
      <c r="CW37" s="734">
        <f t="shared" ca="1" si="30"/>
        <v>0</v>
      </c>
      <c r="CX37" s="734">
        <f ca="1">CU37+COUNTIFS($CV$6:$CV$53,CV37,$CW$6:CW$53,"&gt;"&amp;CW37,$BC$6:$BC$53,INDEX(T_Equipos[Grupo],MATCH(BD37,T_Equipos[NombreEquipo],0)))</f>
        <v>1</v>
      </c>
      <c r="CY37" s="734" t="str">
        <f ca="1">IF(COUNTIFS($CX$6:$CX$53,CX37,$BC$6:$BC$53,INDEX(T_Equipos[Grupo],MATCH(BD37,T_Equipos[NombreEquipo],0)))=1,"-","P."&amp;CX37&amp;" ("&amp;COUNTIFS($CX$6:$CX$53,CX37,$BC$6:$BC$53,INDEX(T_Equipos[Grupo],MATCH(BD37,T_Equipos[NombreEquipo],0)))&amp;")")</f>
        <v>P.1 (4)</v>
      </c>
      <c r="CZ37" s="734">
        <f t="shared" ca="1" si="31"/>
        <v>0</v>
      </c>
      <c r="DA37" s="735">
        <f ca="1">CX37+COUNTIFS($CY$6:$CY$53,CY37,$CZ$6:CZ$53,"&gt;"&amp;CZ37,$BC$6:$BC$53,INDEX(T_Equipos[Grupo],MATCH(BD37,T_Equipos[NombreEquipo],0)))</f>
        <v>1</v>
      </c>
      <c r="DB37" s="734" t="str">
        <f ca="1">IF(COUNTIFS($DA$6:$DA$53,DA37,$BC$6:$BC$53,INDEX(T_Equipos[Grupo],MATCH(BD37,T_Equipos[NombreEquipo],0)))=1,"-","P."&amp;DA37&amp;" ("&amp;COUNTIFS($DA$6:$DA$53,DA37,$BC$6:$BC$53,INDEX(T_Equipos[Grupo],MATCH(BD37,T_Equipos[NombreEquipo],0)))&amp;")")</f>
        <v>P.1 (4)</v>
      </c>
      <c r="DC37" s="733">
        <f ca="1">IF(DB37="-","-",COUNTIFS(T_Equipos[Rank],"&lt;"&amp;INDEX(T_Equipos[Rank],MATCH(BD37,T_Equipos[NombreEquipo],0)),$BC$6:$BC$53,INDEX(T_Equipos[Grupo],MATCH(BD37,T_Equipos[NombreEquipo],0)))+1)</f>
        <v>4</v>
      </c>
      <c r="DD37" s="733">
        <f ca="1">DA37+COUNTIFS($DB$6:$DB$53,DB37,$DC$6:DC$53,"&lt;"&amp;DC37,$BC$6:$BC$53,INDEX(T_Equipos[Grupo],MATCH(BD37,T_Equipos[NombreEquipo],0)))</f>
        <v>4</v>
      </c>
      <c r="DE37" s="733"/>
      <c r="DF37" s="733">
        <f t="shared" ca="1" si="52"/>
        <v>4</v>
      </c>
      <c r="DG37" s="733">
        <f ca="1">IF(DB37="-","-",COUNTIFS(DF$6:DF$53,"&lt;"&amp;DF37,$BC$6:$BC$53,INDEX(T_Equipos[Grupo],MATCH(BD37,T_Equipos[NombreEquipo],0))))</f>
        <v>3</v>
      </c>
      <c r="DH37" s="733">
        <f ca="1">DA37+COUNTIFS(DB$6:DB$53,DB37,DG$6:DG$53,"&lt;"&amp;DG37,$BC$6:$BC$53,INDEX(T_Equipos[Grupo],MATCH(BD37,T_Equipos[NombreEquipo],0)))</f>
        <v>4</v>
      </c>
      <c r="DI37" s="721"/>
      <c r="DJ37" s="721">
        <f t="shared" ca="1" si="53"/>
        <v>1</v>
      </c>
      <c r="DK37" s="721">
        <f t="shared" ca="1" si="24"/>
        <v>0</v>
      </c>
      <c r="DL37" s="721">
        <f t="shared" ca="1" si="33"/>
        <v>1</v>
      </c>
      <c r="DM37" s="715" t="str">
        <f t="shared" ca="1" si="34"/>
        <v>1.1</v>
      </c>
      <c r="DN37" s="721" cm="1">
        <f t="array" aca="1" ref="DN37" ca="1">OFFSET(Horarios!$P$3,DJ37-1,0,DL37,1)</f>
        <v>1</v>
      </c>
      <c r="DO37" s="721"/>
      <c r="DP37" s="721" t="s">
        <v>672</v>
      </c>
      <c r="DQ37" s="721" t="str">
        <f t="shared" ca="1" si="35"/>
        <v>Uruguay</v>
      </c>
      <c r="DR37" s="721"/>
      <c r="DS37" s="721"/>
      <c r="DT37" s="721" t="str">
        <f t="shared" ca="1" si="15"/>
        <v>Costa de Marfil-Ecuador</v>
      </c>
      <c r="DU37" s="721"/>
      <c r="DV37" s="721"/>
      <c r="DW37" s="8"/>
    </row>
    <row r="38" spans="1:127" ht="15.95" customHeight="1">
      <c r="A38" s="722" t="str">
        <f ca="1">+Equipos!B19</f>
        <v>Curazao</v>
      </c>
      <c r="B38" s="719"/>
      <c r="C38" s="723"/>
      <c r="D38" s="721" t="str">
        <f t="shared" si="115"/>
        <v>Pendiente</v>
      </c>
      <c r="E38" s="721" t="str">
        <f t="shared" si="116"/>
        <v>-</v>
      </c>
      <c r="F38" s="721" t="str">
        <f t="shared" si="117"/>
        <v>-</v>
      </c>
      <c r="G38" s="721"/>
      <c r="H38" s="721" t="str">
        <f t="shared" si="118"/>
        <v>-</v>
      </c>
      <c r="I38" s="721" t="str">
        <f t="shared" si="119"/>
        <v>-</v>
      </c>
      <c r="J38" s="721"/>
      <c r="K38" s="721" t="str">
        <f t="shared" si="120"/>
        <v>-</v>
      </c>
      <c r="L38" s="721" t="str">
        <f t="shared" si="121"/>
        <v>-</v>
      </c>
      <c r="M38" s="721"/>
      <c r="N38" s="721" t="str">
        <f t="shared" si="122"/>
        <v>-</v>
      </c>
      <c r="O38" s="721" t="str">
        <f t="shared" si="123"/>
        <v>-</v>
      </c>
      <c r="P38" s="721"/>
      <c r="Q38" s="721" t="str">
        <f t="shared" si="124"/>
        <v>-</v>
      </c>
      <c r="R38" s="721" t="str">
        <f t="shared" si="125"/>
        <v>-</v>
      </c>
      <c r="S38" s="721"/>
      <c r="T38" s="721" t="str">
        <f t="shared" si="126"/>
        <v>-</v>
      </c>
      <c r="U38" s="721" t="str">
        <f t="shared" si="127"/>
        <v>-</v>
      </c>
      <c r="V38" s="162"/>
      <c r="W38" s="829"/>
      <c r="X38" s="179">
        <f ca="1">Horarios!C38</f>
        <v>46193.916666666664</v>
      </c>
      <c r="Y38" s="180">
        <f ca="1">Horarios!C38</f>
        <v>46193.916666666664</v>
      </c>
      <c r="Z38" s="181" t="str">
        <f>$Z$6</f>
        <v>J2</v>
      </c>
      <c r="AA38" s="182" t="str">
        <f ca="1">A37</f>
        <v>Alemania</v>
      </c>
      <c r="AB38" s="457" t="str" cm="1">
        <f t="array" aca="1" ref="AB38" ca="1">Ver_flag_local</f>
        <v/>
      </c>
      <c r="AC38" s="183"/>
      <c r="AD38" s="184"/>
      <c r="AE38" s="462" t="str" cm="1">
        <f t="array" aca="1" ref="AE38" ca="1">Ver_flag_visit</f>
        <v/>
      </c>
      <c r="AF38" s="185" t="str">
        <f ca="1">A39</f>
        <v>Costa de Marfil</v>
      </c>
      <c r="AG38" s="396">
        <f t="shared" si="128"/>
        <v>0</v>
      </c>
      <c r="AH38" s="186">
        <v>33</v>
      </c>
      <c r="AI38" s="15" t="str">
        <f>AJ38&amp;$B$36</f>
        <v>1E</v>
      </c>
      <c r="AJ38" s="201">
        <v>1</v>
      </c>
      <c r="AK38" s="467" t="str" cm="1">
        <f t="array" aca="1" ref="AK38" ca="1">Ver_flag_visit</f>
        <v/>
      </c>
      <c r="AL38" s="202" t="str">
        <f ca="1">IFERROR(INDEX($BD$6:$BD$53,MATCH(AI38,$BN$6:$BN$53,0)),"")</f>
        <v>Alemania</v>
      </c>
      <c r="AM38" s="203">
        <f t="shared" ref="AM38:AT41" ca="1" si="132">INDEX($BE$6:$BN$53,MATCH($AL38,$BD$6:$BD$53,0),MATCH(AM$5,$BE$5:$BN$5,0))</f>
        <v>0</v>
      </c>
      <c r="AN38" s="204">
        <f t="shared" ca="1" si="132"/>
        <v>0</v>
      </c>
      <c r="AO38" s="204">
        <f t="shared" ca="1" si="132"/>
        <v>0</v>
      </c>
      <c r="AP38" s="204">
        <f t="shared" ca="1" si="132"/>
        <v>0</v>
      </c>
      <c r="AQ38" s="204">
        <f t="shared" ca="1" si="132"/>
        <v>0</v>
      </c>
      <c r="AR38" s="204">
        <f t="shared" ca="1" si="132"/>
        <v>0</v>
      </c>
      <c r="AS38" s="204">
        <f t="shared" ca="1" si="132"/>
        <v>0</v>
      </c>
      <c r="AT38" s="205">
        <f t="shared" ca="1" si="132"/>
        <v>0</v>
      </c>
      <c r="AU38" s="403">
        <f ca="1">INDEX($DL$6:$DL$53,MATCH(AI38,$DP$6:$DP$53,0))</f>
        <v>1</v>
      </c>
      <c r="AV38" s="207" t="str">
        <f ca="1">INDEX($BD$6:$BD$53,MATCH(AI38,$BM$6:$BM$53,0))</f>
        <v>Alemania</v>
      </c>
      <c r="AW38" s="410"/>
      <c r="AX38" s="208"/>
      <c r="AY38" s="209" t="str">
        <f ca="1">+A37</f>
        <v>Alemania</v>
      </c>
      <c r="AZ38" s="210"/>
      <c r="BA38" s="165"/>
      <c r="BB38" s="721"/>
      <c r="BC38" s="733" t="str">
        <f ca="1">+INDEX(T_Equipos[Grupo],MATCH(WORLDCUP!BD38,T_Equipos[NombreEquipo],0))</f>
        <v>I</v>
      </c>
      <c r="BD38" s="721" t="str">
        <f ca="1">+Equipos!B34</f>
        <v>Francia</v>
      </c>
      <c r="BE38" s="725">
        <f t="shared" ca="1" si="25"/>
        <v>0</v>
      </c>
      <c r="BF38" s="725">
        <f t="shared" ca="1" si="26"/>
        <v>0</v>
      </c>
      <c r="BG38" s="725">
        <f t="shared" ca="1" si="17"/>
        <v>0</v>
      </c>
      <c r="BH38" s="725">
        <f t="shared" ca="1" si="18"/>
        <v>0</v>
      </c>
      <c r="BI38" s="725">
        <f t="shared" ca="1" si="19"/>
        <v>0</v>
      </c>
      <c r="BJ38" s="725">
        <f t="shared" ca="1" si="20"/>
        <v>0</v>
      </c>
      <c r="BK38" s="725">
        <f t="shared" ca="1" si="21"/>
        <v>0</v>
      </c>
      <c r="BL38" s="725">
        <f t="shared" ca="1" si="27"/>
        <v>0</v>
      </c>
      <c r="BM38" s="725" t="str">
        <f t="shared" ca="1" si="22"/>
        <v>1I</v>
      </c>
      <c r="BN38" s="725" t="str">
        <f t="shared" ca="1" si="23"/>
        <v>1I</v>
      </c>
      <c r="BO38" s="734">
        <f t="shared" ca="1" si="28"/>
        <v>0</v>
      </c>
      <c r="BP38" s="734">
        <f ca="1">COUNTIFS($BO$6:$BO$53,"&gt;"&amp;BO38,$BC$6:$BC$53,INDEX(T_Equipos[Grupo],MATCH(BD38,T_Equipos[NombreEquipo],0)))+1</f>
        <v>1</v>
      </c>
      <c r="BQ38" s="734" t="str">
        <f ca="1">IF(COUNTIFS($BP$6:$BP$53,BP38,$BC$6:$BC$53,INDEX(T_Equipos[Grupo],MATCH(BD38,T_Equipos[NombreEquipo],0)))=1,"-","P."&amp;BP38&amp;" ("&amp;COUNTIFS($BP$6:$BP$53,BP38,$BC$6:$BC$53,INDEX(T_Equipos[Grupo],MATCH(BD38,T_Equipos[NombreEquipo],0)))&amp;")")</f>
        <v>P.1 (4)</v>
      </c>
      <c r="BR38" s="734">
        <f t="shared" ca="1" si="29"/>
        <v>0</v>
      </c>
      <c r="BS38" s="734">
        <f ca="1">BP38+COUNTIFS($BQ$6:$BQ$53,BQ38,$BR$6:BR$53,"&gt;"&amp;BR38,$BC$6:$BC$53,INDEX(T_Equipos[Grupo],MATCH(BD38,T_Equipos[NombreEquipo],0)))</f>
        <v>1</v>
      </c>
      <c r="BT38" s="734" t="str">
        <f ca="1">IF(COUNTIFS($BS$6:$BS$53,BS38,$BC$6:$BC$53,INDEX(T_Equipos[Grupo],MATCH(BD38,T_Equipos[NombreEquipo],0)))=1,"-","P."&amp;BS38&amp;" ("&amp;COUNTIFS($BS$6:$BS$53,BS38,$BC$6:$BC$53,INDEX(T_Equipos[Grupo],MATCH(BD38,T_Equipos[NombreEquipo],0)))&amp;")")</f>
        <v>P.1 (4)</v>
      </c>
      <c r="BU38" s="735">
        <f t="shared" ca="1" si="36"/>
        <v>0</v>
      </c>
      <c r="BV38" s="735">
        <f t="shared" ca="1" si="37"/>
        <v>0</v>
      </c>
      <c r="BW38" s="735">
        <f t="shared" ca="1" si="38"/>
        <v>0</v>
      </c>
      <c r="BX38" s="735">
        <f t="shared" ca="1" si="39"/>
        <v>0</v>
      </c>
      <c r="BY38" s="735">
        <f ca="1">BS38+COUNTIFS($BT$6:$BT$53,BT38,$BX$6:BX$53,"&gt;"&amp;BX38,$BC$6:$BC$53,INDEX(T_Equipos[Grupo],MATCH(BD38,T_Equipos[NombreEquipo],0)))</f>
        <v>1</v>
      </c>
      <c r="BZ38" s="734" t="str">
        <f ca="1">IF(COUNTIFS($BY$6:$BY$53,BY38,$BC$6:$BC$53,INDEX(T_Equipos[Grupo],MATCH(BD38,T_Equipos[NombreEquipo],0)))=1,"-","P."&amp;BY38&amp;" ("&amp;COUNTIFS($BY$6:$BY$53,BY38,$BC$6:$BC$53,INDEX(T_Equipos[Grupo],MATCH(BD38,T_Equipos[NombreEquipo],0)))&amp;")")</f>
        <v>P.1 (4)</v>
      </c>
      <c r="CA38" s="735">
        <f t="shared" ca="1" si="40"/>
        <v>0</v>
      </c>
      <c r="CB38" s="735">
        <f t="shared" ca="1" si="41"/>
        <v>0</v>
      </c>
      <c r="CC38" s="735">
        <f t="shared" ca="1" si="42"/>
        <v>0</v>
      </c>
      <c r="CD38" s="735">
        <f ca="1">BY38+COUNTIFS($BZ$6:$BZ$53,BZ38,$CC$6:CC$53,"&gt;"&amp;CC38,$BC$6:$BC$53,INDEX(T_Equipos[Grupo],MATCH(BD38,T_Equipos[NombreEquipo],0)))</f>
        <v>1</v>
      </c>
      <c r="CE38" s="734" t="str">
        <f ca="1">IF(COUNTIFS($CD$6:$CD$53,CD38,$BC$6:$BC$53,INDEX(T_Equipos[Grupo],MATCH(BD38,T_Equipos[NombreEquipo],0)))=1,"-","P."&amp;CD38&amp;" ("&amp;COUNTIFS($CD$6:$CD$53,CD38,$BC$6:$BC$53,INDEX(T_Equipos[Grupo],MATCH(BD38,T_Equipos[NombreEquipo],0)))&amp;")")</f>
        <v>P.1 (4)</v>
      </c>
      <c r="CF38" s="735">
        <f t="shared" ca="1" si="43"/>
        <v>0</v>
      </c>
      <c r="CG38" s="735">
        <f ca="1">CD38+COUNTIFS($CE$6:$CE$53,CE38,$CF$6:CF$53,"&gt;"&amp;CF38,$BC$6:$BC$53,INDEX(T_Equipos[Grupo],MATCH(BD38,T_Equipos[NombreEquipo],0)))</f>
        <v>1</v>
      </c>
      <c r="CH38" s="734" t="str">
        <f ca="1">IF(COUNTIFS($CG$6:$CG$53,CG38,$BC$6:$BC$53,INDEX(T_Equipos[Grupo],MATCH(BD38,T_Equipos[NombreEquipo],0)))=1,"-","P."&amp;CG38&amp;" ("&amp;COUNTIFS($CG$6:$CG$53,CG38,$BC$6:$BC$53,INDEX(T_Equipos[Grupo],MATCH(BD38,T_Equipos[NombreEquipo],0)))&amp;")")</f>
        <v>P.1 (4)</v>
      </c>
      <c r="CI38" s="735">
        <f t="shared" ca="1" si="44"/>
        <v>0</v>
      </c>
      <c r="CJ38" s="735">
        <f t="shared" ca="1" si="45"/>
        <v>0</v>
      </c>
      <c r="CK38" s="735">
        <f t="shared" ca="1" si="46"/>
        <v>0</v>
      </c>
      <c r="CL38" s="735">
        <f t="shared" ca="1" si="47"/>
        <v>0</v>
      </c>
      <c r="CM38" s="735">
        <f ca="1">CG38+COUNTIFS($CH$6:$CH$53,CH38,$CL$6:CL$53,"&gt;"&amp;CL38,$BC$6:$BC$53,INDEX(T_Equipos[Grupo],MATCH(BD38,T_Equipos[NombreEquipo],0)))</f>
        <v>1</v>
      </c>
      <c r="CN38" s="734" t="str">
        <f ca="1">IF(COUNTIFS($CM$6:$CM$53,CM38,$BC$6:$BC$53,INDEX(T_Equipos[Grupo],MATCH(BD38,T_Equipos[NombreEquipo],0)))=1,"-","P."&amp;CM38&amp;" ("&amp;COUNTIFS($CM$6:$CM$53,CM38,$BC$6:$BC$53,INDEX(T_Equipos[Grupo],MATCH(BD38,T_Equipos[NombreEquipo],0)))&amp;")")</f>
        <v>P.1 (4)</v>
      </c>
      <c r="CO38" s="735">
        <f t="shared" ca="1" si="48"/>
        <v>0</v>
      </c>
      <c r="CP38" s="735">
        <f t="shared" ca="1" si="49"/>
        <v>0</v>
      </c>
      <c r="CQ38" s="735">
        <f t="shared" ca="1" si="50"/>
        <v>0</v>
      </c>
      <c r="CR38" s="735">
        <f ca="1">CM38+COUNTIFS($CN$6:$CN$53,CN38,$CQ$6:CQ$53,"&gt;"&amp;CQ38,$BC$6:$BC$53,INDEX(T_Equipos[Grupo],MATCH(BD38,T_Equipos[NombreEquipo],0)))</f>
        <v>1</v>
      </c>
      <c r="CS38" s="734" t="str">
        <f ca="1">IF(COUNTIFS($CR$6:$CR$53,CR38,$BC$6:$BC$53,INDEX(T_Equipos[Grupo],MATCH(BD38,T_Equipos[NombreEquipo],0)))=1,"-","P."&amp;CR38&amp;" ("&amp;COUNTIFS($CR$6:$CR$53,CR38,$BC$6:$BC$53,INDEX(T_Equipos[Grupo],MATCH(BD38,T_Equipos[NombreEquipo],0)))&amp;")")</f>
        <v>P.1 (4)</v>
      </c>
      <c r="CT38" s="735">
        <f t="shared" ca="1" si="51"/>
        <v>0</v>
      </c>
      <c r="CU38" s="735">
        <f ca="1">CR38+COUNTIFS($CS$6:$CS$53,CS38,$CT$6:CT$53,"&gt;"&amp;CT38,$BC$6:$BC$53,INDEX(T_Equipos[Grupo],MATCH(BD38,T_Equipos[NombreEquipo],0)))</f>
        <v>1</v>
      </c>
      <c r="CV38" s="734" t="str">
        <f ca="1">IF(COUNTIFS($CU$6:$CU$53,CU38,$BC$6:$BC$53,INDEX(T_Equipos[Grupo],MATCH(BD38,T_Equipos[NombreEquipo],0)))=1,"-","P."&amp;CU38&amp;" ("&amp;COUNTIFS($CU$6:$CU$53,CU38,$BC$6:$BC$53,INDEX(T_Equipos[Grupo],MATCH(BD38,T_Equipos[NombreEquipo],0)))&amp;")")</f>
        <v>P.1 (4)</v>
      </c>
      <c r="CW38" s="734">
        <f t="shared" ca="1" si="30"/>
        <v>0</v>
      </c>
      <c r="CX38" s="734">
        <f ca="1">CU38+COUNTIFS($CV$6:$CV$53,CV38,$CW$6:CW$53,"&gt;"&amp;CW38,$BC$6:$BC$53,INDEX(T_Equipos[Grupo],MATCH(BD38,T_Equipos[NombreEquipo],0)))</f>
        <v>1</v>
      </c>
      <c r="CY38" s="734" t="str">
        <f ca="1">IF(COUNTIFS($CX$6:$CX$53,CX38,$BC$6:$BC$53,INDEX(T_Equipos[Grupo],MATCH(BD38,T_Equipos[NombreEquipo],0)))=1,"-","P."&amp;CX38&amp;" ("&amp;COUNTIFS($CX$6:$CX$53,CX38,$BC$6:$BC$53,INDEX(T_Equipos[Grupo],MATCH(BD38,T_Equipos[NombreEquipo],0)))&amp;")")</f>
        <v>P.1 (4)</v>
      </c>
      <c r="CZ38" s="734">
        <f t="shared" ca="1" si="31"/>
        <v>0</v>
      </c>
      <c r="DA38" s="735">
        <f ca="1">CX38+COUNTIFS($CY$6:$CY$53,CY38,$CZ$6:CZ$53,"&gt;"&amp;CZ38,$BC$6:$BC$53,INDEX(T_Equipos[Grupo],MATCH(BD38,T_Equipos[NombreEquipo],0)))</f>
        <v>1</v>
      </c>
      <c r="DB38" s="734" t="str">
        <f ca="1">IF(COUNTIFS($DA$6:$DA$53,DA38,$BC$6:$BC$53,INDEX(T_Equipos[Grupo],MATCH(BD38,T_Equipos[NombreEquipo],0)))=1,"-","P."&amp;DA38&amp;" ("&amp;COUNTIFS($DA$6:$DA$53,DA38,$BC$6:$BC$53,INDEX(T_Equipos[Grupo],MATCH(BD38,T_Equipos[NombreEquipo],0)))&amp;")")</f>
        <v>P.1 (4)</v>
      </c>
      <c r="DC38" s="733">
        <f ca="1">IF(DB38="-","-",COUNTIFS(T_Equipos[Rank],"&lt;"&amp;INDEX(T_Equipos[Rank],MATCH(BD38,T_Equipos[NombreEquipo],0)),$BC$6:$BC$53,INDEX(T_Equipos[Grupo],MATCH(BD38,T_Equipos[NombreEquipo],0)))+1)</f>
        <v>1</v>
      </c>
      <c r="DD38" s="733">
        <f ca="1">DA38+COUNTIFS($DB$6:$DB$53,DB38,$DC$6:DC$53,"&lt;"&amp;DC38,$BC$6:$BC$53,INDEX(T_Equipos[Grupo],MATCH(BD38,T_Equipos[NombreEquipo],0)))</f>
        <v>1</v>
      </c>
      <c r="DE38" s="733"/>
      <c r="DF38" s="733">
        <f t="shared" ca="1" si="52"/>
        <v>1</v>
      </c>
      <c r="DG38" s="733">
        <f ca="1">IF(DB38="-","-",COUNTIFS(DF$6:DF$53,"&lt;"&amp;DF38,$BC$6:$BC$53,INDEX(T_Equipos[Grupo],MATCH(BD38,T_Equipos[NombreEquipo],0))))</f>
        <v>0</v>
      </c>
      <c r="DH38" s="733">
        <f ca="1">DA38+COUNTIFS(DB$6:DB$53,DB38,DG$6:DG$53,"&lt;"&amp;DG38,$BC$6:$BC$53,INDEX(T_Equipos[Grupo],MATCH(BD38,T_Equipos[NombreEquipo],0)))</f>
        <v>1</v>
      </c>
      <c r="DI38" s="721"/>
      <c r="DJ38" s="721">
        <f t="shared" ca="1" si="53"/>
        <v>1</v>
      </c>
      <c r="DK38" s="721">
        <f t="shared" ca="1" si="24"/>
        <v>0</v>
      </c>
      <c r="DL38" s="721">
        <f t="shared" ca="1" si="33"/>
        <v>1</v>
      </c>
      <c r="DM38" s="715" t="str">
        <f t="shared" ca="1" si="34"/>
        <v>1.1</v>
      </c>
      <c r="DN38" s="721" cm="1">
        <f t="array" aca="1" ref="DN38" ca="1">OFFSET(Horarios!$P$3,DJ38-1,0,DL38,1)</f>
        <v>1</v>
      </c>
      <c r="DO38" s="721"/>
      <c r="DP38" s="721" t="s">
        <v>673</v>
      </c>
      <c r="DQ38" s="721" t="str">
        <f t="shared" ca="1" si="35"/>
        <v>Francia</v>
      </c>
      <c r="DR38" s="721"/>
      <c r="DS38" s="721"/>
      <c r="DT38" s="721" t="str">
        <f t="shared" ca="1" si="15"/>
        <v>Alemania-Costa de Marfil</v>
      </c>
      <c r="DU38" s="721"/>
      <c r="DV38" s="721"/>
      <c r="DW38" s="8"/>
    </row>
    <row r="39" spans="1:127" ht="15.95" customHeight="1">
      <c r="A39" s="722" t="str">
        <f ca="1">+Equipos!B20</f>
        <v>Costa de Marfil</v>
      </c>
      <c r="B39" s="719"/>
      <c r="C39" s="721"/>
      <c r="D39" s="721" t="str">
        <f t="shared" si="115"/>
        <v>Pendiente</v>
      </c>
      <c r="E39" s="721" t="str">
        <f t="shared" si="116"/>
        <v>-</v>
      </c>
      <c r="F39" s="721" t="str">
        <f t="shared" si="117"/>
        <v>-</v>
      </c>
      <c r="G39" s="721"/>
      <c r="H39" s="721" t="str">
        <f t="shared" si="118"/>
        <v>-</v>
      </c>
      <c r="I39" s="721" t="str">
        <f t="shared" si="119"/>
        <v>-</v>
      </c>
      <c r="J39" s="721"/>
      <c r="K39" s="721" t="str">
        <f t="shared" si="120"/>
        <v>-</v>
      </c>
      <c r="L39" s="721" t="str">
        <f t="shared" si="121"/>
        <v>-</v>
      </c>
      <c r="M39" s="721"/>
      <c r="N39" s="721" t="str">
        <f t="shared" si="122"/>
        <v>-</v>
      </c>
      <c r="O39" s="721" t="str">
        <f t="shared" si="123"/>
        <v>-</v>
      </c>
      <c r="P39" s="721"/>
      <c r="Q39" s="721" t="str">
        <f t="shared" si="124"/>
        <v>-</v>
      </c>
      <c r="R39" s="721" t="str">
        <f t="shared" si="125"/>
        <v>-</v>
      </c>
      <c r="S39" s="721"/>
      <c r="T39" s="721" t="str">
        <f t="shared" si="126"/>
        <v>-</v>
      </c>
      <c r="U39" s="721" t="str">
        <f t="shared" si="127"/>
        <v>-</v>
      </c>
      <c r="V39" s="162"/>
      <c r="W39" s="829"/>
      <c r="X39" s="179">
        <f ca="1">Horarios!C39</f>
        <v>46194.083333333336</v>
      </c>
      <c r="Y39" s="180">
        <f ca="1">Horarios!C39</f>
        <v>46194.083333333336</v>
      </c>
      <c r="Z39" s="181" t="str">
        <f>$Z$6</f>
        <v>J2</v>
      </c>
      <c r="AA39" s="182" t="str">
        <f ca="1">A40</f>
        <v>Ecuador</v>
      </c>
      <c r="AB39" s="457" t="str" cm="1">
        <f t="array" aca="1" ref="AB39" ca="1">Ver_flag_local</f>
        <v/>
      </c>
      <c r="AC39" s="183"/>
      <c r="AD39" s="184"/>
      <c r="AE39" s="462" t="str" cm="1">
        <f t="array" aca="1" ref="AE39" ca="1">Ver_flag_visit</f>
        <v/>
      </c>
      <c r="AF39" s="185" t="str">
        <f ca="1">A38</f>
        <v>Curazao</v>
      </c>
      <c r="AG39" s="396">
        <f t="shared" si="128"/>
        <v>0</v>
      </c>
      <c r="AH39" s="186">
        <v>34</v>
      </c>
      <c r="AI39" s="15" t="str">
        <f t="shared" ref="AI39:AI41" si="133">AJ39&amp;$B$36</f>
        <v>2E</v>
      </c>
      <c r="AJ39" s="211">
        <v>2</v>
      </c>
      <c r="AK39" s="465" t="str" cm="1">
        <f t="array" aca="1" ref="AK39" ca="1">Ver_flag_visit</f>
        <v/>
      </c>
      <c r="AL39" s="212" t="str">
        <f ca="1">IFERROR(INDEX($BD$6:$BD$53,MATCH(AI39,$BN$6:$BN$53,0)),"")</f>
        <v>Curazao</v>
      </c>
      <c r="AM39" s="213">
        <f t="shared" ca="1" si="132"/>
        <v>0</v>
      </c>
      <c r="AN39" s="214">
        <f t="shared" ca="1" si="132"/>
        <v>0</v>
      </c>
      <c r="AO39" s="214">
        <f t="shared" ca="1" si="132"/>
        <v>0</v>
      </c>
      <c r="AP39" s="214">
        <f t="shared" ca="1" si="132"/>
        <v>0</v>
      </c>
      <c r="AQ39" s="214">
        <f t="shared" ca="1" si="132"/>
        <v>0</v>
      </c>
      <c r="AR39" s="214">
        <f t="shared" ca="1" si="132"/>
        <v>0</v>
      </c>
      <c r="AS39" s="214">
        <f t="shared" ca="1" si="132"/>
        <v>0</v>
      </c>
      <c r="AT39" s="215">
        <f t="shared" ca="1" si="132"/>
        <v>0</v>
      </c>
      <c r="AU39" s="403">
        <f ca="1">INDEX($DL$6:$DL$53,MATCH(AI39,$DP$6:$DP$53,0))</f>
        <v>1</v>
      </c>
      <c r="AV39" s="207" t="str">
        <f ca="1">INDEX($BD$6:$BD$53,MATCH(AI39,$BM$6:$BM$53,0))</f>
        <v>Curazao</v>
      </c>
      <c r="AW39" s="410">
        <v>2</v>
      </c>
      <c r="AX39" s="208"/>
      <c r="AY39" s="216" t="str">
        <f ca="1">+A38</f>
        <v>Curazao</v>
      </c>
      <c r="AZ39" s="217"/>
      <c r="BA39" s="165"/>
      <c r="BB39" s="721"/>
      <c r="BC39" s="733" t="str">
        <f ca="1">+INDEX(T_Equipos[Grupo],MATCH(WORLDCUP!BD39,T_Equipos[NombreEquipo],0))</f>
        <v>I</v>
      </c>
      <c r="BD39" s="721" t="str">
        <f ca="1">+Equipos!B35</f>
        <v>Senegal</v>
      </c>
      <c r="BE39" s="725">
        <f t="shared" ca="1" si="25"/>
        <v>0</v>
      </c>
      <c r="BF39" s="725">
        <f t="shared" ca="1" si="26"/>
        <v>0</v>
      </c>
      <c r="BG39" s="725">
        <f t="shared" ca="1" si="17"/>
        <v>0</v>
      </c>
      <c r="BH39" s="725">
        <f t="shared" ca="1" si="18"/>
        <v>0</v>
      </c>
      <c r="BI39" s="725">
        <f t="shared" ca="1" si="19"/>
        <v>0</v>
      </c>
      <c r="BJ39" s="725">
        <f t="shared" ca="1" si="20"/>
        <v>0</v>
      </c>
      <c r="BK39" s="725">
        <f t="shared" ca="1" si="21"/>
        <v>0</v>
      </c>
      <c r="BL39" s="725">
        <f t="shared" ca="1" si="27"/>
        <v>0</v>
      </c>
      <c r="BM39" s="725" t="str">
        <f t="shared" ca="1" si="22"/>
        <v>2I</v>
      </c>
      <c r="BN39" s="725" t="str">
        <f t="shared" ca="1" si="23"/>
        <v>2I</v>
      </c>
      <c r="BO39" s="734">
        <f t="shared" ca="1" si="28"/>
        <v>0</v>
      </c>
      <c r="BP39" s="734">
        <f ca="1">COUNTIFS($BO$6:$BO$53,"&gt;"&amp;BO39,$BC$6:$BC$53,INDEX(T_Equipos[Grupo],MATCH(BD39,T_Equipos[NombreEquipo],0)))+1</f>
        <v>1</v>
      </c>
      <c r="BQ39" s="734" t="str">
        <f ca="1">IF(COUNTIFS($BP$6:$BP$53,BP39,$BC$6:$BC$53,INDEX(T_Equipos[Grupo],MATCH(BD39,T_Equipos[NombreEquipo],0)))=1,"-","P."&amp;BP39&amp;" ("&amp;COUNTIFS($BP$6:$BP$53,BP39,$BC$6:$BC$53,INDEX(T_Equipos[Grupo],MATCH(BD39,T_Equipos[NombreEquipo],0)))&amp;")")</f>
        <v>P.1 (4)</v>
      </c>
      <c r="BR39" s="734">
        <f t="shared" ca="1" si="29"/>
        <v>0</v>
      </c>
      <c r="BS39" s="734">
        <f ca="1">BP39+COUNTIFS($BQ$6:$BQ$53,BQ39,$BR$6:BR$53,"&gt;"&amp;BR39,$BC$6:$BC$53,INDEX(T_Equipos[Grupo],MATCH(BD39,T_Equipos[NombreEquipo],0)))</f>
        <v>1</v>
      </c>
      <c r="BT39" s="734" t="str">
        <f ca="1">IF(COUNTIFS($BS$6:$BS$53,BS39,$BC$6:$BC$53,INDEX(T_Equipos[Grupo],MATCH(BD39,T_Equipos[NombreEquipo],0)))=1,"-","P."&amp;BS39&amp;" ("&amp;COUNTIFS($BS$6:$BS$53,BS39,$BC$6:$BC$53,INDEX(T_Equipos[Grupo],MATCH(BD39,T_Equipos[NombreEquipo],0)))&amp;")")</f>
        <v>P.1 (4)</v>
      </c>
      <c r="BU39" s="735">
        <f t="shared" ca="1" si="36"/>
        <v>0</v>
      </c>
      <c r="BV39" s="735">
        <f t="shared" ca="1" si="37"/>
        <v>0</v>
      </c>
      <c r="BW39" s="735">
        <f t="shared" ca="1" si="38"/>
        <v>0</v>
      </c>
      <c r="BX39" s="735">
        <f t="shared" ca="1" si="39"/>
        <v>0</v>
      </c>
      <c r="BY39" s="735">
        <f ca="1">BS39+COUNTIFS($BT$6:$BT$53,BT39,$BX$6:BX$53,"&gt;"&amp;BX39,$BC$6:$BC$53,INDEX(T_Equipos[Grupo],MATCH(BD39,T_Equipos[NombreEquipo],0)))</f>
        <v>1</v>
      </c>
      <c r="BZ39" s="734" t="str">
        <f ca="1">IF(COUNTIFS($BY$6:$BY$53,BY39,$BC$6:$BC$53,INDEX(T_Equipos[Grupo],MATCH(BD39,T_Equipos[NombreEquipo],0)))=1,"-","P."&amp;BY39&amp;" ("&amp;COUNTIFS($BY$6:$BY$53,BY39,$BC$6:$BC$53,INDEX(T_Equipos[Grupo],MATCH(BD39,T_Equipos[NombreEquipo],0)))&amp;")")</f>
        <v>P.1 (4)</v>
      </c>
      <c r="CA39" s="735">
        <f t="shared" ca="1" si="40"/>
        <v>0</v>
      </c>
      <c r="CB39" s="735">
        <f t="shared" ca="1" si="41"/>
        <v>0</v>
      </c>
      <c r="CC39" s="735">
        <f t="shared" ca="1" si="42"/>
        <v>0</v>
      </c>
      <c r="CD39" s="735">
        <f ca="1">BY39+COUNTIFS($BZ$6:$BZ$53,BZ39,$CC$6:CC$53,"&gt;"&amp;CC39,$BC$6:$BC$53,INDEX(T_Equipos[Grupo],MATCH(BD39,T_Equipos[NombreEquipo],0)))</f>
        <v>1</v>
      </c>
      <c r="CE39" s="734" t="str">
        <f ca="1">IF(COUNTIFS($CD$6:$CD$53,CD39,$BC$6:$BC$53,INDEX(T_Equipos[Grupo],MATCH(BD39,T_Equipos[NombreEquipo],0)))=1,"-","P."&amp;CD39&amp;" ("&amp;COUNTIFS($CD$6:$CD$53,CD39,$BC$6:$BC$53,INDEX(T_Equipos[Grupo],MATCH(BD39,T_Equipos[NombreEquipo],0)))&amp;")")</f>
        <v>P.1 (4)</v>
      </c>
      <c r="CF39" s="735">
        <f t="shared" ca="1" si="43"/>
        <v>0</v>
      </c>
      <c r="CG39" s="735">
        <f ca="1">CD39+COUNTIFS($CE$6:$CE$53,CE39,$CF$6:CF$53,"&gt;"&amp;CF39,$BC$6:$BC$53,INDEX(T_Equipos[Grupo],MATCH(BD39,T_Equipos[NombreEquipo],0)))</f>
        <v>1</v>
      </c>
      <c r="CH39" s="734" t="str">
        <f ca="1">IF(COUNTIFS($CG$6:$CG$53,CG39,$BC$6:$BC$53,INDEX(T_Equipos[Grupo],MATCH(BD39,T_Equipos[NombreEquipo],0)))=1,"-","P."&amp;CG39&amp;" ("&amp;COUNTIFS($CG$6:$CG$53,CG39,$BC$6:$BC$53,INDEX(T_Equipos[Grupo],MATCH(BD39,T_Equipos[NombreEquipo],0)))&amp;")")</f>
        <v>P.1 (4)</v>
      </c>
      <c r="CI39" s="735">
        <f t="shared" ca="1" si="44"/>
        <v>0</v>
      </c>
      <c r="CJ39" s="735">
        <f t="shared" ca="1" si="45"/>
        <v>0</v>
      </c>
      <c r="CK39" s="735">
        <f t="shared" ca="1" si="46"/>
        <v>0</v>
      </c>
      <c r="CL39" s="735">
        <f t="shared" ca="1" si="47"/>
        <v>0</v>
      </c>
      <c r="CM39" s="735">
        <f ca="1">CG39+COUNTIFS($CH$6:$CH$53,CH39,$CL$6:CL$53,"&gt;"&amp;CL39,$BC$6:$BC$53,INDEX(T_Equipos[Grupo],MATCH(BD39,T_Equipos[NombreEquipo],0)))</f>
        <v>1</v>
      </c>
      <c r="CN39" s="734" t="str">
        <f ca="1">IF(COUNTIFS($CM$6:$CM$53,CM39,$BC$6:$BC$53,INDEX(T_Equipos[Grupo],MATCH(BD39,T_Equipos[NombreEquipo],0)))=1,"-","P."&amp;CM39&amp;" ("&amp;COUNTIFS($CM$6:$CM$53,CM39,$BC$6:$BC$53,INDEX(T_Equipos[Grupo],MATCH(BD39,T_Equipos[NombreEquipo],0)))&amp;")")</f>
        <v>P.1 (4)</v>
      </c>
      <c r="CO39" s="735">
        <f t="shared" ca="1" si="48"/>
        <v>0</v>
      </c>
      <c r="CP39" s="735">
        <f t="shared" ca="1" si="49"/>
        <v>0</v>
      </c>
      <c r="CQ39" s="735">
        <f t="shared" ca="1" si="50"/>
        <v>0</v>
      </c>
      <c r="CR39" s="735">
        <f ca="1">CM39+COUNTIFS($CN$6:$CN$53,CN39,$CQ$6:CQ$53,"&gt;"&amp;CQ39,$BC$6:$BC$53,INDEX(T_Equipos[Grupo],MATCH(BD39,T_Equipos[NombreEquipo],0)))</f>
        <v>1</v>
      </c>
      <c r="CS39" s="734" t="str">
        <f ca="1">IF(COUNTIFS($CR$6:$CR$53,CR39,$BC$6:$BC$53,INDEX(T_Equipos[Grupo],MATCH(BD39,T_Equipos[NombreEquipo],0)))=1,"-","P."&amp;CR39&amp;" ("&amp;COUNTIFS($CR$6:$CR$53,CR39,$BC$6:$BC$53,INDEX(T_Equipos[Grupo],MATCH(BD39,T_Equipos[NombreEquipo],0)))&amp;")")</f>
        <v>P.1 (4)</v>
      </c>
      <c r="CT39" s="735">
        <f t="shared" ca="1" si="51"/>
        <v>0</v>
      </c>
      <c r="CU39" s="735">
        <f ca="1">CR39+COUNTIFS($CS$6:$CS$53,CS39,$CT$6:CT$53,"&gt;"&amp;CT39,$BC$6:$BC$53,INDEX(T_Equipos[Grupo],MATCH(BD39,T_Equipos[NombreEquipo],0)))</f>
        <v>1</v>
      </c>
      <c r="CV39" s="734" t="str">
        <f ca="1">IF(COUNTIFS($CU$6:$CU$53,CU39,$BC$6:$BC$53,INDEX(T_Equipos[Grupo],MATCH(BD39,T_Equipos[NombreEquipo],0)))=1,"-","P."&amp;CU39&amp;" ("&amp;COUNTIFS($CU$6:$CU$53,CU39,$BC$6:$BC$53,INDEX(T_Equipos[Grupo],MATCH(BD39,T_Equipos[NombreEquipo],0)))&amp;")")</f>
        <v>P.1 (4)</v>
      </c>
      <c r="CW39" s="734">
        <f t="shared" ca="1" si="30"/>
        <v>0</v>
      </c>
      <c r="CX39" s="734">
        <f ca="1">CU39+COUNTIFS($CV$6:$CV$53,CV39,$CW$6:CW$53,"&gt;"&amp;CW39,$BC$6:$BC$53,INDEX(T_Equipos[Grupo],MATCH(BD39,T_Equipos[NombreEquipo],0)))</f>
        <v>1</v>
      </c>
      <c r="CY39" s="734" t="str">
        <f ca="1">IF(COUNTIFS($CX$6:$CX$53,CX39,$BC$6:$BC$53,INDEX(T_Equipos[Grupo],MATCH(BD39,T_Equipos[NombreEquipo],0)))=1,"-","P."&amp;CX39&amp;" ("&amp;COUNTIFS($CX$6:$CX$53,CX39,$BC$6:$BC$53,INDEX(T_Equipos[Grupo],MATCH(BD39,T_Equipos[NombreEquipo],0)))&amp;")")</f>
        <v>P.1 (4)</v>
      </c>
      <c r="CZ39" s="734">
        <f t="shared" ca="1" si="31"/>
        <v>0</v>
      </c>
      <c r="DA39" s="735">
        <f ca="1">CX39+COUNTIFS($CY$6:$CY$53,CY39,$CZ$6:CZ$53,"&gt;"&amp;CZ39,$BC$6:$BC$53,INDEX(T_Equipos[Grupo],MATCH(BD39,T_Equipos[NombreEquipo],0)))</f>
        <v>1</v>
      </c>
      <c r="DB39" s="734" t="str">
        <f ca="1">IF(COUNTIFS($DA$6:$DA$53,DA39,$BC$6:$BC$53,INDEX(T_Equipos[Grupo],MATCH(BD39,T_Equipos[NombreEquipo],0)))=1,"-","P."&amp;DA39&amp;" ("&amp;COUNTIFS($DA$6:$DA$53,DA39,$BC$6:$BC$53,INDEX(T_Equipos[Grupo],MATCH(BD39,T_Equipos[NombreEquipo],0)))&amp;")")</f>
        <v>P.1 (4)</v>
      </c>
      <c r="DC39" s="733">
        <f ca="1">IF(DB39="-","-",COUNTIFS(T_Equipos[Rank],"&lt;"&amp;INDEX(T_Equipos[Rank],MATCH(BD39,T_Equipos[NombreEquipo],0)),$BC$6:$BC$53,INDEX(T_Equipos[Grupo],MATCH(BD39,T_Equipos[NombreEquipo],0)))+1)</f>
        <v>2</v>
      </c>
      <c r="DD39" s="733">
        <f ca="1">DA39+COUNTIFS($DB$6:$DB$53,DB39,$DC$6:DC$53,"&lt;"&amp;DC39,$BC$6:$BC$53,INDEX(T_Equipos[Grupo],MATCH(BD39,T_Equipos[NombreEquipo],0)))</f>
        <v>2</v>
      </c>
      <c r="DE39" s="733"/>
      <c r="DF39" s="733">
        <f t="shared" ca="1" si="52"/>
        <v>2</v>
      </c>
      <c r="DG39" s="733">
        <f ca="1">IF(DB39="-","-",COUNTIFS(DF$6:DF$53,"&lt;"&amp;DF39,$BC$6:$BC$53,INDEX(T_Equipos[Grupo],MATCH(BD39,T_Equipos[NombreEquipo],0))))</f>
        <v>1</v>
      </c>
      <c r="DH39" s="733">
        <f ca="1">DA39+COUNTIFS(DB$6:DB$53,DB39,DG$6:DG$53,"&lt;"&amp;DG39,$BC$6:$BC$53,INDEX(T_Equipos[Grupo],MATCH(BD39,T_Equipos[NombreEquipo],0)))</f>
        <v>2</v>
      </c>
      <c r="DI39" s="721"/>
      <c r="DJ39" s="721">
        <f t="shared" ca="1" si="53"/>
        <v>1</v>
      </c>
      <c r="DK39" s="721">
        <f t="shared" ca="1" si="24"/>
        <v>0</v>
      </c>
      <c r="DL39" s="721">
        <f t="shared" ca="1" si="33"/>
        <v>1</v>
      </c>
      <c r="DM39" s="715" t="str">
        <f t="shared" ca="1" si="34"/>
        <v>1.1</v>
      </c>
      <c r="DN39" s="721" cm="1">
        <f t="array" aca="1" ref="DN39" ca="1">OFFSET(Horarios!$P$3,DJ39-1,0,DL39,1)</f>
        <v>1</v>
      </c>
      <c r="DO39" s="721"/>
      <c r="DP39" s="721" t="s">
        <v>674</v>
      </c>
      <c r="DQ39" s="721" t="str">
        <f t="shared" ca="1" si="35"/>
        <v>Senegal</v>
      </c>
      <c r="DR39" s="721"/>
      <c r="DS39" s="721"/>
      <c r="DT39" s="721" t="str">
        <f t="shared" ca="1" si="15"/>
        <v>Ecuador-Curazao</v>
      </c>
      <c r="DU39" s="721"/>
      <c r="DV39" s="721"/>
      <c r="DW39" s="8"/>
    </row>
    <row r="40" spans="1:127" ht="15.95" customHeight="1">
      <c r="A40" s="722" t="str">
        <f ca="1">+Equipos!B21</f>
        <v>Ecuador</v>
      </c>
      <c r="B40" s="719"/>
      <c r="C40" s="721"/>
      <c r="D40" s="721" t="str">
        <f t="shared" si="115"/>
        <v>Pendiente</v>
      </c>
      <c r="E40" s="721" t="str">
        <f t="shared" si="116"/>
        <v>-</v>
      </c>
      <c r="F40" s="721" t="str">
        <f t="shared" si="117"/>
        <v>-</v>
      </c>
      <c r="G40" s="721"/>
      <c r="H40" s="721" t="str">
        <f t="shared" si="118"/>
        <v>-</v>
      </c>
      <c r="I40" s="721" t="str">
        <f t="shared" si="119"/>
        <v>-</v>
      </c>
      <c r="J40" s="721"/>
      <c r="K40" s="721" t="str">
        <f t="shared" si="120"/>
        <v>-</v>
      </c>
      <c r="L40" s="721" t="str">
        <f t="shared" si="121"/>
        <v>-</v>
      </c>
      <c r="M40" s="721"/>
      <c r="N40" s="721" t="str">
        <f t="shared" si="122"/>
        <v>-</v>
      </c>
      <c r="O40" s="721" t="str">
        <f t="shared" si="123"/>
        <v>-</v>
      </c>
      <c r="P40" s="721"/>
      <c r="Q40" s="721" t="str">
        <f t="shared" si="124"/>
        <v>-</v>
      </c>
      <c r="R40" s="721" t="str">
        <f t="shared" si="125"/>
        <v>-</v>
      </c>
      <c r="S40" s="721"/>
      <c r="T40" s="721" t="str">
        <f t="shared" si="126"/>
        <v>-</v>
      </c>
      <c r="U40" s="721" t="str">
        <f t="shared" si="127"/>
        <v>-</v>
      </c>
      <c r="V40" s="162"/>
      <c r="W40" s="829"/>
      <c r="X40" s="179">
        <f ca="1">Horarios!C40</f>
        <v>46198.916666666664</v>
      </c>
      <c r="Y40" s="180">
        <f ca="1">Horarios!C40</f>
        <v>46198.916666666664</v>
      </c>
      <c r="Z40" s="181" t="str">
        <f>$Z$8</f>
        <v>J3</v>
      </c>
      <c r="AA40" s="182" t="str">
        <f ca="1">A38</f>
        <v>Curazao</v>
      </c>
      <c r="AB40" s="457" t="str" cm="1">
        <f t="array" aca="1" ref="AB40" ca="1">Ver_flag_local</f>
        <v/>
      </c>
      <c r="AC40" s="183"/>
      <c r="AD40" s="184"/>
      <c r="AE40" s="462" t="str" cm="1">
        <f t="array" aca="1" ref="AE40" ca="1">Ver_flag_visit</f>
        <v/>
      </c>
      <c r="AF40" s="185" t="str">
        <f ca="1">A39</f>
        <v>Costa de Marfil</v>
      </c>
      <c r="AG40" s="396">
        <f t="shared" si="128"/>
        <v>0</v>
      </c>
      <c r="AH40" s="186">
        <v>55</v>
      </c>
      <c r="AI40" s="15" t="str">
        <f t="shared" si="133"/>
        <v>3E</v>
      </c>
      <c r="AJ40" s="211">
        <v>3</v>
      </c>
      <c r="AK40" s="465" t="str" cm="1">
        <f t="array" aca="1" ref="AK40" ca="1">Ver_flag_visit</f>
        <v/>
      </c>
      <c r="AL40" s="212" t="str">
        <f ca="1">IFERROR(INDEX($BD$6:$BD$53,MATCH(AI40,$BN$6:$BN$53,0)),"")</f>
        <v>Costa de Marfil</v>
      </c>
      <c r="AM40" s="213">
        <f t="shared" ca="1" si="132"/>
        <v>0</v>
      </c>
      <c r="AN40" s="214">
        <f t="shared" ca="1" si="132"/>
        <v>0</v>
      </c>
      <c r="AO40" s="214">
        <f t="shared" ca="1" si="132"/>
        <v>0</v>
      </c>
      <c r="AP40" s="214">
        <f t="shared" ca="1" si="132"/>
        <v>0</v>
      </c>
      <c r="AQ40" s="214">
        <f t="shared" ca="1" si="132"/>
        <v>0</v>
      </c>
      <c r="AR40" s="214">
        <f t="shared" ca="1" si="132"/>
        <v>0</v>
      </c>
      <c r="AS40" s="214">
        <f t="shared" ca="1" si="132"/>
        <v>0</v>
      </c>
      <c r="AT40" s="215">
        <f t="shared" ca="1" si="132"/>
        <v>0</v>
      </c>
      <c r="AU40" s="403">
        <f ca="1">INDEX($DL$6:$DL$53,MATCH(AI40,$DP$6:$DP$53,0))</f>
        <v>1</v>
      </c>
      <c r="AV40" s="207" t="str">
        <f ca="1">INDEX($BD$6:$BD$53,MATCH(AI40,$BM$6:$BM$53,0))</f>
        <v>Costa de Marfil</v>
      </c>
      <c r="AW40" s="410">
        <v>3</v>
      </c>
      <c r="AX40" s="208"/>
      <c r="AY40" s="209" t="str">
        <f ca="1">+A39</f>
        <v>Costa de Marfil</v>
      </c>
      <c r="AZ40" s="210"/>
      <c r="BA40" s="165"/>
      <c r="BB40" s="721"/>
      <c r="BC40" s="733" t="str">
        <f ca="1">+INDEX(T_Equipos[Grupo],MATCH(WORLDCUP!BD40,T_Equipos[NombreEquipo],0))</f>
        <v>I</v>
      </c>
      <c r="BD40" s="721" t="str">
        <f ca="1">+Equipos!B36</f>
        <v>Irak</v>
      </c>
      <c r="BE40" s="725">
        <f t="shared" ca="1" si="25"/>
        <v>0</v>
      </c>
      <c r="BF40" s="725">
        <f t="shared" ca="1" si="26"/>
        <v>0</v>
      </c>
      <c r="BG40" s="725">
        <f t="shared" ca="1" si="17"/>
        <v>0</v>
      </c>
      <c r="BH40" s="725">
        <f t="shared" ca="1" si="18"/>
        <v>0</v>
      </c>
      <c r="BI40" s="725">
        <f t="shared" ca="1" si="19"/>
        <v>0</v>
      </c>
      <c r="BJ40" s="725">
        <f t="shared" ca="1" si="20"/>
        <v>0</v>
      </c>
      <c r="BK40" s="725">
        <f t="shared" ca="1" si="21"/>
        <v>0</v>
      </c>
      <c r="BL40" s="725">
        <f t="shared" ca="1" si="27"/>
        <v>0</v>
      </c>
      <c r="BM40" s="725" t="str">
        <f t="shared" ca="1" si="22"/>
        <v>3I</v>
      </c>
      <c r="BN40" s="725" t="str">
        <f t="shared" ca="1" si="23"/>
        <v>3I</v>
      </c>
      <c r="BO40" s="734">
        <f t="shared" ca="1" si="28"/>
        <v>0</v>
      </c>
      <c r="BP40" s="734">
        <f ca="1">COUNTIFS($BO$6:$BO$53,"&gt;"&amp;BO40,$BC$6:$BC$53,INDEX(T_Equipos[Grupo],MATCH(BD40,T_Equipos[NombreEquipo],0)))+1</f>
        <v>1</v>
      </c>
      <c r="BQ40" s="734" t="str">
        <f ca="1">IF(COUNTIFS($BP$6:$BP$53,BP40,$BC$6:$BC$53,INDEX(T_Equipos[Grupo],MATCH(BD40,T_Equipos[NombreEquipo],0)))=1,"-","P."&amp;BP40&amp;" ("&amp;COUNTIFS($BP$6:$BP$53,BP40,$BC$6:$BC$53,INDEX(T_Equipos[Grupo],MATCH(BD40,T_Equipos[NombreEquipo],0)))&amp;")")</f>
        <v>P.1 (4)</v>
      </c>
      <c r="BR40" s="734">
        <f t="shared" ca="1" si="29"/>
        <v>0</v>
      </c>
      <c r="BS40" s="734">
        <f ca="1">BP40+COUNTIFS($BQ$6:$BQ$53,BQ40,$BR$6:BR$53,"&gt;"&amp;BR40,$BC$6:$BC$53,INDEX(T_Equipos[Grupo],MATCH(BD40,T_Equipos[NombreEquipo],0)))</f>
        <v>1</v>
      </c>
      <c r="BT40" s="734" t="str">
        <f ca="1">IF(COUNTIFS($BS$6:$BS$53,BS40,$BC$6:$BC$53,INDEX(T_Equipos[Grupo],MATCH(BD40,T_Equipos[NombreEquipo],0)))=1,"-","P."&amp;BS40&amp;" ("&amp;COUNTIFS($BS$6:$BS$53,BS40,$BC$6:$BC$53,INDEX(T_Equipos[Grupo],MATCH(BD40,T_Equipos[NombreEquipo],0)))&amp;")")</f>
        <v>P.1 (4)</v>
      </c>
      <c r="BU40" s="735">
        <f t="shared" ca="1" si="36"/>
        <v>0</v>
      </c>
      <c r="BV40" s="735">
        <f t="shared" ca="1" si="37"/>
        <v>0</v>
      </c>
      <c r="BW40" s="735">
        <f t="shared" ca="1" si="38"/>
        <v>0</v>
      </c>
      <c r="BX40" s="735">
        <f t="shared" ca="1" si="39"/>
        <v>0</v>
      </c>
      <c r="BY40" s="735">
        <f ca="1">BS40+COUNTIFS($BT$6:$BT$53,BT40,$BX$6:BX$53,"&gt;"&amp;BX40,$BC$6:$BC$53,INDEX(T_Equipos[Grupo],MATCH(BD40,T_Equipos[NombreEquipo],0)))</f>
        <v>1</v>
      </c>
      <c r="BZ40" s="734" t="str">
        <f ca="1">IF(COUNTIFS($BY$6:$BY$53,BY40,$BC$6:$BC$53,INDEX(T_Equipos[Grupo],MATCH(BD40,T_Equipos[NombreEquipo],0)))=1,"-","P."&amp;BY40&amp;" ("&amp;COUNTIFS($BY$6:$BY$53,BY40,$BC$6:$BC$53,INDEX(T_Equipos[Grupo],MATCH(BD40,T_Equipos[NombreEquipo],0)))&amp;")")</f>
        <v>P.1 (4)</v>
      </c>
      <c r="CA40" s="735">
        <f t="shared" ca="1" si="40"/>
        <v>0</v>
      </c>
      <c r="CB40" s="735">
        <f t="shared" ca="1" si="41"/>
        <v>0</v>
      </c>
      <c r="CC40" s="735">
        <f t="shared" ca="1" si="42"/>
        <v>0</v>
      </c>
      <c r="CD40" s="735">
        <f ca="1">BY40+COUNTIFS($BZ$6:$BZ$53,BZ40,$CC$6:CC$53,"&gt;"&amp;CC40,$BC$6:$BC$53,INDEX(T_Equipos[Grupo],MATCH(BD40,T_Equipos[NombreEquipo],0)))</f>
        <v>1</v>
      </c>
      <c r="CE40" s="734" t="str">
        <f ca="1">IF(COUNTIFS($CD$6:$CD$53,CD40,$BC$6:$BC$53,INDEX(T_Equipos[Grupo],MATCH(BD40,T_Equipos[NombreEquipo],0)))=1,"-","P."&amp;CD40&amp;" ("&amp;COUNTIFS($CD$6:$CD$53,CD40,$BC$6:$BC$53,INDEX(T_Equipos[Grupo],MATCH(BD40,T_Equipos[NombreEquipo],0)))&amp;")")</f>
        <v>P.1 (4)</v>
      </c>
      <c r="CF40" s="735">
        <f t="shared" ca="1" si="43"/>
        <v>0</v>
      </c>
      <c r="CG40" s="735">
        <f ca="1">CD40+COUNTIFS($CE$6:$CE$53,CE40,$CF$6:CF$53,"&gt;"&amp;CF40,$BC$6:$BC$53,INDEX(T_Equipos[Grupo],MATCH(BD40,T_Equipos[NombreEquipo],0)))</f>
        <v>1</v>
      </c>
      <c r="CH40" s="734" t="str">
        <f ca="1">IF(COUNTIFS($CG$6:$CG$53,CG40,$BC$6:$BC$53,INDEX(T_Equipos[Grupo],MATCH(BD40,T_Equipos[NombreEquipo],0)))=1,"-","P."&amp;CG40&amp;" ("&amp;COUNTIFS($CG$6:$CG$53,CG40,$BC$6:$BC$53,INDEX(T_Equipos[Grupo],MATCH(BD40,T_Equipos[NombreEquipo],0)))&amp;")")</f>
        <v>P.1 (4)</v>
      </c>
      <c r="CI40" s="735">
        <f t="shared" ca="1" si="44"/>
        <v>0</v>
      </c>
      <c r="CJ40" s="735">
        <f t="shared" ca="1" si="45"/>
        <v>0</v>
      </c>
      <c r="CK40" s="735">
        <f t="shared" ca="1" si="46"/>
        <v>0</v>
      </c>
      <c r="CL40" s="735">
        <f t="shared" ca="1" si="47"/>
        <v>0</v>
      </c>
      <c r="CM40" s="735">
        <f ca="1">CG40+COUNTIFS($CH$6:$CH$53,CH40,$CL$6:CL$53,"&gt;"&amp;CL40,$BC$6:$BC$53,INDEX(T_Equipos[Grupo],MATCH(BD40,T_Equipos[NombreEquipo],0)))</f>
        <v>1</v>
      </c>
      <c r="CN40" s="734" t="str">
        <f ca="1">IF(COUNTIFS($CM$6:$CM$53,CM40,$BC$6:$BC$53,INDEX(T_Equipos[Grupo],MATCH(BD40,T_Equipos[NombreEquipo],0)))=1,"-","P."&amp;CM40&amp;" ("&amp;COUNTIFS($CM$6:$CM$53,CM40,$BC$6:$BC$53,INDEX(T_Equipos[Grupo],MATCH(BD40,T_Equipos[NombreEquipo],0)))&amp;")")</f>
        <v>P.1 (4)</v>
      </c>
      <c r="CO40" s="735">
        <f t="shared" ca="1" si="48"/>
        <v>0</v>
      </c>
      <c r="CP40" s="735">
        <f t="shared" ca="1" si="49"/>
        <v>0</v>
      </c>
      <c r="CQ40" s="735">
        <f t="shared" ca="1" si="50"/>
        <v>0</v>
      </c>
      <c r="CR40" s="735">
        <f ca="1">CM40+COUNTIFS($CN$6:$CN$53,CN40,$CQ$6:CQ$53,"&gt;"&amp;CQ40,$BC$6:$BC$53,INDEX(T_Equipos[Grupo],MATCH(BD40,T_Equipos[NombreEquipo],0)))</f>
        <v>1</v>
      </c>
      <c r="CS40" s="734" t="str">
        <f ca="1">IF(COUNTIFS($CR$6:$CR$53,CR40,$BC$6:$BC$53,INDEX(T_Equipos[Grupo],MATCH(BD40,T_Equipos[NombreEquipo],0)))=1,"-","P."&amp;CR40&amp;" ("&amp;COUNTIFS($CR$6:$CR$53,CR40,$BC$6:$BC$53,INDEX(T_Equipos[Grupo],MATCH(BD40,T_Equipos[NombreEquipo],0)))&amp;")")</f>
        <v>P.1 (4)</v>
      </c>
      <c r="CT40" s="735">
        <f t="shared" ca="1" si="51"/>
        <v>0</v>
      </c>
      <c r="CU40" s="735">
        <f ca="1">CR40+COUNTIFS($CS$6:$CS$53,CS40,$CT$6:CT$53,"&gt;"&amp;CT40,$BC$6:$BC$53,INDEX(T_Equipos[Grupo],MATCH(BD40,T_Equipos[NombreEquipo],0)))</f>
        <v>1</v>
      </c>
      <c r="CV40" s="734" t="str">
        <f ca="1">IF(COUNTIFS($CU$6:$CU$53,CU40,$BC$6:$BC$53,INDEX(T_Equipos[Grupo],MATCH(BD40,T_Equipos[NombreEquipo],0)))=1,"-","P."&amp;CU40&amp;" ("&amp;COUNTIFS($CU$6:$CU$53,CU40,$BC$6:$BC$53,INDEX(T_Equipos[Grupo],MATCH(BD40,T_Equipos[NombreEquipo],0)))&amp;")")</f>
        <v>P.1 (4)</v>
      </c>
      <c r="CW40" s="734">
        <f t="shared" ca="1" si="30"/>
        <v>0</v>
      </c>
      <c r="CX40" s="734">
        <f ca="1">CU40+COUNTIFS($CV$6:$CV$53,CV40,$CW$6:CW$53,"&gt;"&amp;CW40,$BC$6:$BC$53,INDEX(T_Equipos[Grupo],MATCH(BD40,T_Equipos[NombreEquipo],0)))</f>
        <v>1</v>
      </c>
      <c r="CY40" s="734" t="str">
        <f ca="1">IF(COUNTIFS($CX$6:$CX$53,CX40,$BC$6:$BC$53,INDEX(T_Equipos[Grupo],MATCH(BD40,T_Equipos[NombreEquipo],0)))=1,"-","P."&amp;CX40&amp;" ("&amp;COUNTIFS($CX$6:$CX$53,CX40,$BC$6:$BC$53,INDEX(T_Equipos[Grupo],MATCH(BD40,T_Equipos[NombreEquipo],0)))&amp;")")</f>
        <v>P.1 (4)</v>
      </c>
      <c r="CZ40" s="734">
        <f t="shared" ca="1" si="31"/>
        <v>0</v>
      </c>
      <c r="DA40" s="735">
        <f ca="1">CX40+COUNTIFS($CY$6:$CY$53,CY40,$CZ$6:CZ$53,"&gt;"&amp;CZ40,$BC$6:$BC$53,INDEX(T_Equipos[Grupo],MATCH(BD40,T_Equipos[NombreEquipo],0)))</f>
        <v>1</v>
      </c>
      <c r="DB40" s="734" t="str">
        <f ca="1">IF(COUNTIFS($DA$6:$DA$53,DA40,$BC$6:$BC$53,INDEX(T_Equipos[Grupo],MATCH(BD40,T_Equipos[NombreEquipo],0)))=1,"-","P."&amp;DA40&amp;" ("&amp;COUNTIFS($DA$6:$DA$53,DA40,$BC$6:$BC$53,INDEX(T_Equipos[Grupo],MATCH(BD40,T_Equipos[NombreEquipo],0)))&amp;")")</f>
        <v>P.1 (4)</v>
      </c>
      <c r="DC40" s="733">
        <f ca="1">IF(DB40="-","-",COUNTIFS(T_Equipos[Rank],"&lt;"&amp;INDEX(T_Equipos[Rank],MATCH(BD40,T_Equipos[NombreEquipo],0)),$BC$6:$BC$53,INDEX(T_Equipos[Grupo],MATCH(BD40,T_Equipos[NombreEquipo],0)))+1)</f>
        <v>3</v>
      </c>
      <c r="DD40" s="733">
        <f ca="1">DA40+COUNTIFS($DB$6:$DB$53,DB40,$DC$6:DC$53,"&lt;"&amp;DC40,$BC$6:$BC$53,INDEX(T_Equipos[Grupo],MATCH(BD40,T_Equipos[NombreEquipo],0)))</f>
        <v>3</v>
      </c>
      <c r="DE40" s="733"/>
      <c r="DF40" s="733">
        <f t="shared" ca="1" si="52"/>
        <v>3</v>
      </c>
      <c r="DG40" s="733">
        <f ca="1">IF(DB40="-","-",COUNTIFS(DF$6:DF$53,"&lt;"&amp;DF40,$BC$6:$BC$53,INDEX(T_Equipos[Grupo],MATCH(BD40,T_Equipos[NombreEquipo],0))))</f>
        <v>2</v>
      </c>
      <c r="DH40" s="733">
        <f ca="1">DA40+COUNTIFS(DB$6:DB$53,DB40,DG$6:DG$53,"&lt;"&amp;DG40,$BC$6:$BC$53,INDEX(T_Equipos[Grupo],MATCH(BD40,T_Equipos[NombreEquipo],0)))</f>
        <v>3</v>
      </c>
      <c r="DI40" s="721"/>
      <c r="DJ40" s="721">
        <f t="shared" ca="1" si="53"/>
        <v>1</v>
      </c>
      <c r="DK40" s="721">
        <f t="shared" ca="1" si="24"/>
        <v>0</v>
      </c>
      <c r="DL40" s="721">
        <f t="shared" ca="1" si="33"/>
        <v>1</v>
      </c>
      <c r="DM40" s="715" t="str">
        <f t="shared" ca="1" si="34"/>
        <v>1.1</v>
      </c>
      <c r="DN40" s="721" cm="1">
        <f t="array" aca="1" ref="DN40" ca="1">OFFSET(Horarios!$P$3,DJ40-1,0,DL40,1)</f>
        <v>1</v>
      </c>
      <c r="DO40" s="721"/>
      <c r="DP40" s="721" t="s">
        <v>440</v>
      </c>
      <c r="DQ40" s="721" t="str">
        <f t="shared" ca="1" si="35"/>
        <v>Irak</v>
      </c>
      <c r="DR40" s="721"/>
      <c r="DS40" s="721"/>
      <c r="DT40" s="721" t="str">
        <f t="shared" ca="1" si="15"/>
        <v>Curazao-Costa de Marfil</v>
      </c>
      <c r="DU40" s="721"/>
      <c r="DV40" s="721"/>
      <c r="DW40" s="8"/>
    </row>
    <row r="41" spans="1:127" ht="17.100000000000001" customHeight="1" thickBot="1">
      <c r="A41" s="716"/>
      <c r="B41" s="716"/>
      <c r="C41" s="716"/>
      <c r="D41" s="721" t="str">
        <f t="shared" si="115"/>
        <v>Pendiente</v>
      </c>
      <c r="E41" s="721" t="str">
        <f t="shared" si="116"/>
        <v>-</v>
      </c>
      <c r="F41" s="721" t="str">
        <f t="shared" si="117"/>
        <v>-</v>
      </c>
      <c r="G41" s="721"/>
      <c r="H41" s="721" t="str">
        <f t="shared" si="118"/>
        <v>-</v>
      </c>
      <c r="I41" s="721" t="str">
        <f t="shared" si="119"/>
        <v>-</v>
      </c>
      <c r="J41" s="721"/>
      <c r="K41" s="721" t="str">
        <f t="shared" si="120"/>
        <v>-</v>
      </c>
      <c r="L41" s="721" t="str">
        <f t="shared" si="121"/>
        <v>-</v>
      </c>
      <c r="M41" s="721"/>
      <c r="N41" s="721" t="str">
        <f t="shared" si="122"/>
        <v>-</v>
      </c>
      <c r="O41" s="721" t="str">
        <f t="shared" si="123"/>
        <v>-</v>
      </c>
      <c r="P41" s="721"/>
      <c r="Q41" s="721" t="str">
        <f t="shared" si="124"/>
        <v>-</v>
      </c>
      <c r="R41" s="721" t="str">
        <f t="shared" si="125"/>
        <v>-</v>
      </c>
      <c r="S41" s="721"/>
      <c r="T41" s="721" t="str">
        <f t="shared" si="126"/>
        <v>-</v>
      </c>
      <c r="U41" s="721" t="str">
        <f t="shared" si="127"/>
        <v>-</v>
      </c>
      <c r="V41" s="162"/>
      <c r="W41" s="830"/>
      <c r="X41" s="218">
        <f ca="1">Horarios!C41</f>
        <v>46198.916666666664</v>
      </c>
      <c r="Y41" s="219">
        <f ca="1">Horarios!C41</f>
        <v>46198.916666666664</v>
      </c>
      <c r="Z41" s="220" t="str">
        <f>$Z$8</f>
        <v>J3</v>
      </c>
      <c r="AA41" s="221" t="str">
        <f ca="1">A40</f>
        <v>Ecuador</v>
      </c>
      <c r="AB41" s="458" t="str" cm="1">
        <f t="array" aca="1" ref="AB41" ca="1">Ver_flag_local</f>
        <v/>
      </c>
      <c r="AC41" s="222"/>
      <c r="AD41" s="223"/>
      <c r="AE41" s="463" t="str" cm="1">
        <f t="array" aca="1" ref="AE41" ca="1">Ver_flag_visit</f>
        <v/>
      </c>
      <c r="AF41" s="224" t="str">
        <f ca="1">A37</f>
        <v>Alemania</v>
      </c>
      <c r="AG41" s="396">
        <f t="shared" si="128"/>
        <v>0</v>
      </c>
      <c r="AH41" s="186">
        <v>56</v>
      </c>
      <c r="AI41" s="15" t="str">
        <f t="shared" si="133"/>
        <v>4E</v>
      </c>
      <c r="AJ41" s="225">
        <v>4</v>
      </c>
      <c r="AK41" s="466" t="str" cm="1">
        <f t="array" aca="1" ref="AK41" ca="1">Ver_flag_visit</f>
        <v/>
      </c>
      <c r="AL41" s="226" t="str">
        <f ca="1">IFERROR(INDEX($BD$6:$BD$53,MATCH(AI41,$BN$6:$BN$53,0)),"")</f>
        <v>Ecuador</v>
      </c>
      <c r="AM41" s="227">
        <f t="shared" ca="1" si="132"/>
        <v>0</v>
      </c>
      <c r="AN41" s="228">
        <f t="shared" ca="1" si="132"/>
        <v>0</v>
      </c>
      <c r="AO41" s="228">
        <f t="shared" ca="1" si="132"/>
        <v>0</v>
      </c>
      <c r="AP41" s="228">
        <f t="shared" ca="1" si="132"/>
        <v>0</v>
      </c>
      <c r="AQ41" s="228">
        <f t="shared" ca="1" si="132"/>
        <v>0</v>
      </c>
      <c r="AR41" s="228">
        <f t="shared" ca="1" si="132"/>
        <v>0</v>
      </c>
      <c r="AS41" s="228">
        <f t="shared" ca="1" si="132"/>
        <v>0</v>
      </c>
      <c r="AT41" s="229">
        <f t="shared" ca="1" si="132"/>
        <v>0</v>
      </c>
      <c r="AU41" s="403">
        <f ca="1">INDEX($DL$6:$DL$53,MATCH(AI41,$DP$6:$DP$53,0))</f>
        <v>1</v>
      </c>
      <c r="AV41" s="207" t="str">
        <f ca="1">INDEX($BD$6:$BD$53,MATCH(AI41,$BM$6:$BM$53,0))</f>
        <v>Ecuador</v>
      </c>
      <c r="AW41" s="410"/>
      <c r="AX41" s="208"/>
      <c r="AY41" s="230" t="str">
        <f ca="1">+A40</f>
        <v>Ecuador</v>
      </c>
      <c r="AZ41" s="231"/>
      <c r="BA41" s="165"/>
      <c r="BB41" s="721"/>
      <c r="BC41" s="733" t="str">
        <f ca="1">+INDEX(T_Equipos[Grupo],MATCH(WORLDCUP!BD41,T_Equipos[NombreEquipo],0))</f>
        <v>I</v>
      </c>
      <c r="BD41" s="721" t="str">
        <f ca="1">+Equipos!B37</f>
        <v>Noruega</v>
      </c>
      <c r="BE41" s="725">
        <f t="shared" ca="1" si="25"/>
        <v>0</v>
      </c>
      <c r="BF41" s="725">
        <f t="shared" ca="1" si="26"/>
        <v>0</v>
      </c>
      <c r="BG41" s="725">
        <f t="shared" ca="1" si="17"/>
        <v>0</v>
      </c>
      <c r="BH41" s="725">
        <f t="shared" ca="1" si="18"/>
        <v>0</v>
      </c>
      <c r="BI41" s="725">
        <f t="shared" ca="1" si="19"/>
        <v>0</v>
      </c>
      <c r="BJ41" s="725">
        <f t="shared" ca="1" si="20"/>
        <v>0</v>
      </c>
      <c r="BK41" s="725">
        <f t="shared" ca="1" si="21"/>
        <v>0</v>
      </c>
      <c r="BL41" s="725">
        <f t="shared" ca="1" si="27"/>
        <v>0</v>
      </c>
      <c r="BM41" s="725" t="str">
        <f t="shared" ca="1" si="22"/>
        <v>4I</v>
      </c>
      <c r="BN41" s="725" t="str">
        <f t="shared" ca="1" si="23"/>
        <v>4I</v>
      </c>
      <c r="BO41" s="734">
        <f t="shared" ca="1" si="28"/>
        <v>0</v>
      </c>
      <c r="BP41" s="734">
        <f ca="1">COUNTIFS($BO$6:$BO$53,"&gt;"&amp;BO41,$BC$6:$BC$53,INDEX(T_Equipos[Grupo],MATCH(BD41,T_Equipos[NombreEquipo],0)))+1</f>
        <v>1</v>
      </c>
      <c r="BQ41" s="734" t="str">
        <f ca="1">IF(COUNTIFS($BP$6:$BP$53,BP41,$BC$6:$BC$53,INDEX(T_Equipos[Grupo],MATCH(BD41,T_Equipos[NombreEquipo],0)))=1,"-","P."&amp;BP41&amp;" ("&amp;COUNTIFS($BP$6:$BP$53,BP41,$BC$6:$BC$53,INDEX(T_Equipos[Grupo],MATCH(BD41,T_Equipos[NombreEquipo],0)))&amp;")")</f>
        <v>P.1 (4)</v>
      </c>
      <c r="BR41" s="734">
        <f t="shared" ca="1" si="29"/>
        <v>0</v>
      </c>
      <c r="BS41" s="734">
        <f ca="1">BP41+COUNTIFS($BQ$6:$BQ$53,BQ41,$BR$6:BR$53,"&gt;"&amp;BR41,$BC$6:$BC$53,INDEX(T_Equipos[Grupo],MATCH(BD41,T_Equipos[NombreEquipo],0)))</f>
        <v>1</v>
      </c>
      <c r="BT41" s="734" t="str">
        <f ca="1">IF(COUNTIFS($BS$6:$BS$53,BS41,$BC$6:$BC$53,INDEX(T_Equipos[Grupo],MATCH(BD41,T_Equipos[NombreEquipo],0)))=1,"-","P."&amp;BS41&amp;" ("&amp;COUNTIFS($BS$6:$BS$53,BS41,$BC$6:$BC$53,INDEX(T_Equipos[Grupo],MATCH(BD41,T_Equipos[NombreEquipo],0)))&amp;")")</f>
        <v>P.1 (4)</v>
      </c>
      <c r="BU41" s="735">
        <f t="shared" ca="1" si="36"/>
        <v>0</v>
      </c>
      <c r="BV41" s="735">
        <f t="shared" ca="1" si="37"/>
        <v>0</v>
      </c>
      <c r="BW41" s="735">
        <f t="shared" ca="1" si="38"/>
        <v>0</v>
      </c>
      <c r="BX41" s="735">
        <f t="shared" ca="1" si="39"/>
        <v>0</v>
      </c>
      <c r="BY41" s="735">
        <f ca="1">BS41+COUNTIFS($BT$6:$BT$53,BT41,$BX$6:BX$53,"&gt;"&amp;BX41,$BC$6:$BC$53,INDEX(T_Equipos[Grupo],MATCH(BD41,T_Equipos[NombreEquipo],0)))</f>
        <v>1</v>
      </c>
      <c r="BZ41" s="734" t="str">
        <f ca="1">IF(COUNTIFS($BY$6:$BY$53,BY41,$BC$6:$BC$53,INDEX(T_Equipos[Grupo],MATCH(BD41,T_Equipos[NombreEquipo],0)))=1,"-","P."&amp;BY41&amp;" ("&amp;COUNTIFS($BY$6:$BY$53,BY41,$BC$6:$BC$53,INDEX(T_Equipos[Grupo],MATCH(BD41,T_Equipos[NombreEquipo],0)))&amp;")")</f>
        <v>P.1 (4)</v>
      </c>
      <c r="CA41" s="735">
        <f t="shared" ca="1" si="40"/>
        <v>0</v>
      </c>
      <c r="CB41" s="735">
        <f t="shared" ca="1" si="41"/>
        <v>0</v>
      </c>
      <c r="CC41" s="735">
        <f t="shared" ca="1" si="42"/>
        <v>0</v>
      </c>
      <c r="CD41" s="735">
        <f ca="1">BY41+COUNTIFS($BZ$6:$BZ$53,BZ41,$CC$6:CC$53,"&gt;"&amp;CC41,$BC$6:$BC$53,INDEX(T_Equipos[Grupo],MATCH(BD41,T_Equipos[NombreEquipo],0)))</f>
        <v>1</v>
      </c>
      <c r="CE41" s="734" t="str">
        <f ca="1">IF(COUNTIFS($CD$6:$CD$53,CD41,$BC$6:$BC$53,INDEX(T_Equipos[Grupo],MATCH(BD41,T_Equipos[NombreEquipo],0)))=1,"-","P."&amp;CD41&amp;" ("&amp;COUNTIFS($CD$6:$CD$53,CD41,$BC$6:$BC$53,INDEX(T_Equipos[Grupo],MATCH(BD41,T_Equipos[NombreEquipo],0)))&amp;")")</f>
        <v>P.1 (4)</v>
      </c>
      <c r="CF41" s="735">
        <f t="shared" ca="1" si="43"/>
        <v>0</v>
      </c>
      <c r="CG41" s="735">
        <f ca="1">CD41+COUNTIFS($CE$6:$CE$53,CE41,$CF$6:CF$53,"&gt;"&amp;CF41,$BC$6:$BC$53,INDEX(T_Equipos[Grupo],MATCH(BD41,T_Equipos[NombreEquipo],0)))</f>
        <v>1</v>
      </c>
      <c r="CH41" s="734" t="str">
        <f ca="1">IF(COUNTIFS($CG$6:$CG$53,CG41,$BC$6:$BC$53,INDEX(T_Equipos[Grupo],MATCH(BD41,T_Equipos[NombreEquipo],0)))=1,"-","P."&amp;CG41&amp;" ("&amp;COUNTIFS($CG$6:$CG$53,CG41,$BC$6:$BC$53,INDEX(T_Equipos[Grupo],MATCH(BD41,T_Equipos[NombreEquipo],0)))&amp;")")</f>
        <v>P.1 (4)</v>
      </c>
      <c r="CI41" s="735">
        <f t="shared" ca="1" si="44"/>
        <v>0</v>
      </c>
      <c r="CJ41" s="735">
        <f t="shared" ca="1" si="45"/>
        <v>0</v>
      </c>
      <c r="CK41" s="735">
        <f t="shared" ca="1" si="46"/>
        <v>0</v>
      </c>
      <c r="CL41" s="735">
        <f t="shared" ca="1" si="47"/>
        <v>0</v>
      </c>
      <c r="CM41" s="735">
        <f ca="1">CG41+COUNTIFS($CH$6:$CH$53,CH41,$CL$6:CL$53,"&gt;"&amp;CL41,$BC$6:$BC$53,INDEX(T_Equipos[Grupo],MATCH(BD41,T_Equipos[NombreEquipo],0)))</f>
        <v>1</v>
      </c>
      <c r="CN41" s="734" t="str">
        <f ca="1">IF(COUNTIFS($CM$6:$CM$53,CM41,$BC$6:$BC$53,INDEX(T_Equipos[Grupo],MATCH(BD41,T_Equipos[NombreEquipo],0)))=1,"-","P."&amp;CM41&amp;" ("&amp;COUNTIFS($CM$6:$CM$53,CM41,$BC$6:$BC$53,INDEX(T_Equipos[Grupo],MATCH(BD41,T_Equipos[NombreEquipo],0)))&amp;")")</f>
        <v>P.1 (4)</v>
      </c>
      <c r="CO41" s="735">
        <f t="shared" ca="1" si="48"/>
        <v>0</v>
      </c>
      <c r="CP41" s="735">
        <f t="shared" ca="1" si="49"/>
        <v>0</v>
      </c>
      <c r="CQ41" s="735">
        <f t="shared" ca="1" si="50"/>
        <v>0</v>
      </c>
      <c r="CR41" s="735">
        <f ca="1">CM41+COUNTIFS($CN$6:$CN$53,CN41,$CQ$6:CQ$53,"&gt;"&amp;CQ41,$BC$6:$BC$53,INDEX(T_Equipos[Grupo],MATCH(BD41,T_Equipos[NombreEquipo],0)))</f>
        <v>1</v>
      </c>
      <c r="CS41" s="734" t="str">
        <f ca="1">IF(COUNTIFS($CR$6:$CR$53,CR41,$BC$6:$BC$53,INDEX(T_Equipos[Grupo],MATCH(BD41,T_Equipos[NombreEquipo],0)))=1,"-","P."&amp;CR41&amp;" ("&amp;COUNTIFS($CR$6:$CR$53,CR41,$BC$6:$BC$53,INDEX(T_Equipos[Grupo],MATCH(BD41,T_Equipos[NombreEquipo],0)))&amp;")")</f>
        <v>P.1 (4)</v>
      </c>
      <c r="CT41" s="735">
        <f t="shared" ca="1" si="51"/>
        <v>0</v>
      </c>
      <c r="CU41" s="735">
        <f ca="1">CR41+COUNTIFS($CS$6:$CS$53,CS41,$CT$6:CT$53,"&gt;"&amp;CT41,$BC$6:$BC$53,INDEX(T_Equipos[Grupo],MATCH(BD41,T_Equipos[NombreEquipo],0)))</f>
        <v>1</v>
      </c>
      <c r="CV41" s="734" t="str">
        <f ca="1">IF(COUNTIFS($CU$6:$CU$53,CU41,$BC$6:$BC$53,INDEX(T_Equipos[Grupo],MATCH(BD41,T_Equipos[NombreEquipo],0)))=1,"-","P."&amp;CU41&amp;" ("&amp;COUNTIFS($CU$6:$CU$53,CU41,$BC$6:$BC$53,INDEX(T_Equipos[Grupo],MATCH(BD41,T_Equipos[NombreEquipo],0)))&amp;")")</f>
        <v>P.1 (4)</v>
      </c>
      <c r="CW41" s="734">
        <f t="shared" ca="1" si="30"/>
        <v>0</v>
      </c>
      <c r="CX41" s="734">
        <f ca="1">CU41+COUNTIFS($CV$6:$CV$53,CV41,$CW$6:CW$53,"&gt;"&amp;CW41,$BC$6:$BC$53,INDEX(T_Equipos[Grupo],MATCH(BD41,T_Equipos[NombreEquipo],0)))</f>
        <v>1</v>
      </c>
      <c r="CY41" s="734" t="str">
        <f ca="1">IF(COUNTIFS($CX$6:$CX$53,CX41,$BC$6:$BC$53,INDEX(T_Equipos[Grupo],MATCH(BD41,T_Equipos[NombreEquipo],0)))=1,"-","P."&amp;CX41&amp;" ("&amp;COUNTIFS($CX$6:$CX$53,CX41,$BC$6:$BC$53,INDEX(T_Equipos[Grupo],MATCH(BD41,T_Equipos[NombreEquipo],0)))&amp;")")</f>
        <v>P.1 (4)</v>
      </c>
      <c r="CZ41" s="734">
        <f t="shared" ca="1" si="31"/>
        <v>0</v>
      </c>
      <c r="DA41" s="735">
        <f ca="1">CX41+COUNTIFS($CY$6:$CY$53,CY41,$CZ$6:CZ$53,"&gt;"&amp;CZ41,$BC$6:$BC$53,INDEX(T_Equipos[Grupo],MATCH(BD41,T_Equipos[NombreEquipo],0)))</f>
        <v>1</v>
      </c>
      <c r="DB41" s="734" t="str">
        <f ca="1">IF(COUNTIFS($DA$6:$DA$53,DA41,$BC$6:$BC$53,INDEX(T_Equipos[Grupo],MATCH(BD41,T_Equipos[NombreEquipo],0)))=1,"-","P."&amp;DA41&amp;" ("&amp;COUNTIFS($DA$6:$DA$53,DA41,$BC$6:$BC$53,INDEX(T_Equipos[Grupo],MATCH(BD41,T_Equipos[NombreEquipo],0)))&amp;")")</f>
        <v>P.1 (4)</v>
      </c>
      <c r="DC41" s="733">
        <f ca="1">IF(DB41="-","-",COUNTIFS(T_Equipos[Rank],"&lt;"&amp;INDEX(T_Equipos[Rank],MATCH(BD41,T_Equipos[NombreEquipo],0)),$BC$6:$BC$53,INDEX(T_Equipos[Grupo],MATCH(BD41,T_Equipos[NombreEquipo],0)))+1)</f>
        <v>4</v>
      </c>
      <c r="DD41" s="733">
        <f ca="1">DA41+COUNTIFS($DB$6:$DB$53,DB41,$DC$6:DC$53,"&lt;"&amp;DC41,$BC$6:$BC$53,INDEX(T_Equipos[Grupo],MATCH(BD41,T_Equipos[NombreEquipo],0)))</f>
        <v>4</v>
      </c>
      <c r="DE41" s="733"/>
      <c r="DF41" s="733">
        <f t="shared" ca="1" si="52"/>
        <v>4</v>
      </c>
      <c r="DG41" s="733">
        <f ca="1">IF(DB41="-","-",COUNTIFS(DF$6:DF$53,"&lt;"&amp;DF41,$BC$6:$BC$53,INDEX(T_Equipos[Grupo],MATCH(BD41,T_Equipos[NombreEquipo],0))))</f>
        <v>3</v>
      </c>
      <c r="DH41" s="733">
        <f ca="1">DA41+COUNTIFS(DB$6:DB$53,DB41,DG$6:DG$53,"&lt;"&amp;DG41,$BC$6:$BC$53,INDEX(T_Equipos[Grupo],MATCH(BD41,T_Equipos[NombreEquipo],0)))</f>
        <v>4</v>
      </c>
      <c r="DI41" s="721"/>
      <c r="DJ41" s="721">
        <f t="shared" ca="1" si="53"/>
        <v>1</v>
      </c>
      <c r="DK41" s="721">
        <f t="shared" ca="1" si="24"/>
        <v>0</v>
      </c>
      <c r="DL41" s="721">
        <f t="shared" ca="1" si="33"/>
        <v>1</v>
      </c>
      <c r="DM41" s="715" t="str">
        <f t="shared" ca="1" si="34"/>
        <v>1.1</v>
      </c>
      <c r="DN41" s="721" cm="1">
        <f t="array" aca="1" ref="DN41" ca="1">OFFSET(Horarios!$P$3,DJ41-1,0,DL41,1)</f>
        <v>1</v>
      </c>
      <c r="DO41" s="721"/>
      <c r="DP41" s="721" t="s">
        <v>675</v>
      </c>
      <c r="DQ41" s="721" t="str">
        <f t="shared" ca="1" si="35"/>
        <v>Noruega</v>
      </c>
      <c r="DR41" s="721"/>
      <c r="DS41" s="721"/>
      <c r="DT41" s="721" t="str">
        <f t="shared" ca="1" si="15"/>
        <v>Ecuador-Alemania</v>
      </c>
      <c r="DU41" s="721"/>
      <c r="DV41" s="721"/>
      <c r="DW41" s="8"/>
    </row>
    <row r="42" spans="1:127" ht="15.75" thickBot="1">
      <c r="A42" s="716"/>
      <c r="B42" s="716"/>
      <c r="C42" s="716"/>
      <c r="D42" s="721"/>
      <c r="E42" s="721"/>
      <c r="F42" s="721"/>
      <c r="G42" s="721"/>
      <c r="H42" s="721"/>
      <c r="I42" s="721"/>
      <c r="J42" s="721"/>
      <c r="K42" s="721"/>
      <c r="L42" s="721"/>
      <c r="M42" s="721"/>
      <c r="N42" s="721"/>
      <c r="O42" s="721"/>
      <c r="P42" s="721"/>
      <c r="Q42" s="721"/>
      <c r="R42" s="721"/>
      <c r="S42" s="721"/>
      <c r="T42" s="721"/>
      <c r="U42" s="721"/>
      <c r="V42" s="162"/>
      <c r="W42" s="232"/>
      <c r="X42" s="233"/>
      <c r="Y42" s="232"/>
      <c r="Z42" s="234"/>
      <c r="AA42" s="235"/>
      <c r="AB42" s="461"/>
      <c r="AC42" s="237"/>
      <c r="AD42" s="237"/>
      <c r="AE42" s="461"/>
      <c r="AF42" s="238"/>
      <c r="AG42" s="398"/>
      <c r="AH42" s="186"/>
      <c r="AI42" s="161"/>
      <c r="AJ42" s="239"/>
      <c r="AK42" s="240"/>
      <c r="AL42" s="176"/>
      <c r="AM42" s="241"/>
      <c r="AN42" s="239"/>
      <c r="AO42" s="239"/>
      <c r="AP42" s="239"/>
      <c r="AQ42" s="239"/>
      <c r="AR42" s="239"/>
      <c r="AS42" s="239"/>
      <c r="AT42" s="239"/>
      <c r="AU42" s="403"/>
      <c r="AV42" s="206"/>
      <c r="AW42" s="411"/>
      <c r="AX42" s="208"/>
      <c r="AY42" s="232"/>
      <c r="AZ42" s="233"/>
      <c r="BA42" s="165"/>
      <c r="BB42" s="721"/>
      <c r="BC42" s="733" t="str">
        <f ca="1">+INDEX(T_Equipos[Grupo],MATCH(WORLDCUP!BD42,T_Equipos[NombreEquipo],0))</f>
        <v>J</v>
      </c>
      <c r="BD42" s="721" t="str">
        <f ca="1">+Equipos!B38</f>
        <v>Argentina</v>
      </c>
      <c r="BE42" s="725">
        <f t="shared" ca="1" si="25"/>
        <v>0</v>
      </c>
      <c r="BF42" s="725">
        <f t="shared" ca="1" si="26"/>
        <v>0</v>
      </c>
      <c r="BG42" s="725">
        <f t="shared" ca="1" si="17"/>
        <v>0</v>
      </c>
      <c r="BH42" s="725">
        <f t="shared" ca="1" si="18"/>
        <v>0</v>
      </c>
      <c r="BI42" s="725">
        <f t="shared" ca="1" si="19"/>
        <v>0</v>
      </c>
      <c r="BJ42" s="725">
        <f t="shared" ca="1" si="20"/>
        <v>0</v>
      </c>
      <c r="BK42" s="725">
        <f t="shared" ca="1" si="21"/>
        <v>0</v>
      </c>
      <c r="BL42" s="725">
        <f t="shared" ca="1" si="27"/>
        <v>0</v>
      </c>
      <c r="BM42" s="725" t="str">
        <f t="shared" ca="1" si="22"/>
        <v>1J</v>
      </c>
      <c r="BN42" s="725" t="str">
        <f t="shared" ca="1" si="23"/>
        <v>1J</v>
      </c>
      <c r="BO42" s="735">
        <f t="shared" ca="1" si="28"/>
        <v>0</v>
      </c>
      <c r="BP42" s="734">
        <f ca="1">COUNTIFS($BO$6:$BO$53,"&gt;"&amp;BO42,$BC$6:$BC$53,INDEX(T_Equipos[Grupo],MATCH(BD42,T_Equipos[NombreEquipo],0)))+1</f>
        <v>1</v>
      </c>
      <c r="BQ42" s="734" t="str">
        <f ca="1">IF(COUNTIFS($BP$6:$BP$53,BP42,$BC$6:$BC$53,INDEX(T_Equipos[Grupo],MATCH(BD42,T_Equipos[NombreEquipo],0)))=1,"-","P."&amp;BP42&amp;" ("&amp;COUNTIFS($BP$6:$BP$53,BP42,$BC$6:$BC$53,INDEX(T_Equipos[Grupo],MATCH(BD42,T_Equipos[NombreEquipo],0)))&amp;")")</f>
        <v>P.1 (4)</v>
      </c>
      <c r="BR42" s="735">
        <f t="shared" ca="1" si="29"/>
        <v>0</v>
      </c>
      <c r="BS42" s="734">
        <f ca="1">BP42+COUNTIFS($BQ$6:$BQ$53,BQ42,$BR$6:BR$53,"&gt;"&amp;BR42,$BC$6:$BC$53,INDEX(T_Equipos[Grupo],MATCH(BD42,T_Equipos[NombreEquipo],0)))</f>
        <v>1</v>
      </c>
      <c r="BT42" s="734" t="str">
        <f ca="1">IF(COUNTIFS($BS$6:$BS$53,BS42,$BC$6:$BC$53,INDEX(T_Equipos[Grupo],MATCH(BD42,T_Equipos[NombreEquipo],0)))=1,"-","P."&amp;BS42&amp;" ("&amp;COUNTIFS($BS$6:$BS$53,BS42,$BC$6:$BC$53,INDEX(T_Equipos[Grupo],MATCH(BD42,T_Equipos[NombreEquipo],0)))&amp;")")</f>
        <v>P.1 (4)</v>
      </c>
      <c r="BU42" s="735">
        <f t="shared" ca="1" si="36"/>
        <v>0</v>
      </c>
      <c r="BV42" s="735">
        <f t="shared" ca="1" si="37"/>
        <v>0</v>
      </c>
      <c r="BW42" s="735">
        <f t="shared" ca="1" si="38"/>
        <v>0</v>
      </c>
      <c r="BX42" s="735">
        <f t="shared" ca="1" si="39"/>
        <v>0</v>
      </c>
      <c r="BY42" s="735">
        <f ca="1">BS42+COUNTIFS($BT$6:$BT$53,BT42,$BX$6:BX$53,"&gt;"&amp;BX42,$BC$6:$BC$53,INDEX(T_Equipos[Grupo],MATCH(BD42,T_Equipos[NombreEquipo],0)))</f>
        <v>1</v>
      </c>
      <c r="BZ42" s="734" t="str">
        <f ca="1">IF(COUNTIFS($BY$6:$BY$53,BY42,$BC$6:$BC$53,INDEX(T_Equipos[Grupo],MATCH(BD42,T_Equipos[NombreEquipo],0)))=1,"-","P."&amp;BY42&amp;" ("&amp;COUNTIFS($BY$6:$BY$53,BY42,$BC$6:$BC$53,INDEX(T_Equipos[Grupo],MATCH(BD42,T_Equipos[NombreEquipo],0)))&amp;")")</f>
        <v>P.1 (4)</v>
      </c>
      <c r="CA42" s="735">
        <f t="shared" ca="1" si="40"/>
        <v>0</v>
      </c>
      <c r="CB42" s="735">
        <f t="shared" ca="1" si="41"/>
        <v>0</v>
      </c>
      <c r="CC42" s="735">
        <f t="shared" ca="1" si="42"/>
        <v>0</v>
      </c>
      <c r="CD42" s="735">
        <f ca="1">BY42+COUNTIFS($BZ$6:$BZ$53,BZ42,$CC$6:CC$53,"&gt;"&amp;CC42,$BC$6:$BC$53,INDEX(T_Equipos[Grupo],MATCH(BD42,T_Equipos[NombreEquipo],0)))</f>
        <v>1</v>
      </c>
      <c r="CE42" s="734" t="str">
        <f ca="1">IF(COUNTIFS($CD$6:$CD$53,CD42,$BC$6:$BC$53,INDEX(T_Equipos[Grupo],MATCH(BD42,T_Equipos[NombreEquipo],0)))=1,"-","P."&amp;CD42&amp;" ("&amp;COUNTIFS($CD$6:$CD$53,CD42,$BC$6:$BC$53,INDEX(T_Equipos[Grupo],MATCH(BD42,T_Equipos[NombreEquipo],0)))&amp;")")</f>
        <v>P.1 (4)</v>
      </c>
      <c r="CF42" s="735">
        <f t="shared" ca="1" si="43"/>
        <v>0</v>
      </c>
      <c r="CG42" s="735">
        <f ca="1">CD42+COUNTIFS($CE$6:$CE$53,CE42,$CF$6:CF$53,"&gt;"&amp;CF42,$BC$6:$BC$53,INDEX(T_Equipos[Grupo],MATCH(BD42,T_Equipos[NombreEquipo],0)))</f>
        <v>1</v>
      </c>
      <c r="CH42" s="734" t="str">
        <f ca="1">IF(COUNTIFS($CG$6:$CG$53,CG42,$BC$6:$BC$53,INDEX(T_Equipos[Grupo],MATCH(BD42,T_Equipos[NombreEquipo],0)))=1,"-","P."&amp;CG42&amp;" ("&amp;COUNTIFS($CG$6:$CG$53,CG42,$BC$6:$BC$53,INDEX(T_Equipos[Grupo],MATCH(BD42,T_Equipos[NombreEquipo],0)))&amp;")")</f>
        <v>P.1 (4)</v>
      </c>
      <c r="CI42" s="735">
        <f t="shared" ca="1" si="44"/>
        <v>0</v>
      </c>
      <c r="CJ42" s="735">
        <f t="shared" ca="1" si="45"/>
        <v>0</v>
      </c>
      <c r="CK42" s="735">
        <f t="shared" ca="1" si="46"/>
        <v>0</v>
      </c>
      <c r="CL42" s="735">
        <f t="shared" ca="1" si="47"/>
        <v>0</v>
      </c>
      <c r="CM42" s="735">
        <f ca="1">CG42+COUNTIFS($CH$6:$CH$53,CH42,$CL$6:CL$53,"&gt;"&amp;CL42,$BC$6:$BC$53,INDEX(T_Equipos[Grupo],MATCH(BD42,T_Equipos[NombreEquipo],0)))</f>
        <v>1</v>
      </c>
      <c r="CN42" s="734" t="str">
        <f ca="1">IF(COUNTIFS($CM$6:$CM$53,CM42,$BC$6:$BC$53,INDEX(T_Equipos[Grupo],MATCH(BD42,T_Equipos[NombreEquipo],0)))=1,"-","P."&amp;CM42&amp;" ("&amp;COUNTIFS($CM$6:$CM$53,CM42,$BC$6:$BC$53,INDEX(T_Equipos[Grupo],MATCH(BD42,T_Equipos[NombreEquipo],0)))&amp;")")</f>
        <v>P.1 (4)</v>
      </c>
      <c r="CO42" s="735">
        <f t="shared" ca="1" si="48"/>
        <v>0</v>
      </c>
      <c r="CP42" s="735">
        <f t="shared" ca="1" si="49"/>
        <v>0</v>
      </c>
      <c r="CQ42" s="735">
        <f t="shared" ca="1" si="50"/>
        <v>0</v>
      </c>
      <c r="CR42" s="735">
        <f ca="1">CM42+COUNTIFS($CN$6:$CN$53,CN42,$CQ$6:CQ$53,"&gt;"&amp;CQ42,$BC$6:$BC$53,INDEX(T_Equipos[Grupo],MATCH(BD42,T_Equipos[NombreEquipo],0)))</f>
        <v>1</v>
      </c>
      <c r="CS42" s="734" t="str">
        <f ca="1">IF(COUNTIFS($CR$6:$CR$53,CR42,$BC$6:$BC$53,INDEX(T_Equipos[Grupo],MATCH(BD42,T_Equipos[NombreEquipo],0)))=1,"-","P."&amp;CR42&amp;" ("&amp;COUNTIFS($CR$6:$CR$53,CR42,$BC$6:$BC$53,INDEX(T_Equipos[Grupo],MATCH(BD42,T_Equipos[NombreEquipo],0)))&amp;")")</f>
        <v>P.1 (4)</v>
      </c>
      <c r="CT42" s="735">
        <f t="shared" ca="1" si="51"/>
        <v>0</v>
      </c>
      <c r="CU42" s="735">
        <f ca="1">CR42+COUNTIFS($CS$6:$CS$53,CS42,$CT$6:CT$53,"&gt;"&amp;CT42,$BC$6:$BC$53,INDEX(T_Equipos[Grupo],MATCH(BD42,T_Equipos[NombreEquipo],0)))</f>
        <v>1</v>
      </c>
      <c r="CV42" s="734" t="str">
        <f ca="1">IF(COUNTIFS($CU$6:$CU$53,CU42,$BC$6:$BC$53,INDEX(T_Equipos[Grupo],MATCH(BD42,T_Equipos[NombreEquipo],0)))=1,"-","P."&amp;CU42&amp;" ("&amp;COUNTIFS($CU$6:$CU$53,CU42,$BC$6:$BC$53,INDEX(T_Equipos[Grupo],MATCH(BD42,T_Equipos[NombreEquipo],0)))&amp;")")</f>
        <v>P.1 (4)</v>
      </c>
      <c r="CW42" s="734">
        <f t="shared" ca="1" si="30"/>
        <v>0</v>
      </c>
      <c r="CX42" s="734">
        <f ca="1">CU42+COUNTIFS($CV$6:$CV$53,CV42,$CW$6:CW$53,"&gt;"&amp;CW42,$BC$6:$BC$53,INDEX(T_Equipos[Grupo],MATCH(BD42,T_Equipos[NombreEquipo],0)))</f>
        <v>1</v>
      </c>
      <c r="CY42" s="734" t="str">
        <f ca="1">IF(COUNTIFS($CX$6:$CX$53,CX42,$BC$6:$BC$53,INDEX(T_Equipos[Grupo],MATCH(BD42,T_Equipos[NombreEquipo],0)))=1,"-","P."&amp;CX42&amp;" ("&amp;COUNTIFS($CX$6:$CX$53,CX42,$BC$6:$BC$53,INDEX(T_Equipos[Grupo],MATCH(BD42,T_Equipos[NombreEquipo],0)))&amp;")")</f>
        <v>P.1 (4)</v>
      </c>
      <c r="CZ42" s="734">
        <f t="shared" ca="1" si="31"/>
        <v>0</v>
      </c>
      <c r="DA42" s="735">
        <f ca="1">CX42+COUNTIFS($CY$6:$CY$53,CY42,$CZ$6:CZ$53,"&gt;"&amp;CZ42,$BC$6:$BC$53,INDEX(T_Equipos[Grupo],MATCH(BD42,T_Equipos[NombreEquipo],0)))</f>
        <v>1</v>
      </c>
      <c r="DB42" s="734" t="str">
        <f ca="1">IF(COUNTIFS($DA$6:$DA$53,DA42,$BC$6:$BC$53,INDEX(T_Equipos[Grupo],MATCH(BD42,T_Equipos[NombreEquipo],0)))=1,"-","P."&amp;DA42&amp;" ("&amp;COUNTIFS($DA$6:$DA$53,DA42,$BC$6:$BC$53,INDEX(T_Equipos[Grupo],MATCH(BD42,T_Equipos[NombreEquipo],0)))&amp;")")</f>
        <v>P.1 (4)</v>
      </c>
      <c r="DC42" s="733">
        <f ca="1">IF(DB42="-","-",COUNTIFS(T_Equipos[Rank],"&lt;"&amp;INDEX(T_Equipos[Rank],MATCH(BD42,T_Equipos[NombreEquipo],0)),$BC$6:$BC$53,INDEX(T_Equipos[Grupo],MATCH(BD42,T_Equipos[NombreEquipo],0)))+1)</f>
        <v>1</v>
      </c>
      <c r="DD42" s="733">
        <f ca="1">DA42+COUNTIFS($DB$6:$DB$53,DB42,$DC$6:DC$53,"&lt;"&amp;DC42,$BC$6:$BC$53,INDEX(T_Equipos[Grupo],MATCH(BD42,T_Equipos[NombreEquipo],0)))</f>
        <v>1</v>
      </c>
      <c r="DE42" s="733"/>
      <c r="DF42" s="733">
        <f t="shared" ca="1" si="52"/>
        <v>1</v>
      </c>
      <c r="DG42" s="733">
        <f ca="1">IF(DB42="-","-",COUNTIFS(DF$6:DF$53,"&lt;"&amp;DF42,$BC$6:$BC$53,INDEX(T_Equipos[Grupo],MATCH(BD42,T_Equipos[NombreEquipo],0))))</f>
        <v>0</v>
      </c>
      <c r="DH42" s="733">
        <f ca="1">DA42+COUNTIFS(DB$6:DB$53,DB42,DG$6:DG$53,"&lt;"&amp;DG42,$BC$6:$BC$53,INDEX(T_Equipos[Grupo],MATCH(BD42,T_Equipos[NombreEquipo],0)))</f>
        <v>1</v>
      </c>
      <c r="DI42" s="721"/>
      <c r="DJ42" s="721">
        <f t="shared" ca="1" si="53"/>
        <v>1</v>
      </c>
      <c r="DK42" s="721">
        <f t="shared" ca="1" si="24"/>
        <v>0</v>
      </c>
      <c r="DL42" s="721">
        <f t="shared" ca="1" si="33"/>
        <v>1</v>
      </c>
      <c r="DM42" s="715" t="str">
        <f t="shared" ca="1" si="34"/>
        <v>1.1</v>
      </c>
      <c r="DN42" s="721" cm="1">
        <f t="array" aca="1" ref="DN42" ca="1">OFFSET(Horarios!$P$3,DJ42-1,0,DL42,1)</f>
        <v>1</v>
      </c>
      <c r="DO42" s="721"/>
      <c r="DP42" s="721" t="s">
        <v>676</v>
      </c>
      <c r="DQ42" s="721" t="str">
        <f t="shared" ca="1" si="35"/>
        <v>Argentina</v>
      </c>
      <c r="DR42" s="721"/>
      <c r="DS42" s="721"/>
      <c r="DT42" s="721" t="str">
        <f t="shared" si="15"/>
        <v>-</v>
      </c>
      <c r="DU42" s="721"/>
      <c r="DV42" s="721"/>
      <c r="DW42" s="8"/>
    </row>
    <row r="43" spans="1:127" ht="15.75" thickBot="1">
      <c r="A43" s="716"/>
      <c r="B43" s="719"/>
      <c r="C43" s="716"/>
      <c r="D43" s="716"/>
      <c r="E43" s="716"/>
      <c r="F43" s="716"/>
      <c r="G43" s="716"/>
      <c r="H43" s="716"/>
      <c r="I43" s="716"/>
      <c r="J43" s="716"/>
      <c r="K43" s="716"/>
      <c r="L43" s="716"/>
      <c r="M43" s="716"/>
      <c r="N43" s="721"/>
      <c r="O43" s="721"/>
      <c r="P43" s="721"/>
      <c r="Q43" s="721"/>
      <c r="R43" s="721"/>
      <c r="S43" s="721"/>
      <c r="T43" s="721"/>
      <c r="U43" s="721"/>
      <c r="V43" s="162"/>
      <c r="W43" s="169"/>
      <c r="X43" s="170" t="str">
        <f>X27</f>
        <v>Fecha</v>
      </c>
      <c r="Y43" s="170" t="str">
        <f>Y27</f>
        <v>Hora</v>
      </c>
      <c r="Z43" s="171" t="str">
        <f t="shared" ref="Z43:AA43" si="134">Z27</f>
        <v>Jor.</v>
      </c>
      <c r="AA43" s="172" t="str">
        <f t="shared" si="134"/>
        <v>Casa</v>
      </c>
      <c r="AB43" s="171"/>
      <c r="AC43" s="171" t="str">
        <f>AC3</f>
        <v>Gol</v>
      </c>
      <c r="AD43" s="171" t="str">
        <f>AD3</f>
        <v>Gol</v>
      </c>
      <c r="AE43" s="171"/>
      <c r="AF43" s="174" t="str">
        <f t="shared" ref="AF43" si="135">AF27</f>
        <v>Fuera</v>
      </c>
      <c r="AG43" s="397"/>
      <c r="AH43" s="186"/>
      <c r="AI43" s="14"/>
      <c r="AJ43" s="176"/>
      <c r="AK43" s="242"/>
      <c r="AL43" s="176"/>
      <c r="AM43" s="176"/>
      <c r="AN43" s="176"/>
      <c r="AO43" s="176"/>
      <c r="AP43" s="176"/>
      <c r="AQ43" s="176"/>
      <c r="AR43" s="176"/>
      <c r="AS43" s="176"/>
      <c r="AT43" s="176"/>
      <c r="AU43" s="404"/>
      <c r="AV43" s="18"/>
      <c r="AW43" s="412"/>
      <c r="AX43" s="243"/>
      <c r="AY43" s="232"/>
      <c r="AZ43" s="233"/>
      <c r="BA43" s="165"/>
      <c r="BB43" s="721"/>
      <c r="BC43" s="733" t="str">
        <f ca="1">+INDEX(T_Equipos[Grupo],MATCH(WORLDCUP!BD43,T_Equipos[NombreEquipo],0))</f>
        <v>J</v>
      </c>
      <c r="BD43" s="721" t="str">
        <f ca="1">+Equipos!B39</f>
        <v>Argelia</v>
      </c>
      <c r="BE43" s="725">
        <f t="shared" ca="1" si="25"/>
        <v>0</v>
      </c>
      <c r="BF43" s="725">
        <f t="shared" ca="1" si="26"/>
        <v>0</v>
      </c>
      <c r="BG43" s="725">
        <f t="shared" ca="1" si="17"/>
        <v>0</v>
      </c>
      <c r="BH43" s="725">
        <f t="shared" ca="1" si="18"/>
        <v>0</v>
      </c>
      <c r="BI43" s="725">
        <f t="shared" ca="1" si="19"/>
        <v>0</v>
      </c>
      <c r="BJ43" s="725">
        <f t="shared" ca="1" si="20"/>
        <v>0</v>
      </c>
      <c r="BK43" s="725">
        <f t="shared" ca="1" si="21"/>
        <v>0</v>
      </c>
      <c r="BL43" s="725">
        <f t="shared" ca="1" si="27"/>
        <v>0</v>
      </c>
      <c r="BM43" s="725" t="str">
        <f t="shared" ca="1" si="22"/>
        <v>2J</v>
      </c>
      <c r="BN43" s="725" t="str">
        <f t="shared" ca="1" si="23"/>
        <v>2J</v>
      </c>
      <c r="BO43" s="735">
        <f t="shared" ca="1" si="28"/>
        <v>0</v>
      </c>
      <c r="BP43" s="734">
        <f ca="1">COUNTIFS($BO$6:$BO$53,"&gt;"&amp;BO43,$BC$6:$BC$53,INDEX(T_Equipos[Grupo],MATCH(BD43,T_Equipos[NombreEquipo],0)))+1</f>
        <v>1</v>
      </c>
      <c r="BQ43" s="734" t="str">
        <f ca="1">IF(COUNTIFS($BP$6:$BP$53,BP43,$BC$6:$BC$53,INDEX(T_Equipos[Grupo],MATCH(BD43,T_Equipos[NombreEquipo],0)))=1,"-","P."&amp;BP43&amp;" ("&amp;COUNTIFS($BP$6:$BP$53,BP43,$BC$6:$BC$53,INDEX(T_Equipos[Grupo],MATCH(BD43,T_Equipos[NombreEquipo],0)))&amp;")")</f>
        <v>P.1 (4)</v>
      </c>
      <c r="BR43" s="735">
        <f t="shared" ca="1" si="29"/>
        <v>0</v>
      </c>
      <c r="BS43" s="734">
        <f ca="1">BP43+COUNTIFS($BQ$6:$BQ$53,BQ43,$BR$6:BR$53,"&gt;"&amp;BR43,$BC$6:$BC$53,INDEX(T_Equipos[Grupo],MATCH(BD43,T_Equipos[NombreEquipo],0)))</f>
        <v>1</v>
      </c>
      <c r="BT43" s="734" t="str">
        <f ca="1">IF(COUNTIFS($BS$6:$BS$53,BS43,$BC$6:$BC$53,INDEX(T_Equipos[Grupo],MATCH(BD43,T_Equipos[NombreEquipo],0)))=1,"-","P."&amp;BS43&amp;" ("&amp;COUNTIFS($BS$6:$BS$53,BS43,$BC$6:$BC$53,INDEX(T_Equipos[Grupo],MATCH(BD43,T_Equipos[NombreEquipo],0)))&amp;")")</f>
        <v>P.1 (4)</v>
      </c>
      <c r="BU43" s="735">
        <f t="shared" ca="1" si="36"/>
        <v>0</v>
      </c>
      <c r="BV43" s="735">
        <f t="shared" ca="1" si="37"/>
        <v>0</v>
      </c>
      <c r="BW43" s="735">
        <f t="shared" ca="1" si="38"/>
        <v>0</v>
      </c>
      <c r="BX43" s="735">
        <f t="shared" ca="1" si="39"/>
        <v>0</v>
      </c>
      <c r="BY43" s="735">
        <f ca="1">BS43+COUNTIFS($BT$6:$BT$53,BT43,$BX$6:BX$53,"&gt;"&amp;BX43,$BC$6:$BC$53,INDEX(T_Equipos[Grupo],MATCH(BD43,T_Equipos[NombreEquipo],0)))</f>
        <v>1</v>
      </c>
      <c r="BZ43" s="734" t="str">
        <f ca="1">IF(COUNTIFS($BY$6:$BY$53,BY43,$BC$6:$BC$53,INDEX(T_Equipos[Grupo],MATCH(BD43,T_Equipos[NombreEquipo],0)))=1,"-","P."&amp;BY43&amp;" ("&amp;COUNTIFS($BY$6:$BY$53,BY43,$BC$6:$BC$53,INDEX(T_Equipos[Grupo],MATCH(BD43,T_Equipos[NombreEquipo],0)))&amp;")")</f>
        <v>P.1 (4)</v>
      </c>
      <c r="CA43" s="735">
        <f t="shared" ca="1" si="40"/>
        <v>0</v>
      </c>
      <c r="CB43" s="735">
        <f t="shared" ca="1" si="41"/>
        <v>0</v>
      </c>
      <c r="CC43" s="735">
        <f t="shared" ca="1" si="42"/>
        <v>0</v>
      </c>
      <c r="CD43" s="735">
        <f ca="1">BY43+COUNTIFS($BZ$6:$BZ$53,BZ43,$CC$6:CC$53,"&gt;"&amp;CC43,$BC$6:$BC$53,INDEX(T_Equipos[Grupo],MATCH(BD43,T_Equipos[NombreEquipo],0)))</f>
        <v>1</v>
      </c>
      <c r="CE43" s="734" t="str">
        <f ca="1">IF(COUNTIFS($CD$6:$CD$53,CD43,$BC$6:$BC$53,INDEX(T_Equipos[Grupo],MATCH(BD43,T_Equipos[NombreEquipo],0)))=1,"-","P."&amp;CD43&amp;" ("&amp;COUNTIFS($CD$6:$CD$53,CD43,$BC$6:$BC$53,INDEX(T_Equipos[Grupo],MATCH(BD43,T_Equipos[NombreEquipo],0)))&amp;")")</f>
        <v>P.1 (4)</v>
      </c>
      <c r="CF43" s="735">
        <f t="shared" ca="1" si="43"/>
        <v>0</v>
      </c>
      <c r="CG43" s="735">
        <f ca="1">CD43+COUNTIFS($CE$6:$CE$53,CE43,$CF$6:CF$53,"&gt;"&amp;CF43,$BC$6:$BC$53,INDEX(T_Equipos[Grupo],MATCH(BD43,T_Equipos[NombreEquipo],0)))</f>
        <v>1</v>
      </c>
      <c r="CH43" s="734" t="str">
        <f ca="1">IF(COUNTIFS($CG$6:$CG$53,CG43,$BC$6:$BC$53,INDEX(T_Equipos[Grupo],MATCH(BD43,T_Equipos[NombreEquipo],0)))=1,"-","P."&amp;CG43&amp;" ("&amp;COUNTIFS($CG$6:$CG$53,CG43,$BC$6:$BC$53,INDEX(T_Equipos[Grupo],MATCH(BD43,T_Equipos[NombreEquipo],0)))&amp;")")</f>
        <v>P.1 (4)</v>
      </c>
      <c r="CI43" s="735">
        <f t="shared" ca="1" si="44"/>
        <v>0</v>
      </c>
      <c r="CJ43" s="735">
        <f t="shared" ca="1" si="45"/>
        <v>0</v>
      </c>
      <c r="CK43" s="735">
        <f t="shared" ca="1" si="46"/>
        <v>0</v>
      </c>
      <c r="CL43" s="735">
        <f t="shared" ca="1" si="47"/>
        <v>0</v>
      </c>
      <c r="CM43" s="735">
        <f ca="1">CG43+COUNTIFS($CH$6:$CH$53,CH43,$CL$6:CL$53,"&gt;"&amp;CL43,$BC$6:$BC$53,INDEX(T_Equipos[Grupo],MATCH(BD43,T_Equipos[NombreEquipo],0)))</f>
        <v>1</v>
      </c>
      <c r="CN43" s="734" t="str">
        <f ca="1">IF(COUNTIFS($CM$6:$CM$53,CM43,$BC$6:$BC$53,INDEX(T_Equipos[Grupo],MATCH(BD43,T_Equipos[NombreEquipo],0)))=1,"-","P."&amp;CM43&amp;" ("&amp;COUNTIFS($CM$6:$CM$53,CM43,$BC$6:$BC$53,INDEX(T_Equipos[Grupo],MATCH(BD43,T_Equipos[NombreEquipo],0)))&amp;")")</f>
        <v>P.1 (4)</v>
      </c>
      <c r="CO43" s="735">
        <f t="shared" ca="1" si="48"/>
        <v>0</v>
      </c>
      <c r="CP43" s="735">
        <f t="shared" ca="1" si="49"/>
        <v>0</v>
      </c>
      <c r="CQ43" s="735">
        <f t="shared" ca="1" si="50"/>
        <v>0</v>
      </c>
      <c r="CR43" s="735">
        <f ca="1">CM43+COUNTIFS($CN$6:$CN$53,CN43,$CQ$6:CQ$53,"&gt;"&amp;CQ43,$BC$6:$BC$53,INDEX(T_Equipos[Grupo],MATCH(BD43,T_Equipos[NombreEquipo],0)))</f>
        <v>1</v>
      </c>
      <c r="CS43" s="734" t="str">
        <f ca="1">IF(COUNTIFS($CR$6:$CR$53,CR43,$BC$6:$BC$53,INDEX(T_Equipos[Grupo],MATCH(BD43,T_Equipos[NombreEquipo],0)))=1,"-","P."&amp;CR43&amp;" ("&amp;COUNTIFS($CR$6:$CR$53,CR43,$BC$6:$BC$53,INDEX(T_Equipos[Grupo],MATCH(BD43,T_Equipos[NombreEquipo],0)))&amp;")")</f>
        <v>P.1 (4)</v>
      </c>
      <c r="CT43" s="735">
        <f t="shared" ca="1" si="51"/>
        <v>0</v>
      </c>
      <c r="CU43" s="735">
        <f ca="1">CR43+COUNTIFS($CS$6:$CS$53,CS43,$CT$6:CT$53,"&gt;"&amp;CT43,$BC$6:$BC$53,INDEX(T_Equipos[Grupo],MATCH(BD43,T_Equipos[NombreEquipo],0)))</f>
        <v>1</v>
      </c>
      <c r="CV43" s="734" t="str">
        <f ca="1">IF(COUNTIFS($CU$6:$CU$53,CU43,$BC$6:$BC$53,INDEX(T_Equipos[Grupo],MATCH(BD43,T_Equipos[NombreEquipo],0)))=1,"-","P."&amp;CU43&amp;" ("&amp;COUNTIFS($CU$6:$CU$53,CU43,$BC$6:$BC$53,INDEX(T_Equipos[Grupo],MATCH(BD43,T_Equipos[NombreEquipo],0)))&amp;")")</f>
        <v>P.1 (4)</v>
      </c>
      <c r="CW43" s="734">
        <f t="shared" ca="1" si="30"/>
        <v>0</v>
      </c>
      <c r="CX43" s="734">
        <f ca="1">CU43+COUNTIFS($CV$6:$CV$53,CV43,$CW$6:CW$53,"&gt;"&amp;CW43,$BC$6:$BC$53,INDEX(T_Equipos[Grupo],MATCH(BD43,T_Equipos[NombreEquipo],0)))</f>
        <v>1</v>
      </c>
      <c r="CY43" s="734" t="str">
        <f ca="1">IF(COUNTIFS($CX$6:$CX$53,CX43,$BC$6:$BC$53,INDEX(T_Equipos[Grupo],MATCH(BD43,T_Equipos[NombreEquipo],0)))=1,"-","P."&amp;CX43&amp;" ("&amp;COUNTIFS($CX$6:$CX$53,CX43,$BC$6:$BC$53,INDEX(T_Equipos[Grupo],MATCH(BD43,T_Equipos[NombreEquipo],0)))&amp;")")</f>
        <v>P.1 (4)</v>
      </c>
      <c r="CZ43" s="734">
        <f t="shared" ca="1" si="31"/>
        <v>0</v>
      </c>
      <c r="DA43" s="735">
        <f ca="1">CX43+COUNTIFS($CY$6:$CY$53,CY43,$CZ$6:CZ$53,"&gt;"&amp;CZ43,$BC$6:$BC$53,INDEX(T_Equipos[Grupo],MATCH(BD43,T_Equipos[NombreEquipo],0)))</f>
        <v>1</v>
      </c>
      <c r="DB43" s="734" t="str">
        <f ca="1">IF(COUNTIFS($DA$6:$DA$53,DA43,$BC$6:$BC$53,INDEX(T_Equipos[Grupo],MATCH(BD43,T_Equipos[NombreEquipo],0)))=1,"-","P."&amp;DA43&amp;" ("&amp;COUNTIFS($DA$6:$DA$53,DA43,$BC$6:$BC$53,INDEX(T_Equipos[Grupo],MATCH(BD43,T_Equipos[NombreEquipo],0)))&amp;")")</f>
        <v>P.1 (4)</v>
      </c>
      <c r="DC43" s="733">
        <f ca="1">IF(DB43="-","-",COUNTIFS(T_Equipos[Rank],"&lt;"&amp;INDEX(T_Equipos[Rank],MATCH(BD43,T_Equipos[NombreEquipo],0)),$BC$6:$BC$53,INDEX(T_Equipos[Grupo],MATCH(BD43,T_Equipos[NombreEquipo],0)))+1)</f>
        <v>2</v>
      </c>
      <c r="DD43" s="733">
        <f ca="1">DA43+COUNTIFS($DB$6:$DB$53,DB43,$DC$6:DC$53,"&lt;"&amp;DC43,$BC$6:$BC$53,INDEX(T_Equipos[Grupo],MATCH(BD43,T_Equipos[NombreEquipo],0)))</f>
        <v>2</v>
      </c>
      <c r="DE43" s="733"/>
      <c r="DF43" s="733">
        <f t="shared" ca="1" si="52"/>
        <v>2</v>
      </c>
      <c r="DG43" s="733">
        <f ca="1">IF(DB43="-","-",COUNTIFS(DF$6:DF$53,"&lt;"&amp;DF43,$BC$6:$BC$53,INDEX(T_Equipos[Grupo],MATCH(BD43,T_Equipos[NombreEquipo],0))))</f>
        <v>1</v>
      </c>
      <c r="DH43" s="733">
        <f ca="1">DA43+COUNTIFS(DB$6:DB$53,DB43,DG$6:DG$53,"&lt;"&amp;DG43,$BC$6:$BC$53,INDEX(T_Equipos[Grupo],MATCH(BD43,T_Equipos[NombreEquipo],0)))</f>
        <v>2</v>
      </c>
      <c r="DI43" s="721"/>
      <c r="DJ43" s="721">
        <f t="shared" ca="1" si="53"/>
        <v>1</v>
      </c>
      <c r="DK43" s="721">
        <f t="shared" ca="1" si="24"/>
        <v>0</v>
      </c>
      <c r="DL43" s="721">
        <f t="shared" ca="1" si="33"/>
        <v>1</v>
      </c>
      <c r="DM43" s="715" t="str">
        <f t="shared" ca="1" si="34"/>
        <v>1.1</v>
      </c>
      <c r="DN43" s="721" cm="1">
        <f t="array" aca="1" ref="DN43" ca="1">OFFSET(Horarios!$P$3,DJ43-1,0,DL43,1)</f>
        <v>1</v>
      </c>
      <c r="DO43" s="721"/>
      <c r="DP43" s="721" t="s">
        <v>677</v>
      </c>
      <c r="DQ43" s="721" t="str">
        <f t="shared" ca="1" si="35"/>
        <v>Argelia</v>
      </c>
      <c r="DR43" s="721"/>
      <c r="DS43" s="721"/>
      <c r="DT43" s="721" t="str">
        <f t="shared" si="15"/>
        <v>Casa-Fuera</v>
      </c>
      <c r="DU43" s="721"/>
      <c r="DV43" s="721"/>
      <c r="DW43" s="8"/>
    </row>
    <row r="44" spans="1:127" ht="15.95" customHeight="1" thickBot="1">
      <c r="A44" s="718" t="s">
        <v>30</v>
      </c>
      <c r="B44" s="719" t="s">
        <v>4</v>
      </c>
      <c r="C44" s="720">
        <f>COUNTIF(Equipos!$C$2:$C$49,WORLDCUP!B44)</f>
        <v>4</v>
      </c>
      <c r="D44" s="721" t="str">
        <f t="shared" ref="D44:D50" si="136">IF(OR(AC44="",AD44=""),"Pendiente",IF(AC44&gt;AD44,"Local",IF(AC44&lt;AD44,"Visitante","Empate")))</f>
        <v>Pendiente</v>
      </c>
      <c r="E44" s="721" t="str">
        <f t="shared" ref="E44:E49" si="137">IF(D44="Pendiente","-",INDEX($BT$6:$BT$53,MATCH($AA44,$BD$6:$BD$53,0)))</f>
        <v>-</v>
      </c>
      <c r="F44" s="721" t="str">
        <f t="shared" ref="F44:F49" si="138">IF(D44="Pendiente","-",INDEX($BT$6:$BT$53,MATCH($AF44,$BD$6:$BD$53,0)))</f>
        <v>-</v>
      </c>
      <c r="G44" s="721"/>
      <c r="H44" s="721" t="str">
        <f t="shared" ref="H44:H49" si="139">IF(D44="Pendiente","-",INDEX($BZ$6:$BZ$53,MATCH($AA44,$BD$6:$BD$53,0)))</f>
        <v>-</v>
      </c>
      <c r="I44" s="721" t="str">
        <f t="shared" ref="I44:I49" si="140">IF(D44="Pendiente","-",INDEX($BZ$6:$BZ$53,MATCH($AF44,$BD$6:$BD$53,0)))</f>
        <v>-</v>
      </c>
      <c r="J44" s="721"/>
      <c r="K44" s="721" t="str">
        <f t="shared" ref="K44:K49" si="141">IF(D44="Pendiente","-",INDEX($CE$6:$CE$53,MATCH($AA44,$BD$6:$BD$53,0)))</f>
        <v>-</v>
      </c>
      <c r="L44" s="721" t="str">
        <f t="shared" ref="L44:L49" si="142">IF(D44="Pendiente","-",INDEX($CE$6:$CE$53,MATCH($AF44,$BD$6:$BD$53,0)))</f>
        <v>-</v>
      </c>
      <c r="M44" s="721"/>
      <c r="N44" s="721" t="str">
        <f t="shared" ref="N44:N49" si="143">IF(D44="Pendiente","-",INDEX($CH$6:$CH$53,MATCH($AA44,$BD$6:$BD$53,0)))</f>
        <v>-</v>
      </c>
      <c r="O44" s="721" t="str">
        <f t="shared" ref="O44:O49" si="144">IF(D44="Pendiente","-",INDEX($CH$6:$CH$53,MATCH($AF44,$BD$6:$BD$53,0)))</f>
        <v>-</v>
      </c>
      <c r="P44" s="721"/>
      <c r="Q44" s="721" t="str">
        <f t="shared" ref="Q44:Q49" si="145">IF(D44="Pendiente","-",INDEX($CN$6:$CN$53,MATCH($AA44,$BD$6:$BD$53,0)))</f>
        <v>-</v>
      </c>
      <c r="R44" s="721" t="str">
        <f t="shared" ref="R44:R49" si="146">IF(D44="Pendiente","-",INDEX($CN$6:$CN$53,MATCH($AF44,$BD$6:$BD$53,0)))</f>
        <v>-</v>
      </c>
      <c r="S44" s="721"/>
      <c r="T44" s="721" t="str">
        <f t="shared" ref="T44:T49" si="147">IF(D44="Pendiente","-",INDEX($CS$6:$CS$53,MATCH($AA44,$BD$6:$BD$53,0)))</f>
        <v>-</v>
      </c>
      <c r="U44" s="721" t="str">
        <f t="shared" ref="U44:U49" si="148">IF(D44="Pendiente","-",INDEX($CS$6:$CS$53,MATCH($AF44,$BD$6:$BD$53,0)))</f>
        <v>-</v>
      </c>
      <c r="V44" s="162"/>
      <c r="W44" s="837" t="s">
        <v>4</v>
      </c>
      <c r="X44" s="179">
        <f ca="1">Horarios!C44</f>
        <v>46187.916666666664</v>
      </c>
      <c r="Y44" s="180">
        <f ca="1">Horarios!C44</f>
        <v>46187.916666666664</v>
      </c>
      <c r="Z44" s="181" t="str">
        <f>$Z$4</f>
        <v>J1</v>
      </c>
      <c r="AA44" s="182" t="str">
        <f ca="1">A45</f>
        <v>Países Bajos</v>
      </c>
      <c r="AB44" s="457" t="str" cm="1">
        <f t="array" aca="1" ref="AB44" ca="1">Ver_flag_local</f>
        <v/>
      </c>
      <c r="AC44" s="183"/>
      <c r="AD44" s="184"/>
      <c r="AE44" s="462" t="str" cm="1">
        <f t="array" aca="1" ref="AE44" ca="1">Ver_flag_visit</f>
        <v/>
      </c>
      <c r="AF44" s="185" t="str">
        <f ca="1">A46</f>
        <v>Japón</v>
      </c>
      <c r="AG44" s="396">
        <f t="shared" ref="AG44:AG49" si="149">IF(NOT(OR(ISBLANK(AC44),ISBLANK(AD44))),1,0)</f>
        <v>0</v>
      </c>
      <c r="AH44" s="186">
        <v>11</v>
      </c>
      <c r="AI44" s="15"/>
      <c r="AJ44" s="187" t="str">
        <f>CONCATENATE(AJ3," ",B44)</f>
        <v>Grupo F</v>
      </c>
      <c r="AK44" s="188"/>
      <c r="AL44" s="188"/>
      <c r="AM44" s="188"/>
      <c r="AN44" s="188"/>
      <c r="AO44" s="188"/>
      <c r="AP44" s="188"/>
      <c r="AQ44" s="188"/>
      <c r="AR44" s="188"/>
      <c r="AS44" s="188"/>
      <c r="AT44" s="189"/>
      <c r="AU44" s="404"/>
      <c r="AV44" s="190" t="str">
        <f t="shared" ref="AV44" ca="1" si="150">IF(AU45&gt;0,$AV$3,"")</f>
        <v/>
      </c>
      <c r="AW44" s="198"/>
      <c r="AX44" s="245"/>
      <c r="AY44" s="232"/>
      <c r="AZ44" s="233"/>
      <c r="BA44" s="165"/>
      <c r="BB44" s="721"/>
      <c r="BC44" s="733" t="str">
        <f ca="1">+INDEX(T_Equipos[Grupo],MATCH(WORLDCUP!BD44,T_Equipos[NombreEquipo],0))</f>
        <v>J</v>
      </c>
      <c r="BD44" s="721" t="str">
        <f ca="1">+Equipos!B40</f>
        <v>Austria</v>
      </c>
      <c r="BE44" s="725">
        <f t="shared" ca="1" si="25"/>
        <v>0</v>
      </c>
      <c r="BF44" s="725">
        <f t="shared" ca="1" si="26"/>
        <v>0</v>
      </c>
      <c r="BG44" s="725">
        <f t="shared" ca="1" si="17"/>
        <v>0</v>
      </c>
      <c r="BH44" s="725">
        <f t="shared" ca="1" si="18"/>
        <v>0</v>
      </c>
      <c r="BI44" s="725">
        <f t="shared" ca="1" si="19"/>
        <v>0</v>
      </c>
      <c r="BJ44" s="725">
        <f t="shared" ca="1" si="20"/>
        <v>0</v>
      </c>
      <c r="BK44" s="725">
        <f t="shared" ca="1" si="21"/>
        <v>0</v>
      </c>
      <c r="BL44" s="725">
        <f t="shared" ca="1" si="27"/>
        <v>0</v>
      </c>
      <c r="BM44" s="725" t="str">
        <f t="shared" ca="1" si="22"/>
        <v>3J</v>
      </c>
      <c r="BN44" s="725" t="str">
        <f t="shared" ca="1" si="23"/>
        <v>3J</v>
      </c>
      <c r="BO44" s="735">
        <f t="shared" ca="1" si="28"/>
        <v>0</v>
      </c>
      <c r="BP44" s="734">
        <f ca="1">COUNTIFS($BO$6:$BO$53,"&gt;"&amp;BO44,$BC$6:$BC$53,INDEX(T_Equipos[Grupo],MATCH(BD44,T_Equipos[NombreEquipo],0)))+1</f>
        <v>1</v>
      </c>
      <c r="BQ44" s="734" t="str">
        <f ca="1">IF(COUNTIFS($BP$6:$BP$53,BP44,$BC$6:$BC$53,INDEX(T_Equipos[Grupo],MATCH(BD44,T_Equipos[NombreEquipo],0)))=1,"-","P."&amp;BP44&amp;" ("&amp;COUNTIFS($BP$6:$BP$53,BP44,$BC$6:$BC$53,INDEX(T_Equipos[Grupo],MATCH(BD44,T_Equipos[NombreEquipo],0)))&amp;")")</f>
        <v>P.1 (4)</v>
      </c>
      <c r="BR44" s="735">
        <f t="shared" ca="1" si="29"/>
        <v>0</v>
      </c>
      <c r="BS44" s="734">
        <f ca="1">BP44+COUNTIFS($BQ$6:$BQ$53,BQ44,$BR$6:BR$53,"&gt;"&amp;BR44,$BC$6:$BC$53,INDEX(T_Equipos[Grupo],MATCH(BD44,T_Equipos[NombreEquipo],0)))</f>
        <v>1</v>
      </c>
      <c r="BT44" s="734" t="str">
        <f ca="1">IF(COUNTIFS($BS$6:$BS$53,BS44,$BC$6:$BC$53,INDEX(T_Equipos[Grupo],MATCH(BD44,T_Equipos[NombreEquipo],0)))=1,"-","P."&amp;BS44&amp;" ("&amp;COUNTIFS($BS$6:$BS$53,BS44,$BC$6:$BC$53,INDEX(T_Equipos[Grupo],MATCH(BD44,T_Equipos[NombreEquipo],0)))&amp;")")</f>
        <v>P.1 (4)</v>
      </c>
      <c r="BU44" s="735">
        <f t="shared" ca="1" si="36"/>
        <v>0</v>
      </c>
      <c r="BV44" s="735">
        <f t="shared" ca="1" si="37"/>
        <v>0</v>
      </c>
      <c r="BW44" s="735">
        <f t="shared" ca="1" si="38"/>
        <v>0</v>
      </c>
      <c r="BX44" s="735">
        <f t="shared" ca="1" si="39"/>
        <v>0</v>
      </c>
      <c r="BY44" s="735">
        <f ca="1">BS44+COUNTIFS($BT$6:$BT$53,BT44,$BX$6:BX$53,"&gt;"&amp;BX44,$BC$6:$BC$53,INDEX(T_Equipos[Grupo],MATCH(BD44,T_Equipos[NombreEquipo],0)))</f>
        <v>1</v>
      </c>
      <c r="BZ44" s="734" t="str">
        <f ca="1">IF(COUNTIFS($BY$6:$BY$53,BY44,$BC$6:$BC$53,INDEX(T_Equipos[Grupo],MATCH(BD44,T_Equipos[NombreEquipo],0)))=1,"-","P."&amp;BY44&amp;" ("&amp;COUNTIFS($BY$6:$BY$53,BY44,$BC$6:$BC$53,INDEX(T_Equipos[Grupo],MATCH(BD44,T_Equipos[NombreEquipo],0)))&amp;")")</f>
        <v>P.1 (4)</v>
      </c>
      <c r="CA44" s="735">
        <f t="shared" ca="1" si="40"/>
        <v>0</v>
      </c>
      <c r="CB44" s="735">
        <f t="shared" ca="1" si="41"/>
        <v>0</v>
      </c>
      <c r="CC44" s="735">
        <f t="shared" ca="1" si="42"/>
        <v>0</v>
      </c>
      <c r="CD44" s="735">
        <f ca="1">BY44+COUNTIFS($BZ$6:$BZ$53,BZ44,$CC$6:CC$53,"&gt;"&amp;CC44,$BC$6:$BC$53,INDEX(T_Equipos[Grupo],MATCH(BD44,T_Equipos[NombreEquipo],0)))</f>
        <v>1</v>
      </c>
      <c r="CE44" s="734" t="str">
        <f ca="1">IF(COUNTIFS($CD$6:$CD$53,CD44,$BC$6:$BC$53,INDEX(T_Equipos[Grupo],MATCH(BD44,T_Equipos[NombreEquipo],0)))=1,"-","P."&amp;CD44&amp;" ("&amp;COUNTIFS($CD$6:$CD$53,CD44,$BC$6:$BC$53,INDEX(T_Equipos[Grupo],MATCH(BD44,T_Equipos[NombreEquipo],0)))&amp;")")</f>
        <v>P.1 (4)</v>
      </c>
      <c r="CF44" s="735">
        <f t="shared" ca="1" si="43"/>
        <v>0</v>
      </c>
      <c r="CG44" s="735">
        <f ca="1">CD44+COUNTIFS($CE$6:$CE$53,CE44,$CF$6:CF$53,"&gt;"&amp;CF44,$BC$6:$BC$53,INDEX(T_Equipos[Grupo],MATCH(BD44,T_Equipos[NombreEquipo],0)))</f>
        <v>1</v>
      </c>
      <c r="CH44" s="734" t="str">
        <f ca="1">IF(COUNTIFS($CG$6:$CG$53,CG44,$BC$6:$BC$53,INDEX(T_Equipos[Grupo],MATCH(BD44,T_Equipos[NombreEquipo],0)))=1,"-","P."&amp;CG44&amp;" ("&amp;COUNTIFS($CG$6:$CG$53,CG44,$BC$6:$BC$53,INDEX(T_Equipos[Grupo],MATCH(BD44,T_Equipos[NombreEquipo],0)))&amp;")")</f>
        <v>P.1 (4)</v>
      </c>
      <c r="CI44" s="735">
        <f t="shared" ca="1" si="44"/>
        <v>0</v>
      </c>
      <c r="CJ44" s="735">
        <f t="shared" ca="1" si="45"/>
        <v>0</v>
      </c>
      <c r="CK44" s="735">
        <f t="shared" ca="1" si="46"/>
        <v>0</v>
      </c>
      <c r="CL44" s="735">
        <f t="shared" ca="1" si="47"/>
        <v>0</v>
      </c>
      <c r="CM44" s="735">
        <f ca="1">CG44+COUNTIFS($CH$6:$CH$53,CH44,$CL$6:CL$53,"&gt;"&amp;CL44,$BC$6:$BC$53,INDEX(T_Equipos[Grupo],MATCH(BD44,T_Equipos[NombreEquipo],0)))</f>
        <v>1</v>
      </c>
      <c r="CN44" s="734" t="str">
        <f ca="1">IF(COUNTIFS($CM$6:$CM$53,CM44,$BC$6:$BC$53,INDEX(T_Equipos[Grupo],MATCH(BD44,T_Equipos[NombreEquipo],0)))=1,"-","P."&amp;CM44&amp;" ("&amp;COUNTIFS($CM$6:$CM$53,CM44,$BC$6:$BC$53,INDEX(T_Equipos[Grupo],MATCH(BD44,T_Equipos[NombreEquipo],0)))&amp;")")</f>
        <v>P.1 (4)</v>
      </c>
      <c r="CO44" s="735">
        <f t="shared" ca="1" si="48"/>
        <v>0</v>
      </c>
      <c r="CP44" s="735">
        <f t="shared" ca="1" si="49"/>
        <v>0</v>
      </c>
      <c r="CQ44" s="735">
        <f t="shared" ca="1" si="50"/>
        <v>0</v>
      </c>
      <c r="CR44" s="735">
        <f ca="1">CM44+COUNTIFS($CN$6:$CN$53,CN44,$CQ$6:CQ$53,"&gt;"&amp;CQ44,$BC$6:$BC$53,INDEX(T_Equipos[Grupo],MATCH(BD44,T_Equipos[NombreEquipo],0)))</f>
        <v>1</v>
      </c>
      <c r="CS44" s="734" t="str">
        <f ca="1">IF(COUNTIFS($CR$6:$CR$53,CR44,$BC$6:$BC$53,INDEX(T_Equipos[Grupo],MATCH(BD44,T_Equipos[NombreEquipo],0)))=1,"-","P."&amp;CR44&amp;" ("&amp;COUNTIFS($CR$6:$CR$53,CR44,$BC$6:$BC$53,INDEX(T_Equipos[Grupo],MATCH(BD44,T_Equipos[NombreEquipo],0)))&amp;")")</f>
        <v>P.1 (4)</v>
      </c>
      <c r="CT44" s="735">
        <f t="shared" ca="1" si="51"/>
        <v>0</v>
      </c>
      <c r="CU44" s="735">
        <f ca="1">CR44+COUNTIFS($CS$6:$CS$53,CS44,$CT$6:CT$53,"&gt;"&amp;CT44,$BC$6:$BC$53,INDEX(T_Equipos[Grupo],MATCH(BD44,T_Equipos[NombreEquipo],0)))</f>
        <v>1</v>
      </c>
      <c r="CV44" s="734" t="str">
        <f ca="1">IF(COUNTIFS($CU$6:$CU$53,CU44,$BC$6:$BC$53,INDEX(T_Equipos[Grupo],MATCH(BD44,T_Equipos[NombreEquipo],0)))=1,"-","P."&amp;CU44&amp;" ("&amp;COUNTIFS($CU$6:$CU$53,CU44,$BC$6:$BC$53,INDEX(T_Equipos[Grupo],MATCH(BD44,T_Equipos[NombreEquipo],0)))&amp;")")</f>
        <v>P.1 (4)</v>
      </c>
      <c r="CW44" s="734">
        <f t="shared" ca="1" si="30"/>
        <v>0</v>
      </c>
      <c r="CX44" s="734">
        <f ca="1">CU44+COUNTIFS($CV$6:$CV$53,CV44,$CW$6:CW$53,"&gt;"&amp;CW44,$BC$6:$BC$53,INDEX(T_Equipos[Grupo],MATCH(BD44,T_Equipos[NombreEquipo],0)))</f>
        <v>1</v>
      </c>
      <c r="CY44" s="734" t="str">
        <f ca="1">IF(COUNTIFS($CX$6:$CX$53,CX44,$BC$6:$BC$53,INDEX(T_Equipos[Grupo],MATCH(BD44,T_Equipos[NombreEquipo],0)))=1,"-","P."&amp;CX44&amp;" ("&amp;COUNTIFS($CX$6:$CX$53,CX44,$BC$6:$BC$53,INDEX(T_Equipos[Grupo],MATCH(BD44,T_Equipos[NombreEquipo],0)))&amp;")")</f>
        <v>P.1 (4)</v>
      </c>
      <c r="CZ44" s="734">
        <f t="shared" ca="1" si="31"/>
        <v>0</v>
      </c>
      <c r="DA44" s="735">
        <f ca="1">CX44+COUNTIFS($CY$6:$CY$53,CY44,$CZ$6:CZ$53,"&gt;"&amp;CZ44,$BC$6:$BC$53,INDEX(T_Equipos[Grupo],MATCH(BD44,T_Equipos[NombreEquipo],0)))</f>
        <v>1</v>
      </c>
      <c r="DB44" s="734" t="str">
        <f ca="1">IF(COUNTIFS($DA$6:$DA$53,DA44,$BC$6:$BC$53,INDEX(T_Equipos[Grupo],MATCH(BD44,T_Equipos[NombreEquipo],0)))=1,"-","P."&amp;DA44&amp;" ("&amp;COUNTIFS($DA$6:$DA$53,DA44,$BC$6:$BC$53,INDEX(T_Equipos[Grupo],MATCH(BD44,T_Equipos[NombreEquipo],0)))&amp;")")</f>
        <v>P.1 (4)</v>
      </c>
      <c r="DC44" s="733">
        <f ca="1">IF(DB44="-","-",COUNTIFS(T_Equipos[Rank],"&lt;"&amp;INDEX(T_Equipos[Rank],MATCH(BD44,T_Equipos[NombreEquipo],0)),$BC$6:$BC$53,INDEX(T_Equipos[Grupo],MATCH(BD44,T_Equipos[NombreEquipo],0)))+1)</f>
        <v>3</v>
      </c>
      <c r="DD44" s="733">
        <f ca="1">DA44+COUNTIFS($DB$6:$DB$53,DB44,$DC$6:DC$53,"&lt;"&amp;DC44,$BC$6:$BC$53,INDEX(T_Equipos[Grupo],MATCH(BD44,T_Equipos[NombreEquipo],0)))</f>
        <v>3</v>
      </c>
      <c r="DE44" s="733"/>
      <c r="DF44" s="733">
        <f t="shared" ca="1" si="52"/>
        <v>3</v>
      </c>
      <c r="DG44" s="733">
        <f ca="1">IF(DB44="-","-",COUNTIFS(DF$6:DF$53,"&lt;"&amp;DF44,$BC$6:$BC$53,INDEX(T_Equipos[Grupo],MATCH(BD44,T_Equipos[NombreEquipo],0))))</f>
        <v>2</v>
      </c>
      <c r="DH44" s="733">
        <f ca="1">DA44+COUNTIFS(DB$6:DB$53,DB44,DG$6:DG$53,"&lt;"&amp;DG44,$BC$6:$BC$53,INDEX(T_Equipos[Grupo],MATCH(BD44,T_Equipos[NombreEquipo],0)))</f>
        <v>3</v>
      </c>
      <c r="DI44" s="721"/>
      <c r="DJ44" s="721">
        <f t="shared" ca="1" si="53"/>
        <v>1</v>
      </c>
      <c r="DK44" s="721">
        <f t="shared" ca="1" si="24"/>
        <v>0</v>
      </c>
      <c r="DL44" s="721">
        <f t="shared" ca="1" si="33"/>
        <v>1</v>
      </c>
      <c r="DM44" s="715" t="str">
        <f t="shared" ca="1" si="34"/>
        <v>1.1</v>
      </c>
      <c r="DN44" s="721" cm="1">
        <f t="array" aca="1" ref="DN44" ca="1">OFFSET(Horarios!$P$3,DJ44-1,0,DL44,1)</f>
        <v>1</v>
      </c>
      <c r="DO44" s="721"/>
      <c r="DP44" s="721" t="s">
        <v>441</v>
      </c>
      <c r="DQ44" s="721" t="str">
        <f t="shared" ca="1" si="35"/>
        <v>Austria</v>
      </c>
      <c r="DR44" s="721"/>
      <c r="DS44" s="721"/>
      <c r="DT44" s="721" t="str">
        <f t="shared" ca="1" si="15"/>
        <v>Países Bajos-Japón</v>
      </c>
      <c r="DU44" s="721"/>
      <c r="DV44" s="721"/>
      <c r="DW44" s="8"/>
    </row>
    <row r="45" spans="1:127" ht="15.95" customHeight="1">
      <c r="A45" s="722" t="str">
        <f ca="1">+Equipos!B22</f>
        <v>Países Bajos</v>
      </c>
      <c r="B45" s="719"/>
      <c r="C45" s="719"/>
      <c r="D45" s="721" t="str">
        <f t="shared" si="136"/>
        <v>Pendiente</v>
      </c>
      <c r="E45" s="721" t="str">
        <f t="shared" si="137"/>
        <v>-</v>
      </c>
      <c r="F45" s="721" t="str">
        <f t="shared" si="138"/>
        <v>-</v>
      </c>
      <c r="G45" s="721"/>
      <c r="H45" s="721" t="str">
        <f t="shared" si="139"/>
        <v>-</v>
      </c>
      <c r="I45" s="721" t="str">
        <f t="shared" si="140"/>
        <v>-</v>
      </c>
      <c r="J45" s="721"/>
      <c r="K45" s="721" t="str">
        <f t="shared" si="141"/>
        <v>-</v>
      </c>
      <c r="L45" s="721" t="str">
        <f t="shared" si="142"/>
        <v>-</v>
      </c>
      <c r="M45" s="721"/>
      <c r="N45" s="721" t="str">
        <f t="shared" si="143"/>
        <v>-</v>
      </c>
      <c r="O45" s="721" t="str">
        <f t="shared" si="144"/>
        <v>-</v>
      </c>
      <c r="P45" s="721"/>
      <c r="Q45" s="721" t="str">
        <f t="shared" si="145"/>
        <v>-</v>
      </c>
      <c r="R45" s="721" t="str">
        <f t="shared" si="146"/>
        <v>-</v>
      </c>
      <c r="S45" s="721"/>
      <c r="T45" s="721" t="str">
        <f t="shared" si="147"/>
        <v>-</v>
      </c>
      <c r="U45" s="721" t="str">
        <f t="shared" si="148"/>
        <v>-</v>
      </c>
      <c r="V45" s="162"/>
      <c r="W45" s="837"/>
      <c r="X45" s="179">
        <f ca="1">Horarios!C45</f>
        <v>46188.166666666664</v>
      </c>
      <c r="Y45" s="180">
        <f ca="1">Horarios!C45</f>
        <v>46188.166666666664</v>
      </c>
      <c r="Z45" s="181" t="str">
        <f>$Z$4</f>
        <v>J1</v>
      </c>
      <c r="AA45" s="182" t="str">
        <f ca="1">A47</f>
        <v>Suecia</v>
      </c>
      <c r="AB45" s="457" t="str" cm="1">
        <f t="array" aca="1" ref="AB45" ca="1">Ver_flag_local</f>
        <v/>
      </c>
      <c r="AC45" s="183"/>
      <c r="AD45" s="184"/>
      <c r="AE45" s="462" t="str" cm="1">
        <f t="array" aca="1" ref="AE45" ca="1">Ver_flag_visit</f>
        <v/>
      </c>
      <c r="AF45" s="185" t="str">
        <f ca="1">A48</f>
        <v>Túnez</v>
      </c>
      <c r="AG45" s="396">
        <f t="shared" si="149"/>
        <v>0</v>
      </c>
      <c r="AH45" s="186">
        <v>12</v>
      </c>
      <c r="AI45" s="15"/>
      <c r="AJ45" s="194" t="str">
        <f>AJ5</f>
        <v>Pos</v>
      </c>
      <c r="AK45" s="195"/>
      <c r="AL45" s="196" t="str">
        <f t="shared" ref="AL45:AT45" si="151">AL5</f>
        <v>Selección</v>
      </c>
      <c r="AM45" s="195" t="str">
        <f t="shared" si="151"/>
        <v>Pts</v>
      </c>
      <c r="AN45" s="195" t="str">
        <f t="shared" si="151"/>
        <v>J</v>
      </c>
      <c r="AO45" s="195" t="str">
        <f t="shared" si="151"/>
        <v>G</v>
      </c>
      <c r="AP45" s="195" t="str">
        <f t="shared" si="151"/>
        <v>E</v>
      </c>
      <c r="AQ45" s="195" t="str">
        <f t="shared" si="151"/>
        <v>P</v>
      </c>
      <c r="AR45" s="195" t="str">
        <f t="shared" si="151"/>
        <v>GF</v>
      </c>
      <c r="AS45" s="195" t="str">
        <f t="shared" si="151"/>
        <v>GC</v>
      </c>
      <c r="AT45" s="197" t="str">
        <f t="shared" si="151"/>
        <v>DG</v>
      </c>
      <c r="AU45" s="404">
        <f t="shared" ref="AU45" ca="1" si="152">COUNTIF(AU46:AU49,"&gt;1")</f>
        <v>0</v>
      </c>
      <c r="AV45" s="198"/>
      <c r="AW45" s="198"/>
      <c r="AX45" s="245"/>
      <c r="AY45" s="199" t="str">
        <f>AL45</f>
        <v>Selección</v>
      </c>
      <c r="AZ45" s="200" t="str">
        <f>+Idiomas!$D$69</f>
        <v>Puntos penalizados</v>
      </c>
      <c r="BA45" s="165"/>
      <c r="BB45" s="721"/>
      <c r="BC45" s="733" t="str">
        <f ca="1">+INDEX(T_Equipos[Grupo],MATCH(WORLDCUP!BD45,T_Equipos[NombreEquipo],0))</f>
        <v>J</v>
      </c>
      <c r="BD45" s="721" t="str">
        <f ca="1">+Equipos!B41</f>
        <v>Jordania</v>
      </c>
      <c r="BE45" s="725">
        <f t="shared" ca="1" si="25"/>
        <v>0</v>
      </c>
      <c r="BF45" s="725">
        <f t="shared" ca="1" si="26"/>
        <v>0</v>
      </c>
      <c r="BG45" s="725">
        <f t="shared" ca="1" si="17"/>
        <v>0</v>
      </c>
      <c r="BH45" s="725">
        <f t="shared" ca="1" si="18"/>
        <v>0</v>
      </c>
      <c r="BI45" s="725">
        <f t="shared" ca="1" si="19"/>
        <v>0</v>
      </c>
      <c r="BJ45" s="725">
        <f t="shared" ca="1" si="20"/>
        <v>0</v>
      </c>
      <c r="BK45" s="725">
        <f t="shared" ca="1" si="21"/>
        <v>0</v>
      </c>
      <c r="BL45" s="725">
        <f t="shared" ca="1" si="27"/>
        <v>0</v>
      </c>
      <c r="BM45" s="725" t="str">
        <f t="shared" ca="1" si="22"/>
        <v>4J</v>
      </c>
      <c r="BN45" s="725" t="str">
        <f t="shared" ca="1" si="23"/>
        <v>4J</v>
      </c>
      <c r="BO45" s="735">
        <f t="shared" ca="1" si="28"/>
        <v>0</v>
      </c>
      <c r="BP45" s="734">
        <f ca="1">COUNTIFS($BO$6:$BO$53,"&gt;"&amp;BO45,$BC$6:$BC$53,INDEX(T_Equipos[Grupo],MATCH(BD45,T_Equipos[NombreEquipo],0)))+1</f>
        <v>1</v>
      </c>
      <c r="BQ45" s="734" t="str">
        <f ca="1">IF(COUNTIFS($BP$6:$BP$53,BP45,$BC$6:$BC$53,INDEX(T_Equipos[Grupo],MATCH(BD45,T_Equipos[NombreEquipo],0)))=1,"-","P."&amp;BP45&amp;" ("&amp;COUNTIFS($BP$6:$BP$53,BP45,$BC$6:$BC$53,INDEX(T_Equipos[Grupo],MATCH(BD45,T_Equipos[NombreEquipo],0)))&amp;")")</f>
        <v>P.1 (4)</v>
      </c>
      <c r="BR45" s="735">
        <f t="shared" ca="1" si="29"/>
        <v>0</v>
      </c>
      <c r="BS45" s="734">
        <f ca="1">BP45+COUNTIFS($BQ$6:$BQ$53,BQ45,$BR$6:BR$53,"&gt;"&amp;BR45,$BC$6:$BC$53,INDEX(T_Equipos[Grupo],MATCH(BD45,T_Equipos[NombreEquipo],0)))</f>
        <v>1</v>
      </c>
      <c r="BT45" s="734" t="str">
        <f ca="1">IF(COUNTIFS($BS$6:$BS$53,BS45,$BC$6:$BC$53,INDEX(T_Equipos[Grupo],MATCH(BD45,T_Equipos[NombreEquipo],0)))=1,"-","P."&amp;BS45&amp;" ("&amp;COUNTIFS($BS$6:$BS$53,BS45,$BC$6:$BC$53,INDEX(T_Equipos[Grupo],MATCH(BD45,T_Equipos[NombreEquipo],0)))&amp;")")</f>
        <v>P.1 (4)</v>
      </c>
      <c r="BU45" s="735">
        <f t="shared" ca="1" si="36"/>
        <v>0</v>
      </c>
      <c r="BV45" s="735">
        <f t="shared" ca="1" si="37"/>
        <v>0</v>
      </c>
      <c r="BW45" s="735">
        <f t="shared" ca="1" si="38"/>
        <v>0</v>
      </c>
      <c r="BX45" s="735">
        <f t="shared" ca="1" si="39"/>
        <v>0</v>
      </c>
      <c r="BY45" s="735">
        <f ca="1">BS45+COUNTIFS($BT$6:$BT$53,BT45,$BX$6:BX$53,"&gt;"&amp;BX45,$BC$6:$BC$53,INDEX(T_Equipos[Grupo],MATCH(BD45,T_Equipos[NombreEquipo],0)))</f>
        <v>1</v>
      </c>
      <c r="BZ45" s="734" t="str">
        <f ca="1">IF(COUNTIFS($BY$6:$BY$53,BY45,$BC$6:$BC$53,INDEX(T_Equipos[Grupo],MATCH(BD45,T_Equipos[NombreEquipo],0)))=1,"-","P."&amp;BY45&amp;" ("&amp;COUNTIFS($BY$6:$BY$53,BY45,$BC$6:$BC$53,INDEX(T_Equipos[Grupo],MATCH(BD45,T_Equipos[NombreEquipo],0)))&amp;")")</f>
        <v>P.1 (4)</v>
      </c>
      <c r="CA45" s="735">
        <f t="shared" ca="1" si="40"/>
        <v>0</v>
      </c>
      <c r="CB45" s="735">
        <f t="shared" ca="1" si="41"/>
        <v>0</v>
      </c>
      <c r="CC45" s="735">
        <f t="shared" ca="1" si="42"/>
        <v>0</v>
      </c>
      <c r="CD45" s="735">
        <f ca="1">BY45+COUNTIFS($BZ$6:$BZ$53,BZ45,$CC$6:CC$53,"&gt;"&amp;CC45,$BC$6:$BC$53,INDEX(T_Equipos[Grupo],MATCH(BD45,T_Equipos[NombreEquipo],0)))</f>
        <v>1</v>
      </c>
      <c r="CE45" s="734" t="str">
        <f ca="1">IF(COUNTIFS($CD$6:$CD$53,CD45,$BC$6:$BC$53,INDEX(T_Equipos[Grupo],MATCH(BD45,T_Equipos[NombreEquipo],0)))=1,"-","P."&amp;CD45&amp;" ("&amp;COUNTIFS($CD$6:$CD$53,CD45,$BC$6:$BC$53,INDEX(T_Equipos[Grupo],MATCH(BD45,T_Equipos[NombreEquipo],0)))&amp;")")</f>
        <v>P.1 (4)</v>
      </c>
      <c r="CF45" s="735">
        <f t="shared" ca="1" si="43"/>
        <v>0</v>
      </c>
      <c r="CG45" s="735">
        <f ca="1">CD45+COUNTIFS($CE$6:$CE$53,CE45,$CF$6:CF$53,"&gt;"&amp;CF45,$BC$6:$BC$53,INDEX(T_Equipos[Grupo],MATCH(BD45,T_Equipos[NombreEquipo],0)))</f>
        <v>1</v>
      </c>
      <c r="CH45" s="734" t="str">
        <f ca="1">IF(COUNTIFS($CG$6:$CG$53,CG45,$BC$6:$BC$53,INDEX(T_Equipos[Grupo],MATCH(BD45,T_Equipos[NombreEquipo],0)))=1,"-","P."&amp;CG45&amp;" ("&amp;COUNTIFS($CG$6:$CG$53,CG45,$BC$6:$BC$53,INDEX(T_Equipos[Grupo],MATCH(BD45,T_Equipos[NombreEquipo],0)))&amp;")")</f>
        <v>P.1 (4)</v>
      </c>
      <c r="CI45" s="735">
        <f t="shared" ca="1" si="44"/>
        <v>0</v>
      </c>
      <c r="CJ45" s="735">
        <f t="shared" ca="1" si="45"/>
        <v>0</v>
      </c>
      <c r="CK45" s="735">
        <f t="shared" ca="1" si="46"/>
        <v>0</v>
      </c>
      <c r="CL45" s="735">
        <f t="shared" ca="1" si="47"/>
        <v>0</v>
      </c>
      <c r="CM45" s="735">
        <f ca="1">CG45+COUNTIFS($CH$6:$CH$53,CH45,$CL$6:CL$53,"&gt;"&amp;CL45,$BC$6:$BC$53,INDEX(T_Equipos[Grupo],MATCH(BD45,T_Equipos[NombreEquipo],0)))</f>
        <v>1</v>
      </c>
      <c r="CN45" s="734" t="str">
        <f ca="1">IF(COUNTIFS($CM$6:$CM$53,CM45,$BC$6:$BC$53,INDEX(T_Equipos[Grupo],MATCH(BD45,T_Equipos[NombreEquipo],0)))=1,"-","P."&amp;CM45&amp;" ("&amp;COUNTIFS($CM$6:$CM$53,CM45,$BC$6:$BC$53,INDEX(T_Equipos[Grupo],MATCH(BD45,T_Equipos[NombreEquipo],0)))&amp;")")</f>
        <v>P.1 (4)</v>
      </c>
      <c r="CO45" s="735">
        <f t="shared" ca="1" si="48"/>
        <v>0</v>
      </c>
      <c r="CP45" s="735">
        <f t="shared" ca="1" si="49"/>
        <v>0</v>
      </c>
      <c r="CQ45" s="735">
        <f t="shared" ca="1" si="50"/>
        <v>0</v>
      </c>
      <c r="CR45" s="735">
        <f ca="1">CM45+COUNTIFS($CN$6:$CN$53,CN45,$CQ$6:CQ$53,"&gt;"&amp;CQ45,$BC$6:$BC$53,INDEX(T_Equipos[Grupo],MATCH(BD45,T_Equipos[NombreEquipo],0)))</f>
        <v>1</v>
      </c>
      <c r="CS45" s="734" t="str">
        <f ca="1">IF(COUNTIFS($CR$6:$CR$53,CR45,$BC$6:$BC$53,INDEX(T_Equipos[Grupo],MATCH(BD45,T_Equipos[NombreEquipo],0)))=1,"-","P."&amp;CR45&amp;" ("&amp;COUNTIFS($CR$6:$CR$53,CR45,$BC$6:$BC$53,INDEX(T_Equipos[Grupo],MATCH(BD45,T_Equipos[NombreEquipo],0)))&amp;")")</f>
        <v>P.1 (4)</v>
      </c>
      <c r="CT45" s="735">
        <f t="shared" ca="1" si="51"/>
        <v>0</v>
      </c>
      <c r="CU45" s="735">
        <f ca="1">CR45+COUNTIFS($CS$6:$CS$53,CS45,$CT$6:CT$53,"&gt;"&amp;CT45,$BC$6:$BC$53,INDEX(T_Equipos[Grupo],MATCH(BD45,T_Equipos[NombreEquipo],0)))</f>
        <v>1</v>
      </c>
      <c r="CV45" s="734" t="str">
        <f ca="1">IF(COUNTIFS($CU$6:$CU$53,CU45,$BC$6:$BC$53,INDEX(T_Equipos[Grupo],MATCH(BD45,T_Equipos[NombreEquipo],0)))=1,"-","P."&amp;CU45&amp;" ("&amp;COUNTIFS($CU$6:$CU$53,CU45,$BC$6:$BC$53,INDEX(T_Equipos[Grupo],MATCH(BD45,T_Equipos[NombreEquipo],0)))&amp;")")</f>
        <v>P.1 (4)</v>
      </c>
      <c r="CW45" s="734">
        <f t="shared" ca="1" si="30"/>
        <v>0</v>
      </c>
      <c r="CX45" s="734">
        <f ca="1">CU45+COUNTIFS($CV$6:$CV$53,CV45,$CW$6:CW$53,"&gt;"&amp;CW45,$BC$6:$BC$53,INDEX(T_Equipos[Grupo],MATCH(BD45,T_Equipos[NombreEquipo],0)))</f>
        <v>1</v>
      </c>
      <c r="CY45" s="734" t="str">
        <f ca="1">IF(COUNTIFS($CX$6:$CX$53,CX45,$BC$6:$BC$53,INDEX(T_Equipos[Grupo],MATCH(BD45,T_Equipos[NombreEquipo],0)))=1,"-","P."&amp;CX45&amp;" ("&amp;COUNTIFS($CX$6:$CX$53,CX45,$BC$6:$BC$53,INDEX(T_Equipos[Grupo],MATCH(BD45,T_Equipos[NombreEquipo],0)))&amp;")")</f>
        <v>P.1 (4)</v>
      </c>
      <c r="CZ45" s="734">
        <f t="shared" ca="1" si="31"/>
        <v>0</v>
      </c>
      <c r="DA45" s="735">
        <f ca="1">CX45+COUNTIFS($CY$6:$CY$53,CY45,$CZ$6:CZ$53,"&gt;"&amp;CZ45,$BC$6:$BC$53,INDEX(T_Equipos[Grupo],MATCH(BD45,T_Equipos[NombreEquipo],0)))</f>
        <v>1</v>
      </c>
      <c r="DB45" s="734" t="str">
        <f ca="1">IF(COUNTIFS($DA$6:$DA$53,DA45,$BC$6:$BC$53,INDEX(T_Equipos[Grupo],MATCH(BD45,T_Equipos[NombreEquipo],0)))=1,"-","P."&amp;DA45&amp;" ("&amp;COUNTIFS($DA$6:$DA$53,DA45,$BC$6:$BC$53,INDEX(T_Equipos[Grupo],MATCH(BD45,T_Equipos[NombreEquipo],0)))&amp;")")</f>
        <v>P.1 (4)</v>
      </c>
      <c r="DC45" s="733">
        <f ca="1">IF(DB45="-","-",COUNTIFS(T_Equipos[Rank],"&lt;"&amp;INDEX(T_Equipos[Rank],MATCH(BD45,T_Equipos[NombreEquipo],0)),$BC$6:$BC$53,INDEX(T_Equipos[Grupo],MATCH(BD45,T_Equipos[NombreEquipo],0)))+1)</f>
        <v>4</v>
      </c>
      <c r="DD45" s="733">
        <f ca="1">DA45+COUNTIFS($DB$6:$DB$53,DB45,$DC$6:DC$53,"&lt;"&amp;DC45,$BC$6:$BC$53,INDEX(T_Equipos[Grupo],MATCH(BD45,T_Equipos[NombreEquipo],0)))</f>
        <v>4</v>
      </c>
      <c r="DE45" s="733"/>
      <c r="DF45" s="733">
        <f t="shared" ca="1" si="52"/>
        <v>4</v>
      </c>
      <c r="DG45" s="733">
        <f ca="1">IF(DB45="-","-",COUNTIFS(DF$6:DF$53,"&lt;"&amp;DF45,$BC$6:$BC$53,INDEX(T_Equipos[Grupo],MATCH(BD45,T_Equipos[NombreEquipo],0))))</f>
        <v>3</v>
      </c>
      <c r="DH45" s="733">
        <f ca="1">DA45+COUNTIFS(DB$6:DB$53,DB45,DG$6:DG$53,"&lt;"&amp;DG45,$BC$6:$BC$53,INDEX(T_Equipos[Grupo],MATCH(BD45,T_Equipos[NombreEquipo],0)))</f>
        <v>4</v>
      </c>
      <c r="DI45" s="721"/>
      <c r="DJ45" s="721">
        <f t="shared" ca="1" si="53"/>
        <v>1</v>
      </c>
      <c r="DK45" s="721">
        <f t="shared" ca="1" si="24"/>
        <v>0</v>
      </c>
      <c r="DL45" s="721">
        <f t="shared" ca="1" si="33"/>
        <v>1</v>
      </c>
      <c r="DM45" s="715" t="str">
        <f t="shared" ca="1" si="34"/>
        <v>1.1</v>
      </c>
      <c r="DN45" s="721" cm="1">
        <f t="array" aca="1" ref="DN45" ca="1">OFFSET(Horarios!$P$3,DJ45-1,0,DL45,1)</f>
        <v>1</v>
      </c>
      <c r="DO45" s="721"/>
      <c r="DP45" s="721" t="s">
        <v>678</v>
      </c>
      <c r="DQ45" s="721" t="str">
        <f t="shared" ca="1" si="35"/>
        <v>Jordania</v>
      </c>
      <c r="DR45" s="721"/>
      <c r="DS45" s="721"/>
      <c r="DT45" s="721" t="str">
        <f t="shared" ca="1" si="15"/>
        <v>Suecia-Túnez</v>
      </c>
      <c r="DU45" s="721"/>
      <c r="DV45" s="721"/>
      <c r="DW45" s="8"/>
    </row>
    <row r="46" spans="1:127" ht="15.95" customHeight="1">
      <c r="A46" s="722" t="str">
        <f ca="1">+Equipos!B23</f>
        <v>Japón</v>
      </c>
      <c r="B46" s="719"/>
      <c r="C46" s="723"/>
      <c r="D46" s="721" t="str">
        <f t="shared" si="136"/>
        <v>Pendiente</v>
      </c>
      <c r="E46" s="721" t="str">
        <f t="shared" si="137"/>
        <v>-</v>
      </c>
      <c r="F46" s="721" t="str">
        <f t="shared" si="138"/>
        <v>-</v>
      </c>
      <c r="G46" s="721"/>
      <c r="H46" s="721" t="str">
        <f t="shared" si="139"/>
        <v>-</v>
      </c>
      <c r="I46" s="721" t="str">
        <f t="shared" si="140"/>
        <v>-</v>
      </c>
      <c r="J46" s="721"/>
      <c r="K46" s="721" t="str">
        <f t="shared" si="141"/>
        <v>-</v>
      </c>
      <c r="L46" s="721" t="str">
        <f t="shared" si="142"/>
        <v>-</v>
      </c>
      <c r="M46" s="721"/>
      <c r="N46" s="721" t="str">
        <f t="shared" si="143"/>
        <v>-</v>
      </c>
      <c r="O46" s="721" t="str">
        <f t="shared" si="144"/>
        <v>-</v>
      </c>
      <c r="P46" s="721"/>
      <c r="Q46" s="721" t="str">
        <f t="shared" si="145"/>
        <v>-</v>
      </c>
      <c r="R46" s="721" t="str">
        <f t="shared" si="146"/>
        <v>-</v>
      </c>
      <c r="S46" s="721"/>
      <c r="T46" s="721" t="str">
        <f t="shared" si="147"/>
        <v>-</v>
      </c>
      <c r="U46" s="721" t="str">
        <f t="shared" si="148"/>
        <v>-</v>
      </c>
      <c r="V46" s="162"/>
      <c r="W46" s="837"/>
      <c r="X46" s="179">
        <f ca="1">Horarios!C46</f>
        <v>46193.791666666664</v>
      </c>
      <c r="Y46" s="180">
        <f ca="1">Horarios!C46</f>
        <v>46193.791666666664</v>
      </c>
      <c r="Z46" s="181" t="str">
        <f>$Z$6</f>
        <v>J2</v>
      </c>
      <c r="AA46" s="182" t="str">
        <f ca="1">A45</f>
        <v>Países Bajos</v>
      </c>
      <c r="AB46" s="457" t="str" cm="1">
        <f t="array" aca="1" ref="AB46" ca="1">Ver_flag_local</f>
        <v/>
      </c>
      <c r="AC46" s="183"/>
      <c r="AD46" s="184"/>
      <c r="AE46" s="462" t="str" cm="1">
        <f t="array" aca="1" ref="AE46" ca="1">Ver_flag_visit</f>
        <v/>
      </c>
      <c r="AF46" s="185" t="str">
        <f ca="1">A47</f>
        <v>Suecia</v>
      </c>
      <c r="AG46" s="396">
        <f t="shared" si="149"/>
        <v>0</v>
      </c>
      <c r="AH46" s="186">
        <v>35</v>
      </c>
      <c r="AI46" s="15" t="str">
        <f>AJ46&amp;$B$44</f>
        <v>1F</v>
      </c>
      <c r="AJ46" s="201">
        <v>1</v>
      </c>
      <c r="AK46" s="467" t="str" cm="1">
        <f t="array" aca="1" ref="AK46" ca="1">Ver_flag_visit</f>
        <v/>
      </c>
      <c r="AL46" s="202" t="str">
        <f ca="1">IFERROR(INDEX($BD$6:$BD$53,MATCH(AI46,$BN$6:$BN$53,0)),"")</f>
        <v>Países Bajos</v>
      </c>
      <c r="AM46" s="203">
        <f t="shared" ref="AM46:AT49" ca="1" si="153">INDEX($BE$6:$BN$53,MATCH($AL46,$BD$6:$BD$53,0),MATCH(AM$5,$BE$5:$BN$5,0))</f>
        <v>0</v>
      </c>
      <c r="AN46" s="204">
        <f t="shared" ca="1" si="153"/>
        <v>0</v>
      </c>
      <c r="AO46" s="204">
        <f t="shared" ca="1" si="153"/>
        <v>0</v>
      </c>
      <c r="AP46" s="204">
        <f t="shared" ca="1" si="153"/>
        <v>0</v>
      </c>
      <c r="AQ46" s="204">
        <f t="shared" ca="1" si="153"/>
        <v>0</v>
      </c>
      <c r="AR46" s="204">
        <f t="shared" ca="1" si="153"/>
        <v>0</v>
      </c>
      <c r="AS46" s="204">
        <f t="shared" ca="1" si="153"/>
        <v>0</v>
      </c>
      <c r="AT46" s="205">
        <f t="shared" ca="1" si="153"/>
        <v>0</v>
      </c>
      <c r="AU46" s="403">
        <f ca="1">INDEX($DL$6:$DL$53,MATCH(AI46,$DP$6:$DP$53,0))</f>
        <v>1</v>
      </c>
      <c r="AV46" s="207" t="str">
        <f ca="1">INDEX($BD$6:$BD$53,MATCH(AI46,$BM$6:$BM$53,0))</f>
        <v>Países Bajos</v>
      </c>
      <c r="AW46" s="410"/>
      <c r="AX46" s="208"/>
      <c r="AY46" s="209" t="str">
        <f ca="1">+A45</f>
        <v>Países Bajos</v>
      </c>
      <c r="AZ46" s="210"/>
      <c r="BA46" s="165"/>
      <c r="BB46" s="721"/>
      <c r="BC46" s="733" t="str">
        <f ca="1">+INDEX(T_Equipos[Grupo],MATCH(WORLDCUP!BD46,T_Equipos[NombreEquipo],0))</f>
        <v>K</v>
      </c>
      <c r="BD46" s="721" t="str">
        <f ca="1">+Equipos!B42</f>
        <v>Portugal</v>
      </c>
      <c r="BE46" s="725">
        <f t="shared" ca="1" si="25"/>
        <v>0</v>
      </c>
      <c r="BF46" s="725">
        <f t="shared" ca="1" si="26"/>
        <v>0</v>
      </c>
      <c r="BG46" s="725">
        <f t="shared" ca="1" si="17"/>
        <v>0</v>
      </c>
      <c r="BH46" s="725">
        <f t="shared" ca="1" si="18"/>
        <v>0</v>
      </c>
      <c r="BI46" s="725">
        <f t="shared" ca="1" si="19"/>
        <v>0</v>
      </c>
      <c r="BJ46" s="725">
        <f t="shared" ca="1" si="20"/>
        <v>0</v>
      </c>
      <c r="BK46" s="725">
        <f t="shared" ca="1" si="21"/>
        <v>0</v>
      </c>
      <c r="BL46" s="725">
        <f t="shared" ca="1" si="27"/>
        <v>0</v>
      </c>
      <c r="BM46" s="725" t="str">
        <f t="shared" ca="1" si="22"/>
        <v>1K</v>
      </c>
      <c r="BN46" s="725" t="str">
        <f t="shared" ca="1" si="23"/>
        <v>1K</v>
      </c>
      <c r="BO46" s="734">
        <f t="shared" ca="1" si="28"/>
        <v>0</v>
      </c>
      <c r="BP46" s="734">
        <f ca="1">COUNTIFS($BO$6:$BO$53,"&gt;"&amp;BO46,$BC$6:$BC$53,INDEX(T_Equipos[Grupo],MATCH(BD46,T_Equipos[NombreEquipo],0)))+1</f>
        <v>1</v>
      </c>
      <c r="BQ46" s="734" t="str">
        <f ca="1">IF(COUNTIFS($BP$6:$BP$53,BP46,$BC$6:$BC$53,INDEX(T_Equipos[Grupo],MATCH(BD46,T_Equipos[NombreEquipo],0)))=1,"-","P."&amp;BP46&amp;" ("&amp;COUNTIFS($BP$6:$BP$53,BP46,$BC$6:$BC$53,INDEX(T_Equipos[Grupo],MATCH(BD46,T_Equipos[NombreEquipo],0)))&amp;")")</f>
        <v>P.1 (4)</v>
      </c>
      <c r="BR46" s="734">
        <f t="shared" ca="1" si="29"/>
        <v>0</v>
      </c>
      <c r="BS46" s="734">
        <f ca="1">BP46+COUNTIFS($BQ$6:$BQ$53,BQ46,$BR$6:BR$53,"&gt;"&amp;BR46,$BC$6:$BC$53,INDEX(T_Equipos[Grupo],MATCH(BD46,T_Equipos[NombreEquipo],0)))</f>
        <v>1</v>
      </c>
      <c r="BT46" s="734" t="str">
        <f ca="1">IF(COUNTIFS($BS$6:$BS$53,BS46,$BC$6:$BC$53,INDEX(T_Equipos[Grupo],MATCH(BD46,T_Equipos[NombreEquipo],0)))=1,"-","P."&amp;BS46&amp;" ("&amp;COUNTIFS($BS$6:$BS$53,BS46,$BC$6:$BC$53,INDEX(T_Equipos[Grupo],MATCH(BD46,T_Equipos[NombreEquipo],0)))&amp;")")</f>
        <v>P.1 (4)</v>
      </c>
      <c r="BU46" s="735">
        <f t="shared" ca="1" si="36"/>
        <v>0</v>
      </c>
      <c r="BV46" s="735">
        <f t="shared" ca="1" si="37"/>
        <v>0</v>
      </c>
      <c r="BW46" s="735">
        <f t="shared" ca="1" si="38"/>
        <v>0</v>
      </c>
      <c r="BX46" s="735">
        <f t="shared" ca="1" si="39"/>
        <v>0</v>
      </c>
      <c r="BY46" s="735">
        <f ca="1">BS46+COUNTIFS($BT$6:$BT$53,BT46,$BX$6:BX$53,"&gt;"&amp;BX46,$BC$6:$BC$53,INDEX(T_Equipos[Grupo],MATCH(BD46,T_Equipos[NombreEquipo],0)))</f>
        <v>1</v>
      </c>
      <c r="BZ46" s="734" t="str">
        <f ca="1">IF(COUNTIFS($BY$6:$BY$53,BY46,$BC$6:$BC$53,INDEX(T_Equipos[Grupo],MATCH(BD46,T_Equipos[NombreEquipo],0)))=1,"-","P."&amp;BY46&amp;" ("&amp;COUNTIFS($BY$6:$BY$53,BY46,$BC$6:$BC$53,INDEX(T_Equipos[Grupo],MATCH(BD46,T_Equipos[NombreEquipo],0)))&amp;")")</f>
        <v>P.1 (4)</v>
      </c>
      <c r="CA46" s="735">
        <f t="shared" ca="1" si="40"/>
        <v>0</v>
      </c>
      <c r="CB46" s="735">
        <f t="shared" ca="1" si="41"/>
        <v>0</v>
      </c>
      <c r="CC46" s="735">
        <f t="shared" ca="1" si="42"/>
        <v>0</v>
      </c>
      <c r="CD46" s="735">
        <f ca="1">BY46+COUNTIFS($BZ$6:$BZ$53,BZ46,$CC$6:CC$53,"&gt;"&amp;CC46,$BC$6:$BC$53,INDEX(T_Equipos[Grupo],MATCH(BD46,T_Equipos[NombreEquipo],0)))</f>
        <v>1</v>
      </c>
      <c r="CE46" s="734" t="str">
        <f ca="1">IF(COUNTIFS($CD$6:$CD$53,CD46,$BC$6:$BC$53,INDEX(T_Equipos[Grupo],MATCH(BD46,T_Equipos[NombreEquipo],0)))=1,"-","P."&amp;CD46&amp;" ("&amp;COUNTIFS($CD$6:$CD$53,CD46,$BC$6:$BC$53,INDEX(T_Equipos[Grupo],MATCH(BD46,T_Equipos[NombreEquipo],0)))&amp;")")</f>
        <v>P.1 (4)</v>
      </c>
      <c r="CF46" s="735">
        <f t="shared" ca="1" si="43"/>
        <v>0</v>
      </c>
      <c r="CG46" s="735">
        <f ca="1">CD46+COUNTIFS($CE$6:$CE$53,CE46,$CF$6:CF$53,"&gt;"&amp;CF46,$BC$6:$BC$53,INDEX(T_Equipos[Grupo],MATCH(BD46,T_Equipos[NombreEquipo],0)))</f>
        <v>1</v>
      </c>
      <c r="CH46" s="734" t="str">
        <f ca="1">IF(COUNTIFS($CG$6:$CG$53,CG46,$BC$6:$BC$53,INDEX(T_Equipos[Grupo],MATCH(BD46,T_Equipos[NombreEquipo],0)))=1,"-","P."&amp;CG46&amp;" ("&amp;COUNTIFS($CG$6:$CG$53,CG46,$BC$6:$BC$53,INDEX(T_Equipos[Grupo],MATCH(BD46,T_Equipos[NombreEquipo],0)))&amp;")")</f>
        <v>P.1 (4)</v>
      </c>
      <c r="CI46" s="735">
        <f t="shared" ca="1" si="44"/>
        <v>0</v>
      </c>
      <c r="CJ46" s="735">
        <f t="shared" ca="1" si="45"/>
        <v>0</v>
      </c>
      <c r="CK46" s="735">
        <f t="shared" ca="1" si="46"/>
        <v>0</v>
      </c>
      <c r="CL46" s="735">
        <f t="shared" ca="1" si="47"/>
        <v>0</v>
      </c>
      <c r="CM46" s="735">
        <f ca="1">CG46+COUNTIFS($CH$6:$CH$53,CH46,$CL$6:CL$53,"&gt;"&amp;CL46,$BC$6:$BC$53,INDEX(T_Equipos[Grupo],MATCH(BD46,T_Equipos[NombreEquipo],0)))</f>
        <v>1</v>
      </c>
      <c r="CN46" s="734" t="str">
        <f ca="1">IF(COUNTIFS($CM$6:$CM$53,CM46,$BC$6:$BC$53,INDEX(T_Equipos[Grupo],MATCH(BD46,T_Equipos[NombreEquipo],0)))=1,"-","P."&amp;CM46&amp;" ("&amp;COUNTIFS($CM$6:$CM$53,CM46,$BC$6:$BC$53,INDEX(T_Equipos[Grupo],MATCH(BD46,T_Equipos[NombreEquipo],0)))&amp;")")</f>
        <v>P.1 (4)</v>
      </c>
      <c r="CO46" s="735">
        <f t="shared" ca="1" si="48"/>
        <v>0</v>
      </c>
      <c r="CP46" s="735">
        <f t="shared" ca="1" si="49"/>
        <v>0</v>
      </c>
      <c r="CQ46" s="735">
        <f t="shared" ca="1" si="50"/>
        <v>0</v>
      </c>
      <c r="CR46" s="735">
        <f ca="1">CM46+COUNTIFS($CN$6:$CN$53,CN46,$CQ$6:CQ$53,"&gt;"&amp;CQ46,$BC$6:$BC$53,INDEX(T_Equipos[Grupo],MATCH(BD46,T_Equipos[NombreEquipo],0)))</f>
        <v>1</v>
      </c>
      <c r="CS46" s="734" t="str">
        <f ca="1">IF(COUNTIFS($CR$6:$CR$53,CR46,$BC$6:$BC$53,INDEX(T_Equipos[Grupo],MATCH(BD46,T_Equipos[NombreEquipo],0)))=1,"-","P."&amp;CR46&amp;" ("&amp;COUNTIFS($CR$6:$CR$53,CR46,$BC$6:$BC$53,INDEX(T_Equipos[Grupo],MATCH(BD46,T_Equipos[NombreEquipo],0)))&amp;")")</f>
        <v>P.1 (4)</v>
      </c>
      <c r="CT46" s="735">
        <f t="shared" ca="1" si="51"/>
        <v>0</v>
      </c>
      <c r="CU46" s="735">
        <f ca="1">CR46+COUNTIFS($CS$6:$CS$53,CS46,$CT$6:CT$53,"&gt;"&amp;CT46,$BC$6:$BC$53,INDEX(T_Equipos[Grupo],MATCH(BD46,T_Equipos[NombreEquipo],0)))</f>
        <v>1</v>
      </c>
      <c r="CV46" s="734" t="str">
        <f ca="1">IF(COUNTIFS($CU$6:$CU$53,CU46,$BC$6:$BC$53,INDEX(T_Equipos[Grupo],MATCH(BD46,T_Equipos[NombreEquipo],0)))=1,"-","P."&amp;CU46&amp;" ("&amp;COUNTIFS($CU$6:$CU$53,CU46,$BC$6:$BC$53,INDEX(T_Equipos[Grupo],MATCH(BD46,T_Equipos[NombreEquipo],0)))&amp;")")</f>
        <v>P.1 (4)</v>
      </c>
      <c r="CW46" s="734">
        <f t="shared" ca="1" si="30"/>
        <v>0</v>
      </c>
      <c r="CX46" s="734">
        <f ca="1">CU46+COUNTIFS($CV$6:$CV$53,CV46,$CW$6:CW$53,"&gt;"&amp;CW46,$BC$6:$BC$53,INDEX(T_Equipos[Grupo],MATCH(BD46,T_Equipos[NombreEquipo],0)))</f>
        <v>1</v>
      </c>
      <c r="CY46" s="734" t="str">
        <f ca="1">IF(COUNTIFS($CX$6:$CX$53,CX46,$BC$6:$BC$53,INDEX(T_Equipos[Grupo],MATCH(BD46,T_Equipos[NombreEquipo],0)))=1,"-","P."&amp;CX46&amp;" ("&amp;COUNTIFS($CX$6:$CX$53,CX46,$BC$6:$BC$53,INDEX(T_Equipos[Grupo],MATCH(BD46,T_Equipos[NombreEquipo],0)))&amp;")")</f>
        <v>P.1 (4)</v>
      </c>
      <c r="CZ46" s="734">
        <f t="shared" ca="1" si="31"/>
        <v>0</v>
      </c>
      <c r="DA46" s="735">
        <f ca="1">CX46+COUNTIFS($CY$6:$CY$53,CY46,$CZ$6:CZ$53,"&gt;"&amp;CZ46,$BC$6:$BC$53,INDEX(T_Equipos[Grupo],MATCH(BD46,T_Equipos[NombreEquipo],0)))</f>
        <v>1</v>
      </c>
      <c r="DB46" s="734" t="str">
        <f ca="1">IF(COUNTIFS($DA$6:$DA$53,DA46,$BC$6:$BC$53,INDEX(T_Equipos[Grupo],MATCH(BD46,T_Equipos[NombreEquipo],0)))=1,"-","P."&amp;DA46&amp;" ("&amp;COUNTIFS($DA$6:$DA$53,DA46,$BC$6:$BC$53,INDEX(T_Equipos[Grupo],MATCH(BD46,T_Equipos[NombreEquipo],0)))&amp;")")</f>
        <v>P.1 (4)</v>
      </c>
      <c r="DC46" s="733">
        <f ca="1">IF(DB46="-","-",COUNTIFS(T_Equipos[Rank],"&lt;"&amp;INDEX(T_Equipos[Rank],MATCH(BD46,T_Equipos[NombreEquipo],0)),$BC$6:$BC$53,INDEX(T_Equipos[Grupo],MATCH(BD46,T_Equipos[NombreEquipo],0)))+1)</f>
        <v>1</v>
      </c>
      <c r="DD46" s="733">
        <f ca="1">DA46+COUNTIFS($DB$6:$DB$53,DB46,$DC$6:DC$53,"&lt;"&amp;DC46,$BC$6:$BC$53,INDEX(T_Equipos[Grupo],MATCH(BD46,T_Equipos[NombreEquipo],0)))</f>
        <v>1</v>
      </c>
      <c r="DE46" s="733"/>
      <c r="DF46" s="733">
        <f t="shared" ca="1" si="52"/>
        <v>1</v>
      </c>
      <c r="DG46" s="733">
        <f ca="1">IF(DB46="-","-",COUNTIFS(DF$6:DF$53,"&lt;"&amp;DF46,$BC$6:$BC$53,INDEX(T_Equipos[Grupo],MATCH(BD46,T_Equipos[NombreEquipo],0))))</f>
        <v>0</v>
      </c>
      <c r="DH46" s="733">
        <f ca="1">DA46+COUNTIFS(DB$6:DB$53,DB46,DG$6:DG$53,"&lt;"&amp;DG46,$BC$6:$BC$53,INDEX(T_Equipos[Grupo],MATCH(BD46,T_Equipos[NombreEquipo],0)))</f>
        <v>1</v>
      </c>
      <c r="DI46" s="721"/>
      <c r="DJ46" s="721">
        <f t="shared" ca="1" si="53"/>
        <v>1</v>
      </c>
      <c r="DK46" s="721">
        <f t="shared" ca="1" si="24"/>
        <v>0</v>
      </c>
      <c r="DL46" s="721">
        <f t="shared" ca="1" si="33"/>
        <v>1</v>
      </c>
      <c r="DM46" s="715" t="str">
        <f t="shared" ca="1" si="34"/>
        <v>1.1</v>
      </c>
      <c r="DN46" s="721" cm="1">
        <f t="array" aca="1" ref="DN46" ca="1">OFFSET(Horarios!$P$3,DJ46-1,0,DL46,1)</f>
        <v>1</v>
      </c>
      <c r="DO46" s="721"/>
      <c r="DP46" s="721" t="s">
        <v>679</v>
      </c>
      <c r="DQ46" s="721" t="str">
        <f t="shared" ca="1" si="35"/>
        <v>Portugal</v>
      </c>
      <c r="DR46" s="721"/>
      <c r="DS46" s="721"/>
      <c r="DT46" s="721" t="str">
        <f t="shared" ca="1" si="15"/>
        <v>Países Bajos-Suecia</v>
      </c>
      <c r="DU46" s="721"/>
      <c r="DV46" s="721"/>
      <c r="DW46" s="8"/>
    </row>
    <row r="47" spans="1:127" ht="15.95" customHeight="1">
      <c r="A47" s="722" t="str">
        <f ca="1">+Equipos!B24</f>
        <v>Suecia</v>
      </c>
      <c r="B47" s="719"/>
      <c r="C47" s="721"/>
      <c r="D47" s="721" t="str">
        <f t="shared" si="136"/>
        <v>Pendiente</v>
      </c>
      <c r="E47" s="721" t="str">
        <f t="shared" si="137"/>
        <v>-</v>
      </c>
      <c r="F47" s="721" t="str">
        <f t="shared" si="138"/>
        <v>-</v>
      </c>
      <c r="G47" s="721"/>
      <c r="H47" s="721" t="str">
        <f t="shared" si="139"/>
        <v>-</v>
      </c>
      <c r="I47" s="721" t="str">
        <f t="shared" si="140"/>
        <v>-</v>
      </c>
      <c r="J47" s="721"/>
      <c r="K47" s="721" t="str">
        <f t="shared" si="141"/>
        <v>-</v>
      </c>
      <c r="L47" s="721" t="str">
        <f t="shared" si="142"/>
        <v>-</v>
      </c>
      <c r="M47" s="721"/>
      <c r="N47" s="721" t="str">
        <f t="shared" si="143"/>
        <v>-</v>
      </c>
      <c r="O47" s="721" t="str">
        <f t="shared" si="144"/>
        <v>-</v>
      </c>
      <c r="P47" s="721"/>
      <c r="Q47" s="721" t="str">
        <f t="shared" si="145"/>
        <v>-</v>
      </c>
      <c r="R47" s="721" t="str">
        <f t="shared" si="146"/>
        <v>-</v>
      </c>
      <c r="S47" s="721"/>
      <c r="T47" s="721" t="str">
        <f t="shared" si="147"/>
        <v>-</v>
      </c>
      <c r="U47" s="721" t="str">
        <f t="shared" si="148"/>
        <v>-</v>
      </c>
      <c r="V47" s="162"/>
      <c r="W47" s="837"/>
      <c r="X47" s="179">
        <f ca="1">Horarios!C47</f>
        <v>46194.25</v>
      </c>
      <c r="Y47" s="180">
        <f ca="1">Horarios!C47</f>
        <v>46194.25</v>
      </c>
      <c r="Z47" s="181" t="str">
        <f>$Z$6</f>
        <v>J2</v>
      </c>
      <c r="AA47" s="182" t="str">
        <f ca="1">A48</f>
        <v>Túnez</v>
      </c>
      <c r="AB47" s="457" t="str" cm="1">
        <f t="array" aca="1" ref="AB47" ca="1">Ver_flag_local</f>
        <v/>
      </c>
      <c r="AC47" s="183"/>
      <c r="AD47" s="184"/>
      <c r="AE47" s="462" t="str" cm="1">
        <f t="array" aca="1" ref="AE47" ca="1">Ver_flag_visit</f>
        <v/>
      </c>
      <c r="AF47" s="185" t="str">
        <f ca="1">A46</f>
        <v>Japón</v>
      </c>
      <c r="AG47" s="396">
        <f t="shared" si="149"/>
        <v>0</v>
      </c>
      <c r="AH47" s="186">
        <v>36</v>
      </c>
      <c r="AI47" s="15" t="str">
        <f t="shared" ref="AI47:AI49" si="154">AJ47&amp;$B$44</f>
        <v>2F</v>
      </c>
      <c r="AJ47" s="211">
        <v>2</v>
      </c>
      <c r="AK47" s="465" t="str" cm="1">
        <f t="array" aca="1" ref="AK47" ca="1">Ver_flag_visit</f>
        <v/>
      </c>
      <c r="AL47" s="212" t="str">
        <f ca="1">IFERROR(INDEX($BD$6:$BD$53,MATCH(AI47,$BN$6:$BN$53,0)),"")</f>
        <v>Japón</v>
      </c>
      <c r="AM47" s="213">
        <f t="shared" ca="1" si="153"/>
        <v>0</v>
      </c>
      <c r="AN47" s="214">
        <f t="shared" ca="1" si="153"/>
        <v>0</v>
      </c>
      <c r="AO47" s="214">
        <f t="shared" ca="1" si="153"/>
        <v>0</v>
      </c>
      <c r="AP47" s="214">
        <f t="shared" ca="1" si="153"/>
        <v>0</v>
      </c>
      <c r="AQ47" s="214">
        <f t="shared" ca="1" si="153"/>
        <v>0</v>
      </c>
      <c r="AR47" s="214">
        <f t="shared" ca="1" si="153"/>
        <v>0</v>
      </c>
      <c r="AS47" s="214">
        <f t="shared" ca="1" si="153"/>
        <v>0</v>
      </c>
      <c r="AT47" s="215">
        <f t="shared" ca="1" si="153"/>
        <v>0</v>
      </c>
      <c r="AU47" s="403">
        <f ca="1">INDEX($DL$6:$DL$53,MATCH(AI47,$DP$6:$DP$53,0))</f>
        <v>1</v>
      </c>
      <c r="AV47" s="207" t="str">
        <f ca="1">INDEX($BD$6:$BD$53,MATCH(AI47,$BM$6:$BM$53,0))</f>
        <v>Japón</v>
      </c>
      <c r="AW47" s="410"/>
      <c r="AX47" s="208"/>
      <c r="AY47" s="216" t="str">
        <f ca="1">+A46</f>
        <v>Japón</v>
      </c>
      <c r="AZ47" s="217"/>
      <c r="BA47" s="165"/>
      <c r="BB47" s="721"/>
      <c r="BC47" s="733" t="str">
        <f ca="1">+INDEX(T_Equipos[Grupo],MATCH(WORLDCUP!BD47,T_Equipos[NombreEquipo],0))</f>
        <v>K</v>
      </c>
      <c r="BD47" s="721" t="str">
        <f ca="1">+Equipos!B43</f>
        <v>RD Congo</v>
      </c>
      <c r="BE47" s="725">
        <f t="shared" ca="1" si="25"/>
        <v>0</v>
      </c>
      <c r="BF47" s="725">
        <f t="shared" ca="1" si="26"/>
        <v>0</v>
      </c>
      <c r="BG47" s="725">
        <f t="shared" ca="1" si="17"/>
        <v>0</v>
      </c>
      <c r="BH47" s="725">
        <f t="shared" ca="1" si="18"/>
        <v>0</v>
      </c>
      <c r="BI47" s="725">
        <f t="shared" ca="1" si="19"/>
        <v>0</v>
      </c>
      <c r="BJ47" s="725">
        <f t="shared" ca="1" si="20"/>
        <v>0</v>
      </c>
      <c r="BK47" s="725">
        <f t="shared" ca="1" si="21"/>
        <v>0</v>
      </c>
      <c r="BL47" s="725">
        <f t="shared" ca="1" si="27"/>
        <v>0</v>
      </c>
      <c r="BM47" s="725" t="str">
        <f t="shared" ca="1" si="22"/>
        <v>2K</v>
      </c>
      <c r="BN47" s="725" t="str">
        <f t="shared" ca="1" si="23"/>
        <v>2K</v>
      </c>
      <c r="BO47" s="734">
        <f t="shared" ca="1" si="28"/>
        <v>0</v>
      </c>
      <c r="BP47" s="734">
        <f ca="1">COUNTIFS($BO$6:$BO$53,"&gt;"&amp;BO47,$BC$6:$BC$53,INDEX(T_Equipos[Grupo],MATCH(BD47,T_Equipos[NombreEquipo],0)))+1</f>
        <v>1</v>
      </c>
      <c r="BQ47" s="734" t="str">
        <f ca="1">IF(COUNTIFS($BP$6:$BP$53,BP47,$BC$6:$BC$53,INDEX(T_Equipos[Grupo],MATCH(BD47,T_Equipos[NombreEquipo],0)))=1,"-","P."&amp;BP47&amp;" ("&amp;COUNTIFS($BP$6:$BP$53,BP47,$BC$6:$BC$53,INDEX(T_Equipos[Grupo],MATCH(BD47,T_Equipos[NombreEquipo],0)))&amp;")")</f>
        <v>P.1 (4)</v>
      </c>
      <c r="BR47" s="734">
        <f t="shared" ca="1" si="29"/>
        <v>0</v>
      </c>
      <c r="BS47" s="734">
        <f ca="1">BP47+COUNTIFS($BQ$6:$BQ$53,BQ47,$BR$6:BR$53,"&gt;"&amp;BR47,$BC$6:$BC$53,INDEX(T_Equipos[Grupo],MATCH(BD47,T_Equipos[NombreEquipo],0)))</f>
        <v>1</v>
      </c>
      <c r="BT47" s="734" t="str">
        <f ca="1">IF(COUNTIFS($BS$6:$BS$53,BS47,$BC$6:$BC$53,INDEX(T_Equipos[Grupo],MATCH(BD47,T_Equipos[NombreEquipo],0)))=1,"-","P."&amp;BS47&amp;" ("&amp;COUNTIFS($BS$6:$BS$53,BS47,$BC$6:$BC$53,INDEX(T_Equipos[Grupo],MATCH(BD47,T_Equipos[NombreEquipo],0)))&amp;")")</f>
        <v>P.1 (4)</v>
      </c>
      <c r="BU47" s="735">
        <f t="shared" ca="1" si="36"/>
        <v>0</v>
      </c>
      <c r="BV47" s="735">
        <f t="shared" ca="1" si="37"/>
        <v>0</v>
      </c>
      <c r="BW47" s="735">
        <f t="shared" ca="1" si="38"/>
        <v>0</v>
      </c>
      <c r="BX47" s="735">
        <f t="shared" ca="1" si="39"/>
        <v>0</v>
      </c>
      <c r="BY47" s="735">
        <f ca="1">BS47+COUNTIFS($BT$6:$BT$53,BT47,$BX$6:BX$53,"&gt;"&amp;BX47,$BC$6:$BC$53,INDEX(T_Equipos[Grupo],MATCH(BD47,T_Equipos[NombreEquipo],0)))</f>
        <v>1</v>
      </c>
      <c r="BZ47" s="734" t="str">
        <f ca="1">IF(COUNTIFS($BY$6:$BY$53,BY47,$BC$6:$BC$53,INDEX(T_Equipos[Grupo],MATCH(BD47,T_Equipos[NombreEquipo],0)))=1,"-","P."&amp;BY47&amp;" ("&amp;COUNTIFS($BY$6:$BY$53,BY47,$BC$6:$BC$53,INDEX(T_Equipos[Grupo],MATCH(BD47,T_Equipos[NombreEquipo],0)))&amp;")")</f>
        <v>P.1 (4)</v>
      </c>
      <c r="CA47" s="735">
        <f t="shared" ca="1" si="40"/>
        <v>0</v>
      </c>
      <c r="CB47" s="735">
        <f t="shared" ca="1" si="41"/>
        <v>0</v>
      </c>
      <c r="CC47" s="735">
        <f t="shared" ca="1" si="42"/>
        <v>0</v>
      </c>
      <c r="CD47" s="735">
        <f ca="1">BY47+COUNTIFS($BZ$6:$BZ$53,BZ47,$CC$6:CC$53,"&gt;"&amp;CC47,$BC$6:$BC$53,INDEX(T_Equipos[Grupo],MATCH(BD47,T_Equipos[NombreEquipo],0)))</f>
        <v>1</v>
      </c>
      <c r="CE47" s="734" t="str">
        <f ca="1">IF(COUNTIFS($CD$6:$CD$53,CD47,$BC$6:$BC$53,INDEX(T_Equipos[Grupo],MATCH(BD47,T_Equipos[NombreEquipo],0)))=1,"-","P."&amp;CD47&amp;" ("&amp;COUNTIFS($CD$6:$CD$53,CD47,$BC$6:$BC$53,INDEX(T_Equipos[Grupo],MATCH(BD47,T_Equipos[NombreEquipo],0)))&amp;")")</f>
        <v>P.1 (4)</v>
      </c>
      <c r="CF47" s="735">
        <f t="shared" ca="1" si="43"/>
        <v>0</v>
      </c>
      <c r="CG47" s="735">
        <f ca="1">CD47+COUNTIFS($CE$6:$CE$53,CE47,$CF$6:CF$53,"&gt;"&amp;CF47,$BC$6:$BC$53,INDEX(T_Equipos[Grupo],MATCH(BD47,T_Equipos[NombreEquipo],0)))</f>
        <v>1</v>
      </c>
      <c r="CH47" s="734" t="str">
        <f ca="1">IF(COUNTIFS($CG$6:$CG$53,CG47,$BC$6:$BC$53,INDEX(T_Equipos[Grupo],MATCH(BD47,T_Equipos[NombreEquipo],0)))=1,"-","P."&amp;CG47&amp;" ("&amp;COUNTIFS($CG$6:$CG$53,CG47,$BC$6:$BC$53,INDEX(T_Equipos[Grupo],MATCH(BD47,T_Equipos[NombreEquipo],0)))&amp;")")</f>
        <v>P.1 (4)</v>
      </c>
      <c r="CI47" s="735">
        <f t="shared" ca="1" si="44"/>
        <v>0</v>
      </c>
      <c r="CJ47" s="735">
        <f t="shared" ca="1" si="45"/>
        <v>0</v>
      </c>
      <c r="CK47" s="735">
        <f t="shared" ca="1" si="46"/>
        <v>0</v>
      </c>
      <c r="CL47" s="735">
        <f t="shared" ca="1" si="47"/>
        <v>0</v>
      </c>
      <c r="CM47" s="735">
        <f ca="1">CG47+COUNTIFS($CH$6:$CH$53,CH47,$CL$6:CL$53,"&gt;"&amp;CL47,$BC$6:$BC$53,INDEX(T_Equipos[Grupo],MATCH(BD47,T_Equipos[NombreEquipo],0)))</f>
        <v>1</v>
      </c>
      <c r="CN47" s="734" t="str">
        <f ca="1">IF(COUNTIFS($CM$6:$CM$53,CM47,$BC$6:$BC$53,INDEX(T_Equipos[Grupo],MATCH(BD47,T_Equipos[NombreEquipo],0)))=1,"-","P."&amp;CM47&amp;" ("&amp;COUNTIFS($CM$6:$CM$53,CM47,$BC$6:$BC$53,INDEX(T_Equipos[Grupo],MATCH(BD47,T_Equipos[NombreEquipo],0)))&amp;")")</f>
        <v>P.1 (4)</v>
      </c>
      <c r="CO47" s="735">
        <f t="shared" ca="1" si="48"/>
        <v>0</v>
      </c>
      <c r="CP47" s="735">
        <f t="shared" ca="1" si="49"/>
        <v>0</v>
      </c>
      <c r="CQ47" s="735">
        <f t="shared" ca="1" si="50"/>
        <v>0</v>
      </c>
      <c r="CR47" s="735">
        <f ca="1">CM47+COUNTIFS($CN$6:$CN$53,CN47,$CQ$6:CQ$53,"&gt;"&amp;CQ47,$BC$6:$BC$53,INDEX(T_Equipos[Grupo],MATCH(BD47,T_Equipos[NombreEquipo],0)))</f>
        <v>1</v>
      </c>
      <c r="CS47" s="734" t="str">
        <f ca="1">IF(COUNTIFS($CR$6:$CR$53,CR47,$BC$6:$BC$53,INDEX(T_Equipos[Grupo],MATCH(BD47,T_Equipos[NombreEquipo],0)))=1,"-","P."&amp;CR47&amp;" ("&amp;COUNTIFS($CR$6:$CR$53,CR47,$BC$6:$BC$53,INDEX(T_Equipos[Grupo],MATCH(BD47,T_Equipos[NombreEquipo],0)))&amp;")")</f>
        <v>P.1 (4)</v>
      </c>
      <c r="CT47" s="735">
        <f t="shared" ca="1" si="51"/>
        <v>0</v>
      </c>
      <c r="CU47" s="735">
        <f ca="1">CR47+COUNTIFS($CS$6:$CS$53,CS47,$CT$6:CT$53,"&gt;"&amp;CT47,$BC$6:$BC$53,INDEX(T_Equipos[Grupo],MATCH(BD47,T_Equipos[NombreEquipo],0)))</f>
        <v>1</v>
      </c>
      <c r="CV47" s="734" t="str">
        <f ca="1">IF(COUNTIFS($CU$6:$CU$53,CU47,$BC$6:$BC$53,INDEX(T_Equipos[Grupo],MATCH(BD47,T_Equipos[NombreEquipo],0)))=1,"-","P."&amp;CU47&amp;" ("&amp;COUNTIFS($CU$6:$CU$53,CU47,$BC$6:$BC$53,INDEX(T_Equipos[Grupo],MATCH(BD47,T_Equipos[NombreEquipo],0)))&amp;")")</f>
        <v>P.1 (4)</v>
      </c>
      <c r="CW47" s="734">
        <f t="shared" ca="1" si="30"/>
        <v>0</v>
      </c>
      <c r="CX47" s="734">
        <f ca="1">CU47+COUNTIFS($CV$6:$CV$53,CV47,$CW$6:CW$53,"&gt;"&amp;CW47,$BC$6:$BC$53,INDEX(T_Equipos[Grupo],MATCH(BD47,T_Equipos[NombreEquipo],0)))</f>
        <v>1</v>
      </c>
      <c r="CY47" s="734" t="str">
        <f ca="1">IF(COUNTIFS($CX$6:$CX$53,CX47,$BC$6:$BC$53,INDEX(T_Equipos[Grupo],MATCH(BD47,T_Equipos[NombreEquipo],0)))=1,"-","P."&amp;CX47&amp;" ("&amp;COUNTIFS($CX$6:$CX$53,CX47,$BC$6:$BC$53,INDEX(T_Equipos[Grupo],MATCH(BD47,T_Equipos[NombreEquipo],0)))&amp;")")</f>
        <v>P.1 (4)</v>
      </c>
      <c r="CZ47" s="734">
        <f t="shared" ca="1" si="31"/>
        <v>0</v>
      </c>
      <c r="DA47" s="735">
        <f ca="1">CX47+COUNTIFS($CY$6:$CY$53,CY47,$CZ$6:CZ$53,"&gt;"&amp;CZ47,$BC$6:$BC$53,INDEX(T_Equipos[Grupo],MATCH(BD47,T_Equipos[NombreEquipo],0)))</f>
        <v>1</v>
      </c>
      <c r="DB47" s="734" t="str">
        <f ca="1">IF(COUNTIFS($DA$6:$DA$53,DA47,$BC$6:$BC$53,INDEX(T_Equipos[Grupo],MATCH(BD47,T_Equipos[NombreEquipo],0)))=1,"-","P."&amp;DA47&amp;" ("&amp;COUNTIFS($DA$6:$DA$53,DA47,$BC$6:$BC$53,INDEX(T_Equipos[Grupo],MATCH(BD47,T_Equipos[NombreEquipo],0)))&amp;")")</f>
        <v>P.1 (4)</v>
      </c>
      <c r="DC47" s="733">
        <f ca="1">IF(DB47="-","-",COUNTIFS(T_Equipos[Rank],"&lt;"&amp;INDEX(T_Equipos[Rank],MATCH(BD47,T_Equipos[NombreEquipo],0)),$BC$6:$BC$53,INDEX(T_Equipos[Grupo],MATCH(BD47,T_Equipos[NombreEquipo],0)))+1)</f>
        <v>2</v>
      </c>
      <c r="DD47" s="733">
        <f ca="1">DA47+COUNTIFS($DB$6:$DB$53,DB47,$DC$6:DC$53,"&lt;"&amp;DC47,$BC$6:$BC$53,INDEX(T_Equipos[Grupo],MATCH(BD47,T_Equipos[NombreEquipo],0)))</f>
        <v>2</v>
      </c>
      <c r="DE47" s="733"/>
      <c r="DF47" s="733">
        <f t="shared" ca="1" si="52"/>
        <v>2</v>
      </c>
      <c r="DG47" s="733">
        <f ca="1">IF(DB47="-","-",COUNTIFS(DF$6:DF$53,"&lt;"&amp;DF47,$BC$6:$BC$53,INDEX(T_Equipos[Grupo],MATCH(BD47,T_Equipos[NombreEquipo],0))))</f>
        <v>1</v>
      </c>
      <c r="DH47" s="733">
        <f ca="1">DA47+COUNTIFS(DB$6:DB$53,DB47,DG$6:DG$53,"&lt;"&amp;DG47,$BC$6:$BC$53,INDEX(T_Equipos[Grupo],MATCH(BD47,T_Equipos[NombreEquipo],0)))</f>
        <v>2</v>
      </c>
      <c r="DI47" s="721"/>
      <c r="DJ47" s="721">
        <f t="shared" ca="1" si="53"/>
        <v>1</v>
      </c>
      <c r="DK47" s="721">
        <f t="shared" ca="1" si="24"/>
        <v>0</v>
      </c>
      <c r="DL47" s="721">
        <f t="shared" ca="1" si="33"/>
        <v>1</v>
      </c>
      <c r="DM47" s="715" t="str">
        <f t="shared" ca="1" si="34"/>
        <v>1.1</v>
      </c>
      <c r="DN47" s="721" cm="1">
        <f t="array" aca="1" ref="DN47" ca="1">OFFSET(Horarios!$P$3,DJ47-1,0,DL47,1)</f>
        <v>1</v>
      </c>
      <c r="DO47" s="721"/>
      <c r="DP47" s="721" t="s">
        <v>680</v>
      </c>
      <c r="DQ47" s="721" t="str">
        <f t="shared" ca="1" si="35"/>
        <v>RD Congo</v>
      </c>
      <c r="DR47" s="721"/>
      <c r="DS47" s="721"/>
      <c r="DT47" s="721" t="str">
        <f t="shared" ca="1" si="15"/>
        <v>Túnez-Japón</v>
      </c>
      <c r="DU47" s="721"/>
      <c r="DV47" s="721"/>
      <c r="DW47" s="8"/>
    </row>
    <row r="48" spans="1:127" ht="15.95" customHeight="1">
      <c r="A48" s="722" t="str">
        <f ca="1">+Equipos!B25</f>
        <v>Túnez</v>
      </c>
      <c r="B48" s="719"/>
      <c r="C48" s="721"/>
      <c r="D48" s="721" t="str">
        <f t="shared" si="136"/>
        <v>Pendiente</v>
      </c>
      <c r="E48" s="721" t="str">
        <f t="shared" si="137"/>
        <v>-</v>
      </c>
      <c r="F48" s="721" t="str">
        <f t="shared" si="138"/>
        <v>-</v>
      </c>
      <c r="G48" s="721"/>
      <c r="H48" s="721" t="str">
        <f t="shared" si="139"/>
        <v>-</v>
      </c>
      <c r="I48" s="721" t="str">
        <f t="shared" si="140"/>
        <v>-</v>
      </c>
      <c r="J48" s="721"/>
      <c r="K48" s="721" t="str">
        <f t="shared" si="141"/>
        <v>-</v>
      </c>
      <c r="L48" s="721" t="str">
        <f t="shared" si="142"/>
        <v>-</v>
      </c>
      <c r="M48" s="721"/>
      <c r="N48" s="721" t="str">
        <f t="shared" si="143"/>
        <v>-</v>
      </c>
      <c r="O48" s="721" t="str">
        <f t="shared" si="144"/>
        <v>-</v>
      </c>
      <c r="P48" s="721"/>
      <c r="Q48" s="721" t="str">
        <f t="shared" si="145"/>
        <v>-</v>
      </c>
      <c r="R48" s="721" t="str">
        <f t="shared" si="146"/>
        <v>-</v>
      </c>
      <c r="S48" s="721"/>
      <c r="T48" s="721" t="str">
        <f t="shared" si="147"/>
        <v>-</v>
      </c>
      <c r="U48" s="721" t="str">
        <f t="shared" si="148"/>
        <v>-</v>
      </c>
      <c r="V48" s="162"/>
      <c r="W48" s="837"/>
      <c r="X48" s="179">
        <f ca="1">Horarios!C48</f>
        <v>46199.041666666664</v>
      </c>
      <c r="Y48" s="180">
        <f ca="1">Horarios!C48</f>
        <v>46199.041666666664</v>
      </c>
      <c r="Z48" s="181" t="str">
        <f>$Z$8</f>
        <v>J3</v>
      </c>
      <c r="AA48" s="182" t="str">
        <f ca="1">A46</f>
        <v>Japón</v>
      </c>
      <c r="AB48" s="457" t="str" cm="1">
        <f t="array" aca="1" ref="AB48" ca="1">Ver_flag_local</f>
        <v/>
      </c>
      <c r="AC48" s="183"/>
      <c r="AD48" s="184"/>
      <c r="AE48" s="462" t="str" cm="1">
        <f t="array" aca="1" ref="AE48" ca="1">Ver_flag_visit</f>
        <v/>
      </c>
      <c r="AF48" s="185" t="str">
        <f ca="1">A47</f>
        <v>Suecia</v>
      </c>
      <c r="AG48" s="396">
        <f t="shared" si="149"/>
        <v>0</v>
      </c>
      <c r="AH48" s="186">
        <v>57</v>
      </c>
      <c r="AI48" s="15" t="str">
        <f t="shared" si="154"/>
        <v>3F</v>
      </c>
      <c r="AJ48" s="211">
        <v>3</v>
      </c>
      <c r="AK48" s="465" t="str" cm="1">
        <f t="array" aca="1" ref="AK48" ca="1">Ver_flag_visit</f>
        <v/>
      </c>
      <c r="AL48" s="212" t="str">
        <f ca="1">IFERROR(INDEX($BD$6:$BD$53,MATCH(AI48,$BN$6:$BN$53,0)),"")</f>
        <v>Suecia</v>
      </c>
      <c r="AM48" s="213">
        <f t="shared" ca="1" si="153"/>
        <v>0</v>
      </c>
      <c r="AN48" s="214">
        <f t="shared" ca="1" si="153"/>
        <v>0</v>
      </c>
      <c r="AO48" s="214">
        <f t="shared" ca="1" si="153"/>
        <v>0</v>
      </c>
      <c r="AP48" s="214">
        <f t="shared" ca="1" si="153"/>
        <v>0</v>
      </c>
      <c r="AQ48" s="214">
        <f t="shared" ca="1" si="153"/>
        <v>0</v>
      </c>
      <c r="AR48" s="214">
        <f t="shared" ca="1" si="153"/>
        <v>0</v>
      </c>
      <c r="AS48" s="214">
        <f t="shared" ca="1" si="153"/>
        <v>0</v>
      </c>
      <c r="AT48" s="215">
        <f t="shared" ca="1" si="153"/>
        <v>0</v>
      </c>
      <c r="AU48" s="403">
        <f ca="1">INDEX($DL$6:$DL$53,MATCH(AI48,$DP$6:$DP$53,0))</f>
        <v>1</v>
      </c>
      <c r="AV48" s="207" t="str">
        <f ca="1">INDEX($BD$6:$BD$53,MATCH(AI48,$BM$6:$BM$53,0))</f>
        <v>Suecia</v>
      </c>
      <c r="AW48" s="410"/>
      <c r="AX48" s="208"/>
      <c r="AY48" s="209" t="str">
        <f ca="1">+A47</f>
        <v>Suecia</v>
      </c>
      <c r="AZ48" s="210"/>
      <c r="BA48" s="165"/>
      <c r="BB48" s="721"/>
      <c r="BC48" s="733" t="str">
        <f ca="1">+INDEX(T_Equipos[Grupo],MATCH(WORLDCUP!BD48,T_Equipos[NombreEquipo],0))</f>
        <v>K</v>
      </c>
      <c r="BD48" s="721" t="str">
        <f ca="1">+Equipos!B44</f>
        <v>Uzbekistán</v>
      </c>
      <c r="BE48" s="725">
        <f t="shared" ca="1" si="25"/>
        <v>0</v>
      </c>
      <c r="BF48" s="725">
        <f t="shared" ca="1" si="26"/>
        <v>0</v>
      </c>
      <c r="BG48" s="725">
        <f t="shared" ca="1" si="17"/>
        <v>0</v>
      </c>
      <c r="BH48" s="725">
        <f t="shared" ca="1" si="18"/>
        <v>0</v>
      </c>
      <c r="BI48" s="725">
        <f t="shared" ca="1" si="19"/>
        <v>0</v>
      </c>
      <c r="BJ48" s="725">
        <f t="shared" ca="1" si="20"/>
        <v>0</v>
      </c>
      <c r="BK48" s="725">
        <f t="shared" ca="1" si="21"/>
        <v>0</v>
      </c>
      <c r="BL48" s="725">
        <f t="shared" ca="1" si="27"/>
        <v>0</v>
      </c>
      <c r="BM48" s="725" t="str">
        <f t="shared" ca="1" si="22"/>
        <v>3K</v>
      </c>
      <c r="BN48" s="725" t="str">
        <f t="shared" ca="1" si="23"/>
        <v>3K</v>
      </c>
      <c r="BO48" s="734">
        <f t="shared" ca="1" si="28"/>
        <v>0</v>
      </c>
      <c r="BP48" s="734">
        <f ca="1">COUNTIFS($BO$6:$BO$53,"&gt;"&amp;BO48,$BC$6:$BC$53,INDEX(T_Equipos[Grupo],MATCH(BD48,T_Equipos[NombreEquipo],0)))+1</f>
        <v>1</v>
      </c>
      <c r="BQ48" s="734" t="str">
        <f ca="1">IF(COUNTIFS($BP$6:$BP$53,BP48,$BC$6:$BC$53,INDEX(T_Equipos[Grupo],MATCH(BD48,T_Equipos[NombreEquipo],0)))=1,"-","P."&amp;BP48&amp;" ("&amp;COUNTIFS($BP$6:$BP$53,BP48,$BC$6:$BC$53,INDEX(T_Equipos[Grupo],MATCH(BD48,T_Equipos[NombreEquipo],0)))&amp;")")</f>
        <v>P.1 (4)</v>
      </c>
      <c r="BR48" s="734">
        <f t="shared" ca="1" si="29"/>
        <v>0</v>
      </c>
      <c r="BS48" s="734">
        <f ca="1">BP48+COUNTIFS($BQ$6:$BQ$53,BQ48,$BR$6:BR$53,"&gt;"&amp;BR48,$BC$6:$BC$53,INDEX(T_Equipos[Grupo],MATCH(BD48,T_Equipos[NombreEquipo],0)))</f>
        <v>1</v>
      </c>
      <c r="BT48" s="734" t="str">
        <f ca="1">IF(COUNTIFS($BS$6:$BS$53,BS48,$BC$6:$BC$53,INDEX(T_Equipos[Grupo],MATCH(BD48,T_Equipos[NombreEquipo],0)))=1,"-","P."&amp;BS48&amp;" ("&amp;COUNTIFS($BS$6:$BS$53,BS48,$BC$6:$BC$53,INDEX(T_Equipos[Grupo],MATCH(BD48,T_Equipos[NombreEquipo],0)))&amp;")")</f>
        <v>P.1 (4)</v>
      </c>
      <c r="BU48" s="735">
        <f t="shared" ca="1" si="36"/>
        <v>0</v>
      </c>
      <c r="BV48" s="735">
        <f t="shared" ca="1" si="37"/>
        <v>0</v>
      </c>
      <c r="BW48" s="735">
        <f t="shared" ca="1" si="38"/>
        <v>0</v>
      </c>
      <c r="BX48" s="735">
        <f t="shared" ca="1" si="39"/>
        <v>0</v>
      </c>
      <c r="BY48" s="735">
        <f ca="1">BS48+COUNTIFS($BT$6:$BT$53,BT48,$BX$6:BX$53,"&gt;"&amp;BX48,$BC$6:$BC$53,INDEX(T_Equipos[Grupo],MATCH(BD48,T_Equipos[NombreEquipo],0)))</f>
        <v>1</v>
      </c>
      <c r="BZ48" s="734" t="str">
        <f ca="1">IF(COUNTIFS($BY$6:$BY$53,BY48,$BC$6:$BC$53,INDEX(T_Equipos[Grupo],MATCH(BD48,T_Equipos[NombreEquipo],0)))=1,"-","P."&amp;BY48&amp;" ("&amp;COUNTIFS($BY$6:$BY$53,BY48,$BC$6:$BC$53,INDEX(T_Equipos[Grupo],MATCH(BD48,T_Equipos[NombreEquipo],0)))&amp;")")</f>
        <v>P.1 (4)</v>
      </c>
      <c r="CA48" s="735">
        <f t="shared" ca="1" si="40"/>
        <v>0</v>
      </c>
      <c r="CB48" s="735">
        <f t="shared" ca="1" si="41"/>
        <v>0</v>
      </c>
      <c r="CC48" s="735">
        <f t="shared" ca="1" si="42"/>
        <v>0</v>
      </c>
      <c r="CD48" s="735">
        <f ca="1">BY48+COUNTIFS($BZ$6:$BZ$53,BZ48,$CC$6:CC$53,"&gt;"&amp;CC48,$BC$6:$BC$53,INDEX(T_Equipos[Grupo],MATCH(BD48,T_Equipos[NombreEquipo],0)))</f>
        <v>1</v>
      </c>
      <c r="CE48" s="734" t="str">
        <f ca="1">IF(COUNTIFS($CD$6:$CD$53,CD48,$BC$6:$BC$53,INDEX(T_Equipos[Grupo],MATCH(BD48,T_Equipos[NombreEquipo],0)))=1,"-","P."&amp;CD48&amp;" ("&amp;COUNTIFS($CD$6:$CD$53,CD48,$BC$6:$BC$53,INDEX(T_Equipos[Grupo],MATCH(BD48,T_Equipos[NombreEquipo],0)))&amp;")")</f>
        <v>P.1 (4)</v>
      </c>
      <c r="CF48" s="735">
        <f t="shared" ca="1" si="43"/>
        <v>0</v>
      </c>
      <c r="CG48" s="735">
        <f ca="1">CD48+COUNTIFS($CE$6:$CE$53,CE48,$CF$6:CF$53,"&gt;"&amp;CF48,$BC$6:$BC$53,INDEX(T_Equipos[Grupo],MATCH(BD48,T_Equipos[NombreEquipo],0)))</f>
        <v>1</v>
      </c>
      <c r="CH48" s="734" t="str">
        <f ca="1">IF(COUNTIFS($CG$6:$CG$53,CG48,$BC$6:$BC$53,INDEX(T_Equipos[Grupo],MATCH(BD48,T_Equipos[NombreEquipo],0)))=1,"-","P."&amp;CG48&amp;" ("&amp;COUNTIFS($CG$6:$CG$53,CG48,$BC$6:$BC$53,INDEX(T_Equipos[Grupo],MATCH(BD48,T_Equipos[NombreEquipo],0)))&amp;")")</f>
        <v>P.1 (4)</v>
      </c>
      <c r="CI48" s="735">
        <f t="shared" ca="1" si="44"/>
        <v>0</v>
      </c>
      <c r="CJ48" s="735">
        <f t="shared" ca="1" si="45"/>
        <v>0</v>
      </c>
      <c r="CK48" s="735">
        <f t="shared" ca="1" si="46"/>
        <v>0</v>
      </c>
      <c r="CL48" s="735">
        <f t="shared" ca="1" si="47"/>
        <v>0</v>
      </c>
      <c r="CM48" s="735">
        <f ca="1">CG48+COUNTIFS($CH$6:$CH$53,CH48,$CL$6:CL$53,"&gt;"&amp;CL48,$BC$6:$BC$53,INDEX(T_Equipos[Grupo],MATCH(BD48,T_Equipos[NombreEquipo],0)))</f>
        <v>1</v>
      </c>
      <c r="CN48" s="734" t="str">
        <f ca="1">IF(COUNTIFS($CM$6:$CM$53,CM48,$BC$6:$BC$53,INDEX(T_Equipos[Grupo],MATCH(BD48,T_Equipos[NombreEquipo],0)))=1,"-","P."&amp;CM48&amp;" ("&amp;COUNTIFS($CM$6:$CM$53,CM48,$BC$6:$BC$53,INDEX(T_Equipos[Grupo],MATCH(BD48,T_Equipos[NombreEquipo],0)))&amp;")")</f>
        <v>P.1 (4)</v>
      </c>
      <c r="CO48" s="735">
        <f t="shared" ca="1" si="48"/>
        <v>0</v>
      </c>
      <c r="CP48" s="735">
        <f t="shared" ca="1" si="49"/>
        <v>0</v>
      </c>
      <c r="CQ48" s="735">
        <f t="shared" ca="1" si="50"/>
        <v>0</v>
      </c>
      <c r="CR48" s="735">
        <f ca="1">CM48+COUNTIFS($CN$6:$CN$53,CN48,$CQ$6:CQ$53,"&gt;"&amp;CQ48,$BC$6:$BC$53,INDEX(T_Equipos[Grupo],MATCH(BD48,T_Equipos[NombreEquipo],0)))</f>
        <v>1</v>
      </c>
      <c r="CS48" s="734" t="str">
        <f ca="1">IF(COUNTIFS($CR$6:$CR$53,CR48,$BC$6:$BC$53,INDEX(T_Equipos[Grupo],MATCH(BD48,T_Equipos[NombreEquipo],0)))=1,"-","P."&amp;CR48&amp;" ("&amp;COUNTIFS($CR$6:$CR$53,CR48,$BC$6:$BC$53,INDEX(T_Equipos[Grupo],MATCH(BD48,T_Equipos[NombreEquipo],0)))&amp;")")</f>
        <v>P.1 (4)</v>
      </c>
      <c r="CT48" s="735">
        <f t="shared" ca="1" si="51"/>
        <v>0</v>
      </c>
      <c r="CU48" s="735">
        <f ca="1">CR48+COUNTIFS($CS$6:$CS$53,CS48,$CT$6:CT$53,"&gt;"&amp;CT48,$BC$6:$BC$53,INDEX(T_Equipos[Grupo],MATCH(BD48,T_Equipos[NombreEquipo],0)))</f>
        <v>1</v>
      </c>
      <c r="CV48" s="734" t="str">
        <f ca="1">IF(COUNTIFS($CU$6:$CU$53,CU48,$BC$6:$BC$53,INDEX(T_Equipos[Grupo],MATCH(BD48,T_Equipos[NombreEquipo],0)))=1,"-","P."&amp;CU48&amp;" ("&amp;COUNTIFS($CU$6:$CU$53,CU48,$BC$6:$BC$53,INDEX(T_Equipos[Grupo],MATCH(BD48,T_Equipos[NombreEquipo],0)))&amp;")")</f>
        <v>P.1 (4)</v>
      </c>
      <c r="CW48" s="734">
        <f t="shared" ca="1" si="30"/>
        <v>0</v>
      </c>
      <c r="CX48" s="734">
        <f ca="1">CU48+COUNTIFS($CV$6:$CV$53,CV48,$CW$6:CW$53,"&gt;"&amp;CW48,$BC$6:$BC$53,INDEX(T_Equipos[Grupo],MATCH(BD48,T_Equipos[NombreEquipo],0)))</f>
        <v>1</v>
      </c>
      <c r="CY48" s="734" t="str">
        <f ca="1">IF(COUNTIFS($CX$6:$CX$53,CX48,$BC$6:$BC$53,INDEX(T_Equipos[Grupo],MATCH(BD48,T_Equipos[NombreEquipo],0)))=1,"-","P."&amp;CX48&amp;" ("&amp;COUNTIFS($CX$6:$CX$53,CX48,$BC$6:$BC$53,INDEX(T_Equipos[Grupo],MATCH(BD48,T_Equipos[NombreEquipo],0)))&amp;")")</f>
        <v>P.1 (4)</v>
      </c>
      <c r="CZ48" s="734">
        <f t="shared" ca="1" si="31"/>
        <v>0</v>
      </c>
      <c r="DA48" s="735">
        <f ca="1">CX48+COUNTIFS($CY$6:$CY$53,CY48,$CZ$6:CZ$53,"&gt;"&amp;CZ48,$BC$6:$BC$53,INDEX(T_Equipos[Grupo],MATCH(BD48,T_Equipos[NombreEquipo],0)))</f>
        <v>1</v>
      </c>
      <c r="DB48" s="734" t="str">
        <f ca="1">IF(COUNTIFS($DA$6:$DA$53,DA48,$BC$6:$BC$53,INDEX(T_Equipos[Grupo],MATCH(BD48,T_Equipos[NombreEquipo],0)))=1,"-","P."&amp;DA48&amp;" ("&amp;COUNTIFS($DA$6:$DA$53,DA48,$BC$6:$BC$53,INDEX(T_Equipos[Grupo],MATCH(BD48,T_Equipos[NombreEquipo],0)))&amp;")")</f>
        <v>P.1 (4)</v>
      </c>
      <c r="DC48" s="733">
        <f ca="1">IF(DB48="-","-",COUNTIFS(T_Equipos[Rank],"&lt;"&amp;INDEX(T_Equipos[Rank],MATCH(BD48,T_Equipos[NombreEquipo],0)),$BC$6:$BC$53,INDEX(T_Equipos[Grupo],MATCH(BD48,T_Equipos[NombreEquipo],0)))+1)</f>
        <v>3</v>
      </c>
      <c r="DD48" s="733">
        <f ca="1">DA48+COUNTIFS($DB$6:$DB$53,DB48,$DC$6:DC$53,"&lt;"&amp;DC48,$BC$6:$BC$53,INDEX(T_Equipos[Grupo],MATCH(BD48,T_Equipos[NombreEquipo],0)))</f>
        <v>3</v>
      </c>
      <c r="DE48" s="733"/>
      <c r="DF48" s="733">
        <f t="shared" ca="1" si="52"/>
        <v>3</v>
      </c>
      <c r="DG48" s="733">
        <f ca="1">IF(DB48="-","-",COUNTIFS(DF$6:DF$53,"&lt;"&amp;DF48,$BC$6:$BC$53,INDEX(T_Equipos[Grupo],MATCH(BD48,T_Equipos[NombreEquipo],0))))</f>
        <v>2</v>
      </c>
      <c r="DH48" s="733">
        <f ca="1">DA48+COUNTIFS(DB$6:DB$53,DB48,DG$6:DG$53,"&lt;"&amp;DG48,$BC$6:$BC$53,INDEX(T_Equipos[Grupo],MATCH(BD48,T_Equipos[NombreEquipo],0)))</f>
        <v>3</v>
      </c>
      <c r="DI48" s="721"/>
      <c r="DJ48" s="721">
        <f t="shared" ca="1" si="53"/>
        <v>1</v>
      </c>
      <c r="DK48" s="721">
        <f t="shared" ca="1" si="24"/>
        <v>0</v>
      </c>
      <c r="DL48" s="721">
        <f t="shared" ca="1" si="33"/>
        <v>1</v>
      </c>
      <c r="DM48" s="715" t="str">
        <f t="shared" ca="1" si="34"/>
        <v>1.1</v>
      </c>
      <c r="DN48" s="721" cm="1">
        <f t="array" aca="1" ref="DN48" ca="1">OFFSET(Horarios!$P$3,DJ48-1,0,DL48,1)</f>
        <v>1</v>
      </c>
      <c r="DO48" s="721"/>
      <c r="DP48" s="721" t="s">
        <v>442</v>
      </c>
      <c r="DQ48" s="721" t="str">
        <f t="shared" ca="1" si="35"/>
        <v>Uzbekistán</v>
      </c>
      <c r="DR48" s="721"/>
      <c r="DS48" s="721"/>
      <c r="DT48" s="721" t="str">
        <f t="shared" ca="1" si="15"/>
        <v>Japón-Suecia</v>
      </c>
      <c r="DU48" s="721"/>
      <c r="DV48" s="721"/>
      <c r="DW48" s="8"/>
    </row>
    <row r="49" spans="1:127" ht="17.100000000000001" customHeight="1" thickBot="1">
      <c r="A49" s="716"/>
      <c r="B49" s="716"/>
      <c r="C49" s="716"/>
      <c r="D49" s="721" t="str">
        <f t="shared" si="136"/>
        <v>Pendiente</v>
      </c>
      <c r="E49" s="721" t="str">
        <f t="shared" si="137"/>
        <v>-</v>
      </c>
      <c r="F49" s="721" t="str">
        <f t="shared" si="138"/>
        <v>-</v>
      </c>
      <c r="G49" s="721"/>
      <c r="H49" s="721" t="str">
        <f t="shared" si="139"/>
        <v>-</v>
      </c>
      <c r="I49" s="721" t="str">
        <f t="shared" si="140"/>
        <v>-</v>
      </c>
      <c r="J49" s="721"/>
      <c r="K49" s="721" t="str">
        <f t="shared" si="141"/>
        <v>-</v>
      </c>
      <c r="L49" s="721" t="str">
        <f t="shared" si="142"/>
        <v>-</v>
      </c>
      <c r="M49" s="721"/>
      <c r="N49" s="721" t="str">
        <f t="shared" si="143"/>
        <v>-</v>
      </c>
      <c r="O49" s="721" t="str">
        <f t="shared" si="144"/>
        <v>-</v>
      </c>
      <c r="P49" s="721"/>
      <c r="Q49" s="721" t="str">
        <f t="shared" si="145"/>
        <v>-</v>
      </c>
      <c r="R49" s="721" t="str">
        <f t="shared" si="146"/>
        <v>-</v>
      </c>
      <c r="S49" s="721"/>
      <c r="T49" s="721" t="str">
        <f t="shared" si="147"/>
        <v>-</v>
      </c>
      <c r="U49" s="721" t="str">
        <f t="shared" si="148"/>
        <v>-</v>
      </c>
      <c r="V49" s="162"/>
      <c r="W49" s="838"/>
      <c r="X49" s="218">
        <f ca="1">Horarios!C49</f>
        <v>46199.041666666664</v>
      </c>
      <c r="Y49" s="219">
        <f ca="1">Horarios!C49</f>
        <v>46199.041666666664</v>
      </c>
      <c r="Z49" s="220" t="str">
        <f>$Z$8</f>
        <v>J3</v>
      </c>
      <c r="AA49" s="221" t="str">
        <f ca="1">A48</f>
        <v>Túnez</v>
      </c>
      <c r="AB49" s="458" t="str" cm="1">
        <f t="array" aca="1" ref="AB49" ca="1">Ver_flag_local</f>
        <v/>
      </c>
      <c r="AC49" s="222"/>
      <c r="AD49" s="223"/>
      <c r="AE49" s="463" t="str" cm="1">
        <f t="array" aca="1" ref="AE49" ca="1">Ver_flag_visit</f>
        <v/>
      </c>
      <c r="AF49" s="224" t="str">
        <f ca="1">A45</f>
        <v>Países Bajos</v>
      </c>
      <c r="AG49" s="396">
        <f t="shared" si="149"/>
        <v>0</v>
      </c>
      <c r="AH49" s="186">
        <v>58</v>
      </c>
      <c r="AI49" s="15" t="str">
        <f t="shared" si="154"/>
        <v>4F</v>
      </c>
      <c r="AJ49" s="225">
        <v>4</v>
      </c>
      <c r="AK49" s="466" t="str" cm="1">
        <f t="array" aca="1" ref="AK49" ca="1">Ver_flag_visit</f>
        <v/>
      </c>
      <c r="AL49" s="226" t="str">
        <f ca="1">IFERROR(INDEX($BD$6:$BD$53,MATCH(AI49,$BN$6:$BN$53,0)),"")</f>
        <v>Túnez</v>
      </c>
      <c r="AM49" s="227">
        <f t="shared" ca="1" si="153"/>
        <v>0</v>
      </c>
      <c r="AN49" s="228">
        <f t="shared" ca="1" si="153"/>
        <v>0</v>
      </c>
      <c r="AO49" s="228">
        <f t="shared" ca="1" si="153"/>
        <v>0</v>
      </c>
      <c r="AP49" s="228">
        <f t="shared" ca="1" si="153"/>
        <v>0</v>
      </c>
      <c r="AQ49" s="228">
        <f t="shared" ca="1" si="153"/>
        <v>0</v>
      </c>
      <c r="AR49" s="228">
        <f t="shared" ca="1" si="153"/>
        <v>0</v>
      </c>
      <c r="AS49" s="228">
        <f t="shared" ca="1" si="153"/>
        <v>0</v>
      </c>
      <c r="AT49" s="229">
        <f t="shared" ca="1" si="153"/>
        <v>0</v>
      </c>
      <c r="AU49" s="403">
        <f ca="1">INDEX($DL$6:$DL$53,MATCH(AI49,$DP$6:$DP$53,0))</f>
        <v>1</v>
      </c>
      <c r="AV49" s="207" t="str">
        <f ca="1">INDEX($BD$6:$BD$53,MATCH(AI49,$BM$6:$BM$53,0))</f>
        <v>Túnez</v>
      </c>
      <c r="AW49" s="410"/>
      <c r="AX49" s="208"/>
      <c r="AY49" s="230" t="str">
        <f ca="1">+A48</f>
        <v>Túnez</v>
      </c>
      <c r="AZ49" s="231"/>
      <c r="BA49" s="165"/>
      <c r="BB49" s="721"/>
      <c r="BC49" s="733" t="str">
        <f ca="1">+INDEX(T_Equipos[Grupo],MATCH(WORLDCUP!BD49,T_Equipos[NombreEquipo],0))</f>
        <v>K</v>
      </c>
      <c r="BD49" s="721" t="str">
        <f ca="1">+Equipos!B45</f>
        <v>Colombia</v>
      </c>
      <c r="BE49" s="725">
        <f t="shared" ca="1" si="25"/>
        <v>0</v>
      </c>
      <c r="BF49" s="725">
        <f t="shared" ca="1" si="26"/>
        <v>0</v>
      </c>
      <c r="BG49" s="725">
        <f t="shared" ca="1" si="17"/>
        <v>0</v>
      </c>
      <c r="BH49" s="725">
        <f t="shared" ca="1" si="18"/>
        <v>0</v>
      </c>
      <c r="BI49" s="725">
        <f t="shared" ca="1" si="19"/>
        <v>0</v>
      </c>
      <c r="BJ49" s="725">
        <f t="shared" ca="1" si="20"/>
        <v>0</v>
      </c>
      <c r="BK49" s="725">
        <f t="shared" ca="1" si="21"/>
        <v>0</v>
      </c>
      <c r="BL49" s="725">
        <f t="shared" ca="1" si="27"/>
        <v>0</v>
      </c>
      <c r="BM49" s="725" t="str">
        <f t="shared" ca="1" si="22"/>
        <v>4K</v>
      </c>
      <c r="BN49" s="725" t="str">
        <f t="shared" ca="1" si="23"/>
        <v>4K</v>
      </c>
      <c r="BO49" s="734">
        <f t="shared" ca="1" si="28"/>
        <v>0</v>
      </c>
      <c r="BP49" s="734">
        <f ca="1">COUNTIFS($BO$6:$BO$53,"&gt;"&amp;BO49,$BC$6:$BC$53,INDEX(T_Equipos[Grupo],MATCH(BD49,T_Equipos[NombreEquipo],0)))+1</f>
        <v>1</v>
      </c>
      <c r="BQ49" s="734" t="str">
        <f ca="1">IF(COUNTIFS($BP$6:$BP$53,BP49,$BC$6:$BC$53,INDEX(T_Equipos[Grupo],MATCH(BD49,T_Equipos[NombreEquipo],0)))=1,"-","P."&amp;BP49&amp;" ("&amp;COUNTIFS($BP$6:$BP$53,BP49,$BC$6:$BC$53,INDEX(T_Equipos[Grupo],MATCH(BD49,T_Equipos[NombreEquipo],0)))&amp;")")</f>
        <v>P.1 (4)</v>
      </c>
      <c r="BR49" s="734">
        <f t="shared" ca="1" si="29"/>
        <v>0</v>
      </c>
      <c r="BS49" s="734">
        <f ca="1">BP49+COUNTIFS($BQ$6:$BQ$53,BQ49,$BR$6:BR$53,"&gt;"&amp;BR49,$BC$6:$BC$53,INDEX(T_Equipos[Grupo],MATCH(BD49,T_Equipos[NombreEquipo],0)))</f>
        <v>1</v>
      </c>
      <c r="BT49" s="734" t="str">
        <f ca="1">IF(COUNTIFS($BS$6:$BS$53,BS49,$BC$6:$BC$53,INDEX(T_Equipos[Grupo],MATCH(BD49,T_Equipos[NombreEquipo],0)))=1,"-","P."&amp;BS49&amp;" ("&amp;COUNTIFS($BS$6:$BS$53,BS49,$BC$6:$BC$53,INDEX(T_Equipos[Grupo],MATCH(BD49,T_Equipos[NombreEquipo],0)))&amp;")")</f>
        <v>P.1 (4)</v>
      </c>
      <c r="BU49" s="735">
        <f t="shared" ca="1" si="36"/>
        <v>0</v>
      </c>
      <c r="BV49" s="735">
        <f t="shared" ca="1" si="37"/>
        <v>0</v>
      </c>
      <c r="BW49" s="735">
        <f t="shared" ca="1" si="38"/>
        <v>0</v>
      </c>
      <c r="BX49" s="735">
        <f t="shared" ca="1" si="39"/>
        <v>0</v>
      </c>
      <c r="BY49" s="735">
        <f ca="1">BS49+COUNTIFS($BT$6:$BT$53,BT49,$BX$6:BX$53,"&gt;"&amp;BX49,$BC$6:$BC$53,INDEX(T_Equipos[Grupo],MATCH(BD49,T_Equipos[NombreEquipo],0)))</f>
        <v>1</v>
      </c>
      <c r="BZ49" s="734" t="str">
        <f ca="1">IF(COUNTIFS($BY$6:$BY$53,BY49,$BC$6:$BC$53,INDEX(T_Equipos[Grupo],MATCH(BD49,T_Equipos[NombreEquipo],0)))=1,"-","P."&amp;BY49&amp;" ("&amp;COUNTIFS($BY$6:$BY$53,BY49,$BC$6:$BC$53,INDEX(T_Equipos[Grupo],MATCH(BD49,T_Equipos[NombreEquipo],0)))&amp;")")</f>
        <v>P.1 (4)</v>
      </c>
      <c r="CA49" s="735">
        <f t="shared" ca="1" si="40"/>
        <v>0</v>
      </c>
      <c r="CB49" s="735">
        <f t="shared" ca="1" si="41"/>
        <v>0</v>
      </c>
      <c r="CC49" s="735">
        <f t="shared" ca="1" si="42"/>
        <v>0</v>
      </c>
      <c r="CD49" s="735">
        <f ca="1">BY49+COUNTIFS($BZ$6:$BZ$53,BZ49,$CC$6:CC$53,"&gt;"&amp;CC49,$BC$6:$BC$53,INDEX(T_Equipos[Grupo],MATCH(BD49,T_Equipos[NombreEquipo],0)))</f>
        <v>1</v>
      </c>
      <c r="CE49" s="734" t="str">
        <f ca="1">IF(COUNTIFS($CD$6:$CD$53,CD49,$BC$6:$BC$53,INDEX(T_Equipos[Grupo],MATCH(BD49,T_Equipos[NombreEquipo],0)))=1,"-","P."&amp;CD49&amp;" ("&amp;COUNTIFS($CD$6:$CD$53,CD49,$BC$6:$BC$53,INDEX(T_Equipos[Grupo],MATCH(BD49,T_Equipos[NombreEquipo],0)))&amp;")")</f>
        <v>P.1 (4)</v>
      </c>
      <c r="CF49" s="735">
        <f t="shared" ca="1" si="43"/>
        <v>0</v>
      </c>
      <c r="CG49" s="735">
        <f ca="1">CD49+COUNTIFS($CE$6:$CE$53,CE49,$CF$6:CF$53,"&gt;"&amp;CF49,$BC$6:$BC$53,INDEX(T_Equipos[Grupo],MATCH(BD49,T_Equipos[NombreEquipo],0)))</f>
        <v>1</v>
      </c>
      <c r="CH49" s="734" t="str">
        <f ca="1">IF(COUNTIFS($CG$6:$CG$53,CG49,$BC$6:$BC$53,INDEX(T_Equipos[Grupo],MATCH(BD49,T_Equipos[NombreEquipo],0)))=1,"-","P."&amp;CG49&amp;" ("&amp;COUNTIFS($CG$6:$CG$53,CG49,$BC$6:$BC$53,INDEX(T_Equipos[Grupo],MATCH(BD49,T_Equipos[NombreEquipo],0)))&amp;")")</f>
        <v>P.1 (4)</v>
      </c>
      <c r="CI49" s="735">
        <f t="shared" ca="1" si="44"/>
        <v>0</v>
      </c>
      <c r="CJ49" s="735">
        <f t="shared" ca="1" si="45"/>
        <v>0</v>
      </c>
      <c r="CK49" s="735">
        <f t="shared" ca="1" si="46"/>
        <v>0</v>
      </c>
      <c r="CL49" s="735">
        <f t="shared" ca="1" si="47"/>
        <v>0</v>
      </c>
      <c r="CM49" s="735">
        <f ca="1">CG49+COUNTIFS($CH$6:$CH$53,CH49,$CL$6:CL$53,"&gt;"&amp;CL49,$BC$6:$BC$53,INDEX(T_Equipos[Grupo],MATCH(BD49,T_Equipos[NombreEquipo],0)))</f>
        <v>1</v>
      </c>
      <c r="CN49" s="734" t="str">
        <f ca="1">IF(COUNTIFS($CM$6:$CM$53,CM49,$BC$6:$BC$53,INDEX(T_Equipos[Grupo],MATCH(BD49,T_Equipos[NombreEquipo],0)))=1,"-","P."&amp;CM49&amp;" ("&amp;COUNTIFS($CM$6:$CM$53,CM49,$BC$6:$BC$53,INDEX(T_Equipos[Grupo],MATCH(BD49,T_Equipos[NombreEquipo],0)))&amp;")")</f>
        <v>P.1 (4)</v>
      </c>
      <c r="CO49" s="735">
        <f t="shared" ca="1" si="48"/>
        <v>0</v>
      </c>
      <c r="CP49" s="735">
        <f t="shared" ca="1" si="49"/>
        <v>0</v>
      </c>
      <c r="CQ49" s="735">
        <f t="shared" ca="1" si="50"/>
        <v>0</v>
      </c>
      <c r="CR49" s="735">
        <f ca="1">CM49+COUNTIFS($CN$6:$CN$53,CN49,$CQ$6:CQ$53,"&gt;"&amp;CQ49,$BC$6:$BC$53,INDEX(T_Equipos[Grupo],MATCH(BD49,T_Equipos[NombreEquipo],0)))</f>
        <v>1</v>
      </c>
      <c r="CS49" s="734" t="str">
        <f ca="1">IF(COUNTIFS($CR$6:$CR$53,CR49,$BC$6:$BC$53,INDEX(T_Equipos[Grupo],MATCH(BD49,T_Equipos[NombreEquipo],0)))=1,"-","P."&amp;CR49&amp;" ("&amp;COUNTIFS($CR$6:$CR$53,CR49,$BC$6:$BC$53,INDEX(T_Equipos[Grupo],MATCH(BD49,T_Equipos[NombreEquipo],0)))&amp;")")</f>
        <v>P.1 (4)</v>
      </c>
      <c r="CT49" s="735">
        <f t="shared" ca="1" si="51"/>
        <v>0</v>
      </c>
      <c r="CU49" s="735">
        <f ca="1">CR49+COUNTIFS($CS$6:$CS$53,CS49,$CT$6:CT$53,"&gt;"&amp;CT49,$BC$6:$BC$53,INDEX(T_Equipos[Grupo],MATCH(BD49,T_Equipos[NombreEquipo],0)))</f>
        <v>1</v>
      </c>
      <c r="CV49" s="734" t="str">
        <f ca="1">IF(COUNTIFS($CU$6:$CU$53,CU49,$BC$6:$BC$53,INDEX(T_Equipos[Grupo],MATCH(BD49,T_Equipos[NombreEquipo],0)))=1,"-","P."&amp;CU49&amp;" ("&amp;COUNTIFS($CU$6:$CU$53,CU49,$BC$6:$BC$53,INDEX(T_Equipos[Grupo],MATCH(BD49,T_Equipos[NombreEquipo],0)))&amp;")")</f>
        <v>P.1 (4)</v>
      </c>
      <c r="CW49" s="734">
        <f t="shared" ca="1" si="30"/>
        <v>0</v>
      </c>
      <c r="CX49" s="734">
        <f ca="1">CU49+COUNTIFS($CV$6:$CV$53,CV49,$CW$6:CW$53,"&gt;"&amp;CW49,$BC$6:$BC$53,INDEX(T_Equipos[Grupo],MATCH(BD49,T_Equipos[NombreEquipo],0)))</f>
        <v>1</v>
      </c>
      <c r="CY49" s="734" t="str">
        <f ca="1">IF(COUNTIFS($CX$6:$CX$53,CX49,$BC$6:$BC$53,INDEX(T_Equipos[Grupo],MATCH(BD49,T_Equipos[NombreEquipo],0)))=1,"-","P."&amp;CX49&amp;" ("&amp;COUNTIFS($CX$6:$CX$53,CX49,$BC$6:$BC$53,INDEX(T_Equipos[Grupo],MATCH(BD49,T_Equipos[NombreEquipo],0)))&amp;")")</f>
        <v>P.1 (4)</v>
      </c>
      <c r="CZ49" s="734">
        <f t="shared" ca="1" si="31"/>
        <v>0</v>
      </c>
      <c r="DA49" s="735">
        <f ca="1">CX49+COUNTIFS($CY$6:$CY$53,CY49,$CZ$6:CZ$53,"&gt;"&amp;CZ49,$BC$6:$BC$53,INDEX(T_Equipos[Grupo],MATCH(BD49,T_Equipos[NombreEquipo],0)))</f>
        <v>1</v>
      </c>
      <c r="DB49" s="734" t="str">
        <f ca="1">IF(COUNTIFS($DA$6:$DA$53,DA49,$BC$6:$BC$53,INDEX(T_Equipos[Grupo],MATCH(BD49,T_Equipos[NombreEquipo],0)))=1,"-","P."&amp;DA49&amp;" ("&amp;COUNTIFS($DA$6:$DA$53,DA49,$BC$6:$BC$53,INDEX(T_Equipos[Grupo],MATCH(BD49,T_Equipos[NombreEquipo],0)))&amp;")")</f>
        <v>P.1 (4)</v>
      </c>
      <c r="DC49" s="733">
        <f ca="1">IF(DB49="-","-",COUNTIFS(T_Equipos[Rank],"&lt;"&amp;INDEX(T_Equipos[Rank],MATCH(BD49,T_Equipos[NombreEquipo],0)),$BC$6:$BC$53,INDEX(T_Equipos[Grupo],MATCH(BD49,T_Equipos[NombreEquipo],0)))+1)</f>
        <v>4</v>
      </c>
      <c r="DD49" s="733">
        <f ca="1">DA49+COUNTIFS($DB$6:$DB$53,DB49,$DC$6:DC$53,"&lt;"&amp;DC49,$BC$6:$BC$53,INDEX(T_Equipos[Grupo],MATCH(BD49,T_Equipos[NombreEquipo],0)))</f>
        <v>4</v>
      </c>
      <c r="DE49" s="733"/>
      <c r="DF49" s="733">
        <f t="shared" ca="1" si="52"/>
        <v>4</v>
      </c>
      <c r="DG49" s="733">
        <f ca="1">IF(DB49="-","-",COUNTIFS(DF$6:DF$53,"&lt;"&amp;DF49,$BC$6:$BC$53,INDEX(T_Equipos[Grupo],MATCH(BD49,T_Equipos[NombreEquipo],0))))</f>
        <v>3</v>
      </c>
      <c r="DH49" s="733">
        <f ca="1">DA49+COUNTIFS(DB$6:DB$53,DB49,DG$6:DG$53,"&lt;"&amp;DG49,$BC$6:$BC$53,INDEX(T_Equipos[Grupo],MATCH(BD49,T_Equipos[NombreEquipo],0)))</f>
        <v>4</v>
      </c>
      <c r="DI49" s="721"/>
      <c r="DJ49" s="721">
        <f t="shared" ca="1" si="53"/>
        <v>1</v>
      </c>
      <c r="DK49" s="721">
        <f t="shared" ca="1" si="24"/>
        <v>0</v>
      </c>
      <c r="DL49" s="721">
        <f t="shared" ca="1" si="33"/>
        <v>1</v>
      </c>
      <c r="DM49" s="715" t="str">
        <f t="shared" ca="1" si="34"/>
        <v>1.1</v>
      </c>
      <c r="DN49" s="721" cm="1">
        <f t="array" aca="1" ref="DN49" ca="1">OFFSET(Horarios!$P$3,DJ49-1,0,DL49,1)</f>
        <v>1</v>
      </c>
      <c r="DO49" s="721"/>
      <c r="DP49" s="721" t="s">
        <v>681</v>
      </c>
      <c r="DQ49" s="721" t="str">
        <f t="shared" ca="1" si="35"/>
        <v>Colombia</v>
      </c>
      <c r="DR49" s="721"/>
      <c r="DS49" s="721"/>
      <c r="DT49" s="721" t="str">
        <f t="shared" ca="1" si="15"/>
        <v>Túnez-Países Bajos</v>
      </c>
      <c r="DU49" s="721"/>
      <c r="DV49" s="721"/>
      <c r="DW49" s="8"/>
    </row>
    <row r="50" spans="1:127" ht="15.75" thickBot="1">
      <c r="A50" s="716"/>
      <c r="B50" s="716"/>
      <c r="C50" s="716"/>
      <c r="D50" s="721" t="str">
        <f t="shared" si="136"/>
        <v>Pendiente</v>
      </c>
      <c r="E50" s="721"/>
      <c r="F50" s="721"/>
      <c r="G50" s="721"/>
      <c r="H50" s="721"/>
      <c r="I50" s="721"/>
      <c r="J50" s="721"/>
      <c r="K50" s="721"/>
      <c r="L50" s="721"/>
      <c r="M50" s="721"/>
      <c r="N50" s="721"/>
      <c r="O50" s="721"/>
      <c r="P50" s="721"/>
      <c r="Q50" s="721"/>
      <c r="R50" s="721"/>
      <c r="S50" s="721"/>
      <c r="T50" s="721"/>
      <c r="U50" s="721"/>
      <c r="V50" s="162"/>
      <c r="W50" s="232"/>
      <c r="X50" s="233"/>
      <c r="Y50" s="232"/>
      <c r="Z50" s="234"/>
      <c r="AA50" s="235"/>
      <c r="AB50" s="461"/>
      <c r="AC50" s="237"/>
      <c r="AD50" s="237"/>
      <c r="AE50" s="461"/>
      <c r="AF50" s="238"/>
      <c r="AG50" s="398"/>
      <c r="AH50" s="186"/>
      <c r="AI50" s="161"/>
      <c r="AJ50" s="239"/>
      <c r="AK50" s="240"/>
      <c r="AL50" s="176"/>
      <c r="AM50" s="241"/>
      <c r="AN50" s="239"/>
      <c r="AO50" s="239"/>
      <c r="AP50" s="239"/>
      <c r="AQ50" s="239"/>
      <c r="AR50" s="239"/>
      <c r="AS50" s="239"/>
      <c r="AT50" s="239"/>
      <c r="AU50" s="403"/>
      <c r="AV50" s="206"/>
      <c r="AW50" s="411"/>
      <c r="AX50" s="208"/>
      <c r="AY50" s="232"/>
      <c r="AZ50" s="233"/>
      <c r="BA50" s="165"/>
      <c r="BB50" s="721"/>
      <c r="BC50" s="733" t="str">
        <f ca="1">+INDEX(T_Equipos[Grupo],MATCH(WORLDCUP!BD50,T_Equipos[NombreEquipo],0))</f>
        <v>L</v>
      </c>
      <c r="BD50" s="721" t="str">
        <f ca="1">+Equipos!B46</f>
        <v>Inglaterra</v>
      </c>
      <c r="BE50" s="725">
        <f t="shared" ca="1" si="25"/>
        <v>0</v>
      </c>
      <c r="BF50" s="725">
        <f t="shared" ca="1" si="26"/>
        <v>0</v>
      </c>
      <c r="BG50" s="725">
        <f t="shared" ca="1" si="17"/>
        <v>0</v>
      </c>
      <c r="BH50" s="725">
        <f t="shared" ca="1" si="18"/>
        <v>0</v>
      </c>
      <c r="BI50" s="725">
        <f t="shared" ca="1" si="19"/>
        <v>0</v>
      </c>
      <c r="BJ50" s="725">
        <f t="shared" ca="1" si="20"/>
        <v>0</v>
      </c>
      <c r="BK50" s="725">
        <f t="shared" ca="1" si="21"/>
        <v>0</v>
      </c>
      <c r="BL50" s="725">
        <f t="shared" ca="1" si="27"/>
        <v>0</v>
      </c>
      <c r="BM50" s="725" t="str">
        <f t="shared" ca="1" si="22"/>
        <v>1L</v>
      </c>
      <c r="BN50" s="725" t="str">
        <f t="shared" ca="1" si="23"/>
        <v>1L</v>
      </c>
      <c r="BO50" s="735">
        <f t="shared" ca="1" si="28"/>
        <v>0</v>
      </c>
      <c r="BP50" s="734">
        <f ca="1">COUNTIFS($BO$6:$BO$53,"&gt;"&amp;BO50,$BC$6:$BC$53,INDEX(T_Equipos[Grupo],MATCH(BD50,T_Equipos[NombreEquipo],0)))+1</f>
        <v>1</v>
      </c>
      <c r="BQ50" s="734" t="str">
        <f ca="1">IF(COUNTIFS($BP$6:$BP$53,BP50,$BC$6:$BC$53,INDEX(T_Equipos[Grupo],MATCH(BD50,T_Equipos[NombreEquipo],0)))=1,"-","P."&amp;BP50&amp;" ("&amp;COUNTIFS($BP$6:$BP$53,BP50,$BC$6:$BC$53,INDEX(T_Equipos[Grupo],MATCH(BD50,T_Equipos[NombreEquipo],0)))&amp;")")</f>
        <v>P.1 (4)</v>
      </c>
      <c r="BR50" s="735">
        <f t="shared" ca="1" si="29"/>
        <v>0</v>
      </c>
      <c r="BS50" s="734">
        <f ca="1">BP50+COUNTIFS($BQ$6:$BQ$53,BQ50,$BR$6:BR$53,"&gt;"&amp;BR50,$BC$6:$BC$53,INDEX(T_Equipos[Grupo],MATCH(BD50,T_Equipos[NombreEquipo],0)))</f>
        <v>1</v>
      </c>
      <c r="BT50" s="734" t="str">
        <f ca="1">IF(COUNTIFS($BS$6:$BS$53,BS50,$BC$6:$BC$53,INDEX(T_Equipos[Grupo],MATCH(BD50,T_Equipos[NombreEquipo],0)))=1,"-","P."&amp;BS50&amp;" ("&amp;COUNTIFS($BS$6:$BS$53,BS50,$BC$6:$BC$53,INDEX(T_Equipos[Grupo],MATCH(BD50,T_Equipos[NombreEquipo],0)))&amp;")")</f>
        <v>P.1 (4)</v>
      </c>
      <c r="BU50" s="735">
        <f t="shared" ca="1" si="36"/>
        <v>0</v>
      </c>
      <c r="BV50" s="735">
        <f t="shared" ca="1" si="37"/>
        <v>0</v>
      </c>
      <c r="BW50" s="735">
        <f t="shared" ca="1" si="38"/>
        <v>0</v>
      </c>
      <c r="BX50" s="735">
        <f t="shared" ca="1" si="39"/>
        <v>0</v>
      </c>
      <c r="BY50" s="735">
        <f ca="1">BS50+COUNTIFS($BT$6:$BT$53,BT50,$BX$6:BX$53,"&gt;"&amp;BX50,$BC$6:$BC$53,INDEX(T_Equipos[Grupo],MATCH(BD50,T_Equipos[NombreEquipo],0)))</f>
        <v>1</v>
      </c>
      <c r="BZ50" s="734" t="str">
        <f ca="1">IF(COUNTIFS($BY$6:$BY$53,BY50,$BC$6:$BC$53,INDEX(T_Equipos[Grupo],MATCH(BD50,T_Equipos[NombreEquipo],0)))=1,"-","P."&amp;BY50&amp;" ("&amp;COUNTIFS($BY$6:$BY$53,BY50,$BC$6:$BC$53,INDEX(T_Equipos[Grupo],MATCH(BD50,T_Equipos[NombreEquipo],0)))&amp;")")</f>
        <v>P.1 (4)</v>
      </c>
      <c r="CA50" s="735">
        <f t="shared" ca="1" si="40"/>
        <v>0</v>
      </c>
      <c r="CB50" s="735">
        <f t="shared" ca="1" si="41"/>
        <v>0</v>
      </c>
      <c r="CC50" s="735">
        <f t="shared" ca="1" si="42"/>
        <v>0</v>
      </c>
      <c r="CD50" s="735">
        <f ca="1">BY50+COUNTIFS($BZ$6:$BZ$53,BZ50,$CC$6:CC$53,"&gt;"&amp;CC50,$BC$6:$BC$53,INDEX(T_Equipos[Grupo],MATCH(BD50,T_Equipos[NombreEquipo],0)))</f>
        <v>1</v>
      </c>
      <c r="CE50" s="734" t="str">
        <f ca="1">IF(COUNTIFS($CD$6:$CD$53,CD50,$BC$6:$BC$53,INDEX(T_Equipos[Grupo],MATCH(BD50,T_Equipos[NombreEquipo],0)))=1,"-","P."&amp;CD50&amp;" ("&amp;COUNTIFS($CD$6:$CD$53,CD50,$BC$6:$BC$53,INDEX(T_Equipos[Grupo],MATCH(BD50,T_Equipos[NombreEquipo],0)))&amp;")")</f>
        <v>P.1 (4)</v>
      </c>
      <c r="CF50" s="735">
        <f t="shared" ca="1" si="43"/>
        <v>0</v>
      </c>
      <c r="CG50" s="735">
        <f ca="1">CD50+COUNTIFS($CE$6:$CE$53,CE50,$CF$6:CF$53,"&gt;"&amp;CF50,$BC$6:$BC$53,INDEX(T_Equipos[Grupo],MATCH(BD50,T_Equipos[NombreEquipo],0)))</f>
        <v>1</v>
      </c>
      <c r="CH50" s="734" t="str">
        <f ca="1">IF(COUNTIFS($CG$6:$CG$53,CG50,$BC$6:$BC$53,INDEX(T_Equipos[Grupo],MATCH(BD50,T_Equipos[NombreEquipo],0)))=1,"-","P."&amp;CG50&amp;" ("&amp;COUNTIFS($CG$6:$CG$53,CG50,$BC$6:$BC$53,INDEX(T_Equipos[Grupo],MATCH(BD50,T_Equipos[NombreEquipo],0)))&amp;")")</f>
        <v>P.1 (4)</v>
      </c>
      <c r="CI50" s="735">
        <f t="shared" ca="1" si="44"/>
        <v>0</v>
      </c>
      <c r="CJ50" s="735">
        <f t="shared" ca="1" si="45"/>
        <v>0</v>
      </c>
      <c r="CK50" s="735">
        <f t="shared" ca="1" si="46"/>
        <v>0</v>
      </c>
      <c r="CL50" s="735">
        <f t="shared" ca="1" si="47"/>
        <v>0</v>
      </c>
      <c r="CM50" s="735">
        <f ca="1">CG50+COUNTIFS($CH$6:$CH$53,CH50,$CL$6:CL$53,"&gt;"&amp;CL50,$BC$6:$BC$53,INDEX(T_Equipos[Grupo],MATCH(BD50,T_Equipos[NombreEquipo],0)))</f>
        <v>1</v>
      </c>
      <c r="CN50" s="734" t="str">
        <f ca="1">IF(COUNTIFS($CM$6:$CM$53,CM50,$BC$6:$BC$53,INDEX(T_Equipos[Grupo],MATCH(BD50,T_Equipos[NombreEquipo],0)))=1,"-","P."&amp;CM50&amp;" ("&amp;COUNTIFS($CM$6:$CM$53,CM50,$BC$6:$BC$53,INDEX(T_Equipos[Grupo],MATCH(BD50,T_Equipos[NombreEquipo],0)))&amp;")")</f>
        <v>P.1 (4)</v>
      </c>
      <c r="CO50" s="735">
        <f t="shared" ca="1" si="48"/>
        <v>0</v>
      </c>
      <c r="CP50" s="735">
        <f t="shared" ca="1" si="49"/>
        <v>0</v>
      </c>
      <c r="CQ50" s="735">
        <f t="shared" ca="1" si="50"/>
        <v>0</v>
      </c>
      <c r="CR50" s="735">
        <f ca="1">CM50+COUNTIFS($CN$6:$CN$53,CN50,$CQ$6:CQ$53,"&gt;"&amp;CQ50,$BC$6:$BC$53,INDEX(T_Equipos[Grupo],MATCH(BD50,T_Equipos[NombreEquipo],0)))</f>
        <v>1</v>
      </c>
      <c r="CS50" s="734" t="str">
        <f ca="1">IF(COUNTIFS($CR$6:$CR$53,CR50,$BC$6:$BC$53,INDEX(T_Equipos[Grupo],MATCH(BD50,T_Equipos[NombreEquipo],0)))=1,"-","P."&amp;CR50&amp;" ("&amp;COUNTIFS($CR$6:$CR$53,CR50,$BC$6:$BC$53,INDEX(T_Equipos[Grupo],MATCH(BD50,T_Equipos[NombreEquipo],0)))&amp;")")</f>
        <v>P.1 (4)</v>
      </c>
      <c r="CT50" s="735">
        <f t="shared" ca="1" si="51"/>
        <v>0</v>
      </c>
      <c r="CU50" s="735">
        <f ca="1">CR50+COUNTIFS($CS$6:$CS$53,CS50,$CT$6:CT$53,"&gt;"&amp;CT50,$BC$6:$BC$53,INDEX(T_Equipos[Grupo],MATCH(BD50,T_Equipos[NombreEquipo],0)))</f>
        <v>1</v>
      </c>
      <c r="CV50" s="734" t="str">
        <f ca="1">IF(COUNTIFS($CU$6:$CU$53,CU50,$BC$6:$BC$53,INDEX(T_Equipos[Grupo],MATCH(BD50,T_Equipos[NombreEquipo],0)))=1,"-","P."&amp;CU50&amp;" ("&amp;COUNTIFS($CU$6:$CU$53,CU50,$BC$6:$BC$53,INDEX(T_Equipos[Grupo],MATCH(BD50,T_Equipos[NombreEquipo],0)))&amp;")")</f>
        <v>P.1 (4)</v>
      </c>
      <c r="CW50" s="734">
        <f t="shared" ca="1" si="30"/>
        <v>0</v>
      </c>
      <c r="CX50" s="734">
        <f ca="1">CU50+COUNTIFS($CV$6:$CV$53,CV50,$CW$6:CW$53,"&gt;"&amp;CW50,$BC$6:$BC$53,INDEX(T_Equipos[Grupo],MATCH(BD50,T_Equipos[NombreEquipo],0)))</f>
        <v>1</v>
      </c>
      <c r="CY50" s="734" t="str">
        <f ca="1">IF(COUNTIFS($CX$6:$CX$53,CX50,$BC$6:$BC$53,INDEX(T_Equipos[Grupo],MATCH(BD50,T_Equipos[NombreEquipo],0)))=1,"-","P."&amp;CX50&amp;" ("&amp;COUNTIFS($CX$6:$CX$53,CX50,$BC$6:$BC$53,INDEX(T_Equipos[Grupo],MATCH(BD50,T_Equipos[NombreEquipo],0)))&amp;")")</f>
        <v>P.1 (4)</v>
      </c>
      <c r="CZ50" s="734">
        <f t="shared" ca="1" si="31"/>
        <v>0</v>
      </c>
      <c r="DA50" s="735">
        <f ca="1">CX50+COUNTIFS($CY$6:$CY$53,CY50,$CZ$6:CZ$53,"&gt;"&amp;CZ50,$BC$6:$BC$53,INDEX(T_Equipos[Grupo],MATCH(BD50,T_Equipos[NombreEquipo],0)))</f>
        <v>1</v>
      </c>
      <c r="DB50" s="734" t="str">
        <f ca="1">IF(COUNTIFS($DA$6:$DA$53,DA50,$BC$6:$BC$53,INDEX(T_Equipos[Grupo],MATCH(BD50,T_Equipos[NombreEquipo],0)))=1,"-","P."&amp;DA50&amp;" ("&amp;COUNTIFS($DA$6:$DA$53,DA50,$BC$6:$BC$53,INDEX(T_Equipos[Grupo],MATCH(BD50,T_Equipos[NombreEquipo],0)))&amp;")")</f>
        <v>P.1 (4)</v>
      </c>
      <c r="DC50" s="733">
        <f ca="1">IF(DB50="-","-",COUNTIFS(T_Equipos[Rank],"&lt;"&amp;INDEX(T_Equipos[Rank],MATCH(BD50,T_Equipos[NombreEquipo],0)),$BC$6:$BC$53,INDEX(T_Equipos[Grupo],MATCH(BD50,T_Equipos[NombreEquipo],0)))+1)</f>
        <v>1</v>
      </c>
      <c r="DD50" s="733">
        <f ca="1">DA50+COUNTIFS($DB$6:$DB$53,DB50,$DC$6:DC$53,"&lt;"&amp;DC50,$BC$6:$BC$53,INDEX(T_Equipos[Grupo],MATCH(BD50,T_Equipos[NombreEquipo],0)))</f>
        <v>1</v>
      </c>
      <c r="DE50" s="733"/>
      <c r="DF50" s="733">
        <f t="shared" ca="1" si="52"/>
        <v>1</v>
      </c>
      <c r="DG50" s="733">
        <f ca="1">IF(DB50="-","-",COUNTIFS(DF$6:DF$53,"&lt;"&amp;DF50,$BC$6:$BC$53,INDEX(T_Equipos[Grupo],MATCH(BD50,T_Equipos[NombreEquipo],0))))</f>
        <v>0</v>
      </c>
      <c r="DH50" s="733">
        <f ca="1">DA50+COUNTIFS(DB$6:DB$53,DB50,DG$6:DG$53,"&lt;"&amp;DG50,$BC$6:$BC$53,INDEX(T_Equipos[Grupo],MATCH(BD50,T_Equipos[NombreEquipo],0)))</f>
        <v>1</v>
      </c>
      <c r="DI50" s="721"/>
      <c r="DJ50" s="721">
        <f t="shared" ca="1" si="53"/>
        <v>1</v>
      </c>
      <c r="DK50" s="721">
        <f t="shared" ca="1" si="24"/>
        <v>0</v>
      </c>
      <c r="DL50" s="721">
        <f t="shared" ca="1" si="33"/>
        <v>1</v>
      </c>
      <c r="DM50" s="715" t="str">
        <f t="shared" ca="1" si="34"/>
        <v>1.1</v>
      </c>
      <c r="DN50" s="721" cm="1">
        <f t="array" aca="1" ref="DN50" ca="1">OFFSET(Horarios!$P$3,DJ50-1,0,DL50,1)</f>
        <v>1</v>
      </c>
      <c r="DO50" s="721"/>
      <c r="DP50" s="721" t="s">
        <v>682</v>
      </c>
      <c r="DQ50" s="721" t="str">
        <f t="shared" ca="1" si="35"/>
        <v>Inglaterra</v>
      </c>
      <c r="DR50" s="721"/>
      <c r="DS50" s="721"/>
      <c r="DT50" s="721" t="str">
        <f t="shared" si="15"/>
        <v>-</v>
      </c>
      <c r="DU50" s="721"/>
      <c r="DV50" s="721"/>
      <c r="DW50" s="8"/>
    </row>
    <row r="51" spans="1:127" ht="15.75" thickBot="1">
      <c r="A51" s="716"/>
      <c r="B51" s="716"/>
      <c r="C51" s="716"/>
      <c r="D51" s="716"/>
      <c r="E51" s="716"/>
      <c r="F51" s="716"/>
      <c r="G51" s="716"/>
      <c r="H51" s="716"/>
      <c r="I51" s="716"/>
      <c r="J51" s="716"/>
      <c r="K51" s="716"/>
      <c r="L51" s="716"/>
      <c r="M51" s="716"/>
      <c r="N51" s="721"/>
      <c r="O51" s="721"/>
      <c r="P51" s="721"/>
      <c r="Q51" s="721"/>
      <c r="R51" s="721"/>
      <c r="S51" s="721"/>
      <c r="T51" s="721"/>
      <c r="U51" s="721"/>
      <c r="V51" s="162"/>
      <c r="W51" s="169"/>
      <c r="X51" s="170" t="str">
        <f>X3</f>
        <v>Fecha</v>
      </c>
      <c r="Y51" s="170" t="str">
        <f>Y3</f>
        <v>Hora</v>
      </c>
      <c r="Z51" s="171" t="str">
        <f>Z3</f>
        <v>Jor.</v>
      </c>
      <c r="AA51" s="172" t="str">
        <f>AA3</f>
        <v>Casa</v>
      </c>
      <c r="AB51" s="171"/>
      <c r="AC51" s="171" t="str">
        <f>AC3</f>
        <v>Gol</v>
      </c>
      <c r="AD51" s="171" t="str">
        <f>AD3</f>
        <v>Gol</v>
      </c>
      <c r="AE51" s="171"/>
      <c r="AF51" s="174" t="str">
        <f>AF3</f>
        <v>Fuera</v>
      </c>
      <c r="AG51" s="397"/>
      <c r="AH51" s="186"/>
      <c r="AI51" s="14"/>
      <c r="AJ51" s="176"/>
      <c r="AK51" s="242"/>
      <c r="AL51" s="176"/>
      <c r="AM51" s="176"/>
      <c r="AN51" s="176"/>
      <c r="AO51" s="176"/>
      <c r="AP51" s="176"/>
      <c r="AQ51" s="176"/>
      <c r="AR51" s="176"/>
      <c r="AS51" s="176"/>
      <c r="AT51" s="176"/>
      <c r="AU51" s="404"/>
      <c r="AV51" s="18"/>
      <c r="AW51" s="412"/>
      <c r="AX51" s="243"/>
      <c r="AY51" s="232"/>
      <c r="AZ51" s="233"/>
      <c r="BA51" s="165"/>
      <c r="BB51" s="721"/>
      <c r="BC51" s="733" t="str">
        <f ca="1">+INDEX(T_Equipos[Grupo],MATCH(WORLDCUP!BD51,T_Equipos[NombreEquipo],0))</f>
        <v>L</v>
      </c>
      <c r="BD51" s="721" t="str">
        <f ca="1">+Equipos!B47</f>
        <v>Croacia</v>
      </c>
      <c r="BE51" s="725">
        <f t="shared" ca="1" si="25"/>
        <v>0</v>
      </c>
      <c r="BF51" s="725">
        <f t="shared" ca="1" si="26"/>
        <v>0</v>
      </c>
      <c r="BG51" s="725">
        <f t="shared" ca="1" si="17"/>
        <v>0</v>
      </c>
      <c r="BH51" s="725">
        <f t="shared" ca="1" si="18"/>
        <v>0</v>
      </c>
      <c r="BI51" s="725">
        <f t="shared" ca="1" si="19"/>
        <v>0</v>
      </c>
      <c r="BJ51" s="725">
        <f t="shared" ca="1" si="20"/>
        <v>0</v>
      </c>
      <c r="BK51" s="725">
        <f t="shared" ca="1" si="21"/>
        <v>0</v>
      </c>
      <c r="BL51" s="725">
        <f t="shared" ca="1" si="27"/>
        <v>0</v>
      </c>
      <c r="BM51" s="725" t="str">
        <f t="shared" ca="1" si="22"/>
        <v>2L</v>
      </c>
      <c r="BN51" s="725" t="str">
        <f t="shared" ca="1" si="23"/>
        <v>2L</v>
      </c>
      <c r="BO51" s="735">
        <f t="shared" ca="1" si="28"/>
        <v>0</v>
      </c>
      <c r="BP51" s="734">
        <f ca="1">COUNTIFS($BO$6:$BO$53,"&gt;"&amp;BO51,$BC$6:$BC$53,INDEX(T_Equipos[Grupo],MATCH(BD51,T_Equipos[NombreEquipo],0)))+1</f>
        <v>1</v>
      </c>
      <c r="BQ51" s="734" t="str">
        <f ca="1">IF(COUNTIFS($BP$6:$BP$53,BP51,$BC$6:$BC$53,INDEX(T_Equipos[Grupo],MATCH(BD51,T_Equipos[NombreEquipo],0)))=1,"-","P."&amp;BP51&amp;" ("&amp;COUNTIFS($BP$6:$BP$53,BP51,$BC$6:$BC$53,INDEX(T_Equipos[Grupo],MATCH(BD51,T_Equipos[NombreEquipo],0)))&amp;")")</f>
        <v>P.1 (4)</v>
      </c>
      <c r="BR51" s="735">
        <f t="shared" ca="1" si="29"/>
        <v>0</v>
      </c>
      <c r="BS51" s="734">
        <f ca="1">BP51+COUNTIFS($BQ$6:$BQ$53,BQ51,$BR$6:BR$53,"&gt;"&amp;BR51,$BC$6:$BC$53,INDEX(T_Equipos[Grupo],MATCH(BD51,T_Equipos[NombreEquipo],0)))</f>
        <v>1</v>
      </c>
      <c r="BT51" s="734" t="str">
        <f ca="1">IF(COUNTIFS($BS$6:$BS$53,BS51,$BC$6:$BC$53,INDEX(T_Equipos[Grupo],MATCH(BD51,T_Equipos[NombreEquipo],0)))=1,"-","P."&amp;BS51&amp;" ("&amp;COUNTIFS($BS$6:$BS$53,BS51,$BC$6:$BC$53,INDEX(T_Equipos[Grupo],MATCH(BD51,T_Equipos[NombreEquipo],0)))&amp;")")</f>
        <v>P.1 (4)</v>
      </c>
      <c r="BU51" s="735">
        <f t="shared" ca="1" si="36"/>
        <v>0</v>
      </c>
      <c r="BV51" s="735">
        <f t="shared" ca="1" si="37"/>
        <v>0</v>
      </c>
      <c r="BW51" s="735">
        <f t="shared" ca="1" si="38"/>
        <v>0</v>
      </c>
      <c r="BX51" s="735">
        <f t="shared" ca="1" si="39"/>
        <v>0</v>
      </c>
      <c r="BY51" s="735">
        <f ca="1">BS51+COUNTIFS($BT$6:$BT$53,BT51,$BX$6:BX$53,"&gt;"&amp;BX51,$BC$6:$BC$53,INDEX(T_Equipos[Grupo],MATCH(BD51,T_Equipos[NombreEquipo],0)))</f>
        <v>1</v>
      </c>
      <c r="BZ51" s="734" t="str">
        <f ca="1">IF(COUNTIFS($BY$6:$BY$53,BY51,$BC$6:$BC$53,INDEX(T_Equipos[Grupo],MATCH(BD51,T_Equipos[NombreEquipo],0)))=1,"-","P."&amp;BY51&amp;" ("&amp;COUNTIFS($BY$6:$BY$53,BY51,$BC$6:$BC$53,INDEX(T_Equipos[Grupo],MATCH(BD51,T_Equipos[NombreEquipo],0)))&amp;")")</f>
        <v>P.1 (4)</v>
      </c>
      <c r="CA51" s="735">
        <f t="shared" ca="1" si="40"/>
        <v>0</v>
      </c>
      <c r="CB51" s="735">
        <f t="shared" ca="1" si="41"/>
        <v>0</v>
      </c>
      <c r="CC51" s="735">
        <f t="shared" ca="1" si="42"/>
        <v>0</v>
      </c>
      <c r="CD51" s="735">
        <f ca="1">BY51+COUNTIFS($BZ$6:$BZ$53,BZ51,$CC$6:CC$53,"&gt;"&amp;CC51,$BC$6:$BC$53,INDEX(T_Equipos[Grupo],MATCH(BD51,T_Equipos[NombreEquipo],0)))</f>
        <v>1</v>
      </c>
      <c r="CE51" s="734" t="str">
        <f ca="1">IF(COUNTIFS($CD$6:$CD$53,CD51,$BC$6:$BC$53,INDEX(T_Equipos[Grupo],MATCH(BD51,T_Equipos[NombreEquipo],0)))=1,"-","P."&amp;CD51&amp;" ("&amp;COUNTIFS($CD$6:$CD$53,CD51,$BC$6:$BC$53,INDEX(T_Equipos[Grupo],MATCH(BD51,T_Equipos[NombreEquipo],0)))&amp;")")</f>
        <v>P.1 (4)</v>
      </c>
      <c r="CF51" s="735">
        <f t="shared" ca="1" si="43"/>
        <v>0</v>
      </c>
      <c r="CG51" s="735">
        <f ca="1">CD51+COUNTIFS($CE$6:$CE$53,CE51,$CF$6:CF$53,"&gt;"&amp;CF51,$BC$6:$BC$53,INDEX(T_Equipos[Grupo],MATCH(BD51,T_Equipos[NombreEquipo],0)))</f>
        <v>1</v>
      </c>
      <c r="CH51" s="734" t="str">
        <f ca="1">IF(COUNTIFS($CG$6:$CG$53,CG51,$BC$6:$BC$53,INDEX(T_Equipos[Grupo],MATCH(BD51,T_Equipos[NombreEquipo],0)))=1,"-","P."&amp;CG51&amp;" ("&amp;COUNTIFS($CG$6:$CG$53,CG51,$BC$6:$BC$53,INDEX(T_Equipos[Grupo],MATCH(BD51,T_Equipos[NombreEquipo],0)))&amp;")")</f>
        <v>P.1 (4)</v>
      </c>
      <c r="CI51" s="735">
        <f t="shared" ca="1" si="44"/>
        <v>0</v>
      </c>
      <c r="CJ51" s="735">
        <f t="shared" ca="1" si="45"/>
        <v>0</v>
      </c>
      <c r="CK51" s="735">
        <f t="shared" ca="1" si="46"/>
        <v>0</v>
      </c>
      <c r="CL51" s="735">
        <f t="shared" ca="1" si="47"/>
        <v>0</v>
      </c>
      <c r="CM51" s="735">
        <f ca="1">CG51+COUNTIFS($CH$6:$CH$53,CH51,$CL$6:CL$53,"&gt;"&amp;CL51,$BC$6:$BC$53,INDEX(T_Equipos[Grupo],MATCH(BD51,T_Equipos[NombreEquipo],0)))</f>
        <v>1</v>
      </c>
      <c r="CN51" s="734" t="str">
        <f ca="1">IF(COUNTIFS($CM$6:$CM$53,CM51,$BC$6:$BC$53,INDEX(T_Equipos[Grupo],MATCH(BD51,T_Equipos[NombreEquipo],0)))=1,"-","P."&amp;CM51&amp;" ("&amp;COUNTIFS($CM$6:$CM$53,CM51,$BC$6:$BC$53,INDEX(T_Equipos[Grupo],MATCH(BD51,T_Equipos[NombreEquipo],0)))&amp;")")</f>
        <v>P.1 (4)</v>
      </c>
      <c r="CO51" s="735">
        <f t="shared" ca="1" si="48"/>
        <v>0</v>
      </c>
      <c r="CP51" s="735">
        <f t="shared" ca="1" si="49"/>
        <v>0</v>
      </c>
      <c r="CQ51" s="735">
        <f t="shared" ca="1" si="50"/>
        <v>0</v>
      </c>
      <c r="CR51" s="735">
        <f ca="1">CM51+COUNTIFS($CN$6:$CN$53,CN51,$CQ$6:CQ$53,"&gt;"&amp;CQ51,$BC$6:$BC$53,INDEX(T_Equipos[Grupo],MATCH(BD51,T_Equipos[NombreEquipo],0)))</f>
        <v>1</v>
      </c>
      <c r="CS51" s="734" t="str">
        <f ca="1">IF(COUNTIFS($CR$6:$CR$53,CR51,$BC$6:$BC$53,INDEX(T_Equipos[Grupo],MATCH(BD51,T_Equipos[NombreEquipo],0)))=1,"-","P."&amp;CR51&amp;" ("&amp;COUNTIFS($CR$6:$CR$53,CR51,$BC$6:$BC$53,INDEX(T_Equipos[Grupo],MATCH(BD51,T_Equipos[NombreEquipo],0)))&amp;")")</f>
        <v>P.1 (4)</v>
      </c>
      <c r="CT51" s="735">
        <f t="shared" ca="1" si="51"/>
        <v>0</v>
      </c>
      <c r="CU51" s="735">
        <f ca="1">CR51+COUNTIFS($CS$6:$CS$53,CS51,$CT$6:CT$53,"&gt;"&amp;CT51,$BC$6:$BC$53,INDEX(T_Equipos[Grupo],MATCH(BD51,T_Equipos[NombreEquipo],0)))</f>
        <v>1</v>
      </c>
      <c r="CV51" s="734" t="str">
        <f ca="1">IF(COUNTIFS($CU$6:$CU$53,CU51,$BC$6:$BC$53,INDEX(T_Equipos[Grupo],MATCH(BD51,T_Equipos[NombreEquipo],0)))=1,"-","P."&amp;CU51&amp;" ("&amp;COUNTIFS($CU$6:$CU$53,CU51,$BC$6:$BC$53,INDEX(T_Equipos[Grupo],MATCH(BD51,T_Equipos[NombreEquipo],0)))&amp;")")</f>
        <v>P.1 (4)</v>
      </c>
      <c r="CW51" s="734">
        <f t="shared" ca="1" si="30"/>
        <v>0</v>
      </c>
      <c r="CX51" s="734">
        <f ca="1">CU51+COUNTIFS($CV$6:$CV$53,CV51,$CW$6:CW$53,"&gt;"&amp;CW51,$BC$6:$BC$53,INDEX(T_Equipos[Grupo],MATCH(BD51,T_Equipos[NombreEquipo],0)))</f>
        <v>1</v>
      </c>
      <c r="CY51" s="734" t="str">
        <f ca="1">IF(COUNTIFS($CX$6:$CX$53,CX51,$BC$6:$BC$53,INDEX(T_Equipos[Grupo],MATCH(BD51,T_Equipos[NombreEquipo],0)))=1,"-","P."&amp;CX51&amp;" ("&amp;COUNTIFS($CX$6:$CX$53,CX51,$BC$6:$BC$53,INDEX(T_Equipos[Grupo],MATCH(BD51,T_Equipos[NombreEquipo],0)))&amp;")")</f>
        <v>P.1 (4)</v>
      </c>
      <c r="CZ51" s="734">
        <f t="shared" ca="1" si="31"/>
        <v>0</v>
      </c>
      <c r="DA51" s="735">
        <f ca="1">CX51+COUNTIFS($CY$6:$CY$53,CY51,$CZ$6:CZ$53,"&gt;"&amp;CZ51,$BC$6:$BC$53,INDEX(T_Equipos[Grupo],MATCH(BD51,T_Equipos[NombreEquipo],0)))</f>
        <v>1</v>
      </c>
      <c r="DB51" s="734" t="str">
        <f ca="1">IF(COUNTIFS($DA$6:$DA$53,DA51,$BC$6:$BC$53,INDEX(T_Equipos[Grupo],MATCH(BD51,T_Equipos[NombreEquipo],0)))=1,"-","P."&amp;DA51&amp;" ("&amp;COUNTIFS($DA$6:$DA$53,DA51,$BC$6:$BC$53,INDEX(T_Equipos[Grupo],MATCH(BD51,T_Equipos[NombreEquipo],0)))&amp;")")</f>
        <v>P.1 (4)</v>
      </c>
      <c r="DC51" s="733">
        <f ca="1">IF(DB51="-","-",COUNTIFS(T_Equipos[Rank],"&lt;"&amp;INDEX(T_Equipos[Rank],MATCH(BD51,T_Equipos[NombreEquipo],0)),$BC$6:$BC$53,INDEX(T_Equipos[Grupo],MATCH(BD51,T_Equipos[NombreEquipo],0)))+1)</f>
        <v>2</v>
      </c>
      <c r="DD51" s="733">
        <f ca="1">DA51+COUNTIFS($DB$6:$DB$53,DB51,$DC$6:DC$53,"&lt;"&amp;DC51,$BC$6:$BC$53,INDEX(T_Equipos[Grupo],MATCH(BD51,T_Equipos[NombreEquipo],0)))</f>
        <v>2</v>
      </c>
      <c r="DE51" s="733"/>
      <c r="DF51" s="733">
        <f t="shared" ca="1" si="52"/>
        <v>2</v>
      </c>
      <c r="DG51" s="733">
        <f ca="1">IF(DB51="-","-",COUNTIFS(DF$6:DF$53,"&lt;"&amp;DF51,$BC$6:$BC$53,INDEX(T_Equipos[Grupo],MATCH(BD51,T_Equipos[NombreEquipo],0))))</f>
        <v>1</v>
      </c>
      <c r="DH51" s="733">
        <f ca="1">DA51+COUNTIFS(DB$6:DB$53,DB51,DG$6:DG$53,"&lt;"&amp;DG51,$BC$6:$BC$53,INDEX(T_Equipos[Grupo],MATCH(BD51,T_Equipos[NombreEquipo],0)))</f>
        <v>2</v>
      </c>
      <c r="DI51" s="721"/>
      <c r="DJ51" s="721">
        <f t="shared" ca="1" si="53"/>
        <v>1</v>
      </c>
      <c r="DK51" s="721">
        <f t="shared" ca="1" si="24"/>
        <v>0</v>
      </c>
      <c r="DL51" s="721">
        <f t="shared" ca="1" si="33"/>
        <v>1</v>
      </c>
      <c r="DM51" s="715" t="str">
        <f t="shared" ca="1" si="34"/>
        <v>1.1</v>
      </c>
      <c r="DN51" s="721" cm="1">
        <f t="array" aca="1" ref="DN51" ca="1">OFFSET(Horarios!$P$3,DJ51-1,0,DL51,1)</f>
        <v>1</v>
      </c>
      <c r="DO51" s="721"/>
      <c r="DP51" s="721" t="s">
        <v>683</v>
      </c>
      <c r="DQ51" s="721" t="str">
        <f t="shared" ca="1" si="35"/>
        <v>Croacia</v>
      </c>
      <c r="DR51" s="721"/>
      <c r="DS51" s="721"/>
      <c r="DT51" s="721" t="str">
        <f t="shared" si="15"/>
        <v>Casa-Fuera</v>
      </c>
      <c r="DU51" s="721"/>
      <c r="DV51" s="721"/>
      <c r="DW51" s="8"/>
    </row>
    <row r="52" spans="1:127" ht="15" customHeight="1" thickBot="1">
      <c r="A52" s="718" t="s">
        <v>30</v>
      </c>
      <c r="B52" s="719" t="s">
        <v>6</v>
      </c>
      <c r="C52" s="720">
        <f>COUNTIF(Equipos!$C$2:$C$49,WORLDCUP!B52)</f>
        <v>4</v>
      </c>
      <c r="D52" s="721" t="str">
        <f t="shared" ref="D52:D57" si="155">IF(OR(AC52="",AD52=""),"Pendiente",IF(AC52&gt;AD52,"Local",IF(AC52&lt;AD52,"Visitante","Empate")))</f>
        <v>Pendiente</v>
      </c>
      <c r="E52" s="721" t="str">
        <f t="shared" ref="E52:E57" si="156">IF(D52="Pendiente","-",INDEX($BT$6:$BT$53,MATCH($AA52,$BD$6:$BD$53,0)))</f>
        <v>-</v>
      </c>
      <c r="F52" s="721" t="str">
        <f t="shared" ref="F52:F57" si="157">IF(D52="Pendiente","-",INDEX($BT$6:$BT$53,MATCH($AF52,$BD$6:$BD$53,0)))</f>
        <v>-</v>
      </c>
      <c r="G52" s="721"/>
      <c r="H52" s="721" t="str">
        <f t="shared" ref="H52:H57" si="158">IF(D52="Pendiente","-",INDEX($BZ$6:$BZ$53,MATCH($AA52,$BD$6:$BD$53,0)))</f>
        <v>-</v>
      </c>
      <c r="I52" s="721" t="str">
        <f t="shared" ref="I52:I57" si="159">IF(D52="Pendiente","-",INDEX($BZ$6:$BZ$53,MATCH($AF52,$BD$6:$BD$53,0)))</f>
        <v>-</v>
      </c>
      <c r="J52" s="721"/>
      <c r="K52" s="721" t="str">
        <f t="shared" ref="K52:K57" si="160">IF(D52="Pendiente","-",INDEX($CE$6:$CE$53,MATCH($AA52,$BD$6:$BD$53,0)))</f>
        <v>-</v>
      </c>
      <c r="L52" s="721" t="str">
        <f t="shared" ref="L52:L57" si="161">IF(D52="Pendiente","-",INDEX($CE$6:$CE$53,MATCH($AF52,$BD$6:$BD$53,0)))</f>
        <v>-</v>
      </c>
      <c r="M52" s="721"/>
      <c r="N52" s="721" t="str">
        <f t="shared" ref="N52:N57" si="162">IF(D52="Pendiente","-",INDEX($CH$6:$CH$53,MATCH($AA52,$BD$6:$BD$53,0)))</f>
        <v>-</v>
      </c>
      <c r="O52" s="721" t="str">
        <f t="shared" ref="O52:O57" si="163">IF(D52="Pendiente","-",INDEX($CH$6:$CH$53,MATCH($AF52,$BD$6:$BD$53,0)))</f>
        <v>-</v>
      </c>
      <c r="P52" s="721"/>
      <c r="Q52" s="721" t="str">
        <f t="shared" ref="Q52:Q57" si="164">IF(D52="Pendiente","-",INDEX($CN$6:$CN$53,MATCH($AA52,$BD$6:$BD$53,0)))</f>
        <v>-</v>
      </c>
      <c r="R52" s="721" t="str">
        <f t="shared" ref="R52:R57" si="165">IF(D52="Pendiente","-",INDEX($CN$6:$CN$53,MATCH($AF52,$BD$6:$BD$53,0)))</f>
        <v>-</v>
      </c>
      <c r="S52" s="721"/>
      <c r="T52" s="721" t="str">
        <f t="shared" ref="T52:T57" si="166">IF(D52="Pendiente","-",INDEX($CS$6:$CS$53,MATCH($AA52,$BD$6:$BD$53,0)))</f>
        <v>-</v>
      </c>
      <c r="U52" s="721" t="str">
        <f t="shared" ref="U52:U57" si="167">IF(D52="Pendiente","-",INDEX($CS$6:$CS$53,MATCH($AF52,$BD$6:$BD$53,0)))</f>
        <v>-</v>
      </c>
      <c r="V52" s="162"/>
      <c r="W52" s="857" t="s">
        <v>6</v>
      </c>
      <c r="X52" s="179">
        <f ca="1">Horarios!C52</f>
        <v>46188.875</v>
      </c>
      <c r="Y52" s="180">
        <f ca="1">Horarios!C52</f>
        <v>46188.875</v>
      </c>
      <c r="Z52" s="181" t="str">
        <f>$Z$4</f>
        <v>J1</v>
      </c>
      <c r="AA52" s="182" t="str">
        <f ca="1">A53</f>
        <v>Bélgica</v>
      </c>
      <c r="AB52" s="457" t="str" cm="1">
        <f t="array" aca="1" ref="AB52" ca="1">Ver_flag_local</f>
        <v/>
      </c>
      <c r="AC52" s="183"/>
      <c r="AD52" s="184"/>
      <c r="AE52" s="462" t="str" cm="1">
        <f t="array" aca="1" ref="AE52" ca="1">Ver_flag_visit</f>
        <v/>
      </c>
      <c r="AF52" s="185" t="str">
        <f ca="1">A54</f>
        <v>Egipto</v>
      </c>
      <c r="AG52" s="396">
        <f t="shared" ref="AG52:AG57" si="168">IF(NOT(OR(ISBLANK(AC52),ISBLANK(AD52))),1,0)</f>
        <v>0</v>
      </c>
      <c r="AH52" s="186">
        <v>16</v>
      </c>
      <c r="AI52" s="15"/>
      <c r="AJ52" s="187" t="str">
        <f>CONCATENATE($AJ$3," ",B52)</f>
        <v>Grupo G</v>
      </c>
      <c r="AK52" s="188"/>
      <c r="AL52" s="188"/>
      <c r="AM52" s="188"/>
      <c r="AN52" s="188"/>
      <c r="AO52" s="188"/>
      <c r="AP52" s="188"/>
      <c r="AQ52" s="188"/>
      <c r="AR52" s="188"/>
      <c r="AS52" s="188"/>
      <c r="AT52" s="189"/>
      <c r="AU52" s="404"/>
      <c r="AV52" s="190" t="str">
        <f t="shared" ref="AV52" ca="1" si="169">IF(AU53&gt;0,$AV$3,"")</f>
        <v/>
      </c>
      <c r="AW52" s="198"/>
      <c r="AX52" s="245"/>
      <c r="AY52" s="232"/>
      <c r="AZ52" s="233"/>
      <c r="BA52" s="165"/>
      <c r="BB52" s="721"/>
      <c r="BC52" s="733" t="str">
        <f ca="1">+INDEX(T_Equipos[Grupo],MATCH(WORLDCUP!BD52,T_Equipos[NombreEquipo],0))</f>
        <v>L</v>
      </c>
      <c r="BD52" s="721" t="str">
        <f ca="1">+Equipos!B48</f>
        <v>Ghana</v>
      </c>
      <c r="BE52" s="725">
        <f t="shared" ca="1" si="25"/>
        <v>0</v>
      </c>
      <c r="BF52" s="725">
        <f t="shared" ca="1" si="26"/>
        <v>0</v>
      </c>
      <c r="BG52" s="725">
        <f t="shared" ca="1" si="17"/>
        <v>0</v>
      </c>
      <c r="BH52" s="725">
        <f t="shared" ca="1" si="18"/>
        <v>0</v>
      </c>
      <c r="BI52" s="725">
        <f t="shared" ca="1" si="19"/>
        <v>0</v>
      </c>
      <c r="BJ52" s="725">
        <f t="shared" ca="1" si="20"/>
        <v>0</v>
      </c>
      <c r="BK52" s="725">
        <f t="shared" ca="1" si="21"/>
        <v>0</v>
      </c>
      <c r="BL52" s="725">
        <f t="shared" ca="1" si="27"/>
        <v>0</v>
      </c>
      <c r="BM52" s="725" t="str">
        <f t="shared" ca="1" si="22"/>
        <v>3L</v>
      </c>
      <c r="BN52" s="725" t="str">
        <f t="shared" ca="1" si="23"/>
        <v>3L</v>
      </c>
      <c r="BO52" s="735">
        <f t="shared" ca="1" si="28"/>
        <v>0</v>
      </c>
      <c r="BP52" s="734">
        <f ca="1">COUNTIFS($BO$6:$BO$53,"&gt;"&amp;BO52,$BC$6:$BC$53,INDEX(T_Equipos[Grupo],MATCH(BD52,T_Equipos[NombreEquipo],0)))+1</f>
        <v>1</v>
      </c>
      <c r="BQ52" s="734" t="str">
        <f ca="1">IF(COUNTIFS($BP$6:$BP$53,BP52,$BC$6:$BC$53,INDEX(T_Equipos[Grupo],MATCH(BD52,T_Equipos[NombreEquipo],0)))=1,"-","P."&amp;BP52&amp;" ("&amp;COUNTIFS($BP$6:$BP$53,BP52,$BC$6:$BC$53,INDEX(T_Equipos[Grupo],MATCH(BD52,T_Equipos[NombreEquipo],0)))&amp;")")</f>
        <v>P.1 (4)</v>
      </c>
      <c r="BR52" s="735">
        <f t="shared" ca="1" si="29"/>
        <v>0</v>
      </c>
      <c r="BS52" s="734">
        <f ca="1">BP52+COUNTIFS($BQ$6:$BQ$53,BQ52,$BR$6:BR$53,"&gt;"&amp;BR52,$BC$6:$BC$53,INDEX(T_Equipos[Grupo],MATCH(BD52,T_Equipos[NombreEquipo],0)))</f>
        <v>1</v>
      </c>
      <c r="BT52" s="734" t="str">
        <f ca="1">IF(COUNTIFS($BS$6:$BS$53,BS52,$BC$6:$BC$53,INDEX(T_Equipos[Grupo],MATCH(BD52,T_Equipos[NombreEquipo],0)))=1,"-","P."&amp;BS52&amp;" ("&amp;COUNTIFS($BS$6:$BS$53,BS52,$BC$6:$BC$53,INDEX(T_Equipos[Grupo],MATCH(BD52,T_Equipos[NombreEquipo],0)))&amp;")")</f>
        <v>P.1 (4)</v>
      </c>
      <c r="BU52" s="735">
        <f t="shared" ca="1" si="36"/>
        <v>0</v>
      </c>
      <c r="BV52" s="735">
        <f t="shared" ca="1" si="37"/>
        <v>0</v>
      </c>
      <c r="BW52" s="735">
        <f t="shared" ca="1" si="38"/>
        <v>0</v>
      </c>
      <c r="BX52" s="735">
        <f t="shared" ca="1" si="39"/>
        <v>0</v>
      </c>
      <c r="BY52" s="735">
        <f ca="1">BS52+COUNTIFS($BT$6:$BT$53,BT52,$BX$6:BX$53,"&gt;"&amp;BX52,$BC$6:$BC$53,INDEX(T_Equipos[Grupo],MATCH(BD52,T_Equipos[NombreEquipo],0)))</f>
        <v>1</v>
      </c>
      <c r="BZ52" s="734" t="str">
        <f ca="1">IF(COUNTIFS($BY$6:$BY$53,BY52,$BC$6:$BC$53,INDEX(T_Equipos[Grupo],MATCH(BD52,T_Equipos[NombreEquipo],0)))=1,"-","P."&amp;BY52&amp;" ("&amp;COUNTIFS($BY$6:$BY$53,BY52,$BC$6:$BC$53,INDEX(T_Equipos[Grupo],MATCH(BD52,T_Equipos[NombreEquipo],0)))&amp;")")</f>
        <v>P.1 (4)</v>
      </c>
      <c r="CA52" s="735">
        <f t="shared" ca="1" si="40"/>
        <v>0</v>
      </c>
      <c r="CB52" s="735">
        <f t="shared" ca="1" si="41"/>
        <v>0</v>
      </c>
      <c r="CC52" s="735">
        <f t="shared" ca="1" si="42"/>
        <v>0</v>
      </c>
      <c r="CD52" s="735">
        <f ca="1">BY52+COUNTIFS($BZ$6:$BZ$53,BZ52,$CC$6:CC$53,"&gt;"&amp;CC52,$BC$6:$BC$53,INDEX(T_Equipos[Grupo],MATCH(BD52,T_Equipos[NombreEquipo],0)))</f>
        <v>1</v>
      </c>
      <c r="CE52" s="734" t="str">
        <f ca="1">IF(COUNTIFS($CD$6:$CD$53,CD52,$BC$6:$BC$53,INDEX(T_Equipos[Grupo],MATCH(BD52,T_Equipos[NombreEquipo],0)))=1,"-","P."&amp;CD52&amp;" ("&amp;COUNTIFS($CD$6:$CD$53,CD52,$BC$6:$BC$53,INDEX(T_Equipos[Grupo],MATCH(BD52,T_Equipos[NombreEquipo],0)))&amp;")")</f>
        <v>P.1 (4)</v>
      </c>
      <c r="CF52" s="735">
        <f t="shared" ca="1" si="43"/>
        <v>0</v>
      </c>
      <c r="CG52" s="735">
        <f ca="1">CD52+COUNTIFS($CE$6:$CE$53,CE52,$CF$6:CF$53,"&gt;"&amp;CF52,$BC$6:$BC$53,INDEX(T_Equipos[Grupo],MATCH(BD52,T_Equipos[NombreEquipo],0)))</f>
        <v>1</v>
      </c>
      <c r="CH52" s="734" t="str">
        <f ca="1">IF(COUNTIFS($CG$6:$CG$53,CG52,$BC$6:$BC$53,INDEX(T_Equipos[Grupo],MATCH(BD52,T_Equipos[NombreEquipo],0)))=1,"-","P."&amp;CG52&amp;" ("&amp;COUNTIFS($CG$6:$CG$53,CG52,$BC$6:$BC$53,INDEX(T_Equipos[Grupo],MATCH(BD52,T_Equipos[NombreEquipo],0)))&amp;")")</f>
        <v>P.1 (4)</v>
      </c>
      <c r="CI52" s="735">
        <f t="shared" ca="1" si="44"/>
        <v>0</v>
      </c>
      <c r="CJ52" s="735">
        <f t="shared" ca="1" si="45"/>
        <v>0</v>
      </c>
      <c r="CK52" s="735">
        <f t="shared" ca="1" si="46"/>
        <v>0</v>
      </c>
      <c r="CL52" s="735">
        <f t="shared" ca="1" si="47"/>
        <v>0</v>
      </c>
      <c r="CM52" s="735">
        <f ca="1">CG52+COUNTIFS($CH$6:$CH$53,CH52,$CL$6:CL$53,"&gt;"&amp;CL52,$BC$6:$BC$53,INDEX(T_Equipos[Grupo],MATCH(BD52,T_Equipos[NombreEquipo],0)))</f>
        <v>1</v>
      </c>
      <c r="CN52" s="734" t="str">
        <f ca="1">IF(COUNTIFS($CM$6:$CM$53,CM52,$BC$6:$BC$53,INDEX(T_Equipos[Grupo],MATCH(BD52,T_Equipos[NombreEquipo],0)))=1,"-","P."&amp;CM52&amp;" ("&amp;COUNTIFS($CM$6:$CM$53,CM52,$BC$6:$BC$53,INDEX(T_Equipos[Grupo],MATCH(BD52,T_Equipos[NombreEquipo],0)))&amp;")")</f>
        <v>P.1 (4)</v>
      </c>
      <c r="CO52" s="735">
        <f t="shared" ca="1" si="48"/>
        <v>0</v>
      </c>
      <c r="CP52" s="735">
        <f t="shared" ca="1" si="49"/>
        <v>0</v>
      </c>
      <c r="CQ52" s="735">
        <f t="shared" ca="1" si="50"/>
        <v>0</v>
      </c>
      <c r="CR52" s="735">
        <f ca="1">CM52+COUNTIFS($CN$6:$CN$53,CN52,$CQ$6:CQ$53,"&gt;"&amp;CQ52,$BC$6:$BC$53,INDEX(T_Equipos[Grupo],MATCH(BD52,T_Equipos[NombreEquipo],0)))</f>
        <v>1</v>
      </c>
      <c r="CS52" s="734" t="str">
        <f ca="1">IF(COUNTIFS($CR$6:$CR$53,CR52,$BC$6:$BC$53,INDEX(T_Equipos[Grupo],MATCH(BD52,T_Equipos[NombreEquipo],0)))=1,"-","P."&amp;CR52&amp;" ("&amp;COUNTIFS($CR$6:$CR$53,CR52,$BC$6:$BC$53,INDEX(T_Equipos[Grupo],MATCH(BD52,T_Equipos[NombreEquipo],0)))&amp;")")</f>
        <v>P.1 (4)</v>
      </c>
      <c r="CT52" s="735">
        <f t="shared" ca="1" si="51"/>
        <v>0</v>
      </c>
      <c r="CU52" s="735">
        <f ca="1">CR52+COUNTIFS($CS$6:$CS$53,CS52,$CT$6:CT$53,"&gt;"&amp;CT52,$BC$6:$BC$53,INDEX(T_Equipos[Grupo],MATCH(BD52,T_Equipos[NombreEquipo],0)))</f>
        <v>1</v>
      </c>
      <c r="CV52" s="734" t="str">
        <f ca="1">IF(COUNTIFS($CU$6:$CU$53,CU52,$BC$6:$BC$53,INDEX(T_Equipos[Grupo],MATCH(BD52,T_Equipos[NombreEquipo],0)))=1,"-","P."&amp;CU52&amp;" ("&amp;COUNTIFS($CU$6:$CU$53,CU52,$BC$6:$BC$53,INDEX(T_Equipos[Grupo],MATCH(BD52,T_Equipos[NombreEquipo],0)))&amp;")")</f>
        <v>P.1 (4)</v>
      </c>
      <c r="CW52" s="734">
        <f t="shared" ca="1" si="30"/>
        <v>0</v>
      </c>
      <c r="CX52" s="734">
        <f ca="1">CU52+COUNTIFS($CV$6:$CV$53,CV52,$CW$6:CW$53,"&gt;"&amp;CW52,$BC$6:$BC$53,INDEX(T_Equipos[Grupo],MATCH(BD52,T_Equipos[NombreEquipo],0)))</f>
        <v>1</v>
      </c>
      <c r="CY52" s="734" t="str">
        <f ca="1">IF(COUNTIFS($CX$6:$CX$53,CX52,$BC$6:$BC$53,INDEX(T_Equipos[Grupo],MATCH(BD52,T_Equipos[NombreEquipo],0)))=1,"-","P."&amp;CX52&amp;" ("&amp;COUNTIFS($CX$6:$CX$53,CX52,$BC$6:$BC$53,INDEX(T_Equipos[Grupo],MATCH(BD52,T_Equipos[NombreEquipo],0)))&amp;")")</f>
        <v>P.1 (4)</v>
      </c>
      <c r="CZ52" s="734">
        <f t="shared" ca="1" si="31"/>
        <v>0</v>
      </c>
      <c r="DA52" s="735">
        <f ca="1">CX52+COUNTIFS($CY$6:$CY$53,CY52,$CZ$6:CZ$53,"&gt;"&amp;CZ52,$BC$6:$BC$53,INDEX(T_Equipos[Grupo],MATCH(BD52,T_Equipos[NombreEquipo],0)))</f>
        <v>1</v>
      </c>
      <c r="DB52" s="734" t="str">
        <f ca="1">IF(COUNTIFS($DA$6:$DA$53,DA52,$BC$6:$BC$53,INDEX(T_Equipos[Grupo],MATCH(BD52,T_Equipos[NombreEquipo],0)))=1,"-","P."&amp;DA52&amp;" ("&amp;COUNTIFS($DA$6:$DA$53,DA52,$BC$6:$BC$53,INDEX(T_Equipos[Grupo],MATCH(BD52,T_Equipos[NombreEquipo],0)))&amp;")")</f>
        <v>P.1 (4)</v>
      </c>
      <c r="DC52" s="733">
        <f ca="1">IF(DB52="-","-",COUNTIFS(T_Equipos[Rank],"&lt;"&amp;INDEX(T_Equipos[Rank],MATCH(BD52,T_Equipos[NombreEquipo],0)),$BC$6:$BC$53,INDEX(T_Equipos[Grupo],MATCH(BD52,T_Equipos[NombreEquipo],0)))+1)</f>
        <v>3</v>
      </c>
      <c r="DD52" s="733">
        <f ca="1">DA52+COUNTIFS($DB$6:$DB$53,DB52,$DC$6:DC$53,"&lt;"&amp;DC52,$BC$6:$BC$53,INDEX(T_Equipos[Grupo],MATCH(BD52,T_Equipos[NombreEquipo],0)))</f>
        <v>3</v>
      </c>
      <c r="DE52" s="733"/>
      <c r="DF52" s="733">
        <f t="shared" ca="1" si="52"/>
        <v>3</v>
      </c>
      <c r="DG52" s="733">
        <f ca="1">IF(DB52="-","-",COUNTIFS(DF$6:DF$53,"&lt;"&amp;DF52,$BC$6:$BC$53,INDEX(T_Equipos[Grupo],MATCH(BD52,T_Equipos[NombreEquipo],0))))</f>
        <v>2</v>
      </c>
      <c r="DH52" s="733">
        <f ca="1">DA52+COUNTIFS(DB$6:DB$53,DB52,DG$6:DG$53,"&lt;"&amp;DG52,$BC$6:$BC$53,INDEX(T_Equipos[Grupo],MATCH(BD52,T_Equipos[NombreEquipo],0)))</f>
        <v>3</v>
      </c>
      <c r="DI52" s="721"/>
      <c r="DJ52" s="721">
        <f t="shared" ca="1" si="53"/>
        <v>1</v>
      </c>
      <c r="DK52" s="721">
        <f t="shared" ca="1" si="24"/>
        <v>0</v>
      </c>
      <c r="DL52" s="721">
        <f t="shared" ca="1" si="33"/>
        <v>1</v>
      </c>
      <c r="DM52" s="715" t="str">
        <f t="shared" ca="1" si="34"/>
        <v>1.1</v>
      </c>
      <c r="DN52" s="721" cm="1">
        <f t="array" aca="1" ref="DN52" ca="1">OFFSET(Horarios!$P$3,DJ52-1,0,DL52,1)</f>
        <v>1</v>
      </c>
      <c r="DO52" s="721"/>
      <c r="DP52" s="721" t="s">
        <v>443</v>
      </c>
      <c r="DQ52" s="721" t="str">
        <f t="shared" ca="1" si="35"/>
        <v>Ghana</v>
      </c>
      <c r="DR52" s="721"/>
      <c r="DS52" s="721"/>
      <c r="DT52" s="721" t="str">
        <f t="shared" ca="1" si="15"/>
        <v>Bélgica-Egipto</v>
      </c>
      <c r="DU52" s="721"/>
      <c r="DV52" s="721"/>
      <c r="DW52" s="8"/>
    </row>
    <row r="53" spans="1:127">
      <c r="A53" s="722" t="str">
        <f ca="1">+Equipos!B26</f>
        <v>Bélgica</v>
      </c>
      <c r="B53" s="719"/>
      <c r="C53" s="719"/>
      <c r="D53" s="721" t="str">
        <f t="shared" si="155"/>
        <v>Pendiente</v>
      </c>
      <c r="E53" s="721" t="str">
        <f t="shared" si="156"/>
        <v>-</v>
      </c>
      <c r="F53" s="721" t="str">
        <f t="shared" si="157"/>
        <v>-</v>
      </c>
      <c r="G53" s="721"/>
      <c r="H53" s="721" t="str">
        <f t="shared" si="158"/>
        <v>-</v>
      </c>
      <c r="I53" s="721" t="str">
        <f t="shared" si="159"/>
        <v>-</v>
      </c>
      <c r="J53" s="721"/>
      <c r="K53" s="721" t="str">
        <f t="shared" si="160"/>
        <v>-</v>
      </c>
      <c r="L53" s="721" t="str">
        <f t="shared" si="161"/>
        <v>-</v>
      </c>
      <c r="M53" s="721"/>
      <c r="N53" s="721" t="str">
        <f t="shared" si="162"/>
        <v>-</v>
      </c>
      <c r="O53" s="721" t="str">
        <f t="shared" si="163"/>
        <v>-</v>
      </c>
      <c r="P53" s="721"/>
      <c r="Q53" s="721" t="str">
        <f t="shared" si="164"/>
        <v>-</v>
      </c>
      <c r="R53" s="721" t="str">
        <f t="shared" si="165"/>
        <v>-</v>
      </c>
      <c r="S53" s="721"/>
      <c r="T53" s="721" t="str">
        <f t="shared" si="166"/>
        <v>-</v>
      </c>
      <c r="U53" s="721" t="str">
        <f t="shared" si="167"/>
        <v>-</v>
      </c>
      <c r="V53" s="162"/>
      <c r="W53" s="857"/>
      <c r="X53" s="179">
        <f ca="1">Horarios!C53</f>
        <v>46189.125</v>
      </c>
      <c r="Y53" s="180">
        <f ca="1">Horarios!C53</f>
        <v>46189.125</v>
      </c>
      <c r="Z53" s="181" t="str">
        <f>$Z$4</f>
        <v>J1</v>
      </c>
      <c r="AA53" s="182" t="str">
        <f ca="1">A55</f>
        <v>Irán</v>
      </c>
      <c r="AB53" s="457" t="str" cm="1">
        <f t="array" aca="1" ref="AB53" ca="1">Ver_flag_local</f>
        <v/>
      </c>
      <c r="AC53" s="183"/>
      <c r="AD53" s="184"/>
      <c r="AE53" s="462" t="str" cm="1">
        <f t="array" aca="1" ref="AE53" ca="1">Ver_flag_visit</f>
        <v/>
      </c>
      <c r="AF53" s="185" t="str">
        <f ca="1">A56</f>
        <v>Nueva Zelanda</v>
      </c>
      <c r="AG53" s="396">
        <f t="shared" si="168"/>
        <v>0</v>
      </c>
      <c r="AH53" s="186">
        <v>15</v>
      </c>
      <c r="AI53" s="15"/>
      <c r="AJ53" s="194" t="str">
        <f>AJ5</f>
        <v>Pos</v>
      </c>
      <c r="AK53" s="195"/>
      <c r="AL53" s="196" t="str">
        <f t="shared" ref="AL53:AT53" si="170">AL5</f>
        <v>Selección</v>
      </c>
      <c r="AM53" s="195" t="str">
        <f t="shared" si="170"/>
        <v>Pts</v>
      </c>
      <c r="AN53" s="195" t="str">
        <f t="shared" si="170"/>
        <v>J</v>
      </c>
      <c r="AO53" s="195" t="str">
        <f t="shared" si="170"/>
        <v>G</v>
      </c>
      <c r="AP53" s="195" t="str">
        <f t="shared" si="170"/>
        <v>E</v>
      </c>
      <c r="AQ53" s="195" t="str">
        <f t="shared" si="170"/>
        <v>P</v>
      </c>
      <c r="AR53" s="195" t="str">
        <f t="shared" si="170"/>
        <v>GF</v>
      </c>
      <c r="AS53" s="195" t="str">
        <f t="shared" si="170"/>
        <v>GC</v>
      </c>
      <c r="AT53" s="197" t="str">
        <f t="shared" si="170"/>
        <v>DG</v>
      </c>
      <c r="AU53" s="404">
        <f t="shared" ref="AU53" ca="1" si="171">COUNTIF(AU54:AU57,"&gt;1")</f>
        <v>0</v>
      </c>
      <c r="AV53" s="198"/>
      <c r="AW53" s="198"/>
      <c r="AX53" s="245"/>
      <c r="AY53" s="199" t="str">
        <f>AL53</f>
        <v>Selección</v>
      </c>
      <c r="AZ53" s="200" t="str">
        <f>+Idiomas!$D$69</f>
        <v>Puntos penalizados</v>
      </c>
      <c r="BA53" s="165"/>
      <c r="BB53" s="721"/>
      <c r="BC53" s="733" t="str">
        <f ca="1">+INDEX(T_Equipos[Grupo],MATCH(WORLDCUP!BD53,T_Equipos[NombreEquipo],0))</f>
        <v>L</v>
      </c>
      <c r="BD53" s="721" t="str">
        <f ca="1">+Equipos!B49</f>
        <v>Panamá</v>
      </c>
      <c r="BE53" s="725">
        <f t="shared" ca="1" si="25"/>
        <v>0</v>
      </c>
      <c r="BF53" s="725">
        <f t="shared" ca="1" si="26"/>
        <v>0</v>
      </c>
      <c r="BG53" s="725">
        <f t="shared" ca="1" si="17"/>
        <v>0</v>
      </c>
      <c r="BH53" s="725">
        <f t="shared" ca="1" si="18"/>
        <v>0</v>
      </c>
      <c r="BI53" s="725">
        <f t="shared" ca="1" si="19"/>
        <v>0</v>
      </c>
      <c r="BJ53" s="725">
        <f t="shared" ca="1" si="20"/>
        <v>0</v>
      </c>
      <c r="BK53" s="725">
        <f t="shared" ca="1" si="21"/>
        <v>0</v>
      </c>
      <c r="BL53" s="725">
        <f t="shared" ca="1" si="27"/>
        <v>0</v>
      </c>
      <c r="BM53" s="725" t="str">
        <f t="shared" ca="1" si="22"/>
        <v>4L</v>
      </c>
      <c r="BN53" s="725" t="str">
        <f t="shared" ca="1" si="23"/>
        <v>4L</v>
      </c>
      <c r="BO53" s="735">
        <f t="shared" ca="1" si="28"/>
        <v>0</v>
      </c>
      <c r="BP53" s="734">
        <f ca="1">COUNTIFS($BO$6:$BO$53,"&gt;"&amp;BO53,$BC$6:$BC$53,INDEX(T_Equipos[Grupo],MATCH(BD53,T_Equipos[NombreEquipo],0)))+1</f>
        <v>1</v>
      </c>
      <c r="BQ53" s="734" t="str">
        <f ca="1">IF(COUNTIFS($BP$6:$BP$53,BP53,$BC$6:$BC$53,INDEX(T_Equipos[Grupo],MATCH(BD53,T_Equipos[NombreEquipo],0)))=1,"-","P."&amp;BP53&amp;" ("&amp;COUNTIFS($BP$6:$BP$53,BP53,$BC$6:$BC$53,INDEX(T_Equipos[Grupo],MATCH(BD53,T_Equipos[NombreEquipo],0)))&amp;")")</f>
        <v>P.1 (4)</v>
      </c>
      <c r="BR53" s="735">
        <f t="shared" ca="1" si="29"/>
        <v>0</v>
      </c>
      <c r="BS53" s="734">
        <f ca="1">BP53+COUNTIFS($BQ$6:$BQ$53,BQ53,$BR$6:BR$53,"&gt;"&amp;BR53,$BC$6:$BC$53,INDEX(T_Equipos[Grupo],MATCH(BD53,T_Equipos[NombreEquipo],0)))</f>
        <v>1</v>
      </c>
      <c r="BT53" s="734" t="str">
        <f ca="1">IF(COUNTIFS($BS$6:$BS$53,BS53,$BC$6:$BC$53,INDEX(T_Equipos[Grupo],MATCH(BD53,T_Equipos[NombreEquipo],0)))=1,"-","P."&amp;BS53&amp;" ("&amp;COUNTIFS($BS$6:$BS$53,BS53,$BC$6:$BC$53,INDEX(T_Equipos[Grupo],MATCH(BD53,T_Equipos[NombreEquipo],0)))&amp;")")</f>
        <v>P.1 (4)</v>
      </c>
      <c r="BU53" s="735">
        <f t="shared" ca="1" si="36"/>
        <v>0</v>
      </c>
      <c r="BV53" s="735">
        <f t="shared" ca="1" si="37"/>
        <v>0</v>
      </c>
      <c r="BW53" s="735">
        <f t="shared" ca="1" si="38"/>
        <v>0</v>
      </c>
      <c r="BX53" s="735">
        <f t="shared" ca="1" si="39"/>
        <v>0</v>
      </c>
      <c r="BY53" s="735">
        <f ca="1">BS53+COUNTIFS($BT$6:$BT$53,BT53,$BX$6:BX$53,"&gt;"&amp;BX53,$BC$6:$BC$53,INDEX(T_Equipos[Grupo],MATCH(BD53,T_Equipos[NombreEquipo],0)))</f>
        <v>1</v>
      </c>
      <c r="BZ53" s="734" t="str">
        <f ca="1">IF(COUNTIFS($BY$6:$BY$53,BY53,$BC$6:$BC$53,INDEX(T_Equipos[Grupo],MATCH(BD53,T_Equipos[NombreEquipo],0)))=1,"-","P."&amp;BY53&amp;" ("&amp;COUNTIFS($BY$6:$BY$53,BY53,$BC$6:$BC$53,INDEX(T_Equipos[Grupo],MATCH(BD53,T_Equipos[NombreEquipo],0)))&amp;")")</f>
        <v>P.1 (4)</v>
      </c>
      <c r="CA53" s="735">
        <f t="shared" ca="1" si="40"/>
        <v>0</v>
      </c>
      <c r="CB53" s="735">
        <f t="shared" ca="1" si="41"/>
        <v>0</v>
      </c>
      <c r="CC53" s="735">
        <f t="shared" ca="1" si="42"/>
        <v>0</v>
      </c>
      <c r="CD53" s="735">
        <f ca="1">BY53+COUNTIFS($BZ$6:$BZ$53,BZ53,$CC$6:CC$53,"&gt;"&amp;CC53,$BC$6:$BC$53,INDEX(T_Equipos[Grupo],MATCH(BD53,T_Equipos[NombreEquipo],0)))</f>
        <v>1</v>
      </c>
      <c r="CE53" s="734" t="str">
        <f ca="1">IF(COUNTIFS($CD$6:$CD$53,CD53,$BC$6:$BC$53,INDEX(T_Equipos[Grupo],MATCH(BD53,T_Equipos[NombreEquipo],0)))=1,"-","P."&amp;CD53&amp;" ("&amp;COUNTIFS($CD$6:$CD$53,CD53,$BC$6:$BC$53,INDEX(T_Equipos[Grupo],MATCH(BD53,T_Equipos[NombreEquipo],0)))&amp;")")</f>
        <v>P.1 (4)</v>
      </c>
      <c r="CF53" s="735">
        <f t="shared" ca="1" si="43"/>
        <v>0</v>
      </c>
      <c r="CG53" s="735">
        <f ca="1">CD53+COUNTIFS($CE$6:$CE$53,CE53,$CF$6:CF$53,"&gt;"&amp;CF53,$BC$6:$BC$53,INDEX(T_Equipos[Grupo],MATCH(BD53,T_Equipos[NombreEquipo],0)))</f>
        <v>1</v>
      </c>
      <c r="CH53" s="734" t="str">
        <f ca="1">IF(COUNTIFS($CG$6:$CG$53,CG53,$BC$6:$BC$53,INDEX(T_Equipos[Grupo],MATCH(BD53,T_Equipos[NombreEquipo],0)))=1,"-","P."&amp;CG53&amp;" ("&amp;COUNTIFS($CG$6:$CG$53,CG53,$BC$6:$BC$53,INDEX(T_Equipos[Grupo],MATCH(BD53,T_Equipos[NombreEquipo],0)))&amp;")")</f>
        <v>P.1 (4)</v>
      </c>
      <c r="CI53" s="735">
        <f t="shared" ca="1" si="44"/>
        <v>0</v>
      </c>
      <c r="CJ53" s="735">
        <f t="shared" ca="1" si="45"/>
        <v>0</v>
      </c>
      <c r="CK53" s="735">
        <f t="shared" ca="1" si="46"/>
        <v>0</v>
      </c>
      <c r="CL53" s="735">
        <f t="shared" ca="1" si="47"/>
        <v>0</v>
      </c>
      <c r="CM53" s="735">
        <f ca="1">CG53+COUNTIFS($CH$6:$CH$53,CH53,$CL$6:CL$53,"&gt;"&amp;CL53,$BC$6:$BC$53,INDEX(T_Equipos[Grupo],MATCH(BD53,T_Equipos[NombreEquipo],0)))</f>
        <v>1</v>
      </c>
      <c r="CN53" s="734" t="str">
        <f ca="1">IF(COUNTIFS($CM$6:$CM$53,CM53,$BC$6:$BC$53,INDEX(T_Equipos[Grupo],MATCH(BD53,T_Equipos[NombreEquipo],0)))=1,"-","P."&amp;CM53&amp;" ("&amp;COUNTIFS($CM$6:$CM$53,CM53,$BC$6:$BC$53,INDEX(T_Equipos[Grupo],MATCH(BD53,T_Equipos[NombreEquipo],0)))&amp;")")</f>
        <v>P.1 (4)</v>
      </c>
      <c r="CO53" s="735">
        <f t="shared" ca="1" si="48"/>
        <v>0</v>
      </c>
      <c r="CP53" s="735">
        <f t="shared" ca="1" si="49"/>
        <v>0</v>
      </c>
      <c r="CQ53" s="735">
        <f t="shared" ca="1" si="50"/>
        <v>0</v>
      </c>
      <c r="CR53" s="735">
        <f ca="1">CM53+COUNTIFS($CN$6:$CN$53,CN53,$CQ$6:CQ$53,"&gt;"&amp;CQ53,$BC$6:$BC$53,INDEX(T_Equipos[Grupo],MATCH(BD53,T_Equipos[NombreEquipo],0)))</f>
        <v>1</v>
      </c>
      <c r="CS53" s="734" t="str">
        <f ca="1">IF(COUNTIFS($CR$6:$CR$53,CR53,$BC$6:$BC$53,INDEX(T_Equipos[Grupo],MATCH(BD53,T_Equipos[NombreEquipo],0)))=1,"-","P."&amp;CR53&amp;" ("&amp;COUNTIFS($CR$6:$CR$53,CR53,$BC$6:$BC$53,INDEX(T_Equipos[Grupo],MATCH(BD53,T_Equipos[NombreEquipo],0)))&amp;")")</f>
        <v>P.1 (4)</v>
      </c>
      <c r="CT53" s="735">
        <f t="shared" ca="1" si="51"/>
        <v>0</v>
      </c>
      <c r="CU53" s="735">
        <f ca="1">CR53+COUNTIFS($CS$6:$CS$53,CS53,$CT$6:CT$53,"&gt;"&amp;CT53,$BC$6:$BC$53,INDEX(T_Equipos[Grupo],MATCH(BD53,T_Equipos[NombreEquipo],0)))</f>
        <v>1</v>
      </c>
      <c r="CV53" s="734" t="str">
        <f ca="1">IF(COUNTIFS($CU$6:$CU$53,CU53,$BC$6:$BC$53,INDEX(T_Equipos[Grupo],MATCH(BD53,T_Equipos[NombreEquipo],0)))=1,"-","P."&amp;CU53&amp;" ("&amp;COUNTIFS($CU$6:$CU$53,CU53,$BC$6:$BC$53,INDEX(T_Equipos[Grupo],MATCH(BD53,T_Equipos[NombreEquipo],0)))&amp;")")</f>
        <v>P.1 (4)</v>
      </c>
      <c r="CW53" s="734">
        <f t="shared" ca="1" si="30"/>
        <v>0</v>
      </c>
      <c r="CX53" s="734">
        <f ca="1">CU53+COUNTIFS($CV$6:$CV$53,CV53,$CW$6:CW$53,"&gt;"&amp;CW53,$BC$6:$BC$53,INDEX(T_Equipos[Grupo],MATCH(BD53,T_Equipos[NombreEquipo],0)))</f>
        <v>1</v>
      </c>
      <c r="CY53" s="734" t="str">
        <f ca="1">IF(COUNTIFS($CX$6:$CX$53,CX53,$BC$6:$BC$53,INDEX(T_Equipos[Grupo],MATCH(BD53,T_Equipos[NombreEquipo],0)))=1,"-","P."&amp;CX53&amp;" ("&amp;COUNTIFS($CX$6:$CX$53,CX53,$BC$6:$BC$53,INDEX(T_Equipos[Grupo],MATCH(BD53,T_Equipos[NombreEquipo],0)))&amp;")")</f>
        <v>P.1 (4)</v>
      </c>
      <c r="CZ53" s="734">
        <f t="shared" ca="1" si="31"/>
        <v>0</v>
      </c>
      <c r="DA53" s="735">
        <f ca="1">CX53+COUNTIFS($CY$6:$CY$53,CY53,$CZ$6:CZ$53,"&gt;"&amp;CZ53,$BC$6:$BC$53,INDEX(T_Equipos[Grupo],MATCH(BD53,T_Equipos[NombreEquipo],0)))</f>
        <v>1</v>
      </c>
      <c r="DB53" s="734" t="str">
        <f ca="1">IF(COUNTIFS($DA$6:$DA$53,DA53,$BC$6:$BC$53,INDEX(T_Equipos[Grupo],MATCH(BD53,T_Equipos[NombreEquipo],0)))=1,"-","P."&amp;DA53&amp;" ("&amp;COUNTIFS($DA$6:$DA$53,DA53,$BC$6:$BC$53,INDEX(T_Equipos[Grupo],MATCH(BD53,T_Equipos[NombreEquipo],0)))&amp;")")</f>
        <v>P.1 (4)</v>
      </c>
      <c r="DC53" s="733">
        <f ca="1">IF(DB53="-","-",COUNTIFS(T_Equipos[Rank],"&lt;"&amp;INDEX(T_Equipos[Rank],MATCH(BD53,T_Equipos[NombreEquipo],0)),$BC$6:$BC$53,INDEX(T_Equipos[Grupo],MATCH(BD53,T_Equipos[NombreEquipo],0)))+1)</f>
        <v>4</v>
      </c>
      <c r="DD53" s="733">
        <f ca="1">DA53+COUNTIFS($DB$6:$DB$53,DB53,$DC$6:DC$53,"&lt;"&amp;DC53,$BC$6:$BC$53,INDEX(T_Equipos[Grupo],MATCH(BD53,T_Equipos[NombreEquipo],0)))</f>
        <v>4</v>
      </c>
      <c r="DE53" s="733"/>
      <c r="DF53" s="733">
        <f t="shared" ca="1" si="52"/>
        <v>4</v>
      </c>
      <c r="DG53" s="733">
        <f ca="1">IF(DB53="-","-",COUNTIFS(DF$6:DF$53,"&lt;"&amp;DF53,$BC$6:$BC$53,INDEX(T_Equipos[Grupo],MATCH(BD53,T_Equipos[NombreEquipo],0))))</f>
        <v>3</v>
      </c>
      <c r="DH53" s="733">
        <f ca="1">DA53+COUNTIFS(DB$6:DB$53,DB53,DG$6:DG$53,"&lt;"&amp;DG53,$BC$6:$BC$53,INDEX(T_Equipos[Grupo],MATCH(BD53,T_Equipos[NombreEquipo],0)))</f>
        <v>4</v>
      </c>
      <c r="DI53" s="721"/>
      <c r="DJ53" s="721">
        <f t="shared" ca="1" si="53"/>
        <v>1</v>
      </c>
      <c r="DK53" s="721">
        <f t="shared" ca="1" si="24"/>
        <v>0</v>
      </c>
      <c r="DL53" s="721">
        <f t="shared" ca="1" si="33"/>
        <v>1</v>
      </c>
      <c r="DM53" s="715" t="str">
        <f t="shared" ca="1" si="34"/>
        <v>1.1</v>
      </c>
      <c r="DN53" s="721" cm="1">
        <f t="array" aca="1" ref="DN53" ca="1">OFFSET(Horarios!$P$3,DJ53-1,0,DL53,1)</f>
        <v>1</v>
      </c>
      <c r="DO53" s="721"/>
      <c r="DP53" s="721" t="s">
        <v>684</v>
      </c>
      <c r="DQ53" s="721" t="str">
        <f t="shared" ca="1" si="35"/>
        <v>Panamá</v>
      </c>
      <c r="DR53" s="721"/>
      <c r="DS53" s="721"/>
      <c r="DT53" s="721" t="str">
        <f t="shared" ca="1" si="15"/>
        <v>Irán-Nueva Zelanda</v>
      </c>
      <c r="DU53" s="721"/>
      <c r="DV53" s="721"/>
      <c r="DW53" s="8"/>
    </row>
    <row r="54" spans="1:127">
      <c r="A54" s="722" t="str">
        <f ca="1">+Equipos!B27</f>
        <v>Egipto</v>
      </c>
      <c r="B54" s="719"/>
      <c r="C54" s="723"/>
      <c r="D54" s="721" t="str">
        <f t="shared" si="155"/>
        <v>Pendiente</v>
      </c>
      <c r="E54" s="721" t="str">
        <f t="shared" si="156"/>
        <v>-</v>
      </c>
      <c r="F54" s="721" t="str">
        <f t="shared" si="157"/>
        <v>-</v>
      </c>
      <c r="G54" s="721"/>
      <c r="H54" s="721" t="str">
        <f t="shared" si="158"/>
        <v>-</v>
      </c>
      <c r="I54" s="721" t="str">
        <f t="shared" si="159"/>
        <v>-</v>
      </c>
      <c r="J54" s="721"/>
      <c r="K54" s="721" t="str">
        <f t="shared" si="160"/>
        <v>-</v>
      </c>
      <c r="L54" s="721" t="str">
        <f t="shared" si="161"/>
        <v>-</v>
      </c>
      <c r="M54" s="721"/>
      <c r="N54" s="721" t="str">
        <f t="shared" si="162"/>
        <v>-</v>
      </c>
      <c r="O54" s="721" t="str">
        <f t="shared" si="163"/>
        <v>-</v>
      </c>
      <c r="P54" s="721"/>
      <c r="Q54" s="721" t="str">
        <f t="shared" si="164"/>
        <v>-</v>
      </c>
      <c r="R54" s="721" t="str">
        <f t="shared" si="165"/>
        <v>-</v>
      </c>
      <c r="S54" s="721"/>
      <c r="T54" s="721" t="str">
        <f t="shared" si="166"/>
        <v>-</v>
      </c>
      <c r="U54" s="721" t="str">
        <f t="shared" si="167"/>
        <v>-</v>
      </c>
      <c r="V54" s="162"/>
      <c r="W54" s="857"/>
      <c r="X54" s="179">
        <f ca="1">Horarios!C54</f>
        <v>46194.875</v>
      </c>
      <c r="Y54" s="180">
        <f ca="1">Horarios!C54</f>
        <v>46194.875</v>
      </c>
      <c r="Z54" s="181" t="str">
        <f>$Z$6</f>
        <v>J2</v>
      </c>
      <c r="AA54" s="182" t="str">
        <f ca="1">A53</f>
        <v>Bélgica</v>
      </c>
      <c r="AB54" s="457" t="str" cm="1">
        <f t="array" aca="1" ref="AB54" ca="1">Ver_flag_local</f>
        <v/>
      </c>
      <c r="AC54" s="183"/>
      <c r="AD54" s="184"/>
      <c r="AE54" s="462" t="str" cm="1">
        <f t="array" aca="1" ref="AE54" ca="1">Ver_flag_visit</f>
        <v/>
      </c>
      <c r="AF54" s="185" t="str">
        <f ca="1">A55</f>
        <v>Irán</v>
      </c>
      <c r="AG54" s="396">
        <f t="shared" si="168"/>
        <v>0</v>
      </c>
      <c r="AH54" s="186">
        <v>39</v>
      </c>
      <c r="AI54" s="15" t="str">
        <f>AJ54&amp;$B$52</f>
        <v>1G</v>
      </c>
      <c r="AJ54" s="201">
        <v>1</v>
      </c>
      <c r="AK54" s="467" t="str" cm="1">
        <f t="array" aca="1" ref="AK54" ca="1">Ver_flag_visit</f>
        <v/>
      </c>
      <c r="AL54" s="202" t="str">
        <f ca="1">IFERROR(INDEX($BD$6:$BD$53,MATCH(AI54,$BN$6:$BN$53,0)),"")</f>
        <v>Bélgica</v>
      </c>
      <c r="AM54" s="203">
        <f t="shared" ref="AM54:AT57" ca="1" si="172">INDEX($BE$6:$BN$53,MATCH($AL54,$BD$6:$BD$53,0),MATCH(AM$5,$BE$5:$BN$5,0))</f>
        <v>0</v>
      </c>
      <c r="AN54" s="204">
        <f t="shared" ca="1" si="172"/>
        <v>0</v>
      </c>
      <c r="AO54" s="204">
        <f t="shared" ca="1" si="172"/>
        <v>0</v>
      </c>
      <c r="AP54" s="204">
        <f t="shared" ca="1" si="172"/>
        <v>0</v>
      </c>
      <c r="AQ54" s="204">
        <f t="shared" ca="1" si="172"/>
        <v>0</v>
      </c>
      <c r="AR54" s="204">
        <f t="shared" ca="1" si="172"/>
        <v>0</v>
      </c>
      <c r="AS54" s="204">
        <f t="shared" ca="1" si="172"/>
        <v>0</v>
      </c>
      <c r="AT54" s="205">
        <f t="shared" ca="1" si="172"/>
        <v>0</v>
      </c>
      <c r="AU54" s="403">
        <f ca="1">INDEX($DL$6:$DL$53,MATCH(AI54,$DP$6:$DP$53,0))</f>
        <v>1</v>
      </c>
      <c r="AV54" s="207" t="str">
        <f ca="1">INDEX($BD$6:$BD$53,MATCH(AI54,$BM$6:$BM$53,0))</f>
        <v>Bélgica</v>
      </c>
      <c r="AW54" s="410"/>
      <c r="AX54" s="208"/>
      <c r="AY54" s="209" t="str">
        <f ca="1">+A53</f>
        <v>Bélgica</v>
      </c>
      <c r="AZ54" s="210"/>
      <c r="BA54" s="165"/>
      <c r="BB54" s="721"/>
      <c r="BC54" s="721"/>
      <c r="BD54" s="721"/>
      <c r="BE54" s="721"/>
      <c r="BF54" s="721"/>
      <c r="BG54" s="721"/>
      <c r="BH54" s="721"/>
      <c r="BI54" s="721"/>
      <c r="BJ54" s="721"/>
      <c r="BK54" s="721"/>
      <c r="BL54" s="721"/>
      <c r="BM54" s="721"/>
      <c r="BN54" s="726"/>
      <c r="BO54" s="726"/>
      <c r="BP54" s="726"/>
      <c r="BQ54" s="726"/>
      <c r="BR54" s="721"/>
      <c r="BS54" s="721"/>
      <c r="BT54" s="726"/>
      <c r="BU54" s="726"/>
      <c r="BV54" s="726"/>
      <c r="BW54" s="726"/>
      <c r="BX54" s="726"/>
      <c r="BY54" s="726"/>
      <c r="BZ54" s="726"/>
      <c r="CA54" s="726"/>
      <c r="CB54" s="726"/>
      <c r="CC54" s="726"/>
      <c r="CD54" s="726"/>
      <c r="CE54" s="726"/>
      <c r="CF54" s="726"/>
      <c r="CG54" s="726"/>
      <c r="CH54" s="726"/>
      <c r="CI54" s="726"/>
      <c r="CJ54" s="726"/>
      <c r="CK54" s="726"/>
      <c r="CL54" s="726"/>
      <c r="CM54" s="726"/>
      <c r="CN54" s="726"/>
      <c r="CO54" s="726"/>
      <c r="CP54" s="726"/>
      <c r="CQ54" s="726"/>
      <c r="CR54" s="726"/>
      <c r="CS54" s="726"/>
      <c r="CT54" s="726"/>
      <c r="CU54" s="726"/>
      <c r="CV54" s="726"/>
      <c r="CW54" s="721"/>
      <c r="CX54" s="726"/>
      <c r="CY54" s="721"/>
      <c r="CZ54" s="721"/>
      <c r="DA54" s="721"/>
      <c r="DB54" s="721"/>
      <c r="DC54" s="721"/>
      <c r="DD54" s="721"/>
      <c r="DE54" s="721"/>
      <c r="DF54" s="721"/>
      <c r="DG54" s="721"/>
      <c r="DH54" s="721"/>
      <c r="DI54" s="721"/>
      <c r="DJ54" s="721"/>
      <c r="DK54" s="721"/>
      <c r="DL54" s="721"/>
      <c r="DM54" s="721"/>
      <c r="DN54" s="721"/>
      <c r="DO54" s="721"/>
      <c r="DP54" s="721"/>
      <c r="DQ54" s="721"/>
      <c r="DR54" s="721"/>
      <c r="DS54" s="721"/>
      <c r="DT54" s="721" t="str">
        <f t="shared" ca="1" si="15"/>
        <v>Bélgica-Irán</v>
      </c>
      <c r="DU54" s="721"/>
      <c r="DV54" s="721"/>
      <c r="DW54" s="8"/>
    </row>
    <row r="55" spans="1:127">
      <c r="A55" s="722" t="str">
        <f ca="1">+Equipos!B28</f>
        <v>Irán</v>
      </c>
      <c r="B55" s="719"/>
      <c r="C55" s="721"/>
      <c r="D55" s="721" t="str">
        <f t="shared" si="155"/>
        <v>Pendiente</v>
      </c>
      <c r="E55" s="721" t="str">
        <f t="shared" si="156"/>
        <v>-</v>
      </c>
      <c r="F55" s="721" t="str">
        <f t="shared" si="157"/>
        <v>-</v>
      </c>
      <c r="G55" s="721"/>
      <c r="H55" s="721" t="str">
        <f t="shared" si="158"/>
        <v>-</v>
      </c>
      <c r="I55" s="721" t="str">
        <f t="shared" si="159"/>
        <v>-</v>
      </c>
      <c r="J55" s="721"/>
      <c r="K55" s="721" t="str">
        <f t="shared" si="160"/>
        <v>-</v>
      </c>
      <c r="L55" s="721" t="str">
        <f t="shared" si="161"/>
        <v>-</v>
      </c>
      <c r="M55" s="721"/>
      <c r="N55" s="721" t="str">
        <f t="shared" si="162"/>
        <v>-</v>
      </c>
      <c r="O55" s="721" t="str">
        <f t="shared" si="163"/>
        <v>-</v>
      </c>
      <c r="P55" s="721"/>
      <c r="Q55" s="721" t="str">
        <f t="shared" si="164"/>
        <v>-</v>
      </c>
      <c r="R55" s="721" t="str">
        <f t="shared" si="165"/>
        <v>-</v>
      </c>
      <c r="S55" s="721"/>
      <c r="T55" s="721" t="str">
        <f t="shared" si="166"/>
        <v>-</v>
      </c>
      <c r="U55" s="721" t="str">
        <f t="shared" si="167"/>
        <v>-</v>
      </c>
      <c r="V55" s="162"/>
      <c r="W55" s="857"/>
      <c r="X55" s="179">
        <f ca="1">Horarios!C55</f>
        <v>46195.125</v>
      </c>
      <c r="Y55" s="180">
        <f ca="1">Horarios!C55</f>
        <v>46195.125</v>
      </c>
      <c r="Z55" s="181" t="str">
        <f>$Z$6</f>
        <v>J2</v>
      </c>
      <c r="AA55" s="182" t="str">
        <f ca="1">A56</f>
        <v>Nueva Zelanda</v>
      </c>
      <c r="AB55" s="457" t="str" cm="1">
        <f t="array" aca="1" ref="AB55" ca="1">Ver_flag_local</f>
        <v/>
      </c>
      <c r="AC55" s="183"/>
      <c r="AD55" s="184"/>
      <c r="AE55" s="462" t="str" cm="1">
        <f t="array" aca="1" ref="AE55" ca="1">Ver_flag_visit</f>
        <v/>
      </c>
      <c r="AF55" s="185" t="str">
        <f ca="1">A54</f>
        <v>Egipto</v>
      </c>
      <c r="AG55" s="396">
        <f t="shared" si="168"/>
        <v>0</v>
      </c>
      <c r="AH55" s="186">
        <v>40</v>
      </c>
      <c r="AI55" s="15" t="str">
        <f t="shared" ref="AI55:AI57" si="173">AJ55&amp;$B$52</f>
        <v>2G</v>
      </c>
      <c r="AJ55" s="211">
        <v>2</v>
      </c>
      <c r="AK55" s="465" t="str" cm="1">
        <f t="array" aca="1" ref="AK55" ca="1">Ver_flag_visit</f>
        <v/>
      </c>
      <c r="AL55" s="212" t="str">
        <f ca="1">IFERROR(INDEX($BD$6:$BD$53,MATCH(AI55,$BN$6:$BN$53,0)),"")</f>
        <v>Egipto</v>
      </c>
      <c r="AM55" s="213">
        <f t="shared" ca="1" si="172"/>
        <v>0</v>
      </c>
      <c r="AN55" s="214">
        <f t="shared" ca="1" si="172"/>
        <v>0</v>
      </c>
      <c r="AO55" s="214">
        <f t="shared" ca="1" si="172"/>
        <v>0</v>
      </c>
      <c r="AP55" s="214">
        <f t="shared" ca="1" si="172"/>
        <v>0</v>
      </c>
      <c r="AQ55" s="214">
        <f t="shared" ca="1" si="172"/>
        <v>0</v>
      </c>
      <c r="AR55" s="214">
        <f t="shared" ca="1" si="172"/>
        <v>0</v>
      </c>
      <c r="AS55" s="214">
        <f t="shared" ca="1" si="172"/>
        <v>0</v>
      </c>
      <c r="AT55" s="215">
        <f t="shared" ca="1" si="172"/>
        <v>0</v>
      </c>
      <c r="AU55" s="403">
        <f ca="1">INDEX($DL$6:$DL$53,MATCH(AI55,$DP$6:$DP$53,0))</f>
        <v>1</v>
      </c>
      <c r="AV55" s="207" t="str">
        <f ca="1">INDEX($BD$6:$BD$53,MATCH(AI55,$BM$6:$BM$53,0))</f>
        <v>Egipto</v>
      </c>
      <c r="AW55" s="410"/>
      <c r="AX55" s="208"/>
      <c r="AY55" s="216" t="str">
        <f ca="1">+A54</f>
        <v>Egipto</v>
      </c>
      <c r="AZ55" s="217"/>
      <c r="BA55" s="165"/>
      <c r="BB55" s="721"/>
      <c r="BC55" s="721"/>
      <c r="BD55" s="721"/>
      <c r="BE55" s="721"/>
      <c r="BF55" s="721"/>
      <c r="BG55" s="721"/>
      <c r="BH55" s="721"/>
      <c r="BI55" s="721"/>
      <c r="BJ55" s="721"/>
      <c r="BK55" s="721"/>
      <c r="BL55" s="721"/>
      <c r="BM55" s="721"/>
      <c r="BN55" s="726"/>
      <c r="BO55" s="726"/>
      <c r="BP55" s="726"/>
      <c r="BQ55" s="726"/>
      <c r="BR55" s="721"/>
      <c r="BS55" s="721"/>
      <c r="BT55" s="726"/>
      <c r="BU55" s="726"/>
      <c r="BV55" s="726"/>
      <c r="BW55" s="726"/>
      <c r="BX55" s="726"/>
      <c r="BY55" s="726"/>
      <c r="BZ55" s="726"/>
      <c r="CA55" s="726"/>
      <c r="CB55" s="726"/>
      <c r="CC55" s="726"/>
      <c r="CD55" s="726"/>
      <c r="CE55" s="726"/>
      <c r="CF55" s="726"/>
      <c r="CG55" s="726"/>
      <c r="CH55" s="726"/>
      <c r="CI55" s="726"/>
      <c r="CJ55" s="726"/>
      <c r="CK55" s="726"/>
      <c r="CL55" s="726"/>
      <c r="CM55" s="726"/>
      <c r="CN55" s="726"/>
      <c r="CO55" s="726"/>
      <c r="CP55" s="726"/>
      <c r="CQ55" s="726"/>
      <c r="CR55" s="726"/>
      <c r="CS55" s="726"/>
      <c r="CT55" s="726"/>
      <c r="CU55" s="726"/>
      <c r="CV55" s="726"/>
      <c r="CW55" s="721"/>
      <c r="CX55" s="726"/>
      <c r="CY55" s="721"/>
      <c r="CZ55" s="721"/>
      <c r="DA55" s="721"/>
      <c r="DB55" s="721"/>
      <c r="DC55" s="721"/>
      <c r="DD55" s="721"/>
      <c r="DE55" s="721"/>
      <c r="DF55" s="721"/>
      <c r="DG55" s="721"/>
      <c r="DH55" s="721"/>
      <c r="DI55" s="721"/>
      <c r="DJ55" s="721"/>
      <c r="DK55" s="721"/>
      <c r="DL55" s="721"/>
      <c r="DM55" s="721"/>
      <c r="DN55" s="721"/>
      <c r="DO55" s="721"/>
      <c r="DP55" s="721"/>
      <c r="DQ55" s="721"/>
      <c r="DR55" s="721"/>
      <c r="DS55" s="721"/>
      <c r="DT55" s="721" t="str">
        <f t="shared" ca="1" si="15"/>
        <v>Nueva Zelanda-Egipto</v>
      </c>
      <c r="DU55" s="721"/>
      <c r="DV55" s="721"/>
      <c r="DW55" s="8"/>
    </row>
    <row r="56" spans="1:127">
      <c r="A56" s="722" t="str">
        <f ca="1">+Equipos!B29</f>
        <v>Nueva Zelanda</v>
      </c>
      <c r="B56" s="719"/>
      <c r="C56" s="721"/>
      <c r="D56" s="721" t="str">
        <f t="shared" si="155"/>
        <v>Pendiente</v>
      </c>
      <c r="E56" s="721" t="str">
        <f t="shared" si="156"/>
        <v>-</v>
      </c>
      <c r="F56" s="721" t="str">
        <f t="shared" si="157"/>
        <v>-</v>
      </c>
      <c r="G56" s="721"/>
      <c r="H56" s="721" t="str">
        <f t="shared" si="158"/>
        <v>-</v>
      </c>
      <c r="I56" s="721" t="str">
        <f t="shared" si="159"/>
        <v>-</v>
      </c>
      <c r="J56" s="721"/>
      <c r="K56" s="721" t="str">
        <f t="shared" si="160"/>
        <v>-</v>
      </c>
      <c r="L56" s="721" t="str">
        <f t="shared" si="161"/>
        <v>-</v>
      </c>
      <c r="M56" s="721"/>
      <c r="N56" s="721" t="str">
        <f t="shared" si="162"/>
        <v>-</v>
      </c>
      <c r="O56" s="721" t="str">
        <f t="shared" si="163"/>
        <v>-</v>
      </c>
      <c r="P56" s="721"/>
      <c r="Q56" s="721" t="str">
        <f t="shared" si="164"/>
        <v>-</v>
      </c>
      <c r="R56" s="721" t="str">
        <f t="shared" si="165"/>
        <v>-</v>
      </c>
      <c r="S56" s="721"/>
      <c r="T56" s="721" t="str">
        <f t="shared" si="166"/>
        <v>-</v>
      </c>
      <c r="U56" s="721" t="str">
        <f t="shared" si="167"/>
        <v>-</v>
      </c>
      <c r="V56" s="162"/>
      <c r="W56" s="857"/>
      <c r="X56" s="179">
        <f ca="1">Horarios!C56</f>
        <v>46200.208333333336</v>
      </c>
      <c r="Y56" s="180">
        <f ca="1">Horarios!C56</f>
        <v>46200.208333333336</v>
      </c>
      <c r="Z56" s="181" t="str">
        <f>$Z$8</f>
        <v>J3</v>
      </c>
      <c r="AA56" s="182" t="str">
        <f ca="1">A54</f>
        <v>Egipto</v>
      </c>
      <c r="AB56" s="457" t="str" cm="1">
        <f t="array" aca="1" ref="AB56" ca="1">Ver_flag_local</f>
        <v/>
      </c>
      <c r="AC56" s="183"/>
      <c r="AD56" s="184"/>
      <c r="AE56" s="462" t="str" cm="1">
        <f t="array" aca="1" ref="AE56" ca="1">Ver_flag_visit</f>
        <v/>
      </c>
      <c r="AF56" s="185" t="str">
        <f ca="1">A55</f>
        <v>Irán</v>
      </c>
      <c r="AG56" s="396">
        <f t="shared" si="168"/>
        <v>0</v>
      </c>
      <c r="AH56" s="186">
        <v>63</v>
      </c>
      <c r="AI56" s="15" t="str">
        <f t="shared" si="173"/>
        <v>3G</v>
      </c>
      <c r="AJ56" s="211">
        <v>3</v>
      </c>
      <c r="AK56" s="465" t="str" cm="1">
        <f t="array" aca="1" ref="AK56" ca="1">Ver_flag_visit</f>
        <v/>
      </c>
      <c r="AL56" s="212" t="str">
        <f ca="1">IFERROR(INDEX($BD$6:$BD$53,MATCH(AI56,$BN$6:$BN$53,0)),"")</f>
        <v>Irán</v>
      </c>
      <c r="AM56" s="213">
        <f t="shared" ca="1" si="172"/>
        <v>0</v>
      </c>
      <c r="AN56" s="214">
        <f t="shared" ca="1" si="172"/>
        <v>0</v>
      </c>
      <c r="AO56" s="214">
        <f t="shared" ca="1" si="172"/>
        <v>0</v>
      </c>
      <c r="AP56" s="214">
        <f t="shared" ca="1" si="172"/>
        <v>0</v>
      </c>
      <c r="AQ56" s="214">
        <f t="shared" ca="1" si="172"/>
        <v>0</v>
      </c>
      <c r="AR56" s="214">
        <f t="shared" ca="1" si="172"/>
        <v>0</v>
      </c>
      <c r="AS56" s="214">
        <f t="shared" ca="1" si="172"/>
        <v>0</v>
      </c>
      <c r="AT56" s="215">
        <f t="shared" ca="1" si="172"/>
        <v>0</v>
      </c>
      <c r="AU56" s="403">
        <f ca="1">INDEX($DL$6:$DL$53,MATCH(AI56,$DP$6:$DP$53,0))</f>
        <v>1</v>
      </c>
      <c r="AV56" s="207" t="str">
        <f ca="1">INDEX($BD$6:$BD$53,MATCH(AI56,$BM$6:$BM$53,0))</f>
        <v>Irán</v>
      </c>
      <c r="AW56" s="410"/>
      <c r="AX56" s="208"/>
      <c r="AY56" s="209" t="str">
        <f ca="1">+A55</f>
        <v>Irán</v>
      </c>
      <c r="AZ56" s="210"/>
      <c r="BA56" s="165"/>
      <c r="BB56" s="721"/>
      <c r="BC56" s="721"/>
      <c r="BD56" s="721"/>
      <c r="BE56" s="721"/>
      <c r="BF56" s="721"/>
      <c r="BG56" s="721"/>
      <c r="BH56" s="721"/>
      <c r="BI56" s="721"/>
      <c r="BJ56" s="721"/>
      <c r="BK56" s="721"/>
      <c r="BL56" s="721"/>
      <c r="BM56" s="721"/>
      <c r="BN56" s="726"/>
      <c r="BO56" s="726"/>
      <c r="BP56" s="726"/>
      <c r="BQ56" s="726"/>
      <c r="BR56" s="721"/>
      <c r="BS56" s="721"/>
      <c r="BT56" s="726"/>
      <c r="BU56" s="726"/>
      <c r="BV56" s="726"/>
      <c r="BW56" s="726"/>
      <c r="BX56" s="726"/>
      <c r="BY56" s="726"/>
      <c r="BZ56" s="726"/>
      <c r="CA56" s="726"/>
      <c r="CB56" s="726"/>
      <c r="CC56" s="726"/>
      <c r="CD56" s="726"/>
      <c r="CE56" s="726"/>
      <c r="CF56" s="726"/>
      <c r="CG56" s="726"/>
      <c r="CH56" s="726"/>
      <c r="CI56" s="726"/>
      <c r="CJ56" s="726"/>
      <c r="CK56" s="726"/>
      <c r="CL56" s="726"/>
      <c r="CM56" s="726"/>
      <c r="CN56" s="726"/>
      <c r="CO56" s="726"/>
      <c r="CP56" s="726"/>
      <c r="CQ56" s="726"/>
      <c r="CR56" s="726"/>
      <c r="CS56" s="726"/>
      <c r="CT56" s="726"/>
      <c r="CU56" s="726"/>
      <c r="CV56" s="726"/>
      <c r="CW56" s="721"/>
      <c r="CX56" s="726"/>
      <c r="CY56" s="721"/>
      <c r="CZ56" s="721"/>
      <c r="DA56" s="721"/>
      <c r="DB56" s="721"/>
      <c r="DC56" s="721"/>
      <c r="DD56" s="721"/>
      <c r="DE56" s="721"/>
      <c r="DF56" s="721"/>
      <c r="DG56" s="721"/>
      <c r="DH56" s="721"/>
      <c r="DI56" s="721"/>
      <c r="DJ56" s="721"/>
      <c r="DK56" s="721"/>
      <c r="DL56" s="721"/>
      <c r="DM56" s="721"/>
      <c r="DN56" s="721"/>
      <c r="DO56" s="721"/>
      <c r="DP56" s="721"/>
      <c r="DQ56" s="721"/>
      <c r="DR56" s="721"/>
      <c r="DS56" s="721"/>
      <c r="DT56" s="721" t="str">
        <f t="shared" ca="1" si="15"/>
        <v>Egipto-Irán</v>
      </c>
      <c r="DU56" s="721"/>
      <c r="DV56" s="721"/>
      <c r="DW56" s="8"/>
    </row>
    <row r="57" spans="1:127" ht="15.75" thickBot="1">
      <c r="A57" s="716"/>
      <c r="B57" s="719"/>
      <c r="C57" s="716"/>
      <c r="D57" s="721" t="str">
        <f t="shared" si="155"/>
        <v>Pendiente</v>
      </c>
      <c r="E57" s="721" t="str">
        <f t="shared" si="156"/>
        <v>-</v>
      </c>
      <c r="F57" s="721" t="str">
        <f t="shared" si="157"/>
        <v>-</v>
      </c>
      <c r="G57" s="721"/>
      <c r="H57" s="721" t="str">
        <f t="shared" si="158"/>
        <v>-</v>
      </c>
      <c r="I57" s="721" t="str">
        <f t="shared" si="159"/>
        <v>-</v>
      </c>
      <c r="J57" s="721"/>
      <c r="K57" s="721" t="str">
        <f t="shared" si="160"/>
        <v>-</v>
      </c>
      <c r="L57" s="721" t="str">
        <f t="shared" si="161"/>
        <v>-</v>
      </c>
      <c r="M57" s="721"/>
      <c r="N57" s="721" t="str">
        <f t="shared" si="162"/>
        <v>-</v>
      </c>
      <c r="O57" s="721" t="str">
        <f t="shared" si="163"/>
        <v>-</v>
      </c>
      <c r="P57" s="721"/>
      <c r="Q57" s="721" t="str">
        <f t="shared" si="164"/>
        <v>-</v>
      </c>
      <c r="R57" s="721" t="str">
        <f t="shared" si="165"/>
        <v>-</v>
      </c>
      <c r="S57" s="721"/>
      <c r="T57" s="721" t="str">
        <f t="shared" si="166"/>
        <v>-</v>
      </c>
      <c r="U57" s="721" t="str">
        <f t="shared" si="167"/>
        <v>-</v>
      </c>
      <c r="V57" s="162"/>
      <c r="W57" s="858"/>
      <c r="X57" s="218">
        <f ca="1">Horarios!C57</f>
        <v>46200.208333333336</v>
      </c>
      <c r="Y57" s="219">
        <f ca="1">Horarios!C57</f>
        <v>46200.208333333336</v>
      </c>
      <c r="Z57" s="220" t="str">
        <f>$Z$8</f>
        <v>J3</v>
      </c>
      <c r="AA57" s="221" t="str">
        <f ca="1">A56</f>
        <v>Nueva Zelanda</v>
      </c>
      <c r="AB57" s="458" t="str" cm="1">
        <f t="array" aca="1" ref="AB57" ca="1">Ver_flag_local</f>
        <v/>
      </c>
      <c r="AC57" s="222"/>
      <c r="AD57" s="223"/>
      <c r="AE57" s="463" t="str" cm="1">
        <f t="array" aca="1" ref="AE57" ca="1">Ver_flag_visit</f>
        <v/>
      </c>
      <c r="AF57" s="224" t="str">
        <f ca="1">A53</f>
        <v>Bélgica</v>
      </c>
      <c r="AG57" s="396">
        <f t="shared" si="168"/>
        <v>0</v>
      </c>
      <c r="AH57" s="186">
        <v>64</v>
      </c>
      <c r="AI57" s="15" t="str">
        <f t="shared" si="173"/>
        <v>4G</v>
      </c>
      <c r="AJ57" s="225">
        <v>4</v>
      </c>
      <c r="AK57" s="466" t="str" cm="1">
        <f t="array" aca="1" ref="AK57" ca="1">Ver_flag_visit</f>
        <v/>
      </c>
      <c r="AL57" s="226" t="str">
        <f ca="1">IFERROR(INDEX($BD$6:$BD$53,MATCH(AI57,$BN$6:$BN$53,0)),"")</f>
        <v>Nueva Zelanda</v>
      </c>
      <c r="AM57" s="227">
        <f t="shared" ca="1" si="172"/>
        <v>0</v>
      </c>
      <c r="AN57" s="228">
        <f t="shared" ca="1" si="172"/>
        <v>0</v>
      </c>
      <c r="AO57" s="228">
        <f t="shared" ca="1" si="172"/>
        <v>0</v>
      </c>
      <c r="AP57" s="228">
        <f t="shared" ca="1" si="172"/>
        <v>0</v>
      </c>
      <c r="AQ57" s="228">
        <f t="shared" ca="1" si="172"/>
        <v>0</v>
      </c>
      <c r="AR57" s="228">
        <f t="shared" ca="1" si="172"/>
        <v>0</v>
      </c>
      <c r="AS57" s="228">
        <f t="shared" ca="1" si="172"/>
        <v>0</v>
      </c>
      <c r="AT57" s="229">
        <f t="shared" ca="1" si="172"/>
        <v>0</v>
      </c>
      <c r="AU57" s="403">
        <f ca="1">INDEX($DL$6:$DL$53,MATCH(AI57,$DP$6:$DP$53,0))</f>
        <v>1</v>
      </c>
      <c r="AV57" s="207" t="str">
        <f ca="1">INDEX($BD$6:$BD$53,MATCH(AI57,$BM$6:$BM$53,0))</f>
        <v>Nueva Zelanda</v>
      </c>
      <c r="AW57" s="410"/>
      <c r="AX57" s="208"/>
      <c r="AY57" s="230" t="str">
        <f ca="1">+A56</f>
        <v>Nueva Zelanda</v>
      </c>
      <c r="AZ57" s="231"/>
      <c r="BA57" s="165"/>
      <c r="BB57" s="721">
        <f>IFERROR(IF($AJ$99=144,INDEX(Idiomas!$C$75:$C$77,MATCH(WORLDCUP!$AL$116,Idiomas!$D$75:$D$77,0)),1),1)</f>
        <v>1</v>
      </c>
      <c r="BC57" s="729" t="str">
        <f t="shared" ref="BC57:BN57" si="174">+BC5</f>
        <v>Grupo</v>
      </c>
      <c r="BD57" s="729" t="str">
        <f t="shared" si="174"/>
        <v>Selección</v>
      </c>
      <c r="BE57" s="729" t="str">
        <f t="shared" si="174"/>
        <v>Pts</v>
      </c>
      <c r="BF57" s="729" t="str">
        <f t="shared" si="174"/>
        <v>J</v>
      </c>
      <c r="BG57" s="729" t="str">
        <f t="shared" si="174"/>
        <v>G</v>
      </c>
      <c r="BH57" s="729" t="str">
        <f t="shared" si="174"/>
        <v>E</v>
      </c>
      <c r="BI57" s="729" t="str">
        <f t="shared" si="174"/>
        <v>P</v>
      </c>
      <c r="BJ57" s="729" t="str">
        <f t="shared" si="174"/>
        <v>GF</v>
      </c>
      <c r="BK57" s="729" t="str">
        <f t="shared" si="174"/>
        <v>GC</v>
      </c>
      <c r="BL57" s="729" t="str">
        <f t="shared" si="174"/>
        <v>DG</v>
      </c>
      <c r="BM57" s="729" t="str">
        <f t="shared" si="174"/>
        <v>PosF1</v>
      </c>
      <c r="BN57" s="729" t="str">
        <f t="shared" si="174"/>
        <v>PosF3</v>
      </c>
      <c r="BO57" s="726"/>
      <c r="BP57" s="726"/>
      <c r="BQ57" s="726"/>
      <c r="BR57" s="730" t="s">
        <v>614</v>
      </c>
      <c r="BS57" s="730" t="s">
        <v>617</v>
      </c>
      <c r="BT57" s="730" t="s">
        <v>615</v>
      </c>
      <c r="BU57" s="730" t="s">
        <v>66</v>
      </c>
      <c r="BV57" s="730" t="s">
        <v>618</v>
      </c>
      <c r="BW57" s="730" t="s">
        <v>616</v>
      </c>
      <c r="BX57" s="730" t="s">
        <v>8</v>
      </c>
      <c r="BY57" s="730" t="s">
        <v>619</v>
      </c>
      <c r="BZ57" s="730" t="s">
        <v>620</v>
      </c>
      <c r="CA57" s="731" t="s">
        <v>627</v>
      </c>
      <c r="CB57" s="731" t="s">
        <v>628</v>
      </c>
      <c r="CC57" s="732"/>
      <c r="CD57" s="731" t="s">
        <v>629</v>
      </c>
      <c r="CE57" s="731" t="s">
        <v>630</v>
      </c>
      <c r="CF57" s="731" t="s">
        <v>631</v>
      </c>
      <c r="CG57" s="721"/>
      <c r="CH57" s="721"/>
      <c r="CI57" s="721"/>
      <c r="CJ57" s="721"/>
      <c r="CK57" s="721"/>
      <c r="CL57" s="721"/>
      <c r="CM57" s="721"/>
      <c r="CN57" s="721"/>
      <c r="CO57" s="721"/>
      <c r="CP57" s="721"/>
      <c r="CQ57" s="721"/>
      <c r="CR57" s="721"/>
      <c r="CS57" s="721"/>
      <c r="CT57" s="721"/>
      <c r="CU57" s="721"/>
      <c r="CV57" s="721"/>
      <c r="CW57" s="721"/>
      <c r="CX57" s="721"/>
      <c r="CY57" s="721"/>
      <c r="CZ57" s="721"/>
      <c r="DA57" s="721"/>
      <c r="DB57" s="721"/>
      <c r="DC57" s="721"/>
      <c r="DD57" s="721"/>
      <c r="DE57" s="721"/>
      <c r="DF57" s="721"/>
      <c r="DG57" s="721"/>
      <c r="DH57" s="721"/>
      <c r="DI57" s="721"/>
      <c r="DJ57" s="723" t="s">
        <v>652</v>
      </c>
      <c r="DK57" s="723"/>
      <c r="DL57" s="723" t="s">
        <v>653</v>
      </c>
      <c r="DM57" s="723" t="s">
        <v>654</v>
      </c>
      <c r="DN57" s="723" t="s">
        <v>655</v>
      </c>
      <c r="DO57" s="723"/>
      <c r="DP57" s="723" t="s">
        <v>762</v>
      </c>
      <c r="DQ57" s="723" t="s">
        <v>763</v>
      </c>
      <c r="DR57" s="721"/>
      <c r="DS57" s="721"/>
      <c r="DT57" s="721" t="str">
        <f t="shared" ca="1" si="15"/>
        <v>Nueva Zelanda-Bélgica</v>
      </c>
      <c r="DU57" s="721"/>
      <c r="DV57" s="721"/>
      <c r="DW57" s="8"/>
    </row>
    <row r="58" spans="1:127" ht="15.75" customHeight="1" thickBot="1">
      <c r="A58" s="716"/>
      <c r="B58" s="719"/>
      <c r="C58" s="716"/>
      <c r="D58" s="721"/>
      <c r="E58" s="721"/>
      <c r="F58" s="721"/>
      <c r="G58" s="721"/>
      <c r="H58" s="721"/>
      <c r="I58" s="721"/>
      <c r="J58" s="721"/>
      <c r="K58" s="721"/>
      <c r="L58" s="721"/>
      <c r="M58" s="721"/>
      <c r="N58" s="721"/>
      <c r="O58" s="721"/>
      <c r="P58" s="721"/>
      <c r="Q58" s="721"/>
      <c r="R58" s="721"/>
      <c r="S58" s="721"/>
      <c r="T58" s="721"/>
      <c r="U58" s="721"/>
      <c r="V58" s="162"/>
      <c r="W58" s="232"/>
      <c r="X58" s="233"/>
      <c r="Y58" s="232"/>
      <c r="Z58" s="234"/>
      <c r="AA58" s="235"/>
      <c r="AB58" s="461"/>
      <c r="AC58" s="237"/>
      <c r="AD58" s="237"/>
      <c r="AE58" s="461"/>
      <c r="AF58" s="238"/>
      <c r="AG58" s="398"/>
      <c r="AH58" s="186"/>
      <c r="AI58" s="15"/>
      <c r="AJ58" s="239"/>
      <c r="AK58" s="240"/>
      <c r="AL58" s="176"/>
      <c r="AM58" s="241"/>
      <c r="AN58" s="239"/>
      <c r="AO58" s="239"/>
      <c r="AP58" s="239"/>
      <c r="AQ58" s="239"/>
      <c r="AR58" s="239"/>
      <c r="AS58" s="239"/>
      <c r="AT58" s="239"/>
      <c r="AU58" s="403"/>
      <c r="AV58" s="206"/>
      <c r="AW58" s="411"/>
      <c r="AX58" s="208"/>
      <c r="AY58" s="232"/>
      <c r="AZ58" s="233"/>
      <c r="BA58" s="165"/>
      <c r="BB58" s="736" t="str">
        <f>3&amp;BC58</f>
        <v>3A</v>
      </c>
      <c r="BC58" s="733" t="s">
        <v>0</v>
      </c>
      <c r="BD58" s="721" t="str">
        <f t="shared" ref="BD58:BD69" ca="1" si="175">+INDEX($BD$6:$BN$53,MATCH($BB58,$BN$6:$BN$53,0),MATCH(BD$57,$BD$5:$BN$5,0))</f>
        <v>República Checa</v>
      </c>
      <c r="BE58" s="725">
        <f ca="1">CHOOSE($BB$57,
  (BG58*3 + BH58)+IF($AZ$3="No",0,INDEX($AZ$6:$AZ$97,MATCH(BD58,$AY$6:$AY$97,0))),
  (BG58*3 + BH58)+IF($AZ$3="No",0,INDEX($AZ$6:$AZ$97,MATCH(BD58,$AY$6:$AY$97,0))),
  IFERROR((BG58*3 + BH58+IF($AZ$3="No",0,INDEX($AZ$6:$AZ$97,MATCH(BD58,$AY$6:$AY$97,0)))) / BF58, 0)
)</f>
        <v>0</v>
      </c>
      <c r="BF58" s="725">
        <f ca="1">+BG58+BH58+BI58</f>
        <v>1</v>
      </c>
      <c r="BG58" s="725">
        <f ca="1">CHOOSE(IF($BB$57=2, 2, 1),INDEX($BG$6:$BG$53,MATCH($BB58,$BN$6:$BN$53,0)),
  INDEX($BG$6:$BG$53,MATCH($BB58,$BN$6:$BN$53,0))-(COUNTIFS(FGLocal,$BD58,FGVisitante,INDEX($BD$6:$BD$53,MATCH(BO58,$BN$6:$BN$53,0)),Ganador,"Local")+COUNTIFS(FGVisitante,$BD58,FGLocal,INDEX($BD$6:$BD$53,MATCH(BO58,$BN$6:$BN$53,0)),Ganador,"Visitante"))
)</f>
        <v>0</v>
      </c>
      <c r="BH58" s="725">
        <f ca="1">CHOOSE(IF($BB$57=2, 2, 1),  INDEX($BH$6:$BH$53,MATCH($BB58,$BN$6:$BN$53,0)),
  INDEX($BH$6:$BH$53,MATCH($BB58,$BN$6:$BN$53,0))-(COUNTIFS(FGLocal,$BD58,FGVisitante,INDEX($BD$6:$BD$53,MATCH(BO58,$BN$6:$BN$53,0)),Ganador,"Empate")+COUNTIFS(FGVisitante,$BD58,FGLocal,INDEX($BD$6:$BD$53,MATCH(BO58,$BN$6:$BN$53,0)),Ganador,"Empate"))
)</f>
        <v>0</v>
      </c>
      <c r="BI58" s="725">
        <f t="shared" ref="BI58:BI69" ca="1" si="176">CHOOSE(IF($BB$57=2, 2, 1),
  INDEX($BI$6:$BI$53,MATCH($BB58,$BN$6:$BN$53,0)),
  INDEX($BI$6:$BI$53,MATCH($BB58,$BN$6:$BN$53,0))-(COUNTIFS(FGLocal,$BD58,FGVisitante,INDEX($BD$6:$BD$53,MATCH(BO58,$BN$6:$BN$53,0)),Ganador,"Visitante")+COUNTIFS(FGVisitante,$BD58,FGLocal,INDEX($BD$6:$BD$53,MATCH(BO58,$BN$6:$BN$53,0)),Ganador,"Local"))
)</f>
        <v>1</v>
      </c>
      <c r="BJ58" s="725">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25">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25">
        <f ca="1">BJ58-BK58</f>
        <v>-1</v>
      </c>
      <c r="BM58" s="725">
        <f ca="1">CB58</f>
        <v>12</v>
      </c>
      <c r="BN58" s="725">
        <f ca="1">CF58</f>
        <v>12</v>
      </c>
      <c r="BO58" s="715" t="str">
        <f>"4"&amp;BC58</f>
        <v>4A</v>
      </c>
      <c r="BP58" s="715"/>
      <c r="BQ58" s="715"/>
      <c r="BR58" s="725">
        <f t="shared" ref="BR58:BR69" ca="1" si="179">+BE58</f>
        <v>0</v>
      </c>
      <c r="BS58" s="725">
        <f ca="1">COUNTIFS(BR$58:BR$69,"&gt;"&amp;BR58)+1</f>
        <v>1</v>
      </c>
      <c r="BT58" s="725" t="str">
        <f ca="1">IF(COUNTIF(BS$58:BS$69,BS58)=1,"-","Pos. "&amp;BS58&amp;" ("&amp;COUNTIF(BS$58:BS$69,BS58)&amp;")")</f>
        <v>Pos. 1 (12)</v>
      </c>
      <c r="BU58" s="725">
        <f t="shared" ref="BU58:BU69" ca="1" si="180">IF(BT58="-","-",BL58)</f>
        <v>-1</v>
      </c>
      <c r="BV58" s="725">
        <f t="shared" ref="BV58:BV69" ca="1" si="181">BS58+COUNTIFS(BT$58:BT$69,BT58,BU$58:BU$69,"&gt;"&amp;BU58)</f>
        <v>12</v>
      </c>
      <c r="BW58" s="725" t="str">
        <f t="shared" ref="BW58:BW69" ca="1" si="182">IF(COUNTIF(BV$58:BV$69,BV58)=1,"-","Pos. "&amp;BV58&amp;" ("&amp;COUNTIF(BV$58:BV$69,BV58)&amp;")")</f>
        <v>-</v>
      </c>
      <c r="BX58" s="725" t="str">
        <f t="shared" ref="BX58:BX69" ca="1" si="183">IF(BW58="-","-",BJ58)</f>
        <v>-</v>
      </c>
      <c r="BY58" s="725">
        <f t="shared" ref="BY58:BY69" ca="1" si="184">BV58+COUNTIFS(BW$58:BW$69,BW58,BX$58:BX$69,"&gt;"&amp;BX58)</f>
        <v>12</v>
      </c>
      <c r="BZ58" s="725" t="str">
        <f t="shared" ref="BZ58:BZ69" ca="1" si="185">IF(COUNTIF(BY$58:BY$69,BY58)=1,"-","Pos. "&amp;BY58&amp;" ("&amp;COUNTIF(BY$58:BY$69,BY58)&amp;")")</f>
        <v>-</v>
      </c>
      <c r="CA58" s="725" t="str">
        <f ca="1">IF(BZ58="-","-",COUNTIF($BD$58:$BD$69,"&gt;"&amp;BD58))</f>
        <v>-</v>
      </c>
      <c r="CB58" s="725">
        <f ca="1">BY58+COUNTIFS(BZ$58:BZ$69,BZ58,CA$58:CA$69,"&gt;"&amp;CA58)</f>
        <v>12</v>
      </c>
      <c r="CC58" s="725"/>
      <c r="CD58" s="725">
        <f ca="1">IF(OR(INDEX($AW$102:$AW$113,MATCH($BD58,$AV$102:$AV$113,0))="",BZ58="-"),CB58,INDEX($AW$102:$AW$113,MATCH($BD58,$AV$102:$AV$113,0))+CB58/1000)</f>
        <v>12</v>
      </c>
      <c r="CE58" s="725" t="str">
        <f ca="1">IF(BZ58="-","-",COUNTIF(CD$58:CD$69,"&lt;"&amp;CD58))</f>
        <v>-</v>
      </c>
      <c r="CF58" s="725">
        <f ca="1">BY58+COUNTIFS(BZ$58:BZ$69,BZ58,CE$58:CE$69,"&lt;"&amp;CE58)</f>
        <v>12</v>
      </c>
      <c r="CG58" s="725"/>
      <c r="CH58" s="725"/>
      <c r="CI58" s="725"/>
      <c r="CJ58" s="725"/>
      <c r="CK58" s="725"/>
      <c r="CL58" s="725"/>
      <c r="CM58" s="725"/>
      <c r="CN58" s="725"/>
      <c r="CO58" s="725"/>
      <c r="CP58" s="725"/>
      <c r="CQ58" s="725"/>
      <c r="CR58" s="725"/>
      <c r="CS58" s="725"/>
      <c r="CT58" s="725"/>
      <c r="CU58" s="725"/>
      <c r="CV58" s="725"/>
      <c r="CW58" s="721"/>
      <c r="CX58" s="721"/>
      <c r="CY58" s="721"/>
      <c r="CZ58" s="721"/>
      <c r="DA58" s="721"/>
      <c r="DB58" s="721"/>
      <c r="DC58" s="721"/>
      <c r="DD58" s="721"/>
      <c r="DE58" s="721"/>
      <c r="DF58" s="721"/>
      <c r="DG58" s="721"/>
      <c r="DH58" s="721"/>
      <c r="DI58" s="721"/>
      <c r="DJ58" s="721">
        <f t="shared" ref="DJ58:DJ69" ca="1" si="186">INDEX($BY$58:$BY$69,MATCH($DQ58,$BD$58:$BD$69,0))</f>
        <v>1</v>
      </c>
      <c r="DK58" s="721"/>
      <c r="DL58" s="721">
        <f ca="1">IF(OR($H$113=144,$AJ$99=144),COUNTIF($DJ$58:$DJ$69,DJ58),1)</f>
        <v>1</v>
      </c>
      <c r="DM58" s="715" t="str">
        <f t="shared" ref="DM58:DM69" ca="1" si="187">DJ58&amp;"."&amp;DL58</f>
        <v>1.1</v>
      </c>
      <c r="DN58" s="721" cm="1">
        <f t="array" aca="1" ref="DN58" ca="1">OFFSET(Horarios!$P$3,DJ58-1,0,DL58,1)</f>
        <v>1</v>
      </c>
      <c r="DO58" s="721"/>
      <c r="DP58" s="721">
        <v>1</v>
      </c>
      <c r="DQ58" s="721" t="str">
        <f ca="1">INDEX($BD$58:$BD$69,MATCH(DP58,$BM$58:$BM$69,0))</f>
        <v>Arabia Saudita</v>
      </c>
      <c r="DR58" s="721"/>
      <c r="DS58" s="721"/>
      <c r="DT58" s="721" t="str">
        <f t="shared" si="15"/>
        <v>-</v>
      </c>
      <c r="DU58" s="721"/>
      <c r="DV58" s="721"/>
      <c r="DW58" s="8"/>
    </row>
    <row r="59" spans="1:127" ht="15.75" thickBot="1">
      <c r="A59" s="716"/>
      <c r="B59" s="719"/>
      <c r="C59" s="716"/>
      <c r="D59" s="716"/>
      <c r="E59" s="716"/>
      <c r="F59" s="716"/>
      <c r="G59" s="716"/>
      <c r="H59" s="716"/>
      <c r="I59" s="716"/>
      <c r="J59" s="716"/>
      <c r="K59" s="716"/>
      <c r="L59" s="716"/>
      <c r="M59" s="716"/>
      <c r="N59" s="721"/>
      <c r="O59" s="721"/>
      <c r="P59" s="721"/>
      <c r="Q59" s="721"/>
      <c r="R59" s="721"/>
      <c r="S59" s="721"/>
      <c r="T59" s="721"/>
      <c r="U59" s="721"/>
      <c r="V59" s="162"/>
      <c r="W59" s="169"/>
      <c r="X59" s="170" t="str">
        <f>X3</f>
        <v>Fecha</v>
      </c>
      <c r="Y59" s="170" t="str">
        <f>Y3</f>
        <v>Hora</v>
      </c>
      <c r="Z59" s="171" t="str">
        <f>Z3</f>
        <v>Jor.</v>
      </c>
      <c r="AA59" s="172" t="str">
        <f>AA3</f>
        <v>Casa</v>
      </c>
      <c r="AB59" s="171"/>
      <c r="AC59" s="171" t="str">
        <f>AC3</f>
        <v>Gol</v>
      </c>
      <c r="AD59" s="171" t="str">
        <f>AD3</f>
        <v>Gol</v>
      </c>
      <c r="AE59" s="171"/>
      <c r="AF59" s="174" t="str">
        <f>AF3</f>
        <v>Fuera</v>
      </c>
      <c r="AG59" s="397"/>
      <c r="AH59" s="186"/>
      <c r="AI59" s="14"/>
      <c r="AJ59" s="176"/>
      <c r="AK59" s="242"/>
      <c r="AL59" s="176"/>
      <c r="AM59" s="176"/>
      <c r="AN59" s="176"/>
      <c r="AO59" s="176"/>
      <c r="AP59" s="176"/>
      <c r="AQ59" s="176"/>
      <c r="AR59" s="176"/>
      <c r="AS59" s="176"/>
      <c r="AT59" s="176"/>
      <c r="AU59" s="404"/>
      <c r="AV59" s="18"/>
      <c r="AW59" s="412"/>
      <c r="AX59" s="243"/>
      <c r="AY59" s="232"/>
      <c r="AZ59" s="233"/>
      <c r="BA59" s="165"/>
      <c r="BB59" s="736" t="str">
        <f t="shared" ref="BB59:BB69" si="188">"3"&amp;BC59</f>
        <v>3B</v>
      </c>
      <c r="BC59" s="733" t="s">
        <v>1</v>
      </c>
      <c r="BD59" s="721" t="str">
        <f t="shared" ca="1" si="175"/>
        <v>Catar</v>
      </c>
      <c r="BE59" s="725">
        <f t="shared" ref="BE59:BE69" ca="1" si="189">CHOOSE($BB$57,
  (BG59*3 + BH59)+IF($AZ$3="No",0,INDEX($AZ$6:$AZ$97,MATCH(BD59,$AY$6:$AY$97,0))),
  (BG59*3 + BH59)+IF($AZ$3="No",0,INDEX($AZ$6:$AZ$97,MATCH(BD59,$AY$6:$AY$97,0))),
  IFERROR((BG59*3 + BH59+IF($AZ$3="No",0,INDEX($AZ$6:$AZ$97,MATCH(BD59,$AY$6:$AY$97,0)))) / BF59, 0)
)</f>
        <v>0</v>
      </c>
      <c r="BF59" s="725">
        <f t="shared" ref="BF59:BF69" ca="1" si="190">+BG59+BH59+BI59</f>
        <v>0</v>
      </c>
      <c r="BG59" s="725">
        <f t="shared" ref="BG59:BG69" ca="1" si="191">CHOOSE(IF($BB$57=2, 2, 1),
  INDEX($BG$6:$BG$53,MATCH($BB59,$BN$6:$BN$53,0)),
  INDEX($BG$6:$BG$53,MATCH($BB59,$BN$6:$BN$53,0))-(COUNTIFS(FGLocal,$BD59,FGVisitante,INDEX($BD$6:$BD$53,MATCH(BO59,$BN$6:$BN$53,0)),Ganador,"Local")+COUNTIFS(FGVisitante,$BD59,FGLocal,INDEX($BD$6:$BD$53,MATCH(BO59,$BN$6:$BN$53,0)),Ganador,"Visitante"))
)</f>
        <v>0</v>
      </c>
      <c r="BH59" s="725">
        <f t="shared" ref="BH59:BH69" ca="1" si="192">CHOOSE(IF($BB$57=2, 2, 1),
  INDEX($BH$6:$BH$53,MATCH($BB59,$BN$6:$BN$53,0)),
  INDEX($BH$6:$BH$53,MATCH($BB59,$BN$6:$BN$53,0))-(COUNTIFS(FGLocal,$BD59,FGVisitante,INDEX($BD$6:$BD$53,MATCH(BO59,$BN$6:$BN$53,0)),Ganador,"Empate")+COUNTIFS(FGVisitante,$BD59,FGLocal,INDEX($BD$6:$BD$53,MATCH(BO59,$BN$6:$BN$53,0)),Ganador,"Empate"))
)</f>
        <v>0</v>
      </c>
      <c r="BI59" s="725">
        <f t="shared" ca="1" si="176"/>
        <v>0</v>
      </c>
      <c r="BJ59" s="725">
        <f t="shared" ca="1" si="177"/>
        <v>0</v>
      </c>
      <c r="BK59" s="725">
        <f t="shared" ca="1" si="178"/>
        <v>0</v>
      </c>
      <c r="BL59" s="725">
        <f t="shared" ref="BL59:BL69" ca="1" si="193">BJ59-BK59</f>
        <v>0</v>
      </c>
      <c r="BM59" s="725">
        <f t="shared" ref="BM59:BM69" ca="1" si="194">CB59</f>
        <v>4</v>
      </c>
      <c r="BN59" s="725">
        <f t="shared" ref="BN59:BN69" ca="1" si="195">CF59</f>
        <v>4</v>
      </c>
      <c r="BO59" s="715" t="str">
        <f t="shared" ref="BO59:BO69" si="196">"4"&amp;BC59</f>
        <v>4B</v>
      </c>
      <c r="BP59" s="715"/>
      <c r="BQ59" s="715"/>
      <c r="BR59" s="725">
        <f t="shared" ca="1" si="179"/>
        <v>0</v>
      </c>
      <c r="BS59" s="725">
        <f t="shared" ref="BS59:BS69" ca="1" si="197">COUNTIFS(BR$58:BR$69,"&gt;"&amp;BR59)+1</f>
        <v>1</v>
      </c>
      <c r="BT59" s="725" t="str">
        <f t="shared" ref="BT59:BT69" ca="1" si="198">IF(COUNTIF(BS$58:BS$69,BS59)=1,"-","Pos. "&amp;BS59&amp;" ("&amp;COUNTIF(BS$58:BS$69,BS59)&amp;")")</f>
        <v>Pos. 1 (12)</v>
      </c>
      <c r="BU59" s="725">
        <f t="shared" ca="1" si="180"/>
        <v>0</v>
      </c>
      <c r="BV59" s="725">
        <f t="shared" ca="1" si="181"/>
        <v>1</v>
      </c>
      <c r="BW59" s="725" t="str">
        <f t="shared" ca="1" si="182"/>
        <v>Pos. 1 (11)</v>
      </c>
      <c r="BX59" s="725">
        <f t="shared" ca="1" si="183"/>
        <v>0</v>
      </c>
      <c r="BY59" s="725">
        <f t="shared" ca="1" si="184"/>
        <v>1</v>
      </c>
      <c r="BZ59" s="725" t="str">
        <f t="shared" ca="1" si="185"/>
        <v>Pos. 1 (11)</v>
      </c>
      <c r="CA59" s="725">
        <f t="shared" ref="CA59:CA69" ca="1" si="199">IF(BZ59="-","-",COUNTIF($BD$58:$BD$69,"&gt;"&amp;BD59))</f>
        <v>8</v>
      </c>
      <c r="CB59" s="725">
        <f t="shared" ref="CB59:CB68" ca="1" si="200">BY59+COUNTIFS(BZ$58:BZ$69,BZ59,CA$58:CA$69,"&gt;"&amp;CA59)</f>
        <v>4</v>
      </c>
      <c r="CC59" s="725"/>
      <c r="CD59" s="725">
        <f t="shared" ref="CD59:CD69" ca="1" si="201">IF(OR(INDEX($AW$102:$AW$113,MATCH($BD59,$AV$102:$AV$113,0))="",BZ59="-"),CB59,INDEX($AW$102:$AW$113,MATCH($BD59,$AV$102:$AV$113,0))+CB59/1000)</f>
        <v>4</v>
      </c>
      <c r="CE59" s="725">
        <f t="shared" ref="CE59:CE69" ca="1" si="202">IF(BZ59="-","-",COUNTIF(CD$58:CD$69,"&lt;"&amp;CD59))</f>
        <v>3</v>
      </c>
      <c r="CF59" s="725">
        <f t="shared" ref="CF59:CF69" ca="1" si="203">BY59+COUNTIFS(BZ$58:BZ$69,BZ59,CE$58:CE$69,"&lt;"&amp;CE59)</f>
        <v>4</v>
      </c>
      <c r="CG59" s="725"/>
      <c r="CH59" s="725"/>
      <c r="CI59" s="725"/>
      <c r="CJ59" s="725"/>
      <c r="CK59" s="725"/>
      <c r="CL59" s="725"/>
      <c r="CM59" s="725"/>
      <c r="CN59" s="725"/>
      <c r="CO59" s="725"/>
      <c r="CP59" s="725"/>
      <c r="CQ59" s="725"/>
      <c r="CR59" s="725"/>
      <c r="CS59" s="725"/>
      <c r="CT59" s="725"/>
      <c r="CU59" s="725"/>
      <c r="CV59" s="725"/>
      <c r="CW59" s="721"/>
      <c r="CX59" s="721"/>
      <c r="CY59" s="721"/>
      <c r="CZ59" s="721"/>
      <c r="DA59" s="721"/>
      <c r="DB59" s="721"/>
      <c r="DC59" s="721"/>
      <c r="DD59" s="721"/>
      <c r="DE59" s="721"/>
      <c r="DF59" s="721"/>
      <c r="DG59" s="721"/>
      <c r="DH59" s="721"/>
      <c r="DI59" s="721"/>
      <c r="DJ59" s="721">
        <f t="shared" ca="1" si="186"/>
        <v>1</v>
      </c>
      <c r="DK59" s="721"/>
      <c r="DL59" s="721">
        <f t="shared" ref="DL59:DL69" ca="1" si="204">IF(OR($H$113=144,$AJ$99=144),COUNTIF($DJ$58:$DJ$69,DJ59),1)</f>
        <v>1</v>
      </c>
      <c r="DM59" s="715" t="str">
        <f t="shared" ca="1" si="187"/>
        <v>1.1</v>
      </c>
      <c r="DN59" s="721" cm="1">
        <f t="array" aca="1" ref="DN59" ca="1">OFFSET(Horarios!$P$3,DJ59-1,0,DL59,1)</f>
        <v>1</v>
      </c>
      <c r="DO59" s="721"/>
      <c r="DP59" s="721">
        <v>2</v>
      </c>
      <c r="DQ59" s="721" t="str">
        <f t="shared" ref="DQ59:DQ69" ca="1" si="205">INDEX($BD$58:$BD$69,MATCH(DP59,$BM$58:$BM$69,0))</f>
        <v>Australia</v>
      </c>
      <c r="DR59" s="721"/>
      <c r="DS59" s="721"/>
      <c r="DT59" s="721" t="str">
        <f t="shared" si="15"/>
        <v>Casa-Fuera</v>
      </c>
      <c r="DU59" s="721"/>
      <c r="DV59" s="721"/>
      <c r="DW59" s="8"/>
    </row>
    <row r="60" spans="1:127" ht="15" customHeight="1" thickBot="1">
      <c r="A60" s="718" t="s">
        <v>30</v>
      </c>
      <c r="B60" s="719" t="s">
        <v>437</v>
      </c>
      <c r="C60" s="720">
        <f>COUNTIF(Equipos!$C$2:$C$49,WORLDCUP!B60)</f>
        <v>4</v>
      </c>
      <c r="D60" s="721" t="str">
        <f t="shared" ref="D60:D65" si="206">IF(OR(AC60="",AD60=""),"Pendiente",IF(AC60&gt;AD60,"Local",IF(AC60&lt;AD60,"Visitante","Empate")))</f>
        <v>Pendiente</v>
      </c>
      <c r="E60" s="721" t="str">
        <f t="shared" ref="E60:E65" si="207">IF(D60="Pendiente","-",INDEX($BT$6:$BT$53,MATCH($AA60,$BD$6:$BD$53,0)))</f>
        <v>-</v>
      </c>
      <c r="F60" s="721" t="str">
        <f t="shared" ref="F60:F65" si="208">IF(D60="Pendiente","-",INDEX($BT$6:$BT$53,MATCH($AF60,$BD$6:$BD$53,0)))</f>
        <v>-</v>
      </c>
      <c r="G60" s="721"/>
      <c r="H60" s="721" t="str">
        <f t="shared" ref="H60:H65" si="209">IF(D60="Pendiente","-",INDEX($BZ$6:$BZ$53,MATCH($AA60,$BD$6:$BD$53,0)))</f>
        <v>-</v>
      </c>
      <c r="I60" s="721" t="str">
        <f t="shared" ref="I60:I65" si="210">IF(D60="Pendiente","-",INDEX($BZ$6:$BZ$53,MATCH($AF60,$BD$6:$BD$53,0)))</f>
        <v>-</v>
      </c>
      <c r="J60" s="721"/>
      <c r="K60" s="721" t="str">
        <f t="shared" ref="K60:K65" si="211">IF(D60="Pendiente","-",INDEX($CE$6:$CE$53,MATCH($AA60,$BD$6:$BD$53,0)))</f>
        <v>-</v>
      </c>
      <c r="L60" s="721" t="str">
        <f t="shared" ref="L60:L65" si="212">IF(D60="Pendiente","-",INDEX($CE$6:$CE$53,MATCH($AF60,$BD$6:$BD$53,0)))</f>
        <v>-</v>
      </c>
      <c r="M60" s="721"/>
      <c r="N60" s="721" t="str">
        <f t="shared" ref="N60:N65" si="213">IF(D60="Pendiente","-",INDEX($CH$6:$CH$53,MATCH($AA60,$BD$6:$BD$53,0)))</f>
        <v>-</v>
      </c>
      <c r="O60" s="721" t="str">
        <f t="shared" ref="O60:O65" si="214">IF(D60="Pendiente","-",INDEX($CH$6:$CH$53,MATCH($AF60,$BD$6:$BD$53,0)))</f>
        <v>-</v>
      </c>
      <c r="P60" s="721"/>
      <c r="Q60" s="721" t="str">
        <f t="shared" ref="Q60:Q65" si="215">IF(D60="Pendiente","-",INDEX($CN$6:$CN$53,MATCH($AA60,$BD$6:$BD$53,0)))</f>
        <v>-</v>
      </c>
      <c r="R60" s="721" t="str">
        <f t="shared" ref="R60:R65" si="216">IF(D60="Pendiente","-",INDEX($CN$6:$CN$53,MATCH($AF60,$BD$6:$BD$53,0)))</f>
        <v>-</v>
      </c>
      <c r="S60" s="721"/>
      <c r="T60" s="721" t="str">
        <f t="shared" ref="T60:T65" si="217">IF(D60="Pendiente","-",INDEX($CS$6:$CS$53,MATCH($AA60,$BD$6:$BD$53,0)))</f>
        <v>-</v>
      </c>
      <c r="U60" s="721" t="str">
        <f t="shared" ref="U60:U65" si="218">IF(D60="Pendiente","-",INDEX($CS$6:$CS$53,MATCH($AF60,$BD$6:$BD$53,0)))</f>
        <v>-</v>
      </c>
      <c r="V60" s="162"/>
      <c r="W60" s="839" t="s">
        <v>437</v>
      </c>
      <c r="X60" s="179">
        <f ca="1">Horarios!C60</f>
        <v>46188.75</v>
      </c>
      <c r="Y60" s="180">
        <f ca="1">Horarios!C60</f>
        <v>46188.75</v>
      </c>
      <c r="Z60" s="181" t="str">
        <f>$Z$4</f>
        <v>J1</v>
      </c>
      <c r="AA60" s="182" t="str">
        <f ca="1">A61</f>
        <v>España</v>
      </c>
      <c r="AB60" s="457" t="str" cm="1">
        <f t="array" aca="1" ref="AB60" ca="1">Ver_flag_local</f>
        <v/>
      </c>
      <c r="AC60" s="183"/>
      <c r="AD60" s="184"/>
      <c r="AE60" s="462" t="str" cm="1">
        <f t="array" aca="1" ref="AE60" ca="1">Ver_flag_visit</f>
        <v/>
      </c>
      <c r="AF60" s="185" t="str">
        <f ca="1">A62</f>
        <v>Cabo Verde</v>
      </c>
      <c r="AG60" s="396">
        <f t="shared" ref="AG60:AG65" si="219">IF(NOT(OR(ISBLANK(AC60),ISBLANK(AD60))),1,0)</f>
        <v>0</v>
      </c>
      <c r="AH60" s="186">
        <v>14</v>
      </c>
      <c r="AI60" s="15"/>
      <c r="AJ60" s="187" t="str">
        <f>CONCATENATE(AJ3," ",B60)</f>
        <v>Grupo H</v>
      </c>
      <c r="AK60" s="188"/>
      <c r="AL60" s="188"/>
      <c r="AM60" s="188"/>
      <c r="AN60" s="188"/>
      <c r="AO60" s="188"/>
      <c r="AP60" s="188"/>
      <c r="AQ60" s="188"/>
      <c r="AR60" s="188"/>
      <c r="AS60" s="188"/>
      <c r="AT60" s="189"/>
      <c r="AU60" s="404"/>
      <c r="AV60" s="190" t="str">
        <f t="shared" ref="AV60" ca="1" si="220">IF(AU61&gt;0,$AV$3,"")</f>
        <v/>
      </c>
      <c r="AW60" s="198"/>
      <c r="AX60" s="245"/>
      <c r="AY60" s="232"/>
      <c r="AZ60" s="233"/>
      <c r="BA60" s="165"/>
      <c r="BB60" s="736" t="str">
        <f t="shared" si="188"/>
        <v>3C</v>
      </c>
      <c r="BC60" s="733" t="s">
        <v>2</v>
      </c>
      <c r="BD60" s="721" t="str">
        <f t="shared" ca="1" si="175"/>
        <v>Haití</v>
      </c>
      <c r="BE60" s="725">
        <f t="shared" ca="1" si="189"/>
        <v>0</v>
      </c>
      <c r="BF60" s="725">
        <f t="shared" ca="1" si="190"/>
        <v>0</v>
      </c>
      <c r="BG60" s="725">
        <f t="shared" ca="1" si="191"/>
        <v>0</v>
      </c>
      <c r="BH60" s="725">
        <f t="shared" ca="1" si="192"/>
        <v>0</v>
      </c>
      <c r="BI60" s="725">
        <f t="shared" ca="1" si="176"/>
        <v>0</v>
      </c>
      <c r="BJ60" s="725">
        <f t="shared" ca="1" si="177"/>
        <v>0</v>
      </c>
      <c r="BK60" s="725">
        <f t="shared" ca="1" si="178"/>
        <v>0</v>
      </c>
      <c r="BL60" s="725">
        <f t="shared" ca="1" si="193"/>
        <v>0</v>
      </c>
      <c r="BM60" s="725">
        <f t="shared" ca="1" si="194"/>
        <v>7</v>
      </c>
      <c r="BN60" s="725">
        <f t="shared" ca="1" si="195"/>
        <v>6</v>
      </c>
      <c r="BO60" s="715" t="str">
        <f t="shared" si="196"/>
        <v>4C</v>
      </c>
      <c r="BP60" s="715"/>
      <c r="BQ60" s="715"/>
      <c r="BR60" s="725">
        <f t="shared" ca="1" si="179"/>
        <v>0</v>
      </c>
      <c r="BS60" s="725">
        <f t="shared" ca="1" si="197"/>
        <v>1</v>
      </c>
      <c r="BT60" s="725" t="str">
        <f t="shared" ca="1" si="198"/>
        <v>Pos. 1 (12)</v>
      </c>
      <c r="BU60" s="725">
        <f t="shared" ca="1" si="180"/>
        <v>0</v>
      </c>
      <c r="BV60" s="725">
        <f t="shared" ca="1" si="181"/>
        <v>1</v>
      </c>
      <c r="BW60" s="725" t="str">
        <f t="shared" ca="1" si="182"/>
        <v>Pos. 1 (11)</v>
      </c>
      <c r="BX60" s="725">
        <f t="shared" ca="1" si="183"/>
        <v>0</v>
      </c>
      <c r="BY60" s="725">
        <f t="shared" ca="1" si="184"/>
        <v>1</v>
      </c>
      <c r="BZ60" s="725" t="str">
        <f t="shared" ca="1" si="185"/>
        <v>Pos. 1 (11)</v>
      </c>
      <c r="CA60" s="725">
        <f t="shared" ca="1" si="199"/>
        <v>5</v>
      </c>
      <c r="CB60" s="725">
        <f t="shared" ca="1" si="200"/>
        <v>7</v>
      </c>
      <c r="CC60" s="725"/>
      <c r="CD60" s="725">
        <f t="shared" ca="1" si="201"/>
        <v>6.0069999999999997</v>
      </c>
      <c r="CE60" s="725">
        <f t="shared" ca="1" si="202"/>
        <v>5</v>
      </c>
      <c r="CF60" s="725">
        <f t="shared" ca="1" si="203"/>
        <v>6</v>
      </c>
      <c r="CG60" s="725"/>
      <c r="CH60" s="725"/>
      <c r="CI60" s="725"/>
      <c r="CJ60" s="725"/>
      <c r="CK60" s="725"/>
      <c r="CL60" s="725"/>
      <c r="CM60" s="725"/>
      <c r="CN60" s="725"/>
      <c r="CO60" s="725"/>
      <c r="CP60" s="725"/>
      <c r="CQ60" s="725"/>
      <c r="CR60" s="725"/>
      <c r="CS60" s="725"/>
      <c r="CT60" s="725"/>
      <c r="CU60" s="725"/>
      <c r="CV60" s="725"/>
      <c r="CW60" s="721"/>
      <c r="CX60" s="721"/>
      <c r="CY60" s="721"/>
      <c r="CZ60" s="721"/>
      <c r="DA60" s="721"/>
      <c r="DB60" s="721"/>
      <c r="DC60" s="721"/>
      <c r="DD60" s="721"/>
      <c r="DE60" s="721"/>
      <c r="DF60" s="721"/>
      <c r="DG60" s="721"/>
      <c r="DH60" s="721"/>
      <c r="DI60" s="721"/>
      <c r="DJ60" s="721">
        <f t="shared" ca="1" si="186"/>
        <v>1</v>
      </c>
      <c r="DK60" s="721"/>
      <c r="DL60" s="721">
        <f t="shared" ca="1" si="204"/>
        <v>1</v>
      </c>
      <c r="DM60" s="715" t="str">
        <f t="shared" ca="1" si="187"/>
        <v>1.1</v>
      </c>
      <c r="DN60" s="721" cm="1">
        <f t="array" aca="1" ref="DN60" ca="1">OFFSET(Horarios!$P$3,DJ60-1,0,DL60,1)</f>
        <v>1</v>
      </c>
      <c r="DO60" s="721"/>
      <c r="DP60" s="721">
        <v>3</v>
      </c>
      <c r="DQ60" s="721" t="str">
        <f t="shared" ca="1" si="205"/>
        <v>Austria</v>
      </c>
      <c r="DR60" s="721"/>
      <c r="DS60" s="721"/>
      <c r="DT60" s="721" t="str">
        <f t="shared" ca="1" si="15"/>
        <v>España-Cabo Verde</v>
      </c>
      <c r="DU60" s="721"/>
      <c r="DV60" s="721"/>
      <c r="DW60" s="8"/>
    </row>
    <row r="61" spans="1:127">
      <c r="A61" s="722" t="str">
        <f ca="1">+Equipos!B30</f>
        <v>España</v>
      </c>
      <c r="B61" s="719"/>
      <c r="C61" s="719"/>
      <c r="D61" s="721" t="str">
        <f t="shared" si="206"/>
        <v>Pendiente</v>
      </c>
      <c r="E61" s="721" t="str">
        <f t="shared" si="207"/>
        <v>-</v>
      </c>
      <c r="F61" s="721" t="str">
        <f t="shared" si="208"/>
        <v>-</v>
      </c>
      <c r="G61" s="721"/>
      <c r="H61" s="721" t="str">
        <f t="shared" si="209"/>
        <v>-</v>
      </c>
      <c r="I61" s="721" t="str">
        <f t="shared" si="210"/>
        <v>-</v>
      </c>
      <c r="J61" s="721"/>
      <c r="K61" s="721" t="str">
        <f t="shared" si="211"/>
        <v>-</v>
      </c>
      <c r="L61" s="721" t="str">
        <f t="shared" si="212"/>
        <v>-</v>
      </c>
      <c r="M61" s="721"/>
      <c r="N61" s="721" t="str">
        <f t="shared" si="213"/>
        <v>-</v>
      </c>
      <c r="O61" s="721" t="str">
        <f t="shared" si="214"/>
        <v>-</v>
      </c>
      <c r="P61" s="721"/>
      <c r="Q61" s="721" t="str">
        <f t="shared" si="215"/>
        <v>-</v>
      </c>
      <c r="R61" s="721" t="str">
        <f t="shared" si="216"/>
        <v>-</v>
      </c>
      <c r="S61" s="721"/>
      <c r="T61" s="721" t="str">
        <f t="shared" si="217"/>
        <v>-</v>
      </c>
      <c r="U61" s="721" t="str">
        <f t="shared" si="218"/>
        <v>-</v>
      </c>
      <c r="V61" s="162"/>
      <c r="W61" s="839"/>
      <c r="X61" s="179">
        <f ca="1">Horarios!C61</f>
        <v>46189</v>
      </c>
      <c r="Y61" s="180">
        <f ca="1">Horarios!C61</f>
        <v>46189</v>
      </c>
      <c r="Z61" s="181" t="str">
        <f>$Z$4</f>
        <v>J1</v>
      </c>
      <c r="AA61" s="182" t="str">
        <f ca="1">A63</f>
        <v>Arabia Saudita</v>
      </c>
      <c r="AB61" s="457" t="str" cm="1">
        <f t="array" aca="1" ref="AB61" ca="1">Ver_flag_local</f>
        <v/>
      </c>
      <c r="AC61" s="183"/>
      <c r="AD61" s="184"/>
      <c r="AE61" s="462" t="str" cm="1">
        <f t="array" aca="1" ref="AE61" ca="1">Ver_flag_visit</f>
        <v/>
      </c>
      <c r="AF61" s="185" t="str">
        <f ca="1">A64</f>
        <v>Uruguay</v>
      </c>
      <c r="AG61" s="396">
        <f t="shared" si="219"/>
        <v>0</v>
      </c>
      <c r="AH61" s="186">
        <v>13</v>
      </c>
      <c r="AI61" s="15"/>
      <c r="AJ61" s="194" t="str">
        <f>AJ5</f>
        <v>Pos</v>
      </c>
      <c r="AK61" s="195"/>
      <c r="AL61" s="196" t="str">
        <f t="shared" ref="AL61:AT61" si="221">AL5</f>
        <v>Selección</v>
      </c>
      <c r="AM61" s="195" t="str">
        <f t="shared" si="221"/>
        <v>Pts</v>
      </c>
      <c r="AN61" s="195" t="str">
        <f t="shared" si="221"/>
        <v>J</v>
      </c>
      <c r="AO61" s="195" t="str">
        <f t="shared" si="221"/>
        <v>G</v>
      </c>
      <c r="AP61" s="195" t="str">
        <f t="shared" si="221"/>
        <v>E</v>
      </c>
      <c r="AQ61" s="195" t="str">
        <f t="shared" si="221"/>
        <v>P</v>
      </c>
      <c r="AR61" s="195" t="str">
        <f t="shared" si="221"/>
        <v>GF</v>
      </c>
      <c r="AS61" s="195" t="str">
        <f t="shared" si="221"/>
        <v>GC</v>
      </c>
      <c r="AT61" s="197" t="str">
        <f t="shared" si="221"/>
        <v>DG</v>
      </c>
      <c r="AU61" s="404">
        <f t="shared" ref="AU61" ca="1" si="222">COUNTIF(AU62:AU65,"&gt;1")</f>
        <v>0</v>
      </c>
      <c r="AV61" s="198"/>
      <c r="AW61" s="198"/>
      <c r="AX61" s="245"/>
      <c r="AY61" s="199" t="str">
        <f>AL61</f>
        <v>Selección</v>
      </c>
      <c r="AZ61" s="200" t="str">
        <f>+Idiomas!$D$69</f>
        <v>Puntos penalizados</v>
      </c>
      <c r="BA61" s="165"/>
      <c r="BB61" s="736" t="str">
        <f t="shared" si="188"/>
        <v>3D</v>
      </c>
      <c r="BC61" s="733" t="s">
        <v>73</v>
      </c>
      <c r="BD61" s="721" t="str">
        <f t="shared" ca="1" si="175"/>
        <v>Australia</v>
      </c>
      <c r="BE61" s="725">
        <f t="shared" ca="1" si="189"/>
        <v>0</v>
      </c>
      <c r="BF61" s="725">
        <f t="shared" ca="1" si="190"/>
        <v>0</v>
      </c>
      <c r="BG61" s="725">
        <f t="shared" ca="1" si="191"/>
        <v>0</v>
      </c>
      <c r="BH61" s="725">
        <f t="shared" ca="1" si="192"/>
        <v>0</v>
      </c>
      <c r="BI61" s="725">
        <f t="shared" ca="1" si="176"/>
        <v>0</v>
      </c>
      <c r="BJ61" s="725">
        <f t="shared" ca="1" si="177"/>
        <v>0</v>
      </c>
      <c r="BK61" s="725">
        <f t="shared" ca="1" si="178"/>
        <v>0</v>
      </c>
      <c r="BL61" s="725">
        <f t="shared" ca="1" si="193"/>
        <v>0</v>
      </c>
      <c r="BM61" s="725">
        <f t="shared" ca="1" si="194"/>
        <v>2</v>
      </c>
      <c r="BN61" s="725">
        <f t="shared" ca="1" si="195"/>
        <v>2</v>
      </c>
      <c r="BO61" s="715" t="str">
        <f t="shared" si="196"/>
        <v>4D</v>
      </c>
      <c r="BP61" s="715"/>
      <c r="BQ61" s="715"/>
      <c r="BR61" s="725">
        <f t="shared" ca="1" si="179"/>
        <v>0</v>
      </c>
      <c r="BS61" s="725">
        <f t="shared" ca="1" si="197"/>
        <v>1</v>
      </c>
      <c r="BT61" s="725" t="str">
        <f t="shared" ca="1" si="198"/>
        <v>Pos. 1 (12)</v>
      </c>
      <c r="BU61" s="725">
        <f t="shared" ca="1" si="180"/>
        <v>0</v>
      </c>
      <c r="BV61" s="725">
        <f t="shared" ca="1" si="181"/>
        <v>1</v>
      </c>
      <c r="BW61" s="725" t="str">
        <f t="shared" ca="1" si="182"/>
        <v>Pos. 1 (11)</v>
      </c>
      <c r="BX61" s="725">
        <f t="shared" ca="1" si="183"/>
        <v>0</v>
      </c>
      <c r="BY61" s="725">
        <f t="shared" ca="1" si="184"/>
        <v>1</v>
      </c>
      <c r="BZ61" s="725" t="str">
        <f t="shared" ca="1" si="185"/>
        <v>Pos. 1 (11)</v>
      </c>
      <c r="CA61" s="725">
        <f t="shared" ca="1" si="199"/>
        <v>10</v>
      </c>
      <c r="CB61" s="725">
        <f t="shared" ca="1" si="200"/>
        <v>2</v>
      </c>
      <c r="CC61" s="725"/>
      <c r="CD61" s="725">
        <f t="shared" ca="1" si="201"/>
        <v>2.0019999999999998</v>
      </c>
      <c r="CE61" s="725">
        <f t="shared" ca="1" si="202"/>
        <v>1</v>
      </c>
      <c r="CF61" s="725">
        <f t="shared" ca="1" si="203"/>
        <v>2</v>
      </c>
      <c r="CG61" s="725"/>
      <c r="CH61" s="725"/>
      <c r="CI61" s="725"/>
      <c r="CJ61" s="725"/>
      <c r="CK61" s="725"/>
      <c r="CL61" s="725"/>
      <c r="CM61" s="725"/>
      <c r="CN61" s="725"/>
      <c r="CO61" s="725"/>
      <c r="CP61" s="725"/>
      <c r="CQ61" s="725"/>
      <c r="CR61" s="725"/>
      <c r="CS61" s="725"/>
      <c r="CT61" s="725"/>
      <c r="CU61" s="725"/>
      <c r="CV61" s="725"/>
      <c r="CW61" s="721"/>
      <c r="CX61" s="721"/>
      <c r="CY61" s="721"/>
      <c r="CZ61" s="721"/>
      <c r="DA61" s="721"/>
      <c r="DB61" s="721"/>
      <c r="DC61" s="721"/>
      <c r="DD61" s="721"/>
      <c r="DE61" s="721"/>
      <c r="DF61" s="721"/>
      <c r="DG61" s="721"/>
      <c r="DH61" s="721"/>
      <c r="DI61" s="721"/>
      <c r="DJ61" s="721">
        <f t="shared" ca="1" si="186"/>
        <v>1</v>
      </c>
      <c r="DK61" s="721"/>
      <c r="DL61" s="721">
        <f t="shared" ca="1" si="204"/>
        <v>1</v>
      </c>
      <c r="DM61" s="715" t="str">
        <f t="shared" ca="1" si="187"/>
        <v>1.1</v>
      </c>
      <c r="DN61" s="721" cm="1">
        <f t="array" aca="1" ref="DN61" ca="1">OFFSET(Horarios!$P$3,DJ61-1,0,DL61,1)</f>
        <v>1</v>
      </c>
      <c r="DO61" s="721"/>
      <c r="DP61" s="721">
        <v>4</v>
      </c>
      <c r="DQ61" s="721" t="str">
        <f t="shared" ca="1" si="205"/>
        <v>Catar</v>
      </c>
      <c r="DR61" s="721"/>
      <c r="DS61" s="721"/>
      <c r="DT61" s="721" t="str">
        <f t="shared" ca="1" si="15"/>
        <v>Arabia Saudita-Uruguay</v>
      </c>
      <c r="DU61" s="721"/>
      <c r="DV61" s="721"/>
      <c r="DW61" s="8"/>
    </row>
    <row r="62" spans="1:127">
      <c r="A62" s="722" t="str">
        <f ca="1">+Equipos!B31</f>
        <v>Cabo Verde</v>
      </c>
      <c r="B62" s="719"/>
      <c r="C62" s="723"/>
      <c r="D62" s="721" t="str">
        <f t="shared" si="206"/>
        <v>Pendiente</v>
      </c>
      <c r="E62" s="721" t="str">
        <f t="shared" si="207"/>
        <v>-</v>
      </c>
      <c r="F62" s="721" t="str">
        <f t="shared" si="208"/>
        <v>-</v>
      </c>
      <c r="G62" s="721"/>
      <c r="H62" s="721" t="str">
        <f t="shared" si="209"/>
        <v>-</v>
      </c>
      <c r="I62" s="721" t="str">
        <f t="shared" si="210"/>
        <v>-</v>
      </c>
      <c r="J62" s="721"/>
      <c r="K62" s="721" t="str">
        <f t="shared" si="211"/>
        <v>-</v>
      </c>
      <c r="L62" s="721" t="str">
        <f t="shared" si="212"/>
        <v>-</v>
      </c>
      <c r="M62" s="721"/>
      <c r="N62" s="721" t="str">
        <f t="shared" si="213"/>
        <v>-</v>
      </c>
      <c r="O62" s="721" t="str">
        <f t="shared" si="214"/>
        <v>-</v>
      </c>
      <c r="P62" s="721"/>
      <c r="Q62" s="721" t="str">
        <f t="shared" si="215"/>
        <v>-</v>
      </c>
      <c r="R62" s="721" t="str">
        <f t="shared" si="216"/>
        <v>-</v>
      </c>
      <c r="S62" s="721"/>
      <c r="T62" s="721" t="str">
        <f t="shared" si="217"/>
        <v>-</v>
      </c>
      <c r="U62" s="721" t="str">
        <f t="shared" si="218"/>
        <v>-</v>
      </c>
      <c r="V62" s="162"/>
      <c r="W62" s="839"/>
      <c r="X62" s="179">
        <f ca="1">Horarios!C62</f>
        <v>46194.75</v>
      </c>
      <c r="Y62" s="180">
        <f ca="1">Horarios!C62</f>
        <v>46194.75</v>
      </c>
      <c r="Z62" s="181" t="str">
        <f>$Z$6</f>
        <v>J2</v>
      </c>
      <c r="AA62" s="182" t="str">
        <f ca="1">A61</f>
        <v>España</v>
      </c>
      <c r="AB62" s="457" t="str" cm="1">
        <f t="array" aca="1" ref="AB62" ca="1">Ver_flag_local</f>
        <v/>
      </c>
      <c r="AC62" s="183"/>
      <c r="AD62" s="184"/>
      <c r="AE62" s="462" t="str" cm="1">
        <f t="array" aca="1" ref="AE62" ca="1">Ver_flag_visit</f>
        <v/>
      </c>
      <c r="AF62" s="185" t="str">
        <f ca="1">A63</f>
        <v>Arabia Saudita</v>
      </c>
      <c r="AG62" s="396">
        <f t="shared" si="219"/>
        <v>0</v>
      </c>
      <c r="AH62" s="186">
        <v>38</v>
      </c>
      <c r="AI62" s="15" t="str">
        <f>AJ62&amp;$B$60</f>
        <v>1H</v>
      </c>
      <c r="AJ62" s="201">
        <v>1</v>
      </c>
      <c r="AK62" s="467" t="str" cm="1">
        <f t="array" aca="1" ref="AK62" ca="1">Ver_flag_visit</f>
        <v/>
      </c>
      <c r="AL62" s="202" t="str">
        <f ca="1">IFERROR(INDEX($BD$6:$BD$53,MATCH(AI62,$BN$6:$BN$53,0)),"")</f>
        <v>España</v>
      </c>
      <c r="AM62" s="203">
        <f t="shared" ref="AM62:AT65" ca="1" si="223">INDEX($BE$6:$BN$53,MATCH($AL62,$BD$6:$BD$53,0),MATCH(AM$5,$BE$5:$BN$5,0))</f>
        <v>0</v>
      </c>
      <c r="AN62" s="204">
        <f t="shared" ca="1" si="223"/>
        <v>0</v>
      </c>
      <c r="AO62" s="204">
        <f t="shared" ca="1" si="223"/>
        <v>0</v>
      </c>
      <c r="AP62" s="204">
        <f t="shared" ca="1" si="223"/>
        <v>0</v>
      </c>
      <c r="AQ62" s="204">
        <f t="shared" ca="1" si="223"/>
        <v>0</v>
      </c>
      <c r="AR62" s="204">
        <f t="shared" ca="1" si="223"/>
        <v>0</v>
      </c>
      <c r="AS62" s="204">
        <f t="shared" ca="1" si="223"/>
        <v>0</v>
      </c>
      <c r="AT62" s="205">
        <f t="shared" ca="1" si="223"/>
        <v>0</v>
      </c>
      <c r="AU62" s="403">
        <f ca="1">INDEX($DL$6:$DL$53,MATCH(AI62,$DP$6:$DP$53,0))</f>
        <v>1</v>
      </c>
      <c r="AV62" s="207" t="str">
        <f ca="1">INDEX($BD$6:$BD$53,MATCH(AI62,$BM$6:$BM$53,0))</f>
        <v>España</v>
      </c>
      <c r="AW62" s="410"/>
      <c r="AX62" s="208"/>
      <c r="AY62" s="209" t="str">
        <f ca="1">+A61</f>
        <v>España</v>
      </c>
      <c r="AZ62" s="210"/>
      <c r="BA62" s="165"/>
      <c r="BB62" s="736" t="str">
        <f t="shared" si="188"/>
        <v>3E</v>
      </c>
      <c r="BC62" s="733" t="s">
        <v>3</v>
      </c>
      <c r="BD62" s="721" t="str">
        <f t="shared" ca="1" si="175"/>
        <v>Costa de Marfil</v>
      </c>
      <c r="BE62" s="725">
        <f t="shared" ca="1" si="189"/>
        <v>0</v>
      </c>
      <c r="BF62" s="725">
        <f t="shared" ca="1" si="190"/>
        <v>0</v>
      </c>
      <c r="BG62" s="725">
        <f t="shared" ca="1" si="191"/>
        <v>0</v>
      </c>
      <c r="BH62" s="725">
        <f t="shared" ca="1" si="192"/>
        <v>0</v>
      </c>
      <c r="BI62" s="725">
        <f t="shared" ca="1" si="176"/>
        <v>0</v>
      </c>
      <c r="BJ62" s="725">
        <f t="shared" ca="1" si="177"/>
        <v>0</v>
      </c>
      <c r="BK62" s="725">
        <f t="shared" ca="1" si="178"/>
        <v>0</v>
      </c>
      <c r="BL62" s="725">
        <f t="shared" ca="1" si="193"/>
        <v>0</v>
      </c>
      <c r="BM62" s="725">
        <f t="shared" ca="1" si="194"/>
        <v>5</v>
      </c>
      <c r="BN62" s="725">
        <f t="shared" ca="1" si="195"/>
        <v>5</v>
      </c>
      <c r="BO62" s="715" t="str">
        <f t="shared" si="196"/>
        <v>4E</v>
      </c>
      <c r="BP62" s="715"/>
      <c r="BQ62" s="715"/>
      <c r="BR62" s="725">
        <f t="shared" ca="1" si="179"/>
        <v>0</v>
      </c>
      <c r="BS62" s="725">
        <f t="shared" ca="1" si="197"/>
        <v>1</v>
      </c>
      <c r="BT62" s="725" t="str">
        <f t="shared" ca="1" si="198"/>
        <v>Pos. 1 (12)</v>
      </c>
      <c r="BU62" s="725">
        <f t="shared" ca="1" si="180"/>
        <v>0</v>
      </c>
      <c r="BV62" s="725">
        <f t="shared" ca="1" si="181"/>
        <v>1</v>
      </c>
      <c r="BW62" s="725" t="str">
        <f t="shared" ca="1" si="182"/>
        <v>Pos. 1 (11)</v>
      </c>
      <c r="BX62" s="725">
        <f t="shared" ca="1" si="183"/>
        <v>0</v>
      </c>
      <c r="BY62" s="725">
        <f t="shared" ca="1" si="184"/>
        <v>1</v>
      </c>
      <c r="BZ62" s="725" t="str">
        <f t="shared" ca="1" si="185"/>
        <v>Pos. 1 (11)</v>
      </c>
      <c r="CA62" s="725">
        <f t="shared" ca="1" si="199"/>
        <v>7</v>
      </c>
      <c r="CB62" s="725">
        <f t="shared" ca="1" si="200"/>
        <v>5</v>
      </c>
      <c r="CC62" s="725"/>
      <c r="CD62" s="725">
        <f t="shared" ca="1" si="201"/>
        <v>5</v>
      </c>
      <c r="CE62" s="725">
        <f t="shared" ca="1" si="202"/>
        <v>4</v>
      </c>
      <c r="CF62" s="725">
        <f t="shared" ca="1" si="203"/>
        <v>5</v>
      </c>
      <c r="CG62" s="725"/>
      <c r="CH62" s="725"/>
      <c r="CI62" s="725"/>
      <c r="CJ62" s="725"/>
      <c r="CK62" s="725"/>
      <c r="CL62" s="725"/>
      <c r="CM62" s="725"/>
      <c r="CN62" s="725"/>
      <c r="CO62" s="725"/>
      <c r="CP62" s="725"/>
      <c r="CQ62" s="725"/>
      <c r="CR62" s="725"/>
      <c r="CS62" s="725"/>
      <c r="CT62" s="725"/>
      <c r="CU62" s="725"/>
      <c r="CV62" s="725"/>
      <c r="CW62" s="721"/>
      <c r="CX62" s="721"/>
      <c r="CY62" s="721"/>
      <c r="CZ62" s="721"/>
      <c r="DA62" s="721"/>
      <c r="DB62" s="721"/>
      <c r="DC62" s="721"/>
      <c r="DD62" s="721"/>
      <c r="DE62" s="721"/>
      <c r="DF62" s="721"/>
      <c r="DG62" s="721"/>
      <c r="DH62" s="721"/>
      <c r="DI62" s="721"/>
      <c r="DJ62" s="721">
        <f t="shared" ca="1" si="186"/>
        <v>1</v>
      </c>
      <c r="DK62" s="721"/>
      <c r="DL62" s="721">
        <f t="shared" ca="1" si="204"/>
        <v>1</v>
      </c>
      <c r="DM62" s="715" t="str">
        <f t="shared" ca="1" si="187"/>
        <v>1.1</v>
      </c>
      <c r="DN62" s="721" cm="1">
        <f t="array" aca="1" ref="DN62" ca="1">OFFSET(Horarios!$P$3,DJ62-1,0,DL62,1)</f>
        <v>1</v>
      </c>
      <c r="DO62" s="721"/>
      <c r="DP62" s="721">
        <v>5</v>
      </c>
      <c r="DQ62" s="721" t="str">
        <f t="shared" ca="1" si="205"/>
        <v>Costa de Marfil</v>
      </c>
      <c r="DR62" s="721"/>
      <c r="DS62" s="721"/>
      <c r="DT62" s="721" t="str">
        <f t="shared" ca="1" si="15"/>
        <v>España-Arabia Saudita</v>
      </c>
      <c r="DU62" s="721"/>
      <c r="DV62" s="721"/>
      <c r="DW62" s="8"/>
    </row>
    <row r="63" spans="1:127">
      <c r="A63" s="722" t="str">
        <f ca="1">+Equipos!B32</f>
        <v>Arabia Saudita</v>
      </c>
      <c r="B63" s="719"/>
      <c r="C63" s="721"/>
      <c r="D63" s="721" t="str">
        <f t="shared" si="206"/>
        <v>Pendiente</v>
      </c>
      <c r="E63" s="721" t="str">
        <f t="shared" si="207"/>
        <v>-</v>
      </c>
      <c r="F63" s="721" t="str">
        <f t="shared" si="208"/>
        <v>-</v>
      </c>
      <c r="G63" s="721"/>
      <c r="H63" s="721" t="str">
        <f t="shared" si="209"/>
        <v>-</v>
      </c>
      <c r="I63" s="721" t="str">
        <f t="shared" si="210"/>
        <v>-</v>
      </c>
      <c r="J63" s="721"/>
      <c r="K63" s="721" t="str">
        <f t="shared" si="211"/>
        <v>-</v>
      </c>
      <c r="L63" s="721" t="str">
        <f t="shared" si="212"/>
        <v>-</v>
      </c>
      <c r="M63" s="721"/>
      <c r="N63" s="721" t="str">
        <f t="shared" si="213"/>
        <v>-</v>
      </c>
      <c r="O63" s="721" t="str">
        <f t="shared" si="214"/>
        <v>-</v>
      </c>
      <c r="P63" s="721"/>
      <c r="Q63" s="721" t="str">
        <f t="shared" si="215"/>
        <v>-</v>
      </c>
      <c r="R63" s="721" t="str">
        <f t="shared" si="216"/>
        <v>-</v>
      </c>
      <c r="S63" s="721"/>
      <c r="T63" s="721" t="str">
        <f t="shared" si="217"/>
        <v>-</v>
      </c>
      <c r="U63" s="721" t="str">
        <f t="shared" si="218"/>
        <v>-</v>
      </c>
      <c r="V63" s="162"/>
      <c r="W63" s="839"/>
      <c r="X63" s="179">
        <f ca="1">Horarios!C63</f>
        <v>46195</v>
      </c>
      <c r="Y63" s="180">
        <f ca="1">Horarios!C63</f>
        <v>46195</v>
      </c>
      <c r="Z63" s="181" t="str">
        <f>$Z$6</f>
        <v>J2</v>
      </c>
      <c r="AA63" s="182" t="str">
        <f ca="1">A64</f>
        <v>Uruguay</v>
      </c>
      <c r="AB63" s="457" t="str" cm="1">
        <f t="array" aca="1" ref="AB63" ca="1">Ver_flag_local</f>
        <v/>
      </c>
      <c r="AC63" s="183"/>
      <c r="AD63" s="184"/>
      <c r="AE63" s="462" t="str" cm="1">
        <f t="array" aca="1" ref="AE63" ca="1">Ver_flag_visit</f>
        <v/>
      </c>
      <c r="AF63" s="185" t="str">
        <f ca="1">A62</f>
        <v>Cabo Verde</v>
      </c>
      <c r="AG63" s="396">
        <f t="shared" si="219"/>
        <v>0</v>
      </c>
      <c r="AH63" s="186">
        <v>37</v>
      </c>
      <c r="AI63" s="15" t="str">
        <f t="shared" ref="AI63:AI65" si="224">AJ63&amp;$B$60</f>
        <v>2H</v>
      </c>
      <c r="AJ63" s="211">
        <v>2</v>
      </c>
      <c r="AK63" s="465" t="str" cm="1">
        <f t="array" aca="1" ref="AK63" ca="1">Ver_flag_visit</f>
        <v/>
      </c>
      <c r="AL63" s="212" t="str">
        <f ca="1">IFERROR(INDEX($BD$6:$BD$53,MATCH(AI63,$BN$6:$BN$53,0)),"")</f>
        <v>Cabo Verde</v>
      </c>
      <c r="AM63" s="213">
        <f t="shared" ca="1" si="223"/>
        <v>0</v>
      </c>
      <c r="AN63" s="214">
        <f t="shared" ca="1" si="223"/>
        <v>0</v>
      </c>
      <c r="AO63" s="214">
        <f t="shared" ca="1" si="223"/>
        <v>0</v>
      </c>
      <c r="AP63" s="214">
        <f t="shared" ca="1" si="223"/>
        <v>0</v>
      </c>
      <c r="AQ63" s="214">
        <f t="shared" ca="1" si="223"/>
        <v>0</v>
      </c>
      <c r="AR63" s="214">
        <f t="shared" ca="1" si="223"/>
        <v>0</v>
      </c>
      <c r="AS63" s="214">
        <f t="shared" ca="1" si="223"/>
        <v>0</v>
      </c>
      <c r="AT63" s="215">
        <f t="shared" ca="1" si="223"/>
        <v>0</v>
      </c>
      <c r="AU63" s="403">
        <f ca="1">INDEX($DL$6:$DL$53,MATCH(AI63,$DP$6:$DP$53,0))</f>
        <v>1</v>
      </c>
      <c r="AV63" s="207" t="str">
        <f ca="1">INDEX($BD$6:$BD$53,MATCH(AI63,$BM$6:$BM$53,0))</f>
        <v>Cabo Verde</v>
      </c>
      <c r="AW63" s="410"/>
      <c r="AX63" s="208"/>
      <c r="AY63" s="216" t="str">
        <f ca="1">+A62</f>
        <v>Cabo Verde</v>
      </c>
      <c r="AZ63" s="217"/>
      <c r="BA63" s="165"/>
      <c r="BB63" s="736" t="str">
        <f t="shared" si="188"/>
        <v>3F</v>
      </c>
      <c r="BC63" s="733" t="s">
        <v>4</v>
      </c>
      <c r="BD63" s="721" t="str">
        <f t="shared" ca="1" si="175"/>
        <v>Suecia</v>
      </c>
      <c r="BE63" s="725">
        <f t="shared" ca="1" si="189"/>
        <v>0</v>
      </c>
      <c r="BF63" s="725">
        <f t="shared" ca="1" si="190"/>
        <v>0</v>
      </c>
      <c r="BG63" s="725">
        <f t="shared" ca="1" si="191"/>
        <v>0</v>
      </c>
      <c r="BH63" s="725">
        <f t="shared" ca="1" si="192"/>
        <v>0</v>
      </c>
      <c r="BI63" s="725">
        <f t="shared" ca="1" si="176"/>
        <v>0</v>
      </c>
      <c r="BJ63" s="725">
        <f t="shared" ca="1" si="177"/>
        <v>0</v>
      </c>
      <c r="BK63" s="725">
        <f t="shared" ca="1" si="178"/>
        <v>0</v>
      </c>
      <c r="BL63" s="725">
        <f t="shared" ca="1" si="193"/>
        <v>0</v>
      </c>
      <c r="BM63" s="725">
        <f t="shared" ca="1" si="194"/>
        <v>10</v>
      </c>
      <c r="BN63" s="725">
        <f t="shared" ca="1" si="195"/>
        <v>10</v>
      </c>
      <c r="BO63" s="715" t="str">
        <f t="shared" si="196"/>
        <v>4F</v>
      </c>
      <c r="BP63" s="715"/>
      <c r="BQ63" s="715"/>
      <c r="BR63" s="725">
        <f t="shared" ca="1" si="179"/>
        <v>0</v>
      </c>
      <c r="BS63" s="725">
        <f t="shared" ca="1" si="197"/>
        <v>1</v>
      </c>
      <c r="BT63" s="725" t="str">
        <f t="shared" ca="1" si="198"/>
        <v>Pos. 1 (12)</v>
      </c>
      <c r="BU63" s="725">
        <f t="shared" ca="1" si="180"/>
        <v>0</v>
      </c>
      <c r="BV63" s="725">
        <f t="shared" ca="1" si="181"/>
        <v>1</v>
      </c>
      <c r="BW63" s="725" t="str">
        <f t="shared" ca="1" si="182"/>
        <v>Pos. 1 (11)</v>
      </c>
      <c r="BX63" s="725">
        <f t="shared" ca="1" si="183"/>
        <v>0</v>
      </c>
      <c r="BY63" s="725">
        <f t="shared" ca="1" si="184"/>
        <v>1</v>
      </c>
      <c r="BZ63" s="725" t="str">
        <f t="shared" ca="1" si="185"/>
        <v>Pos. 1 (11)</v>
      </c>
      <c r="CA63" s="725">
        <f t="shared" ca="1" si="199"/>
        <v>1</v>
      </c>
      <c r="CB63" s="725">
        <f t="shared" ca="1" si="200"/>
        <v>10</v>
      </c>
      <c r="CC63" s="725"/>
      <c r="CD63" s="725">
        <f t="shared" ca="1" si="201"/>
        <v>10.01</v>
      </c>
      <c r="CE63" s="725">
        <f t="shared" ca="1" si="202"/>
        <v>9</v>
      </c>
      <c r="CF63" s="725">
        <f t="shared" ca="1" si="203"/>
        <v>10</v>
      </c>
      <c r="CG63" s="725"/>
      <c r="CH63" s="725"/>
      <c r="CI63" s="725"/>
      <c r="CJ63" s="725"/>
      <c r="CK63" s="725"/>
      <c r="CL63" s="725"/>
      <c r="CM63" s="725"/>
      <c r="CN63" s="725"/>
      <c r="CO63" s="725"/>
      <c r="CP63" s="725"/>
      <c r="CQ63" s="725"/>
      <c r="CR63" s="725"/>
      <c r="CS63" s="725"/>
      <c r="CT63" s="725"/>
      <c r="CU63" s="725"/>
      <c r="CV63" s="725"/>
      <c r="CW63" s="721"/>
      <c r="CX63" s="721"/>
      <c r="CY63" s="721"/>
      <c r="CZ63" s="721"/>
      <c r="DA63" s="721"/>
      <c r="DB63" s="721"/>
      <c r="DC63" s="721"/>
      <c r="DD63" s="721"/>
      <c r="DE63" s="721"/>
      <c r="DF63" s="721"/>
      <c r="DG63" s="721"/>
      <c r="DH63" s="721"/>
      <c r="DI63" s="721"/>
      <c r="DJ63" s="721">
        <f t="shared" ca="1" si="186"/>
        <v>1</v>
      </c>
      <c r="DK63" s="721"/>
      <c r="DL63" s="721">
        <f t="shared" ca="1" si="204"/>
        <v>1</v>
      </c>
      <c r="DM63" s="715" t="str">
        <f t="shared" ca="1" si="187"/>
        <v>1.1</v>
      </c>
      <c r="DN63" s="721" cm="1">
        <f t="array" aca="1" ref="DN63" ca="1">OFFSET(Horarios!$P$3,DJ63-1,0,DL63,1)</f>
        <v>1</v>
      </c>
      <c r="DO63" s="721"/>
      <c r="DP63" s="721">
        <v>6</v>
      </c>
      <c r="DQ63" s="721" t="str">
        <f t="shared" ca="1" si="205"/>
        <v>Ghana</v>
      </c>
      <c r="DR63" s="721"/>
      <c r="DS63" s="721"/>
      <c r="DT63" s="721" t="str">
        <f t="shared" ca="1" si="15"/>
        <v>Uruguay-Cabo Verde</v>
      </c>
      <c r="DU63" s="721"/>
      <c r="DV63" s="721"/>
      <c r="DW63" s="8"/>
    </row>
    <row r="64" spans="1:127">
      <c r="A64" s="722" t="str">
        <f ca="1">+Equipos!B33</f>
        <v>Uruguay</v>
      </c>
      <c r="B64" s="719"/>
      <c r="C64" s="721"/>
      <c r="D64" s="721" t="str">
        <f t="shared" si="206"/>
        <v>Pendiente</v>
      </c>
      <c r="E64" s="721" t="str">
        <f t="shared" si="207"/>
        <v>-</v>
      </c>
      <c r="F64" s="721" t="str">
        <f t="shared" si="208"/>
        <v>-</v>
      </c>
      <c r="G64" s="721"/>
      <c r="H64" s="721" t="str">
        <f t="shared" si="209"/>
        <v>-</v>
      </c>
      <c r="I64" s="721" t="str">
        <f t="shared" si="210"/>
        <v>-</v>
      </c>
      <c r="J64" s="721"/>
      <c r="K64" s="721" t="str">
        <f t="shared" si="211"/>
        <v>-</v>
      </c>
      <c r="L64" s="721" t="str">
        <f t="shared" si="212"/>
        <v>-</v>
      </c>
      <c r="M64" s="721"/>
      <c r="N64" s="721" t="str">
        <f t="shared" si="213"/>
        <v>-</v>
      </c>
      <c r="O64" s="721" t="str">
        <f t="shared" si="214"/>
        <v>-</v>
      </c>
      <c r="P64" s="721"/>
      <c r="Q64" s="721" t="str">
        <f t="shared" si="215"/>
        <v>-</v>
      </c>
      <c r="R64" s="721" t="str">
        <f t="shared" si="216"/>
        <v>-</v>
      </c>
      <c r="S64" s="721"/>
      <c r="T64" s="721" t="str">
        <f t="shared" si="217"/>
        <v>-</v>
      </c>
      <c r="U64" s="721" t="str">
        <f t="shared" si="218"/>
        <v>-</v>
      </c>
      <c r="V64" s="162"/>
      <c r="W64" s="839"/>
      <c r="X64" s="179">
        <f ca="1">Horarios!C64</f>
        <v>46200.083333333336</v>
      </c>
      <c r="Y64" s="180">
        <f ca="1">Horarios!C64</f>
        <v>46200.083333333336</v>
      </c>
      <c r="Z64" s="181" t="str">
        <f>$Z$8</f>
        <v>J3</v>
      </c>
      <c r="AA64" s="182" t="str">
        <f ca="1">A62</f>
        <v>Cabo Verde</v>
      </c>
      <c r="AB64" s="457" t="str" cm="1">
        <f t="array" aca="1" ref="AB64" ca="1">Ver_flag_local</f>
        <v/>
      </c>
      <c r="AC64" s="183"/>
      <c r="AD64" s="184"/>
      <c r="AE64" s="462" t="str" cm="1">
        <f t="array" aca="1" ref="AE64" ca="1">Ver_flag_visit</f>
        <v/>
      </c>
      <c r="AF64" s="185" t="str">
        <f ca="1">A63</f>
        <v>Arabia Saudita</v>
      </c>
      <c r="AG64" s="396">
        <f t="shared" si="219"/>
        <v>0</v>
      </c>
      <c r="AH64" s="186">
        <v>65</v>
      </c>
      <c r="AI64" s="15" t="str">
        <f t="shared" si="224"/>
        <v>3H</v>
      </c>
      <c r="AJ64" s="211">
        <v>3</v>
      </c>
      <c r="AK64" s="465" t="str" cm="1">
        <f t="array" aca="1" ref="AK64" ca="1">Ver_flag_visit</f>
        <v/>
      </c>
      <c r="AL64" s="212" t="str">
        <f ca="1">IFERROR(INDEX($BD$6:$BD$53,MATCH(AI64,$BN$6:$BN$53,0)),"")</f>
        <v>Arabia Saudita</v>
      </c>
      <c r="AM64" s="213">
        <f t="shared" ca="1" si="223"/>
        <v>0</v>
      </c>
      <c r="AN64" s="214">
        <f t="shared" ca="1" si="223"/>
        <v>0</v>
      </c>
      <c r="AO64" s="214">
        <f t="shared" ca="1" si="223"/>
        <v>0</v>
      </c>
      <c r="AP64" s="214">
        <f t="shared" ca="1" si="223"/>
        <v>0</v>
      </c>
      <c r="AQ64" s="214">
        <f t="shared" ca="1" si="223"/>
        <v>0</v>
      </c>
      <c r="AR64" s="214">
        <f t="shared" ca="1" si="223"/>
        <v>0</v>
      </c>
      <c r="AS64" s="214">
        <f t="shared" ca="1" si="223"/>
        <v>0</v>
      </c>
      <c r="AT64" s="215">
        <f t="shared" ca="1" si="223"/>
        <v>0</v>
      </c>
      <c r="AU64" s="403">
        <f ca="1">INDEX($DL$6:$DL$53,MATCH(AI64,$DP$6:$DP$53,0))</f>
        <v>1</v>
      </c>
      <c r="AV64" s="207" t="str">
        <f ca="1">INDEX($BD$6:$BD$53,MATCH(AI64,$BM$6:$BM$53,0))</f>
        <v>Arabia Saudita</v>
      </c>
      <c r="AW64" s="410"/>
      <c r="AX64" s="208"/>
      <c r="AY64" s="209" t="str">
        <f ca="1">+A63</f>
        <v>Arabia Saudita</v>
      </c>
      <c r="AZ64" s="210"/>
      <c r="BA64" s="165"/>
      <c r="BB64" s="736" t="str">
        <f t="shared" si="188"/>
        <v>3G</v>
      </c>
      <c r="BC64" s="733" t="s">
        <v>6</v>
      </c>
      <c r="BD64" s="721" t="str">
        <f t="shared" ca="1" si="175"/>
        <v>Irán</v>
      </c>
      <c r="BE64" s="725">
        <f t="shared" ca="1" si="189"/>
        <v>0</v>
      </c>
      <c r="BF64" s="725">
        <f t="shared" ca="1" si="190"/>
        <v>0</v>
      </c>
      <c r="BG64" s="725">
        <f t="shared" ca="1" si="191"/>
        <v>0</v>
      </c>
      <c r="BH64" s="725">
        <f t="shared" ca="1" si="192"/>
        <v>0</v>
      </c>
      <c r="BI64" s="725">
        <f t="shared" ca="1" si="176"/>
        <v>0</v>
      </c>
      <c r="BJ64" s="725">
        <f t="shared" ca="1" si="177"/>
        <v>0</v>
      </c>
      <c r="BK64" s="725">
        <f t="shared" ca="1" si="178"/>
        <v>0</v>
      </c>
      <c r="BL64" s="725">
        <f t="shared" ca="1" si="193"/>
        <v>0</v>
      </c>
      <c r="BM64" s="725">
        <f t="shared" ca="1" si="194"/>
        <v>9</v>
      </c>
      <c r="BN64" s="725">
        <f t="shared" ca="1" si="195"/>
        <v>9</v>
      </c>
      <c r="BO64" s="715" t="str">
        <f t="shared" si="196"/>
        <v>4G</v>
      </c>
      <c r="BP64" s="715"/>
      <c r="BQ64" s="715"/>
      <c r="BR64" s="725">
        <f t="shared" ca="1" si="179"/>
        <v>0</v>
      </c>
      <c r="BS64" s="725">
        <f t="shared" ca="1" si="197"/>
        <v>1</v>
      </c>
      <c r="BT64" s="725" t="str">
        <f t="shared" ca="1" si="198"/>
        <v>Pos. 1 (12)</v>
      </c>
      <c r="BU64" s="725">
        <f t="shared" ca="1" si="180"/>
        <v>0</v>
      </c>
      <c r="BV64" s="725">
        <f t="shared" ca="1" si="181"/>
        <v>1</v>
      </c>
      <c r="BW64" s="725" t="str">
        <f t="shared" ca="1" si="182"/>
        <v>Pos. 1 (11)</v>
      </c>
      <c r="BX64" s="725">
        <f t="shared" ca="1" si="183"/>
        <v>0</v>
      </c>
      <c r="BY64" s="725">
        <f t="shared" ca="1" si="184"/>
        <v>1</v>
      </c>
      <c r="BZ64" s="725" t="str">
        <f t="shared" ca="1" si="185"/>
        <v>Pos. 1 (11)</v>
      </c>
      <c r="CA64" s="725">
        <f t="shared" ca="1" si="199"/>
        <v>3</v>
      </c>
      <c r="CB64" s="725">
        <f t="shared" ca="1" si="200"/>
        <v>9</v>
      </c>
      <c r="CC64" s="725"/>
      <c r="CD64" s="725">
        <f t="shared" ca="1" si="201"/>
        <v>9.0090000000000003</v>
      </c>
      <c r="CE64" s="725">
        <f t="shared" ca="1" si="202"/>
        <v>8</v>
      </c>
      <c r="CF64" s="725">
        <f t="shared" ca="1" si="203"/>
        <v>9</v>
      </c>
      <c r="CG64" s="725"/>
      <c r="CH64" s="725"/>
      <c r="CI64" s="725"/>
      <c r="CJ64" s="725"/>
      <c r="CK64" s="725"/>
      <c r="CL64" s="725"/>
      <c r="CM64" s="725"/>
      <c r="CN64" s="725"/>
      <c r="CO64" s="725"/>
      <c r="CP64" s="725"/>
      <c r="CQ64" s="725"/>
      <c r="CR64" s="725"/>
      <c r="CS64" s="725"/>
      <c r="CT64" s="725"/>
      <c r="CU64" s="725"/>
      <c r="CV64" s="725"/>
      <c r="CW64" s="721"/>
      <c r="CX64" s="721"/>
      <c r="CY64" s="721"/>
      <c r="CZ64" s="721"/>
      <c r="DA64" s="721"/>
      <c r="DB64" s="721"/>
      <c r="DC64" s="721"/>
      <c r="DD64" s="721"/>
      <c r="DE64" s="721"/>
      <c r="DF64" s="721"/>
      <c r="DG64" s="721"/>
      <c r="DH64" s="721"/>
      <c r="DI64" s="721"/>
      <c r="DJ64" s="721">
        <f t="shared" ca="1" si="186"/>
        <v>1</v>
      </c>
      <c r="DK64" s="721"/>
      <c r="DL64" s="721">
        <f t="shared" ca="1" si="204"/>
        <v>1</v>
      </c>
      <c r="DM64" s="715" t="str">
        <f t="shared" ca="1" si="187"/>
        <v>1.1</v>
      </c>
      <c r="DN64" s="721" cm="1">
        <f t="array" aca="1" ref="DN64" ca="1">OFFSET(Horarios!$P$3,DJ64-1,0,DL64,1)</f>
        <v>1</v>
      </c>
      <c r="DO64" s="721"/>
      <c r="DP64" s="721">
        <v>7</v>
      </c>
      <c r="DQ64" s="721" t="str">
        <f t="shared" ca="1" si="205"/>
        <v>Haití</v>
      </c>
      <c r="DR64" s="721"/>
      <c r="DS64" s="721"/>
      <c r="DT64" s="721" t="str">
        <f t="shared" ca="1" si="15"/>
        <v>Cabo Verde-Arabia Saudita</v>
      </c>
      <c r="DU64" s="721"/>
      <c r="DV64" s="721"/>
      <c r="DW64" s="8"/>
    </row>
    <row r="65" spans="1:127" ht="15.75" thickBot="1">
      <c r="A65" s="716"/>
      <c r="B65" s="719"/>
      <c r="C65" s="716"/>
      <c r="D65" s="721" t="str">
        <f t="shared" si="206"/>
        <v>Pendiente</v>
      </c>
      <c r="E65" s="721" t="str">
        <f t="shared" si="207"/>
        <v>-</v>
      </c>
      <c r="F65" s="721" t="str">
        <f t="shared" si="208"/>
        <v>-</v>
      </c>
      <c r="G65" s="721"/>
      <c r="H65" s="721" t="str">
        <f t="shared" si="209"/>
        <v>-</v>
      </c>
      <c r="I65" s="721" t="str">
        <f t="shared" si="210"/>
        <v>-</v>
      </c>
      <c r="J65" s="721"/>
      <c r="K65" s="721" t="str">
        <f t="shared" si="211"/>
        <v>-</v>
      </c>
      <c r="L65" s="721" t="str">
        <f t="shared" si="212"/>
        <v>-</v>
      </c>
      <c r="M65" s="721"/>
      <c r="N65" s="721" t="str">
        <f t="shared" si="213"/>
        <v>-</v>
      </c>
      <c r="O65" s="721" t="str">
        <f t="shared" si="214"/>
        <v>-</v>
      </c>
      <c r="P65" s="721"/>
      <c r="Q65" s="721" t="str">
        <f t="shared" si="215"/>
        <v>-</v>
      </c>
      <c r="R65" s="721" t="str">
        <f t="shared" si="216"/>
        <v>-</v>
      </c>
      <c r="S65" s="721"/>
      <c r="T65" s="721" t="str">
        <f t="shared" si="217"/>
        <v>-</v>
      </c>
      <c r="U65" s="721" t="str">
        <f t="shared" si="218"/>
        <v>-</v>
      </c>
      <c r="V65" s="162"/>
      <c r="W65" s="840"/>
      <c r="X65" s="218">
        <f ca="1">Horarios!C65</f>
        <v>46200.083333333336</v>
      </c>
      <c r="Y65" s="219">
        <f ca="1">Horarios!C65</f>
        <v>46200.083333333336</v>
      </c>
      <c r="Z65" s="220" t="str">
        <f>$Z$8</f>
        <v>J3</v>
      </c>
      <c r="AA65" s="221" t="str">
        <f ca="1">A64</f>
        <v>Uruguay</v>
      </c>
      <c r="AB65" s="458" t="str" cm="1">
        <f t="array" aca="1" ref="AB65" ca="1">Ver_flag_local</f>
        <v/>
      </c>
      <c r="AC65" s="222"/>
      <c r="AD65" s="223"/>
      <c r="AE65" s="463" t="str" cm="1">
        <f t="array" aca="1" ref="AE65" ca="1">Ver_flag_visit</f>
        <v/>
      </c>
      <c r="AF65" s="224" t="str">
        <f ca="1">A61</f>
        <v>España</v>
      </c>
      <c r="AG65" s="396">
        <f t="shared" si="219"/>
        <v>0</v>
      </c>
      <c r="AH65" s="186">
        <v>66</v>
      </c>
      <c r="AI65" s="15" t="str">
        <f t="shared" si="224"/>
        <v>4H</v>
      </c>
      <c r="AJ65" s="225">
        <v>4</v>
      </c>
      <c r="AK65" s="466" t="str" cm="1">
        <f t="array" aca="1" ref="AK65" ca="1">Ver_flag_visit</f>
        <v/>
      </c>
      <c r="AL65" s="226" t="str">
        <f ca="1">IFERROR(INDEX($BD$6:$BD$53,MATCH(AI65,$BN$6:$BN$53,0)),"")</f>
        <v>Uruguay</v>
      </c>
      <c r="AM65" s="227">
        <f t="shared" ca="1" si="223"/>
        <v>0</v>
      </c>
      <c r="AN65" s="228">
        <f t="shared" ca="1" si="223"/>
        <v>0</v>
      </c>
      <c r="AO65" s="228">
        <f t="shared" ca="1" si="223"/>
        <v>0</v>
      </c>
      <c r="AP65" s="228">
        <f t="shared" ca="1" si="223"/>
        <v>0</v>
      </c>
      <c r="AQ65" s="228">
        <f t="shared" ca="1" si="223"/>
        <v>0</v>
      </c>
      <c r="AR65" s="228">
        <f t="shared" ca="1" si="223"/>
        <v>0</v>
      </c>
      <c r="AS65" s="228">
        <f t="shared" ca="1" si="223"/>
        <v>0</v>
      </c>
      <c r="AT65" s="229">
        <f t="shared" ca="1" si="223"/>
        <v>0</v>
      </c>
      <c r="AU65" s="403">
        <f ca="1">INDEX($DL$6:$DL$53,MATCH(AI65,$DP$6:$DP$53,0))</f>
        <v>1</v>
      </c>
      <c r="AV65" s="207" t="str">
        <f ca="1">INDEX($BD$6:$BD$53,MATCH(AI65,$BM$6:$BM$53,0))</f>
        <v>Uruguay</v>
      </c>
      <c r="AW65" s="410"/>
      <c r="AX65" s="208"/>
      <c r="AY65" s="230" t="str">
        <f ca="1">+A64</f>
        <v>Uruguay</v>
      </c>
      <c r="AZ65" s="231"/>
      <c r="BA65" s="165"/>
      <c r="BB65" s="736" t="str">
        <f t="shared" si="188"/>
        <v>3H</v>
      </c>
      <c r="BC65" s="733" t="s">
        <v>437</v>
      </c>
      <c r="BD65" s="721" t="str">
        <f t="shared" ca="1" si="175"/>
        <v>Arabia Saudita</v>
      </c>
      <c r="BE65" s="725">
        <f t="shared" ca="1" si="189"/>
        <v>0</v>
      </c>
      <c r="BF65" s="725">
        <f t="shared" ca="1" si="190"/>
        <v>0</v>
      </c>
      <c r="BG65" s="725">
        <f t="shared" ca="1" si="191"/>
        <v>0</v>
      </c>
      <c r="BH65" s="725">
        <f t="shared" ca="1" si="192"/>
        <v>0</v>
      </c>
      <c r="BI65" s="725">
        <f t="shared" ca="1" si="176"/>
        <v>0</v>
      </c>
      <c r="BJ65" s="725">
        <f t="shared" ca="1" si="177"/>
        <v>0</v>
      </c>
      <c r="BK65" s="725">
        <f t="shared" ca="1" si="178"/>
        <v>0</v>
      </c>
      <c r="BL65" s="725">
        <f t="shared" ca="1" si="193"/>
        <v>0</v>
      </c>
      <c r="BM65" s="725">
        <f t="shared" ca="1" si="194"/>
        <v>1</v>
      </c>
      <c r="BN65" s="725">
        <f t="shared" ca="1" si="195"/>
        <v>1</v>
      </c>
      <c r="BO65" s="715" t="str">
        <f t="shared" si="196"/>
        <v>4H</v>
      </c>
      <c r="BP65" s="715"/>
      <c r="BQ65" s="715"/>
      <c r="BR65" s="725">
        <f t="shared" ca="1" si="179"/>
        <v>0</v>
      </c>
      <c r="BS65" s="725">
        <f t="shared" ca="1" si="197"/>
        <v>1</v>
      </c>
      <c r="BT65" s="725" t="str">
        <f t="shared" ca="1" si="198"/>
        <v>Pos. 1 (12)</v>
      </c>
      <c r="BU65" s="725">
        <f t="shared" ca="1" si="180"/>
        <v>0</v>
      </c>
      <c r="BV65" s="725">
        <f t="shared" ca="1" si="181"/>
        <v>1</v>
      </c>
      <c r="BW65" s="725" t="str">
        <f t="shared" ca="1" si="182"/>
        <v>Pos. 1 (11)</v>
      </c>
      <c r="BX65" s="725">
        <f t="shared" ca="1" si="183"/>
        <v>0</v>
      </c>
      <c r="BY65" s="725">
        <f t="shared" ca="1" si="184"/>
        <v>1</v>
      </c>
      <c r="BZ65" s="725" t="str">
        <f t="shared" ca="1" si="185"/>
        <v>Pos. 1 (11)</v>
      </c>
      <c r="CA65" s="725">
        <f t="shared" ca="1" si="199"/>
        <v>11</v>
      </c>
      <c r="CB65" s="725">
        <f t="shared" ca="1" si="200"/>
        <v>1</v>
      </c>
      <c r="CC65" s="725"/>
      <c r="CD65" s="725">
        <f t="shared" ca="1" si="201"/>
        <v>1</v>
      </c>
      <c r="CE65" s="725">
        <f t="shared" ca="1" si="202"/>
        <v>0</v>
      </c>
      <c r="CF65" s="725">
        <f t="shared" ca="1" si="203"/>
        <v>1</v>
      </c>
      <c r="CG65" s="725"/>
      <c r="CH65" s="725"/>
      <c r="CI65" s="725"/>
      <c r="CJ65" s="725"/>
      <c r="CK65" s="725"/>
      <c r="CL65" s="725"/>
      <c r="CM65" s="725"/>
      <c r="CN65" s="725"/>
      <c r="CO65" s="725"/>
      <c r="CP65" s="725"/>
      <c r="CQ65" s="725"/>
      <c r="CR65" s="725"/>
      <c r="CS65" s="725"/>
      <c r="CT65" s="725"/>
      <c r="CU65" s="725"/>
      <c r="CV65" s="725"/>
      <c r="CW65" s="721"/>
      <c r="CX65" s="721"/>
      <c r="CY65" s="721"/>
      <c r="CZ65" s="721"/>
      <c r="DA65" s="721"/>
      <c r="DB65" s="721"/>
      <c r="DC65" s="721"/>
      <c r="DD65" s="721"/>
      <c r="DE65" s="721"/>
      <c r="DF65" s="721"/>
      <c r="DG65" s="721"/>
      <c r="DH65" s="721"/>
      <c r="DI65" s="721"/>
      <c r="DJ65" s="721">
        <f t="shared" ca="1" si="186"/>
        <v>1</v>
      </c>
      <c r="DK65" s="721"/>
      <c r="DL65" s="721">
        <f t="shared" ca="1" si="204"/>
        <v>1</v>
      </c>
      <c r="DM65" s="715" t="str">
        <f t="shared" ca="1" si="187"/>
        <v>1.1</v>
      </c>
      <c r="DN65" s="721" cm="1">
        <f t="array" aca="1" ref="DN65" ca="1">OFFSET(Horarios!$P$3,DJ65-1,0,DL65,1)</f>
        <v>1</v>
      </c>
      <c r="DO65" s="721"/>
      <c r="DP65" s="721">
        <v>8</v>
      </c>
      <c r="DQ65" s="721" t="str">
        <f t="shared" ca="1" si="205"/>
        <v>Irak</v>
      </c>
      <c r="DR65" s="721"/>
      <c r="DS65" s="721"/>
      <c r="DT65" s="721" t="str">
        <f t="shared" ca="1" si="15"/>
        <v>Uruguay-España</v>
      </c>
      <c r="DU65" s="721"/>
      <c r="DV65" s="721"/>
      <c r="DW65" s="8"/>
    </row>
    <row r="66" spans="1:127" ht="15.75" thickBot="1">
      <c r="A66" s="716"/>
      <c r="B66" s="719"/>
      <c r="C66" s="716"/>
      <c r="D66" s="721"/>
      <c r="E66" s="721"/>
      <c r="F66" s="721"/>
      <c r="G66" s="721"/>
      <c r="H66" s="721"/>
      <c r="I66" s="721"/>
      <c r="J66" s="721"/>
      <c r="K66" s="721"/>
      <c r="L66" s="721"/>
      <c r="M66" s="721"/>
      <c r="N66" s="721"/>
      <c r="O66" s="721"/>
      <c r="P66" s="721"/>
      <c r="Q66" s="721"/>
      <c r="R66" s="721"/>
      <c r="S66" s="721"/>
      <c r="T66" s="721"/>
      <c r="U66" s="721"/>
      <c r="V66" s="162"/>
      <c r="W66" s="232"/>
      <c r="X66" s="233"/>
      <c r="Y66" s="232"/>
      <c r="Z66" s="234"/>
      <c r="AA66" s="235"/>
      <c r="AB66" s="461"/>
      <c r="AC66" s="237"/>
      <c r="AD66" s="237"/>
      <c r="AE66" s="461"/>
      <c r="AF66" s="238"/>
      <c r="AG66" s="398"/>
      <c r="AH66" s="186"/>
      <c r="AI66" s="161"/>
      <c r="AJ66" s="239"/>
      <c r="AK66" s="240"/>
      <c r="AL66" s="176"/>
      <c r="AM66" s="241"/>
      <c r="AN66" s="239"/>
      <c r="AO66" s="239"/>
      <c r="AP66" s="239"/>
      <c r="AQ66" s="239"/>
      <c r="AR66" s="239"/>
      <c r="AS66" s="239"/>
      <c r="AT66" s="239"/>
      <c r="AU66" s="403"/>
      <c r="AV66" s="206"/>
      <c r="AW66" s="411"/>
      <c r="AX66" s="208"/>
      <c r="AY66" s="232"/>
      <c r="AZ66" s="233"/>
      <c r="BA66" s="165"/>
      <c r="BB66" s="736" t="str">
        <f t="shared" si="188"/>
        <v>3I</v>
      </c>
      <c r="BC66" s="733" t="s">
        <v>438</v>
      </c>
      <c r="BD66" s="721" t="str">
        <f t="shared" ca="1" si="175"/>
        <v>Irak</v>
      </c>
      <c r="BE66" s="725">
        <f t="shared" ca="1" si="189"/>
        <v>0</v>
      </c>
      <c r="BF66" s="725">
        <f t="shared" ca="1" si="190"/>
        <v>0</v>
      </c>
      <c r="BG66" s="725">
        <f t="shared" ca="1" si="191"/>
        <v>0</v>
      </c>
      <c r="BH66" s="725">
        <f t="shared" ca="1" si="192"/>
        <v>0</v>
      </c>
      <c r="BI66" s="725">
        <f t="shared" ca="1" si="176"/>
        <v>0</v>
      </c>
      <c r="BJ66" s="725">
        <f t="shared" ca="1" si="177"/>
        <v>0</v>
      </c>
      <c r="BK66" s="725">
        <f t="shared" ca="1" si="178"/>
        <v>0</v>
      </c>
      <c r="BL66" s="725">
        <f t="shared" ca="1" si="193"/>
        <v>0</v>
      </c>
      <c r="BM66" s="725">
        <f t="shared" ca="1" si="194"/>
        <v>8</v>
      </c>
      <c r="BN66" s="725">
        <f t="shared" ca="1" si="195"/>
        <v>8</v>
      </c>
      <c r="BO66" s="715" t="str">
        <f t="shared" si="196"/>
        <v>4I</v>
      </c>
      <c r="BP66" s="715"/>
      <c r="BQ66" s="715"/>
      <c r="BR66" s="725">
        <f t="shared" ca="1" si="179"/>
        <v>0</v>
      </c>
      <c r="BS66" s="725">
        <f t="shared" ca="1" si="197"/>
        <v>1</v>
      </c>
      <c r="BT66" s="725" t="str">
        <f t="shared" ca="1" si="198"/>
        <v>Pos. 1 (12)</v>
      </c>
      <c r="BU66" s="725">
        <f t="shared" ca="1" si="180"/>
        <v>0</v>
      </c>
      <c r="BV66" s="725">
        <f t="shared" ca="1" si="181"/>
        <v>1</v>
      </c>
      <c r="BW66" s="725" t="str">
        <f t="shared" ca="1" si="182"/>
        <v>Pos. 1 (11)</v>
      </c>
      <c r="BX66" s="725">
        <f t="shared" ca="1" si="183"/>
        <v>0</v>
      </c>
      <c r="BY66" s="725">
        <f t="shared" ca="1" si="184"/>
        <v>1</v>
      </c>
      <c r="BZ66" s="725" t="str">
        <f t="shared" ca="1" si="185"/>
        <v>Pos. 1 (11)</v>
      </c>
      <c r="CA66" s="725">
        <f t="shared" ca="1" si="199"/>
        <v>4</v>
      </c>
      <c r="CB66" s="725">
        <f t="shared" ca="1" si="200"/>
        <v>8</v>
      </c>
      <c r="CC66" s="725"/>
      <c r="CD66" s="725">
        <f t="shared" ca="1" si="201"/>
        <v>8</v>
      </c>
      <c r="CE66" s="725">
        <f t="shared" ca="1" si="202"/>
        <v>7</v>
      </c>
      <c r="CF66" s="725">
        <f t="shared" ca="1" si="203"/>
        <v>8</v>
      </c>
      <c r="CG66" s="725"/>
      <c r="CH66" s="725"/>
      <c r="CI66" s="725"/>
      <c r="CJ66" s="725"/>
      <c r="CK66" s="725"/>
      <c r="CL66" s="725"/>
      <c r="CM66" s="725"/>
      <c r="CN66" s="725"/>
      <c r="CO66" s="725"/>
      <c r="CP66" s="725"/>
      <c r="CQ66" s="725"/>
      <c r="CR66" s="725"/>
      <c r="CS66" s="725"/>
      <c r="CT66" s="725"/>
      <c r="CU66" s="725"/>
      <c r="CV66" s="725"/>
      <c r="CW66" s="721"/>
      <c r="CX66" s="721"/>
      <c r="CY66" s="721"/>
      <c r="CZ66" s="721"/>
      <c r="DA66" s="721"/>
      <c r="DB66" s="721"/>
      <c r="DC66" s="721"/>
      <c r="DD66" s="721"/>
      <c r="DE66" s="721"/>
      <c r="DF66" s="721"/>
      <c r="DG66" s="721"/>
      <c r="DH66" s="721"/>
      <c r="DI66" s="721"/>
      <c r="DJ66" s="721">
        <f t="shared" ca="1" si="186"/>
        <v>1</v>
      </c>
      <c r="DK66" s="721"/>
      <c r="DL66" s="721">
        <f t="shared" ca="1" si="204"/>
        <v>1</v>
      </c>
      <c r="DM66" s="715" t="str">
        <f t="shared" ca="1" si="187"/>
        <v>1.1</v>
      </c>
      <c r="DN66" s="721" cm="1">
        <f t="array" aca="1" ref="DN66" ca="1">OFFSET(Horarios!$P$3,DJ66-1,0,DL66,1)</f>
        <v>1</v>
      </c>
      <c r="DO66" s="721"/>
      <c r="DP66" s="721">
        <v>9</v>
      </c>
      <c r="DQ66" s="721" t="str">
        <f t="shared" ca="1" si="205"/>
        <v>Irán</v>
      </c>
      <c r="DR66" s="721"/>
      <c r="DS66" s="721"/>
      <c r="DT66" s="721" t="str">
        <f t="shared" si="15"/>
        <v>-</v>
      </c>
      <c r="DU66" s="721"/>
      <c r="DV66" s="721"/>
      <c r="DW66" s="8"/>
    </row>
    <row r="67" spans="1:127" ht="15.75" thickBot="1">
      <c r="A67" s="716"/>
      <c r="B67" s="719"/>
      <c r="C67" s="716"/>
      <c r="D67" s="716"/>
      <c r="E67" s="716"/>
      <c r="F67" s="716"/>
      <c r="G67" s="716"/>
      <c r="H67" s="716"/>
      <c r="I67" s="716"/>
      <c r="J67" s="716"/>
      <c r="K67" s="716"/>
      <c r="L67" s="716"/>
      <c r="M67" s="716"/>
      <c r="N67" s="721"/>
      <c r="O67" s="721"/>
      <c r="P67" s="721"/>
      <c r="Q67" s="721"/>
      <c r="R67" s="721"/>
      <c r="S67" s="721"/>
      <c r="T67" s="721"/>
      <c r="U67" s="721"/>
      <c r="V67" s="162"/>
      <c r="W67" s="169"/>
      <c r="X67" s="170" t="str">
        <f>X3</f>
        <v>Fecha</v>
      </c>
      <c r="Y67" s="170" t="str">
        <f>Y3</f>
        <v>Hora</v>
      </c>
      <c r="Z67" s="171" t="str">
        <f>Z3</f>
        <v>Jor.</v>
      </c>
      <c r="AA67" s="172" t="str">
        <f>AA3</f>
        <v>Casa</v>
      </c>
      <c r="AB67" s="171"/>
      <c r="AC67" s="171" t="str">
        <f>AC3</f>
        <v>Gol</v>
      </c>
      <c r="AD67" s="171" t="str">
        <f>AD3</f>
        <v>Gol</v>
      </c>
      <c r="AE67" s="171"/>
      <c r="AF67" s="174" t="str">
        <f>AF3</f>
        <v>Fuera</v>
      </c>
      <c r="AG67" s="397"/>
      <c r="AH67" s="186"/>
      <c r="AI67" s="14"/>
      <c r="AJ67" s="176"/>
      <c r="AK67" s="242"/>
      <c r="AL67" s="176"/>
      <c r="AM67" s="176"/>
      <c r="AN67" s="176"/>
      <c r="AO67" s="176"/>
      <c r="AP67" s="176"/>
      <c r="AQ67" s="176"/>
      <c r="AR67" s="176"/>
      <c r="AS67" s="176"/>
      <c r="AT67" s="176"/>
      <c r="AU67" s="404"/>
      <c r="AV67" s="18"/>
      <c r="AW67" s="412"/>
      <c r="AX67" s="243"/>
      <c r="AY67" s="232"/>
      <c r="AZ67" s="233"/>
      <c r="BA67" s="165"/>
      <c r="BB67" s="736" t="str">
        <f t="shared" si="188"/>
        <v>3J</v>
      </c>
      <c r="BC67" s="733" t="s">
        <v>5</v>
      </c>
      <c r="BD67" s="721" t="str">
        <f t="shared" ca="1" si="175"/>
        <v>Austria</v>
      </c>
      <c r="BE67" s="725">
        <f t="shared" ca="1" si="189"/>
        <v>0</v>
      </c>
      <c r="BF67" s="725">
        <f t="shared" ca="1" si="190"/>
        <v>0</v>
      </c>
      <c r="BG67" s="725">
        <f t="shared" ca="1" si="191"/>
        <v>0</v>
      </c>
      <c r="BH67" s="725">
        <f t="shared" ca="1" si="192"/>
        <v>0</v>
      </c>
      <c r="BI67" s="725">
        <f t="shared" ca="1" si="176"/>
        <v>0</v>
      </c>
      <c r="BJ67" s="725">
        <f t="shared" ca="1" si="177"/>
        <v>0</v>
      </c>
      <c r="BK67" s="725">
        <f t="shared" ca="1" si="178"/>
        <v>0</v>
      </c>
      <c r="BL67" s="725">
        <f t="shared" ca="1" si="193"/>
        <v>0</v>
      </c>
      <c r="BM67" s="725">
        <f t="shared" ca="1" si="194"/>
        <v>3</v>
      </c>
      <c r="BN67" s="725">
        <f t="shared" ca="1" si="195"/>
        <v>3</v>
      </c>
      <c r="BO67" s="715" t="str">
        <f t="shared" si="196"/>
        <v>4J</v>
      </c>
      <c r="BP67" s="715"/>
      <c r="BQ67" s="715"/>
      <c r="BR67" s="725">
        <f t="shared" ca="1" si="179"/>
        <v>0</v>
      </c>
      <c r="BS67" s="725">
        <f t="shared" ca="1" si="197"/>
        <v>1</v>
      </c>
      <c r="BT67" s="725" t="str">
        <f t="shared" ca="1" si="198"/>
        <v>Pos. 1 (12)</v>
      </c>
      <c r="BU67" s="725">
        <f t="shared" ca="1" si="180"/>
        <v>0</v>
      </c>
      <c r="BV67" s="725">
        <f t="shared" ca="1" si="181"/>
        <v>1</v>
      </c>
      <c r="BW67" s="725" t="str">
        <f t="shared" ca="1" si="182"/>
        <v>Pos. 1 (11)</v>
      </c>
      <c r="BX67" s="725">
        <f t="shared" ca="1" si="183"/>
        <v>0</v>
      </c>
      <c r="BY67" s="725">
        <f t="shared" ca="1" si="184"/>
        <v>1</v>
      </c>
      <c r="BZ67" s="725" t="str">
        <f t="shared" ca="1" si="185"/>
        <v>Pos. 1 (11)</v>
      </c>
      <c r="CA67" s="725">
        <f t="shared" ca="1" si="199"/>
        <v>9</v>
      </c>
      <c r="CB67" s="725">
        <f t="shared" ca="1" si="200"/>
        <v>3</v>
      </c>
      <c r="CC67" s="725"/>
      <c r="CD67" s="725">
        <f t="shared" ca="1" si="201"/>
        <v>3.0030000000000001</v>
      </c>
      <c r="CE67" s="725">
        <f t="shared" ca="1" si="202"/>
        <v>2</v>
      </c>
      <c r="CF67" s="725">
        <f t="shared" ca="1" si="203"/>
        <v>3</v>
      </c>
      <c r="CG67" s="725"/>
      <c r="CH67" s="725"/>
      <c r="CI67" s="725"/>
      <c r="CJ67" s="725"/>
      <c r="CK67" s="725"/>
      <c r="CL67" s="725"/>
      <c r="CM67" s="725"/>
      <c r="CN67" s="725"/>
      <c r="CO67" s="725"/>
      <c r="CP67" s="725"/>
      <c r="CQ67" s="725"/>
      <c r="CR67" s="725"/>
      <c r="CS67" s="725"/>
      <c r="CT67" s="725"/>
      <c r="CU67" s="725"/>
      <c r="CV67" s="725"/>
      <c r="CW67" s="721"/>
      <c r="CX67" s="721"/>
      <c r="CY67" s="721"/>
      <c r="CZ67" s="721"/>
      <c r="DA67" s="721"/>
      <c r="DB67" s="721"/>
      <c r="DC67" s="721"/>
      <c r="DD67" s="721"/>
      <c r="DE67" s="721"/>
      <c r="DF67" s="721"/>
      <c r="DG67" s="721"/>
      <c r="DH67" s="721"/>
      <c r="DI67" s="721"/>
      <c r="DJ67" s="721">
        <f t="shared" ca="1" si="186"/>
        <v>1</v>
      </c>
      <c r="DK67" s="721"/>
      <c r="DL67" s="721">
        <f t="shared" ca="1" si="204"/>
        <v>1</v>
      </c>
      <c r="DM67" s="715" t="str">
        <f t="shared" ca="1" si="187"/>
        <v>1.1</v>
      </c>
      <c r="DN67" s="721" cm="1">
        <f t="array" aca="1" ref="DN67" ca="1">OFFSET(Horarios!$P$3,DJ67-1,0,DL67,1)</f>
        <v>1</v>
      </c>
      <c r="DO67" s="721"/>
      <c r="DP67" s="721">
        <v>10</v>
      </c>
      <c r="DQ67" s="721" t="str">
        <f t="shared" ca="1" si="205"/>
        <v>Suecia</v>
      </c>
      <c r="DR67" s="721"/>
      <c r="DS67" s="721"/>
      <c r="DT67" s="721" t="str">
        <f t="shared" si="15"/>
        <v>Casa-Fuera</v>
      </c>
      <c r="DU67" s="721"/>
      <c r="DV67" s="721"/>
      <c r="DW67" s="8"/>
    </row>
    <row r="68" spans="1:127" ht="15" customHeight="1" thickBot="1">
      <c r="A68" s="718" t="s">
        <v>30</v>
      </c>
      <c r="B68" s="719" t="s">
        <v>438</v>
      </c>
      <c r="C68" s="720">
        <f>COUNTIF(Equipos!$C$2:$C$49,WORLDCUP!B68)</f>
        <v>4</v>
      </c>
      <c r="D68" s="721" t="str">
        <f t="shared" ref="D68:D73" si="225">IF(OR(AC68="",AD68=""),"Pendiente",IF(AC68&gt;AD68,"Local",IF(AC68&lt;AD68,"Visitante","Empate")))</f>
        <v>Pendiente</v>
      </c>
      <c r="E68" s="721" t="str">
        <f t="shared" ref="E68:E73" si="226">IF(D68="Pendiente","-",INDEX($BT$6:$BT$53,MATCH($AA68,$BD$6:$BD$53,0)))</f>
        <v>-</v>
      </c>
      <c r="F68" s="721" t="str">
        <f t="shared" ref="F68:F73" si="227">IF(D68="Pendiente","-",INDEX($BT$6:$BT$53,MATCH($AF68,$BD$6:$BD$53,0)))</f>
        <v>-</v>
      </c>
      <c r="G68" s="721"/>
      <c r="H68" s="721" t="str">
        <f t="shared" ref="H68:H73" si="228">IF(D68="Pendiente","-",INDEX($BZ$6:$BZ$53,MATCH($AA68,$BD$6:$BD$53,0)))</f>
        <v>-</v>
      </c>
      <c r="I68" s="721" t="str">
        <f t="shared" ref="I68:I73" si="229">IF(D68="Pendiente","-",INDEX($BZ$6:$BZ$53,MATCH($AF68,$BD$6:$BD$53,0)))</f>
        <v>-</v>
      </c>
      <c r="J68" s="721"/>
      <c r="K68" s="721" t="str">
        <f t="shared" ref="K68:K73" si="230">IF(D68="Pendiente","-",INDEX($CE$6:$CE$53,MATCH($AA68,$BD$6:$BD$53,0)))</f>
        <v>-</v>
      </c>
      <c r="L68" s="721" t="str">
        <f t="shared" ref="L68:L73" si="231">IF(D68="Pendiente","-",INDEX($CE$6:$CE$53,MATCH($AF68,$BD$6:$BD$53,0)))</f>
        <v>-</v>
      </c>
      <c r="M68" s="721"/>
      <c r="N68" s="721" t="str">
        <f t="shared" ref="N68:N73" si="232">IF(D68="Pendiente","-",INDEX($CH$6:$CH$53,MATCH($AA68,$BD$6:$BD$53,0)))</f>
        <v>-</v>
      </c>
      <c r="O68" s="721" t="str">
        <f t="shared" ref="O68:O73" si="233">IF(D68="Pendiente","-",INDEX($CH$6:$CH$53,MATCH($AF68,$BD$6:$BD$53,0)))</f>
        <v>-</v>
      </c>
      <c r="P68" s="721"/>
      <c r="Q68" s="721" t="str">
        <f t="shared" ref="Q68:Q73" si="234">IF(D68="Pendiente","-",INDEX($CN$6:$CN$53,MATCH($AA68,$BD$6:$BD$53,0)))</f>
        <v>-</v>
      </c>
      <c r="R68" s="721" t="str">
        <f t="shared" ref="R68:R73" si="235">IF(D68="Pendiente","-",INDEX($CN$6:$CN$53,MATCH($AF68,$BD$6:$BD$53,0)))</f>
        <v>-</v>
      </c>
      <c r="S68" s="721"/>
      <c r="T68" s="721" t="str">
        <f t="shared" ref="T68:T73" si="236">IF(D68="Pendiente","-",INDEX($CS$6:$CS$53,MATCH($AA68,$BD$6:$BD$53,0)))</f>
        <v>-</v>
      </c>
      <c r="U68" s="721" t="str">
        <f t="shared" ref="U68:U73" si="237">IF(D68="Pendiente","-",INDEX($CS$6:$CS$53,MATCH($AF68,$BD$6:$BD$53,0)))</f>
        <v>-</v>
      </c>
      <c r="V68" s="162"/>
      <c r="W68" s="845" t="s">
        <v>438</v>
      </c>
      <c r="X68" s="179">
        <f ca="1">Horarios!C68</f>
        <v>46189.875</v>
      </c>
      <c r="Y68" s="180">
        <f ca="1">Horarios!C68</f>
        <v>46189.875</v>
      </c>
      <c r="Z68" s="181" t="str">
        <f>$Z$4</f>
        <v>J1</v>
      </c>
      <c r="AA68" s="182" t="str">
        <f ca="1">A69</f>
        <v>Francia</v>
      </c>
      <c r="AB68" s="457" t="str" cm="1">
        <f t="array" aca="1" ref="AB68" ca="1">Ver_flag_local</f>
        <v/>
      </c>
      <c r="AC68" s="183"/>
      <c r="AD68" s="184"/>
      <c r="AE68" s="462" t="str" cm="1">
        <f t="array" aca="1" ref="AE68" ca="1">Ver_flag_visit</f>
        <v/>
      </c>
      <c r="AF68" s="185" t="str">
        <f ca="1">A70</f>
        <v>Senegal</v>
      </c>
      <c r="AG68" s="396">
        <f t="shared" ref="AG68:AG73" si="238">IF(NOT(OR(ISBLANK(AC68),ISBLANK(AD68))),1,0)</f>
        <v>0</v>
      </c>
      <c r="AH68" s="186">
        <v>17</v>
      </c>
      <c r="AI68" s="15"/>
      <c r="AJ68" s="187" t="str">
        <f>CONCATENATE(AJ3," ",B68)</f>
        <v>Grupo I</v>
      </c>
      <c r="AK68" s="188"/>
      <c r="AL68" s="188"/>
      <c r="AM68" s="188"/>
      <c r="AN68" s="188"/>
      <c r="AO68" s="188"/>
      <c r="AP68" s="188"/>
      <c r="AQ68" s="188"/>
      <c r="AR68" s="188"/>
      <c r="AS68" s="188"/>
      <c r="AT68" s="189"/>
      <c r="AU68" s="404"/>
      <c r="AV68" s="190" t="str">
        <f t="shared" ref="AV68" ca="1" si="239">IF(AU69&gt;0,$AV$3,"")</f>
        <v/>
      </c>
      <c r="AW68" s="198"/>
      <c r="AX68" s="245"/>
      <c r="AY68" s="232"/>
      <c r="AZ68" s="233"/>
      <c r="BA68" s="165"/>
      <c r="BB68" s="736" t="str">
        <f t="shared" si="188"/>
        <v>3K</v>
      </c>
      <c r="BC68" s="733" t="s">
        <v>439</v>
      </c>
      <c r="BD68" s="721" t="str">
        <f t="shared" ca="1" si="175"/>
        <v>Uzbekistán</v>
      </c>
      <c r="BE68" s="725">
        <f t="shared" ca="1" si="189"/>
        <v>0</v>
      </c>
      <c r="BF68" s="725">
        <f t="shared" ca="1" si="190"/>
        <v>0</v>
      </c>
      <c r="BG68" s="725">
        <f t="shared" ca="1" si="191"/>
        <v>0</v>
      </c>
      <c r="BH68" s="725">
        <f t="shared" ca="1" si="192"/>
        <v>0</v>
      </c>
      <c r="BI68" s="725">
        <f t="shared" ca="1" si="176"/>
        <v>0</v>
      </c>
      <c r="BJ68" s="725">
        <f t="shared" ca="1" si="177"/>
        <v>0</v>
      </c>
      <c r="BK68" s="725">
        <f t="shared" ca="1" si="178"/>
        <v>0</v>
      </c>
      <c r="BL68" s="725">
        <f t="shared" ca="1" si="193"/>
        <v>0</v>
      </c>
      <c r="BM68" s="725">
        <f t="shared" ca="1" si="194"/>
        <v>11</v>
      </c>
      <c r="BN68" s="725">
        <f t="shared" ca="1" si="195"/>
        <v>11</v>
      </c>
      <c r="BO68" s="715" t="str">
        <f t="shared" si="196"/>
        <v>4K</v>
      </c>
      <c r="BP68" s="715"/>
      <c r="BQ68" s="715"/>
      <c r="BR68" s="725">
        <f t="shared" ca="1" si="179"/>
        <v>0</v>
      </c>
      <c r="BS68" s="725">
        <f t="shared" ca="1" si="197"/>
        <v>1</v>
      </c>
      <c r="BT68" s="725" t="str">
        <f t="shared" ca="1" si="198"/>
        <v>Pos. 1 (12)</v>
      </c>
      <c r="BU68" s="725">
        <f t="shared" ca="1" si="180"/>
        <v>0</v>
      </c>
      <c r="BV68" s="725">
        <f t="shared" ca="1" si="181"/>
        <v>1</v>
      </c>
      <c r="BW68" s="725" t="str">
        <f t="shared" ca="1" si="182"/>
        <v>Pos. 1 (11)</v>
      </c>
      <c r="BX68" s="725">
        <f t="shared" ca="1" si="183"/>
        <v>0</v>
      </c>
      <c r="BY68" s="725">
        <f t="shared" ca="1" si="184"/>
        <v>1</v>
      </c>
      <c r="BZ68" s="725" t="str">
        <f t="shared" ca="1" si="185"/>
        <v>Pos. 1 (11)</v>
      </c>
      <c r="CA68" s="725">
        <f t="shared" ca="1" si="199"/>
        <v>0</v>
      </c>
      <c r="CB68" s="725">
        <f t="shared" ca="1" si="200"/>
        <v>11</v>
      </c>
      <c r="CC68" s="725"/>
      <c r="CD68" s="725">
        <f t="shared" ca="1" si="201"/>
        <v>11</v>
      </c>
      <c r="CE68" s="725">
        <f t="shared" ca="1" si="202"/>
        <v>10</v>
      </c>
      <c r="CF68" s="725">
        <f t="shared" ca="1" si="203"/>
        <v>11</v>
      </c>
      <c r="CG68" s="725"/>
      <c r="CH68" s="725"/>
      <c r="CI68" s="725"/>
      <c r="CJ68" s="725"/>
      <c r="CK68" s="725"/>
      <c r="CL68" s="725"/>
      <c r="CM68" s="725"/>
      <c r="CN68" s="725"/>
      <c r="CO68" s="725"/>
      <c r="CP68" s="725"/>
      <c r="CQ68" s="725"/>
      <c r="CR68" s="725"/>
      <c r="CS68" s="725"/>
      <c r="CT68" s="725"/>
      <c r="CU68" s="725"/>
      <c r="CV68" s="725"/>
      <c r="CW68" s="721"/>
      <c r="CX68" s="721"/>
      <c r="CY68" s="721"/>
      <c r="CZ68" s="721"/>
      <c r="DA68" s="721"/>
      <c r="DB68" s="721"/>
      <c r="DC68" s="721"/>
      <c r="DD68" s="721"/>
      <c r="DE68" s="721"/>
      <c r="DF68" s="721"/>
      <c r="DG68" s="721"/>
      <c r="DH68" s="721"/>
      <c r="DI68" s="721"/>
      <c r="DJ68" s="721">
        <f t="shared" ca="1" si="186"/>
        <v>1</v>
      </c>
      <c r="DK68" s="721"/>
      <c r="DL68" s="721">
        <f t="shared" ca="1" si="204"/>
        <v>1</v>
      </c>
      <c r="DM68" s="715" t="str">
        <f t="shared" ca="1" si="187"/>
        <v>1.1</v>
      </c>
      <c r="DN68" s="721" cm="1">
        <f t="array" aca="1" ref="DN68" ca="1">OFFSET(Horarios!$P$3,DJ68-1,0,DL68,1)</f>
        <v>1</v>
      </c>
      <c r="DO68" s="721"/>
      <c r="DP68" s="721">
        <v>11</v>
      </c>
      <c r="DQ68" s="721" t="str">
        <f t="shared" ca="1" si="205"/>
        <v>Uzbekistán</v>
      </c>
      <c r="DR68" s="721"/>
      <c r="DS68" s="721"/>
      <c r="DT68" s="721" t="str">
        <f t="shared" ca="1" si="15"/>
        <v>Francia-Senegal</v>
      </c>
      <c r="DU68" s="721"/>
      <c r="DV68" s="721"/>
      <c r="DW68" s="8"/>
    </row>
    <row r="69" spans="1:127" ht="15.95" customHeight="1">
      <c r="A69" s="722" t="str">
        <f ca="1">+Equipos!B34</f>
        <v>Francia</v>
      </c>
      <c r="B69" s="719"/>
      <c r="C69" s="719"/>
      <c r="D69" s="721" t="str">
        <f t="shared" si="225"/>
        <v>Pendiente</v>
      </c>
      <c r="E69" s="721" t="str">
        <f t="shared" si="226"/>
        <v>-</v>
      </c>
      <c r="F69" s="721" t="str">
        <f t="shared" si="227"/>
        <v>-</v>
      </c>
      <c r="G69" s="721"/>
      <c r="H69" s="721" t="str">
        <f t="shared" si="228"/>
        <v>-</v>
      </c>
      <c r="I69" s="721" t="str">
        <f t="shared" si="229"/>
        <v>-</v>
      </c>
      <c r="J69" s="721"/>
      <c r="K69" s="721" t="str">
        <f t="shared" si="230"/>
        <v>-</v>
      </c>
      <c r="L69" s="721" t="str">
        <f t="shared" si="231"/>
        <v>-</v>
      </c>
      <c r="M69" s="721"/>
      <c r="N69" s="721" t="str">
        <f t="shared" si="232"/>
        <v>-</v>
      </c>
      <c r="O69" s="721" t="str">
        <f t="shared" si="233"/>
        <v>-</v>
      </c>
      <c r="P69" s="721"/>
      <c r="Q69" s="721" t="str">
        <f t="shared" si="234"/>
        <v>-</v>
      </c>
      <c r="R69" s="721" t="str">
        <f t="shared" si="235"/>
        <v>-</v>
      </c>
      <c r="S69" s="721"/>
      <c r="T69" s="721" t="str">
        <f t="shared" si="236"/>
        <v>-</v>
      </c>
      <c r="U69" s="721" t="str">
        <f t="shared" si="237"/>
        <v>-</v>
      </c>
      <c r="V69" s="162"/>
      <c r="W69" s="845"/>
      <c r="X69" s="179">
        <f ca="1">Horarios!C69</f>
        <v>46190</v>
      </c>
      <c r="Y69" s="180">
        <f ca="1">Horarios!C69</f>
        <v>46190</v>
      </c>
      <c r="Z69" s="181" t="str">
        <f>$Z$4</f>
        <v>J1</v>
      </c>
      <c r="AA69" s="182" t="str">
        <f ca="1">A71</f>
        <v>Irak</v>
      </c>
      <c r="AB69" s="457" t="str" cm="1">
        <f t="array" aca="1" ref="AB69" ca="1">Ver_flag_local</f>
        <v/>
      </c>
      <c r="AC69" s="183"/>
      <c r="AD69" s="184"/>
      <c r="AE69" s="462" t="str" cm="1">
        <f t="array" aca="1" ref="AE69" ca="1">Ver_flag_visit</f>
        <v/>
      </c>
      <c r="AF69" s="185" t="str">
        <f ca="1">A72</f>
        <v>Noruega</v>
      </c>
      <c r="AG69" s="396">
        <f t="shared" si="238"/>
        <v>0</v>
      </c>
      <c r="AH69" s="186">
        <v>18</v>
      </c>
      <c r="AI69" s="15"/>
      <c r="AJ69" s="194" t="str">
        <f>AJ5</f>
        <v>Pos</v>
      </c>
      <c r="AK69" s="195"/>
      <c r="AL69" s="196" t="str">
        <f t="shared" ref="AL69:AT69" si="240">AL5</f>
        <v>Selección</v>
      </c>
      <c r="AM69" s="195" t="str">
        <f t="shared" si="240"/>
        <v>Pts</v>
      </c>
      <c r="AN69" s="195" t="str">
        <f t="shared" si="240"/>
        <v>J</v>
      </c>
      <c r="AO69" s="195" t="str">
        <f t="shared" si="240"/>
        <v>G</v>
      </c>
      <c r="AP69" s="195" t="str">
        <f t="shared" si="240"/>
        <v>E</v>
      </c>
      <c r="AQ69" s="195" t="str">
        <f t="shared" si="240"/>
        <v>P</v>
      </c>
      <c r="AR69" s="195" t="str">
        <f t="shared" si="240"/>
        <v>GF</v>
      </c>
      <c r="AS69" s="195" t="str">
        <f t="shared" si="240"/>
        <v>GC</v>
      </c>
      <c r="AT69" s="197" t="str">
        <f t="shared" si="240"/>
        <v>DG</v>
      </c>
      <c r="AU69" s="404">
        <f t="shared" ref="AU69" ca="1" si="241">COUNTIF(AU70:AU73,"&gt;1")</f>
        <v>0</v>
      </c>
      <c r="AV69" s="198"/>
      <c r="AW69" s="198"/>
      <c r="AX69" s="245"/>
      <c r="AY69" s="199" t="str">
        <f>AL69</f>
        <v>Selección</v>
      </c>
      <c r="AZ69" s="200" t="str">
        <f>+Idiomas!$D$69</f>
        <v>Puntos penalizados</v>
      </c>
      <c r="BA69" s="165"/>
      <c r="BB69" s="736" t="str">
        <f t="shared" si="188"/>
        <v>3L</v>
      </c>
      <c r="BC69" s="733" t="s">
        <v>238</v>
      </c>
      <c r="BD69" s="721" t="str">
        <f t="shared" ca="1" si="175"/>
        <v>Ghana</v>
      </c>
      <c r="BE69" s="725">
        <f t="shared" ca="1" si="189"/>
        <v>0</v>
      </c>
      <c r="BF69" s="725">
        <f t="shared" ca="1" si="190"/>
        <v>0</v>
      </c>
      <c r="BG69" s="725">
        <f t="shared" ca="1" si="191"/>
        <v>0</v>
      </c>
      <c r="BH69" s="725">
        <f t="shared" ca="1" si="192"/>
        <v>0</v>
      </c>
      <c r="BI69" s="725">
        <f t="shared" ca="1" si="176"/>
        <v>0</v>
      </c>
      <c r="BJ69" s="725">
        <f t="shared" ca="1" si="177"/>
        <v>0</v>
      </c>
      <c r="BK69" s="725">
        <f t="shared" ca="1" si="178"/>
        <v>0</v>
      </c>
      <c r="BL69" s="725">
        <f t="shared" ca="1" si="193"/>
        <v>0</v>
      </c>
      <c r="BM69" s="725">
        <f t="shared" ca="1" si="194"/>
        <v>6</v>
      </c>
      <c r="BN69" s="725">
        <f t="shared" ca="1" si="195"/>
        <v>7</v>
      </c>
      <c r="BO69" s="715" t="str">
        <f t="shared" si="196"/>
        <v>4L</v>
      </c>
      <c r="BP69" s="715"/>
      <c r="BQ69" s="715"/>
      <c r="BR69" s="725">
        <f t="shared" ca="1" si="179"/>
        <v>0</v>
      </c>
      <c r="BS69" s="725">
        <f t="shared" ca="1" si="197"/>
        <v>1</v>
      </c>
      <c r="BT69" s="725" t="str">
        <f t="shared" ca="1" si="198"/>
        <v>Pos. 1 (12)</v>
      </c>
      <c r="BU69" s="725">
        <f t="shared" ca="1" si="180"/>
        <v>0</v>
      </c>
      <c r="BV69" s="725">
        <f t="shared" ca="1" si="181"/>
        <v>1</v>
      </c>
      <c r="BW69" s="725" t="str">
        <f t="shared" ca="1" si="182"/>
        <v>Pos. 1 (11)</v>
      </c>
      <c r="BX69" s="725">
        <f t="shared" ca="1" si="183"/>
        <v>0</v>
      </c>
      <c r="BY69" s="725">
        <f t="shared" ca="1" si="184"/>
        <v>1</v>
      </c>
      <c r="BZ69" s="725" t="str">
        <f t="shared" ca="1" si="185"/>
        <v>Pos. 1 (11)</v>
      </c>
      <c r="CA69" s="725">
        <f t="shared" ca="1" si="199"/>
        <v>6</v>
      </c>
      <c r="CB69" s="725">
        <f ca="1">BY69+COUNTIFS(BZ$58:BZ$69,BZ69,CA$58:CA$69,"&gt;"&amp;CA69)</f>
        <v>6</v>
      </c>
      <c r="CC69" s="725"/>
      <c r="CD69" s="725">
        <f t="shared" ca="1" si="201"/>
        <v>7.0060000000000002</v>
      </c>
      <c r="CE69" s="725">
        <f t="shared" ca="1" si="202"/>
        <v>6</v>
      </c>
      <c r="CF69" s="725">
        <f t="shared" ca="1" si="203"/>
        <v>7</v>
      </c>
      <c r="CG69" s="725"/>
      <c r="CH69" s="725"/>
      <c r="CI69" s="725"/>
      <c r="CJ69" s="725"/>
      <c r="CK69" s="725"/>
      <c r="CL69" s="725"/>
      <c r="CM69" s="725"/>
      <c r="CN69" s="725"/>
      <c r="CO69" s="725"/>
      <c r="CP69" s="725"/>
      <c r="CQ69" s="725"/>
      <c r="CR69" s="725"/>
      <c r="CS69" s="725"/>
      <c r="CT69" s="725"/>
      <c r="CU69" s="725"/>
      <c r="CV69" s="725"/>
      <c r="CW69" s="721"/>
      <c r="CX69" s="721"/>
      <c r="CY69" s="721"/>
      <c r="CZ69" s="721"/>
      <c r="DA69" s="721"/>
      <c r="DB69" s="721"/>
      <c r="DC69" s="721"/>
      <c r="DD69" s="721"/>
      <c r="DE69" s="721"/>
      <c r="DF69" s="721"/>
      <c r="DG69" s="721"/>
      <c r="DH69" s="721"/>
      <c r="DI69" s="721"/>
      <c r="DJ69" s="721">
        <f t="shared" ca="1" si="186"/>
        <v>12</v>
      </c>
      <c r="DK69" s="721"/>
      <c r="DL69" s="721">
        <f t="shared" ca="1" si="204"/>
        <v>1</v>
      </c>
      <c r="DM69" s="715" t="str">
        <f t="shared" ca="1" si="187"/>
        <v>12.1</v>
      </c>
      <c r="DN69" s="721" cm="1">
        <f t="array" aca="1" ref="DN69" ca="1">OFFSET(Horarios!$P$3,DJ69-1,0,DL69,1)</f>
        <v>12</v>
      </c>
      <c r="DO69" s="721"/>
      <c r="DP69" s="721">
        <v>12</v>
      </c>
      <c r="DQ69" s="721" t="str">
        <f t="shared" ca="1" si="205"/>
        <v>República Checa</v>
      </c>
      <c r="DR69" s="721"/>
      <c r="DS69" s="721"/>
      <c r="DT69" s="721" t="str">
        <f t="shared" ref="DT69:DT132" ca="1" si="242">AA69&amp;"-"&amp;AF69</f>
        <v>Irak-Noruega</v>
      </c>
      <c r="DU69" s="721"/>
      <c r="DV69" s="721"/>
      <c r="DW69" s="8"/>
    </row>
    <row r="70" spans="1:127" ht="15.95" customHeight="1">
      <c r="A70" s="722" t="str">
        <f ca="1">+Equipos!B35</f>
        <v>Senegal</v>
      </c>
      <c r="B70" s="719"/>
      <c r="C70" s="723"/>
      <c r="D70" s="721" t="str">
        <f t="shared" si="225"/>
        <v>Pendiente</v>
      </c>
      <c r="E70" s="721" t="str">
        <f t="shared" si="226"/>
        <v>-</v>
      </c>
      <c r="F70" s="721" t="str">
        <f t="shared" si="227"/>
        <v>-</v>
      </c>
      <c r="G70" s="721"/>
      <c r="H70" s="721" t="str">
        <f t="shared" si="228"/>
        <v>-</v>
      </c>
      <c r="I70" s="721" t="str">
        <f t="shared" si="229"/>
        <v>-</v>
      </c>
      <c r="J70" s="721"/>
      <c r="K70" s="721" t="str">
        <f t="shared" si="230"/>
        <v>-</v>
      </c>
      <c r="L70" s="721" t="str">
        <f t="shared" si="231"/>
        <v>-</v>
      </c>
      <c r="M70" s="721"/>
      <c r="N70" s="721" t="str">
        <f t="shared" si="232"/>
        <v>-</v>
      </c>
      <c r="O70" s="721" t="str">
        <f t="shared" si="233"/>
        <v>-</v>
      </c>
      <c r="P70" s="721"/>
      <c r="Q70" s="721" t="str">
        <f t="shared" si="234"/>
        <v>-</v>
      </c>
      <c r="R70" s="721" t="str">
        <f t="shared" si="235"/>
        <v>-</v>
      </c>
      <c r="S70" s="721"/>
      <c r="T70" s="721" t="str">
        <f t="shared" si="236"/>
        <v>-</v>
      </c>
      <c r="U70" s="721" t="str">
        <f t="shared" si="237"/>
        <v>-</v>
      </c>
      <c r="V70" s="162"/>
      <c r="W70" s="845"/>
      <c r="X70" s="179">
        <f ca="1">Horarios!C70</f>
        <v>46195.958333333336</v>
      </c>
      <c r="Y70" s="180">
        <f ca="1">Horarios!C70</f>
        <v>46195.958333333336</v>
      </c>
      <c r="Z70" s="181" t="str">
        <f>$Z$6</f>
        <v>J2</v>
      </c>
      <c r="AA70" s="182" t="str">
        <f ca="1">A69</f>
        <v>Francia</v>
      </c>
      <c r="AB70" s="457" t="str" cm="1">
        <f t="array" aca="1" ref="AB70" ca="1">Ver_flag_local</f>
        <v/>
      </c>
      <c r="AC70" s="183"/>
      <c r="AD70" s="184"/>
      <c r="AE70" s="462" t="str" cm="1">
        <f t="array" aca="1" ref="AE70" ca="1">Ver_flag_visit</f>
        <v/>
      </c>
      <c r="AF70" s="185" t="str">
        <f ca="1">A71</f>
        <v>Irak</v>
      </c>
      <c r="AG70" s="396">
        <f t="shared" si="238"/>
        <v>0</v>
      </c>
      <c r="AH70" s="186">
        <v>42</v>
      </c>
      <c r="AI70" s="15" t="str">
        <f>AJ70&amp;$B$68</f>
        <v>1I</v>
      </c>
      <c r="AJ70" s="201">
        <v>1</v>
      </c>
      <c r="AK70" s="467" t="str" cm="1">
        <f t="array" aca="1" ref="AK70" ca="1">Ver_flag_visit</f>
        <v/>
      </c>
      <c r="AL70" s="202" t="str">
        <f ca="1">IFERROR(INDEX($BD$6:$BD$53,MATCH(AI70,$BN$6:$BN$53,0)),"")</f>
        <v>Francia</v>
      </c>
      <c r="AM70" s="203">
        <f t="shared" ref="AM70:AT73" ca="1" si="243">INDEX($BE$6:$BN$53,MATCH($AL70,$BD$6:$BD$53,0),MATCH(AM$5,$BE$5:$BN$5,0))</f>
        <v>0</v>
      </c>
      <c r="AN70" s="204">
        <f t="shared" ca="1" si="243"/>
        <v>0</v>
      </c>
      <c r="AO70" s="204">
        <f t="shared" ca="1" si="243"/>
        <v>0</v>
      </c>
      <c r="AP70" s="204">
        <f t="shared" ca="1" si="243"/>
        <v>0</v>
      </c>
      <c r="AQ70" s="204">
        <f t="shared" ca="1" si="243"/>
        <v>0</v>
      </c>
      <c r="AR70" s="204">
        <f t="shared" ca="1" si="243"/>
        <v>0</v>
      </c>
      <c r="AS70" s="204">
        <f t="shared" ca="1" si="243"/>
        <v>0</v>
      </c>
      <c r="AT70" s="205">
        <f t="shared" ca="1" si="243"/>
        <v>0</v>
      </c>
      <c r="AU70" s="403">
        <f ca="1">INDEX($DL$6:$DL$53,MATCH(AI70,$DP$6:$DP$53,0))</f>
        <v>1</v>
      </c>
      <c r="AV70" s="207" t="str">
        <f ca="1">INDEX($BD$6:$BD$53,MATCH(AI70,$BM$6:$BM$53,0))</f>
        <v>Francia</v>
      </c>
      <c r="AW70" s="410"/>
      <c r="AX70" s="208"/>
      <c r="AY70" s="209" t="str">
        <f ca="1">+A69</f>
        <v>Francia</v>
      </c>
      <c r="AZ70" s="210"/>
      <c r="BA70" s="165"/>
      <c r="BB70" s="721"/>
      <c r="BC70" s="721"/>
      <c r="BD70" s="721"/>
      <c r="BE70" s="721"/>
      <c r="BF70" s="721"/>
      <c r="BG70" s="721"/>
      <c r="BH70" s="721"/>
      <c r="BI70" s="721"/>
      <c r="BJ70" s="721"/>
      <c r="BK70" s="721"/>
      <c r="BL70" s="721"/>
      <c r="BM70" s="721"/>
      <c r="BN70" s="726"/>
      <c r="BO70" s="726"/>
      <c r="BP70" s="726"/>
      <c r="BQ70" s="726"/>
      <c r="BR70" s="721"/>
      <c r="BS70" s="721"/>
      <c r="BT70" s="726"/>
      <c r="BU70" s="726"/>
      <c r="BV70" s="726"/>
      <c r="BW70" s="726"/>
      <c r="BX70" s="726"/>
      <c r="BY70" s="726"/>
      <c r="BZ70" s="726"/>
      <c r="CA70" s="726"/>
      <c r="CB70" s="726"/>
      <c r="CC70" s="726"/>
      <c r="CD70" s="726"/>
      <c r="CE70" s="726"/>
      <c r="CF70" s="726"/>
      <c r="CG70" s="726"/>
      <c r="CH70" s="726"/>
      <c r="CI70" s="726"/>
      <c r="CJ70" s="726"/>
      <c r="CK70" s="726"/>
      <c r="CL70" s="726"/>
      <c r="CM70" s="726"/>
      <c r="CN70" s="726"/>
      <c r="CO70" s="726"/>
      <c r="CP70" s="726"/>
      <c r="CQ70" s="726"/>
      <c r="CR70" s="726"/>
      <c r="CS70" s="726"/>
      <c r="CT70" s="726"/>
      <c r="CU70" s="726"/>
      <c r="CV70" s="726"/>
      <c r="CW70" s="721"/>
      <c r="CX70" s="726"/>
      <c r="CY70" s="721"/>
      <c r="CZ70" s="721"/>
      <c r="DA70" s="721"/>
      <c r="DB70" s="721"/>
      <c r="DC70" s="721"/>
      <c r="DD70" s="721"/>
      <c r="DE70" s="721"/>
      <c r="DF70" s="721"/>
      <c r="DG70" s="721"/>
      <c r="DH70" s="721"/>
      <c r="DI70" s="721"/>
      <c r="DJ70" s="721"/>
      <c r="DK70" s="721"/>
      <c r="DL70" s="721"/>
      <c r="DM70" s="721"/>
      <c r="DN70" s="721"/>
      <c r="DO70" s="721"/>
      <c r="DP70" s="721"/>
      <c r="DQ70" s="721"/>
      <c r="DR70" s="721"/>
      <c r="DS70" s="721"/>
      <c r="DT70" s="721" t="str">
        <f t="shared" ca="1" si="242"/>
        <v>Francia-Irak</v>
      </c>
      <c r="DU70" s="721"/>
      <c r="DV70" s="721"/>
      <c r="DW70" s="8"/>
    </row>
    <row r="71" spans="1:127" ht="15.95" customHeight="1">
      <c r="A71" s="722" t="str">
        <f ca="1">+Equipos!B36</f>
        <v>Irak</v>
      </c>
      <c r="B71" s="719"/>
      <c r="C71" s="721"/>
      <c r="D71" s="721" t="str">
        <f t="shared" si="225"/>
        <v>Pendiente</v>
      </c>
      <c r="E71" s="721" t="str">
        <f t="shared" si="226"/>
        <v>-</v>
      </c>
      <c r="F71" s="721" t="str">
        <f t="shared" si="227"/>
        <v>-</v>
      </c>
      <c r="G71" s="721"/>
      <c r="H71" s="721" t="str">
        <f t="shared" si="228"/>
        <v>-</v>
      </c>
      <c r="I71" s="721" t="str">
        <f t="shared" si="229"/>
        <v>-</v>
      </c>
      <c r="J71" s="721"/>
      <c r="K71" s="721" t="str">
        <f t="shared" si="230"/>
        <v>-</v>
      </c>
      <c r="L71" s="721" t="str">
        <f t="shared" si="231"/>
        <v>-</v>
      </c>
      <c r="M71" s="721"/>
      <c r="N71" s="721" t="str">
        <f t="shared" si="232"/>
        <v>-</v>
      </c>
      <c r="O71" s="721" t="str">
        <f t="shared" si="233"/>
        <v>-</v>
      </c>
      <c r="P71" s="721"/>
      <c r="Q71" s="721" t="str">
        <f t="shared" si="234"/>
        <v>-</v>
      </c>
      <c r="R71" s="721" t="str">
        <f t="shared" si="235"/>
        <v>-</v>
      </c>
      <c r="S71" s="721"/>
      <c r="T71" s="721" t="str">
        <f t="shared" si="236"/>
        <v>-</v>
      </c>
      <c r="U71" s="721" t="str">
        <f t="shared" si="237"/>
        <v>-</v>
      </c>
      <c r="V71" s="162"/>
      <c r="W71" s="845"/>
      <c r="X71" s="179">
        <f ca="1">Horarios!C71</f>
        <v>46196.083333333336</v>
      </c>
      <c r="Y71" s="180">
        <f ca="1">Horarios!C71</f>
        <v>46196.083333333336</v>
      </c>
      <c r="Z71" s="181" t="str">
        <f>$Z$6</f>
        <v>J2</v>
      </c>
      <c r="AA71" s="182" t="str">
        <f ca="1">A72</f>
        <v>Noruega</v>
      </c>
      <c r="AB71" s="457" t="str" cm="1">
        <f t="array" aca="1" ref="AB71" ca="1">Ver_flag_local</f>
        <v/>
      </c>
      <c r="AC71" s="183"/>
      <c r="AD71" s="184"/>
      <c r="AE71" s="462" t="str" cm="1">
        <f t="array" aca="1" ref="AE71" ca="1">Ver_flag_visit</f>
        <v/>
      </c>
      <c r="AF71" s="185" t="str">
        <f ca="1">A70</f>
        <v>Senegal</v>
      </c>
      <c r="AG71" s="396">
        <f t="shared" si="238"/>
        <v>0</v>
      </c>
      <c r="AH71" s="186">
        <v>41</v>
      </c>
      <c r="AI71" s="15" t="str">
        <f t="shared" ref="AI71:AI73" si="244">AJ71&amp;$B$68</f>
        <v>2I</v>
      </c>
      <c r="AJ71" s="211">
        <v>2</v>
      </c>
      <c r="AK71" s="465" t="str" cm="1">
        <f t="array" aca="1" ref="AK71" ca="1">Ver_flag_visit</f>
        <v/>
      </c>
      <c r="AL71" s="212" t="str">
        <f ca="1">IFERROR(INDEX($BD$6:$BD$53,MATCH(AI71,$BN$6:$BN$53,0)),"")</f>
        <v>Senegal</v>
      </c>
      <c r="AM71" s="213">
        <f t="shared" ca="1" si="243"/>
        <v>0</v>
      </c>
      <c r="AN71" s="214">
        <f t="shared" ca="1" si="243"/>
        <v>0</v>
      </c>
      <c r="AO71" s="214">
        <f t="shared" ca="1" si="243"/>
        <v>0</v>
      </c>
      <c r="AP71" s="214">
        <f t="shared" ca="1" si="243"/>
        <v>0</v>
      </c>
      <c r="AQ71" s="214">
        <f t="shared" ca="1" si="243"/>
        <v>0</v>
      </c>
      <c r="AR71" s="214">
        <f t="shared" ca="1" si="243"/>
        <v>0</v>
      </c>
      <c r="AS71" s="214">
        <f t="shared" ca="1" si="243"/>
        <v>0</v>
      </c>
      <c r="AT71" s="215">
        <f t="shared" ca="1" si="243"/>
        <v>0</v>
      </c>
      <c r="AU71" s="403">
        <f ca="1">INDEX($DL$6:$DL$53,MATCH(AI71,$DP$6:$DP$53,0))</f>
        <v>1</v>
      </c>
      <c r="AV71" s="207" t="str">
        <f ca="1">INDEX($BD$6:$BD$53,MATCH(AI71,$BM$6:$BM$53,0))</f>
        <v>Senegal</v>
      </c>
      <c r="AW71" s="410"/>
      <c r="AX71" s="208"/>
      <c r="AY71" s="216" t="str">
        <f ca="1">+A70</f>
        <v>Senegal</v>
      </c>
      <c r="AZ71" s="217"/>
      <c r="BA71" s="165"/>
      <c r="BB71" s="721"/>
      <c r="BC71" s="721"/>
      <c r="BD71" s="721"/>
      <c r="BE71" s="721"/>
      <c r="BF71" s="721"/>
      <c r="BG71" s="721"/>
      <c r="BH71" s="721"/>
      <c r="BI71" s="721"/>
      <c r="BJ71" s="721"/>
      <c r="BK71" s="721"/>
      <c r="BL71" s="721"/>
      <c r="BM71" s="721"/>
      <c r="BN71" s="726"/>
      <c r="BO71" s="726"/>
      <c r="BP71" s="726"/>
      <c r="BQ71" s="726"/>
      <c r="BR71" s="721"/>
      <c r="BS71" s="721"/>
      <c r="BT71" s="726"/>
      <c r="BU71" s="726"/>
      <c r="BV71" s="726"/>
      <c r="BW71" s="726"/>
      <c r="BX71" s="726"/>
      <c r="BY71" s="726"/>
      <c r="BZ71" s="726"/>
      <c r="CA71" s="726"/>
      <c r="CB71" s="726"/>
      <c r="CC71" s="726"/>
      <c r="CD71" s="726"/>
      <c r="CE71" s="726"/>
      <c r="CF71" s="726"/>
      <c r="CG71" s="726"/>
      <c r="CH71" s="726"/>
      <c r="CI71" s="726"/>
      <c r="CJ71" s="726"/>
      <c r="CK71" s="726"/>
      <c r="CL71" s="726"/>
      <c r="CM71" s="726"/>
      <c r="CN71" s="726"/>
      <c r="CO71" s="726"/>
      <c r="CP71" s="726"/>
      <c r="CQ71" s="726"/>
      <c r="CR71" s="726"/>
      <c r="CS71" s="726"/>
      <c r="CT71" s="726"/>
      <c r="CU71" s="726"/>
      <c r="CV71" s="726"/>
      <c r="CW71" s="721"/>
      <c r="CX71" s="726"/>
      <c r="CY71" s="721"/>
      <c r="CZ71" s="721"/>
      <c r="DA71" s="721"/>
      <c r="DB71" s="721"/>
      <c r="DC71" s="721"/>
      <c r="DD71" s="721"/>
      <c r="DE71" s="721"/>
      <c r="DF71" s="721"/>
      <c r="DG71" s="721"/>
      <c r="DH71" s="721"/>
      <c r="DI71" s="721"/>
      <c r="DJ71" s="721"/>
      <c r="DK71" s="721"/>
      <c r="DL71" s="721"/>
      <c r="DM71" s="721"/>
      <c r="DN71" s="721"/>
      <c r="DO71" s="721"/>
      <c r="DP71" s="721"/>
      <c r="DQ71" s="721"/>
      <c r="DR71" s="721"/>
      <c r="DS71" s="721"/>
      <c r="DT71" s="721" t="str">
        <f t="shared" ca="1" si="242"/>
        <v>Noruega-Senegal</v>
      </c>
      <c r="DU71" s="721"/>
      <c r="DV71" s="721"/>
      <c r="DW71" s="8"/>
    </row>
    <row r="72" spans="1:127" ht="15.95" customHeight="1">
      <c r="A72" s="722" t="str">
        <f ca="1">+Equipos!B37</f>
        <v>Noruega</v>
      </c>
      <c r="B72" s="719"/>
      <c r="C72" s="721"/>
      <c r="D72" s="721" t="str">
        <f t="shared" si="225"/>
        <v>Pendiente</v>
      </c>
      <c r="E72" s="721" t="str">
        <f t="shared" si="226"/>
        <v>-</v>
      </c>
      <c r="F72" s="721" t="str">
        <f t="shared" si="227"/>
        <v>-</v>
      </c>
      <c r="G72" s="721"/>
      <c r="H72" s="721" t="str">
        <f t="shared" si="228"/>
        <v>-</v>
      </c>
      <c r="I72" s="721" t="str">
        <f t="shared" si="229"/>
        <v>-</v>
      </c>
      <c r="J72" s="721"/>
      <c r="K72" s="721" t="str">
        <f t="shared" si="230"/>
        <v>-</v>
      </c>
      <c r="L72" s="721" t="str">
        <f t="shared" si="231"/>
        <v>-</v>
      </c>
      <c r="M72" s="721"/>
      <c r="N72" s="721" t="str">
        <f t="shared" si="232"/>
        <v>-</v>
      </c>
      <c r="O72" s="721" t="str">
        <f t="shared" si="233"/>
        <v>-</v>
      </c>
      <c r="P72" s="721"/>
      <c r="Q72" s="721" t="str">
        <f t="shared" si="234"/>
        <v>-</v>
      </c>
      <c r="R72" s="721" t="str">
        <f t="shared" si="235"/>
        <v>-</v>
      </c>
      <c r="S72" s="721"/>
      <c r="T72" s="721" t="str">
        <f t="shared" si="236"/>
        <v>-</v>
      </c>
      <c r="U72" s="721" t="str">
        <f t="shared" si="237"/>
        <v>-</v>
      </c>
      <c r="V72" s="162"/>
      <c r="W72" s="845"/>
      <c r="X72" s="179">
        <f ca="1">Horarios!C72</f>
        <v>46199.875</v>
      </c>
      <c r="Y72" s="180">
        <f ca="1">Horarios!C72</f>
        <v>46199.875</v>
      </c>
      <c r="Z72" s="181" t="str">
        <f>$Z$8</f>
        <v>J3</v>
      </c>
      <c r="AA72" s="182" t="str">
        <f ca="1">A72</f>
        <v>Noruega</v>
      </c>
      <c r="AB72" s="457" t="str" cm="1">
        <f t="array" aca="1" ref="AB72" ca="1">Ver_flag_local</f>
        <v/>
      </c>
      <c r="AC72" s="183"/>
      <c r="AD72" s="184"/>
      <c r="AE72" s="462" t="str" cm="1">
        <f t="array" aca="1" ref="AE72" ca="1">Ver_flag_visit</f>
        <v/>
      </c>
      <c r="AF72" s="185" t="str">
        <f ca="1">A69</f>
        <v>Francia</v>
      </c>
      <c r="AG72" s="396">
        <f t="shared" si="238"/>
        <v>0</v>
      </c>
      <c r="AH72" s="186">
        <v>61</v>
      </c>
      <c r="AI72" s="15" t="str">
        <f t="shared" si="244"/>
        <v>3I</v>
      </c>
      <c r="AJ72" s="211">
        <v>3</v>
      </c>
      <c r="AK72" s="465" t="str" cm="1">
        <f t="array" aca="1" ref="AK72" ca="1">Ver_flag_visit</f>
        <v/>
      </c>
      <c r="AL72" s="212" t="str">
        <f ca="1">IFERROR(INDEX($BD$6:$BD$53,MATCH(AI72,$BN$6:$BN$53,0)),"")</f>
        <v>Irak</v>
      </c>
      <c r="AM72" s="213">
        <f t="shared" ca="1" si="243"/>
        <v>0</v>
      </c>
      <c r="AN72" s="214">
        <f t="shared" ca="1" si="243"/>
        <v>0</v>
      </c>
      <c r="AO72" s="214">
        <f t="shared" ca="1" si="243"/>
        <v>0</v>
      </c>
      <c r="AP72" s="214">
        <f t="shared" ca="1" si="243"/>
        <v>0</v>
      </c>
      <c r="AQ72" s="214">
        <f t="shared" ca="1" si="243"/>
        <v>0</v>
      </c>
      <c r="AR72" s="214">
        <f t="shared" ca="1" si="243"/>
        <v>0</v>
      </c>
      <c r="AS72" s="214">
        <f t="shared" ca="1" si="243"/>
        <v>0</v>
      </c>
      <c r="AT72" s="215">
        <f t="shared" ca="1" si="243"/>
        <v>0</v>
      </c>
      <c r="AU72" s="403">
        <f ca="1">INDEX($DL$6:$DL$53,MATCH(AI72,$DP$6:$DP$53,0))</f>
        <v>1</v>
      </c>
      <c r="AV72" s="207" t="str">
        <f ca="1">INDEX($BD$6:$BD$53,MATCH(AI72,$BM$6:$BM$53,0))</f>
        <v>Irak</v>
      </c>
      <c r="AW72" s="410"/>
      <c r="AX72" s="208"/>
      <c r="AY72" s="209" t="str">
        <f ca="1">+A71</f>
        <v>Irak</v>
      </c>
      <c r="AZ72" s="210"/>
      <c r="BA72" s="165"/>
      <c r="BB72" s="721"/>
      <c r="BC72" s="721"/>
      <c r="BD72" s="721"/>
      <c r="BE72" s="721"/>
      <c r="BF72" s="721"/>
      <c r="BG72" s="721"/>
      <c r="BH72" s="721"/>
      <c r="BI72" s="721"/>
      <c r="BJ72" s="721"/>
      <c r="BK72" s="721"/>
      <c r="BL72" s="721"/>
      <c r="BM72" s="721"/>
      <c r="BN72" s="726"/>
      <c r="BO72" s="726"/>
      <c r="BP72" s="726"/>
      <c r="BQ72" s="726"/>
      <c r="BR72" s="721"/>
      <c r="BS72" s="721"/>
      <c r="BT72" s="726"/>
      <c r="BU72" s="726"/>
      <c r="BV72" s="726"/>
      <c r="BW72" s="726"/>
      <c r="BX72" s="726"/>
      <c r="BY72" s="726"/>
      <c r="BZ72" s="726"/>
      <c r="CA72" s="726"/>
      <c r="CB72" s="726"/>
      <c r="CC72" s="726"/>
      <c r="CD72" s="726"/>
      <c r="CE72" s="726"/>
      <c r="CF72" s="726"/>
      <c r="CG72" s="726"/>
      <c r="CH72" s="726"/>
      <c r="CI72" s="726"/>
      <c r="CJ72" s="726"/>
      <c r="CK72" s="726"/>
      <c r="CL72" s="726"/>
      <c r="CM72" s="726"/>
      <c r="CN72" s="726"/>
      <c r="CO72" s="726"/>
      <c r="CP72" s="726"/>
      <c r="CQ72" s="726"/>
      <c r="CR72" s="726"/>
      <c r="CS72" s="726"/>
      <c r="CT72" s="726"/>
      <c r="CU72" s="726"/>
      <c r="CV72" s="726"/>
      <c r="CW72" s="721"/>
      <c r="CX72" s="726"/>
      <c r="CY72" s="721"/>
      <c r="CZ72" s="721"/>
      <c r="DA72" s="721"/>
      <c r="DB72" s="721"/>
      <c r="DC72" s="721"/>
      <c r="DD72" s="721"/>
      <c r="DE72" s="721"/>
      <c r="DF72" s="721"/>
      <c r="DG72" s="721"/>
      <c r="DH72" s="721"/>
      <c r="DI72" s="721"/>
      <c r="DJ72" s="721"/>
      <c r="DK72" s="721"/>
      <c r="DL72" s="721"/>
      <c r="DM72" s="721"/>
      <c r="DN72" s="721"/>
      <c r="DO72" s="721"/>
      <c r="DP72" s="721"/>
      <c r="DQ72" s="721"/>
      <c r="DR72" s="721"/>
      <c r="DS72" s="721"/>
      <c r="DT72" s="721" t="str">
        <f t="shared" ca="1" si="242"/>
        <v>Noruega-Francia</v>
      </c>
      <c r="DU72" s="721"/>
      <c r="DV72" s="721"/>
      <c r="DW72" s="8"/>
    </row>
    <row r="73" spans="1:127" ht="17.100000000000001" customHeight="1" thickBot="1">
      <c r="A73" s="716"/>
      <c r="B73" s="716"/>
      <c r="C73" s="716"/>
      <c r="D73" s="721" t="str">
        <f t="shared" si="225"/>
        <v>Pendiente</v>
      </c>
      <c r="E73" s="721" t="str">
        <f t="shared" si="226"/>
        <v>-</v>
      </c>
      <c r="F73" s="721" t="str">
        <f t="shared" si="227"/>
        <v>-</v>
      </c>
      <c r="G73" s="721"/>
      <c r="H73" s="721" t="str">
        <f t="shared" si="228"/>
        <v>-</v>
      </c>
      <c r="I73" s="721" t="str">
        <f t="shared" si="229"/>
        <v>-</v>
      </c>
      <c r="J73" s="721"/>
      <c r="K73" s="721" t="str">
        <f t="shared" si="230"/>
        <v>-</v>
      </c>
      <c r="L73" s="721" t="str">
        <f t="shared" si="231"/>
        <v>-</v>
      </c>
      <c r="M73" s="721"/>
      <c r="N73" s="721" t="str">
        <f t="shared" si="232"/>
        <v>-</v>
      </c>
      <c r="O73" s="721" t="str">
        <f t="shared" si="233"/>
        <v>-</v>
      </c>
      <c r="P73" s="721"/>
      <c r="Q73" s="721" t="str">
        <f t="shared" si="234"/>
        <v>-</v>
      </c>
      <c r="R73" s="721" t="str">
        <f t="shared" si="235"/>
        <v>-</v>
      </c>
      <c r="S73" s="721"/>
      <c r="T73" s="721" t="str">
        <f t="shared" si="236"/>
        <v>-</v>
      </c>
      <c r="U73" s="721" t="str">
        <f t="shared" si="237"/>
        <v>-</v>
      </c>
      <c r="V73" s="162"/>
      <c r="W73" s="846"/>
      <c r="X73" s="218">
        <f ca="1">Horarios!C73</f>
        <v>46199.875</v>
      </c>
      <c r="Y73" s="219">
        <f ca="1">Horarios!C73</f>
        <v>46199.875</v>
      </c>
      <c r="Z73" s="220" t="str">
        <f>$Z$8</f>
        <v>J3</v>
      </c>
      <c r="AA73" s="221" t="str">
        <f ca="1">A70</f>
        <v>Senegal</v>
      </c>
      <c r="AB73" s="458" t="str" cm="1">
        <f t="array" aca="1" ref="AB73" ca="1">Ver_flag_local</f>
        <v/>
      </c>
      <c r="AC73" s="222"/>
      <c r="AD73" s="223"/>
      <c r="AE73" s="463" t="str" cm="1">
        <f t="array" aca="1" ref="AE73" ca="1">Ver_flag_visit</f>
        <v/>
      </c>
      <c r="AF73" s="224" t="str">
        <f ca="1">A71</f>
        <v>Irak</v>
      </c>
      <c r="AG73" s="396">
        <f t="shared" si="238"/>
        <v>0</v>
      </c>
      <c r="AH73" s="186">
        <v>62</v>
      </c>
      <c r="AI73" s="15" t="str">
        <f t="shared" si="244"/>
        <v>4I</v>
      </c>
      <c r="AJ73" s="225">
        <v>4</v>
      </c>
      <c r="AK73" s="466" t="str" cm="1">
        <f t="array" aca="1" ref="AK73" ca="1">Ver_flag_visit</f>
        <v/>
      </c>
      <c r="AL73" s="226" t="str">
        <f ca="1">IFERROR(INDEX($BD$6:$BD$53,MATCH(AI73,$BN$6:$BN$53,0)),"")</f>
        <v>Noruega</v>
      </c>
      <c r="AM73" s="227">
        <f t="shared" ca="1" si="243"/>
        <v>0</v>
      </c>
      <c r="AN73" s="228">
        <f t="shared" ca="1" si="243"/>
        <v>0</v>
      </c>
      <c r="AO73" s="228">
        <f t="shared" ca="1" si="243"/>
        <v>0</v>
      </c>
      <c r="AP73" s="228">
        <f t="shared" ca="1" si="243"/>
        <v>0</v>
      </c>
      <c r="AQ73" s="228">
        <f t="shared" ca="1" si="243"/>
        <v>0</v>
      </c>
      <c r="AR73" s="228">
        <f t="shared" ca="1" si="243"/>
        <v>0</v>
      </c>
      <c r="AS73" s="228">
        <f t="shared" ca="1" si="243"/>
        <v>0</v>
      </c>
      <c r="AT73" s="229">
        <f t="shared" ca="1" si="243"/>
        <v>0</v>
      </c>
      <c r="AU73" s="403">
        <f ca="1">INDEX($DL$6:$DL$53,MATCH(AI73,$DP$6:$DP$53,0))</f>
        <v>1</v>
      </c>
      <c r="AV73" s="207" t="str">
        <f ca="1">INDEX($BD$6:$BD$53,MATCH(AI73,$BM$6:$BM$53,0))</f>
        <v>Noruega</v>
      </c>
      <c r="AW73" s="410"/>
      <c r="AX73" s="208"/>
      <c r="AY73" s="230" t="str">
        <f ca="1">+A72</f>
        <v>Noruega</v>
      </c>
      <c r="AZ73" s="231"/>
      <c r="BA73" s="165"/>
      <c r="BB73" s="721"/>
      <c r="BC73" s="721"/>
      <c r="BD73" s="721"/>
      <c r="BE73" s="721"/>
      <c r="BF73" s="721"/>
      <c r="BG73" s="721"/>
      <c r="BH73" s="721"/>
      <c r="BI73" s="721"/>
      <c r="BJ73" s="721"/>
      <c r="BK73" s="721"/>
      <c r="BL73" s="721"/>
      <c r="BM73" s="721"/>
      <c r="BN73" s="726"/>
      <c r="BO73" s="726"/>
      <c r="BP73" s="726"/>
      <c r="BQ73" s="726"/>
      <c r="BR73" s="721"/>
      <c r="BS73" s="721"/>
      <c r="BT73" s="726"/>
      <c r="BU73" s="726"/>
      <c r="BV73" s="726"/>
      <c r="BW73" s="726"/>
      <c r="BX73" s="726"/>
      <c r="BY73" s="726"/>
      <c r="BZ73" s="726"/>
      <c r="CA73" s="726"/>
      <c r="CB73" s="726"/>
      <c r="CC73" s="726"/>
      <c r="CD73" s="726"/>
      <c r="CE73" s="726"/>
      <c r="CF73" s="726"/>
      <c r="CG73" s="726"/>
      <c r="CH73" s="726"/>
      <c r="CI73" s="726"/>
      <c r="CJ73" s="726"/>
      <c r="CK73" s="726"/>
      <c r="CL73" s="726"/>
      <c r="CM73" s="726"/>
      <c r="CN73" s="726"/>
      <c r="CO73" s="726"/>
      <c r="CP73" s="726"/>
      <c r="CQ73" s="726"/>
      <c r="CR73" s="726"/>
      <c r="CS73" s="726"/>
      <c r="CT73" s="726"/>
      <c r="CU73" s="726"/>
      <c r="CV73" s="726"/>
      <c r="CW73" s="721"/>
      <c r="CX73" s="726"/>
      <c r="CY73" s="721"/>
      <c r="CZ73" s="721"/>
      <c r="DA73" s="721"/>
      <c r="DB73" s="721"/>
      <c r="DC73" s="721"/>
      <c r="DD73" s="721"/>
      <c r="DE73" s="721"/>
      <c r="DF73" s="721"/>
      <c r="DG73" s="721"/>
      <c r="DH73" s="721"/>
      <c r="DI73" s="721"/>
      <c r="DJ73" s="721"/>
      <c r="DK73" s="721"/>
      <c r="DL73" s="721"/>
      <c r="DM73" s="721"/>
      <c r="DN73" s="721"/>
      <c r="DO73" s="721"/>
      <c r="DP73" s="721"/>
      <c r="DQ73" s="721"/>
      <c r="DR73" s="721"/>
      <c r="DS73" s="721"/>
      <c r="DT73" s="721" t="str">
        <f t="shared" ca="1" si="242"/>
        <v>Senegal-Irak</v>
      </c>
      <c r="DU73" s="721"/>
      <c r="DV73" s="721"/>
      <c r="DW73" s="8"/>
    </row>
    <row r="74" spans="1:127" ht="15.75" thickBot="1">
      <c r="A74" s="716"/>
      <c r="B74" s="716"/>
      <c r="C74" s="716"/>
      <c r="D74" s="721"/>
      <c r="E74" s="721"/>
      <c r="F74" s="721"/>
      <c r="G74" s="721"/>
      <c r="H74" s="721"/>
      <c r="I74" s="721"/>
      <c r="J74" s="721"/>
      <c r="K74" s="721"/>
      <c r="L74" s="721"/>
      <c r="M74" s="721"/>
      <c r="N74" s="721"/>
      <c r="O74" s="721"/>
      <c r="P74" s="721"/>
      <c r="Q74" s="721"/>
      <c r="R74" s="721"/>
      <c r="S74" s="721"/>
      <c r="T74" s="721"/>
      <c r="U74" s="721"/>
      <c r="V74" s="162"/>
      <c r="W74" s="232"/>
      <c r="X74" s="233"/>
      <c r="Y74" s="232"/>
      <c r="Z74" s="234"/>
      <c r="AA74" s="235"/>
      <c r="AB74" s="461"/>
      <c r="AC74" s="237"/>
      <c r="AD74" s="237"/>
      <c r="AE74" s="461"/>
      <c r="AF74" s="238"/>
      <c r="AG74" s="398"/>
      <c r="AH74" s="186"/>
      <c r="AI74" s="161"/>
      <c r="AJ74" s="239"/>
      <c r="AK74" s="240"/>
      <c r="AL74" s="176"/>
      <c r="AM74" s="241"/>
      <c r="AN74" s="239"/>
      <c r="AO74" s="239"/>
      <c r="AP74" s="239"/>
      <c r="AQ74" s="239"/>
      <c r="AR74" s="239"/>
      <c r="AS74" s="239"/>
      <c r="AT74" s="239"/>
      <c r="AU74" s="403"/>
      <c r="AV74" s="206"/>
      <c r="AW74" s="411"/>
      <c r="AX74" s="208"/>
      <c r="AY74" s="232"/>
      <c r="AZ74" s="233"/>
      <c r="BA74" s="165"/>
      <c r="BB74" s="721"/>
      <c r="BC74" s="721"/>
      <c r="BD74" s="721"/>
      <c r="BE74" s="721"/>
      <c r="BF74" s="721"/>
      <c r="BG74" s="721"/>
      <c r="BH74" s="721"/>
      <c r="BI74" s="721"/>
      <c r="BJ74" s="721"/>
      <c r="BK74" s="721"/>
      <c r="BL74" s="721"/>
      <c r="BM74" s="721"/>
      <c r="BN74" s="726"/>
      <c r="BO74" s="726"/>
      <c r="BP74" s="726"/>
      <c r="BQ74" s="726"/>
      <c r="BR74" s="721"/>
      <c r="BS74" s="721"/>
      <c r="BT74" s="726"/>
      <c r="BU74" s="726"/>
      <c r="BV74" s="726"/>
      <c r="BW74" s="726"/>
      <c r="BX74" s="726"/>
      <c r="BY74" s="726"/>
      <c r="BZ74" s="726"/>
      <c r="CA74" s="726"/>
      <c r="CB74" s="726"/>
      <c r="CC74" s="726"/>
      <c r="CD74" s="726"/>
      <c r="CE74" s="726"/>
      <c r="CF74" s="726"/>
      <c r="CG74" s="726"/>
      <c r="CH74" s="726"/>
      <c r="CI74" s="726"/>
      <c r="CJ74" s="726"/>
      <c r="CK74" s="726"/>
      <c r="CL74" s="726"/>
      <c r="CM74" s="726"/>
      <c r="CN74" s="726"/>
      <c r="CO74" s="726"/>
      <c r="CP74" s="726"/>
      <c r="CQ74" s="726"/>
      <c r="CR74" s="726"/>
      <c r="CS74" s="726"/>
      <c r="CT74" s="726"/>
      <c r="CU74" s="726"/>
      <c r="CV74" s="726"/>
      <c r="CW74" s="721"/>
      <c r="CX74" s="726"/>
      <c r="CY74" s="721"/>
      <c r="CZ74" s="721"/>
      <c r="DA74" s="721"/>
      <c r="DB74" s="721"/>
      <c r="DC74" s="721"/>
      <c r="DD74" s="721"/>
      <c r="DE74" s="721"/>
      <c r="DF74" s="721"/>
      <c r="DG74" s="721"/>
      <c r="DH74" s="721"/>
      <c r="DI74" s="721"/>
      <c r="DJ74" s="721"/>
      <c r="DK74" s="721"/>
      <c r="DL74" s="721"/>
      <c r="DM74" s="721"/>
      <c r="DN74" s="721"/>
      <c r="DO74" s="721"/>
      <c r="DP74" s="721"/>
      <c r="DQ74" s="721"/>
      <c r="DR74" s="721"/>
      <c r="DS74" s="721"/>
      <c r="DT74" s="721" t="str">
        <f t="shared" si="242"/>
        <v>-</v>
      </c>
      <c r="DU74" s="721"/>
      <c r="DV74" s="721"/>
      <c r="DW74" s="8"/>
    </row>
    <row r="75" spans="1:127" ht="15.75" thickBot="1">
      <c r="A75" s="716"/>
      <c r="B75" s="719"/>
      <c r="C75" s="716"/>
      <c r="D75" s="716"/>
      <c r="E75" s="716"/>
      <c r="F75" s="716"/>
      <c r="G75" s="716"/>
      <c r="H75" s="716"/>
      <c r="I75" s="716"/>
      <c r="J75" s="716"/>
      <c r="K75" s="716"/>
      <c r="L75" s="716"/>
      <c r="M75" s="716"/>
      <c r="N75" s="721"/>
      <c r="O75" s="721"/>
      <c r="P75" s="721"/>
      <c r="Q75" s="721"/>
      <c r="R75" s="721"/>
      <c r="S75" s="721"/>
      <c r="T75" s="721"/>
      <c r="U75" s="721"/>
      <c r="V75" s="162"/>
      <c r="W75" s="169"/>
      <c r="X75" s="170" t="str">
        <f>X3</f>
        <v>Fecha</v>
      </c>
      <c r="Y75" s="170" t="str">
        <f>Y3</f>
        <v>Hora</v>
      </c>
      <c r="Z75" s="171" t="str">
        <f>Z3</f>
        <v>Jor.</v>
      </c>
      <c r="AA75" s="172" t="str">
        <f>AA3</f>
        <v>Casa</v>
      </c>
      <c r="AB75" s="171"/>
      <c r="AC75" s="171" t="str">
        <f>AC3</f>
        <v>Gol</v>
      </c>
      <c r="AD75" s="171" t="str">
        <f>AD3</f>
        <v>Gol</v>
      </c>
      <c r="AE75" s="171"/>
      <c r="AF75" s="174" t="str">
        <f>AF3</f>
        <v>Fuera</v>
      </c>
      <c r="AG75" s="397"/>
      <c r="AH75" s="186"/>
      <c r="AI75" s="14"/>
      <c r="AJ75" s="176"/>
      <c r="AK75" s="242"/>
      <c r="AL75" s="176"/>
      <c r="AM75" s="176"/>
      <c r="AN75" s="176"/>
      <c r="AO75" s="176"/>
      <c r="AP75" s="176"/>
      <c r="AQ75" s="176"/>
      <c r="AR75" s="176"/>
      <c r="AS75" s="176"/>
      <c r="AT75" s="176"/>
      <c r="AU75" s="404"/>
      <c r="AV75" s="18"/>
      <c r="AW75" s="412"/>
      <c r="AX75" s="243"/>
      <c r="AY75" s="232"/>
      <c r="AZ75" s="233"/>
      <c r="BA75" s="165"/>
      <c r="BB75" s="721"/>
      <c r="BC75" s="721"/>
      <c r="BD75" s="721"/>
      <c r="BE75" s="721"/>
      <c r="BF75" s="721"/>
      <c r="BG75" s="721"/>
      <c r="BH75" s="721"/>
      <c r="BI75" s="721"/>
      <c r="BJ75" s="721"/>
      <c r="BK75" s="721"/>
      <c r="BL75" s="721"/>
      <c r="BM75" s="721"/>
      <c r="BN75" s="721"/>
      <c r="BO75" s="721"/>
      <c r="BP75" s="721"/>
      <c r="BQ75" s="721"/>
      <c r="BR75" s="721"/>
      <c r="BS75" s="721"/>
      <c r="BT75" s="721"/>
      <c r="BU75" s="721"/>
      <c r="BV75" s="721"/>
      <c r="BW75" s="721"/>
      <c r="BX75" s="721"/>
      <c r="BY75" s="721"/>
      <c r="BZ75" s="721"/>
      <c r="CA75" s="721"/>
      <c r="CB75" s="721"/>
      <c r="CC75" s="721"/>
      <c r="CD75" s="721"/>
      <c r="CE75" s="721"/>
      <c r="CF75" s="721"/>
      <c r="CG75" s="721"/>
      <c r="CH75" s="721"/>
      <c r="CI75" s="721"/>
      <c r="CJ75" s="721"/>
      <c r="CK75" s="721"/>
      <c r="CL75" s="721"/>
      <c r="CM75" s="721"/>
      <c r="CN75" s="721"/>
      <c r="CO75" s="721"/>
      <c r="CP75" s="721"/>
      <c r="CQ75" s="721"/>
      <c r="CR75" s="721"/>
      <c r="CS75" s="721"/>
      <c r="CT75" s="721"/>
      <c r="CU75" s="721"/>
      <c r="CV75" s="721"/>
      <c r="CW75" s="721"/>
      <c r="CX75" s="721"/>
      <c r="CY75" s="721"/>
      <c r="CZ75" s="721"/>
      <c r="DA75" s="721"/>
      <c r="DB75" s="721"/>
      <c r="DC75" s="721"/>
      <c r="DD75" s="721"/>
      <c r="DE75" s="721"/>
      <c r="DF75" s="721"/>
      <c r="DG75" s="721"/>
      <c r="DH75" s="721"/>
      <c r="DI75" s="721"/>
      <c r="DJ75" s="721"/>
      <c r="DK75" s="721"/>
      <c r="DL75" s="721"/>
      <c r="DM75" s="721"/>
      <c r="DN75" s="721"/>
      <c r="DO75" s="721"/>
      <c r="DP75" s="721"/>
      <c r="DQ75" s="721"/>
      <c r="DR75" s="721"/>
      <c r="DS75" s="721"/>
      <c r="DT75" s="721" t="str">
        <f t="shared" si="242"/>
        <v>Casa-Fuera</v>
      </c>
      <c r="DU75" s="721"/>
      <c r="DV75" s="721"/>
      <c r="DW75" s="8"/>
    </row>
    <row r="76" spans="1:127" ht="15.95" customHeight="1" thickBot="1">
      <c r="A76" s="718" t="s">
        <v>30</v>
      </c>
      <c r="B76" s="719" t="s">
        <v>5</v>
      </c>
      <c r="C76" s="720">
        <f>COUNTIF(Equipos!$C$2:$C$49,WORLDCUP!B76)</f>
        <v>4</v>
      </c>
      <c r="D76" s="721" t="str">
        <f t="shared" ref="D76:D81" si="245">IF(OR(AC76="",AD76=""),"Pendiente",IF(AC76&gt;AD76,"Local",IF(AC76&lt;AD76,"Visitante","Empate")))</f>
        <v>Pendiente</v>
      </c>
      <c r="E76" s="721" t="str">
        <f t="shared" ref="E76:E81" si="246">IF(D76="Pendiente","-",INDEX($BT$6:$BT$53,MATCH($AA76,$BD$6:$BD$53,0)))</f>
        <v>-</v>
      </c>
      <c r="F76" s="721" t="str">
        <f t="shared" ref="F76:F81" si="247">IF(D76="Pendiente","-",INDEX($BT$6:$BT$53,MATCH($AF76,$BD$6:$BD$53,0)))</f>
        <v>-</v>
      </c>
      <c r="G76" s="721"/>
      <c r="H76" s="721" t="str">
        <f t="shared" ref="H76:H81" si="248">IF(D76="Pendiente","-",INDEX($BZ$6:$BZ$53,MATCH($AA76,$BD$6:$BD$53,0)))</f>
        <v>-</v>
      </c>
      <c r="I76" s="721" t="str">
        <f t="shared" ref="I76:I81" si="249">IF(D76="Pendiente","-",INDEX($BZ$6:$BZ$53,MATCH($AF76,$BD$6:$BD$53,0)))</f>
        <v>-</v>
      </c>
      <c r="J76" s="721"/>
      <c r="K76" s="721" t="str">
        <f t="shared" ref="K76:K81" si="250">IF(D76="Pendiente","-",INDEX($CE$6:$CE$53,MATCH($AA76,$BD$6:$BD$53,0)))</f>
        <v>-</v>
      </c>
      <c r="L76" s="721" t="str">
        <f t="shared" ref="L76:L81" si="251">IF(D76="Pendiente","-",INDEX($CE$6:$CE$53,MATCH($AF76,$BD$6:$BD$53,0)))</f>
        <v>-</v>
      </c>
      <c r="M76" s="721"/>
      <c r="N76" s="721" t="str">
        <f t="shared" ref="N76:N81" si="252">IF(D76="Pendiente","-",INDEX($CH$6:$CH$53,MATCH($AA76,$BD$6:$BD$53,0)))</f>
        <v>-</v>
      </c>
      <c r="O76" s="721" t="str">
        <f t="shared" ref="O76:O81" si="253">IF(D76="Pendiente","-",INDEX($CH$6:$CH$53,MATCH($AF76,$BD$6:$BD$53,0)))</f>
        <v>-</v>
      </c>
      <c r="P76" s="721"/>
      <c r="Q76" s="721" t="str">
        <f t="shared" ref="Q76:Q81" si="254">IF(D76="Pendiente","-",INDEX($CN$6:$CN$53,MATCH($AA76,$BD$6:$BD$53,0)))</f>
        <v>-</v>
      </c>
      <c r="R76" s="721" t="str">
        <f t="shared" ref="R76:R81" si="255">IF(D76="Pendiente","-",INDEX($CN$6:$CN$53,MATCH($AF76,$BD$6:$BD$53,0)))</f>
        <v>-</v>
      </c>
      <c r="S76" s="721"/>
      <c r="T76" s="721" t="str">
        <f t="shared" ref="T76:T81" si="256">IF(D76="Pendiente","-",INDEX($CS$6:$CS$53,MATCH($AA76,$BD$6:$BD$53,0)))</f>
        <v>-</v>
      </c>
      <c r="U76" s="721" t="str">
        <f t="shared" ref="U76:U81" si="257">IF(D76="Pendiente","-",INDEX($CS$6:$CS$53,MATCH($AF76,$BD$6:$BD$53,0)))</f>
        <v>-</v>
      </c>
      <c r="V76" s="162"/>
      <c r="W76" s="841" t="s">
        <v>5</v>
      </c>
      <c r="X76" s="179">
        <f ca="1">Horarios!C76</f>
        <v>46190.125</v>
      </c>
      <c r="Y76" s="180">
        <f ca="1">Horarios!C76</f>
        <v>46190.125</v>
      </c>
      <c r="Z76" s="181" t="str">
        <f>$Z$4</f>
        <v>J1</v>
      </c>
      <c r="AA76" s="182" t="str">
        <f ca="1">A77</f>
        <v>Argentina</v>
      </c>
      <c r="AB76" s="457" t="str" cm="1">
        <f t="array" aca="1" ref="AB76" ca="1">Ver_flag_local</f>
        <v/>
      </c>
      <c r="AC76" s="183"/>
      <c r="AD76" s="184"/>
      <c r="AE76" s="462" t="str" cm="1">
        <f t="array" aca="1" ref="AE76" ca="1">Ver_flag_visit</f>
        <v/>
      </c>
      <c r="AF76" s="185" t="str">
        <f ca="1">A78</f>
        <v>Argelia</v>
      </c>
      <c r="AG76" s="396">
        <f t="shared" ref="AG76:AG81" si="258">IF(NOT(OR(ISBLANK(AC76),ISBLANK(AD76))),1,0)</f>
        <v>0</v>
      </c>
      <c r="AH76" s="186">
        <v>19</v>
      </c>
      <c r="AI76" s="15"/>
      <c r="AJ76" s="187" t="str">
        <f>CONCATENATE(AJ3," ",B76)</f>
        <v>Grupo J</v>
      </c>
      <c r="AK76" s="188"/>
      <c r="AL76" s="188"/>
      <c r="AM76" s="188"/>
      <c r="AN76" s="188"/>
      <c r="AO76" s="188"/>
      <c r="AP76" s="188"/>
      <c r="AQ76" s="188"/>
      <c r="AR76" s="188"/>
      <c r="AS76" s="188"/>
      <c r="AT76" s="189"/>
      <c r="AU76" s="404"/>
      <c r="AV76" s="190" t="str">
        <f t="shared" ref="AV76" ca="1" si="259">IF(AU77&gt;0,$AV$3,"")</f>
        <v/>
      </c>
      <c r="AW76" s="198"/>
      <c r="AX76" s="245"/>
      <c r="AY76" s="232"/>
      <c r="AZ76" s="233"/>
      <c r="BA76" s="165"/>
      <c r="BB76" s="721"/>
      <c r="BC76" s="721"/>
      <c r="BD76" s="721"/>
      <c r="BE76" s="721"/>
      <c r="BF76" s="721"/>
      <c r="BG76" s="721"/>
      <c r="BH76" s="721"/>
      <c r="BI76" s="721"/>
      <c r="BJ76" s="721"/>
      <c r="BK76" s="721"/>
      <c r="BL76" s="721"/>
      <c r="BM76" s="721"/>
      <c r="BN76" s="721"/>
      <c r="BO76" s="721"/>
      <c r="BP76" s="721"/>
      <c r="BQ76" s="721"/>
      <c r="BR76" s="721"/>
      <c r="BS76" s="721"/>
      <c r="BT76" s="721"/>
      <c r="BU76" s="721"/>
      <c r="BV76" s="721"/>
      <c r="BW76" s="721"/>
      <c r="BX76" s="721"/>
      <c r="BY76" s="721"/>
      <c r="BZ76" s="721"/>
      <c r="CA76" s="721"/>
      <c r="CB76" s="721"/>
      <c r="CC76" s="721"/>
      <c r="CD76" s="721"/>
      <c r="CE76" s="721"/>
      <c r="CF76" s="721"/>
      <c r="CG76" s="721"/>
      <c r="CH76" s="721"/>
      <c r="CI76" s="721"/>
      <c r="CJ76" s="721"/>
      <c r="CK76" s="721"/>
      <c r="CL76" s="721"/>
      <c r="CM76" s="721"/>
      <c r="CN76" s="721"/>
      <c r="CO76" s="721"/>
      <c r="CP76" s="721"/>
      <c r="CQ76" s="721"/>
      <c r="CR76" s="721"/>
      <c r="CS76" s="721"/>
      <c r="CT76" s="721"/>
      <c r="CU76" s="721"/>
      <c r="CV76" s="721"/>
      <c r="CW76" s="721"/>
      <c r="CX76" s="726"/>
      <c r="CY76" s="721"/>
      <c r="CZ76" s="721"/>
      <c r="DA76" s="721"/>
      <c r="DB76" s="721"/>
      <c r="DC76" s="721"/>
      <c r="DD76" s="721"/>
      <c r="DE76" s="721"/>
      <c r="DF76" s="721"/>
      <c r="DG76" s="721"/>
      <c r="DH76" s="721"/>
      <c r="DI76" s="721"/>
      <c r="DJ76" s="721"/>
      <c r="DK76" s="721"/>
      <c r="DL76" s="721"/>
      <c r="DM76" s="721"/>
      <c r="DN76" s="721"/>
      <c r="DO76" s="721"/>
      <c r="DP76" s="721"/>
      <c r="DQ76" s="721"/>
      <c r="DR76" s="721"/>
      <c r="DS76" s="721"/>
      <c r="DT76" s="721" t="str">
        <f t="shared" ca="1" si="242"/>
        <v>Argentina-Argelia</v>
      </c>
      <c r="DU76" s="721"/>
      <c r="DV76" s="721"/>
      <c r="DW76" s="8"/>
    </row>
    <row r="77" spans="1:127" ht="15.95" customHeight="1">
      <c r="A77" s="722" t="str">
        <f ca="1">+Equipos!B38</f>
        <v>Argentina</v>
      </c>
      <c r="B77" s="719"/>
      <c r="C77" s="719"/>
      <c r="D77" s="721" t="str">
        <f t="shared" si="245"/>
        <v>Pendiente</v>
      </c>
      <c r="E77" s="721" t="str">
        <f t="shared" si="246"/>
        <v>-</v>
      </c>
      <c r="F77" s="721" t="str">
        <f t="shared" si="247"/>
        <v>-</v>
      </c>
      <c r="G77" s="721"/>
      <c r="H77" s="721" t="str">
        <f t="shared" si="248"/>
        <v>-</v>
      </c>
      <c r="I77" s="721" t="str">
        <f t="shared" si="249"/>
        <v>-</v>
      </c>
      <c r="J77" s="721"/>
      <c r="K77" s="721" t="str">
        <f t="shared" si="250"/>
        <v>-</v>
      </c>
      <c r="L77" s="721" t="str">
        <f t="shared" si="251"/>
        <v>-</v>
      </c>
      <c r="M77" s="721"/>
      <c r="N77" s="721" t="str">
        <f t="shared" si="252"/>
        <v>-</v>
      </c>
      <c r="O77" s="721" t="str">
        <f t="shared" si="253"/>
        <v>-</v>
      </c>
      <c r="P77" s="721"/>
      <c r="Q77" s="721" t="str">
        <f t="shared" si="254"/>
        <v>-</v>
      </c>
      <c r="R77" s="721" t="str">
        <f t="shared" si="255"/>
        <v>-</v>
      </c>
      <c r="S77" s="721"/>
      <c r="T77" s="721" t="str">
        <f t="shared" si="256"/>
        <v>-</v>
      </c>
      <c r="U77" s="721" t="str">
        <f t="shared" si="257"/>
        <v>-</v>
      </c>
      <c r="V77" s="162"/>
      <c r="W77" s="841"/>
      <c r="X77" s="179">
        <f ca="1">Horarios!C77</f>
        <v>46190.25</v>
      </c>
      <c r="Y77" s="180">
        <f ca="1">Horarios!C77</f>
        <v>46190.25</v>
      </c>
      <c r="Z77" s="181" t="str">
        <f>$Z$4</f>
        <v>J1</v>
      </c>
      <c r="AA77" s="182" t="str">
        <f ca="1">A79</f>
        <v>Austria</v>
      </c>
      <c r="AB77" s="457" t="str" cm="1">
        <f t="array" aca="1" ref="AB77" ca="1">Ver_flag_local</f>
        <v/>
      </c>
      <c r="AC77" s="183"/>
      <c r="AD77" s="184"/>
      <c r="AE77" s="462" t="str" cm="1">
        <f t="array" aca="1" ref="AE77" ca="1">Ver_flag_visit</f>
        <v/>
      </c>
      <c r="AF77" s="185" t="str">
        <f ca="1">A80</f>
        <v>Jordania</v>
      </c>
      <c r="AG77" s="396">
        <f t="shared" si="258"/>
        <v>0</v>
      </c>
      <c r="AH77" s="186">
        <v>20</v>
      </c>
      <c r="AI77" s="15"/>
      <c r="AJ77" s="194" t="str">
        <f>AJ5</f>
        <v>Pos</v>
      </c>
      <c r="AK77" s="195"/>
      <c r="AL77" s="196" t="str">
        <f t="shared" ref="AL77:AT77" si="260">AL5</f>
        <v>Selección</v>
      </c>
      <c r="AM77" s="195" t="str">
        <f t="shared" si="260"/>
        <v>Pts</v>
      </c>
      <c r="AN77" s="195" t="str">
        <f t="shared" si="260"/>
        <v>J</v>
      </c>
      <c r="AO77" s="195" t="str">
        <f t="shared" si="260"/>
        <v>G</v>
      </c>
      <c r="AP77" s="195" t="str">
        <f t="shared" si="260"/>
        <v>E</v>
      </c>
      <c r="AQ77" s="195" t="str">
        <f t="shared" si="260"/>
        <v>P</v>
      </c>
      <c r="AR77" s="195" t="str">
        <f t="shared" si="260"/>
        <v>GF</v>
      </c>
      <c r="AS77" s="195" t="str">
        <f t="shared" si="260"/>
        <v>GC</v>
      </c>
      <c r="AT77" s="197" t="str">
        <f t="shared" si="260"/>
        <v>DG</v>
      </c>
      <c r="AU77" s="404">
        <f t="shared" ref="AU77" ca="1" si="261">COUNTIF(AU78:AU81,"&gt;1")</f>
        <v>0</v>
      </c>
      <c r="AV77" s="198"/>
      <c r="AW77" s="198"/>
      <c r="AX77" s="245"/>
      <c r="AY77" s="199" t="str">
        <f>AL77</f>
        <v>Selección</v>
      </c>
      <c r="AZ77" s="200" t="str">
        <f>+Idiomas!$D$69</f>
        <v>Puntos penalizados</v>
      </c>
      <c r="BA77" s="165"/>
      <c r="BB77" s="721"/>
      <c r="BC77" s="721"/>
      <c r="BD77" s="721"/>
      <c r="BE77" s="721"/>
      <c r="BF77" s="721"/>
      <c r="BG77" s="721"/>
      <c r="BH77" s="721"/>
      <c r="BI77" s="721"/>
      <c r="BJ77" s="721"/>
      <c r="BK77" s="721"/>
      <c r="BL77" s="721"/>
      <c r="BM77" s="721"/>
      <c r="BN77" s="724"/>
      <c r="BO77" s="724"/>
      <c r="BP77" s="724"/>
      <c r="BQ77" s="724"/>
      <c r="BR77" s="721"/>
      <c r="BS77" s="721"/>
      <c r="BT77" s="724"/>
      <c r="BU77" s="724"/>
      <c r="BV77" s="724"/>
      <c r="BW77" s="724"/>
      <c r="BX77" s="724"/>
      <c r="BY77" s="724"/>
      <c r="BZ77" s="724"/>
      <c r="CA77" s="724"/>
      <c r="CB77" s="724"/>
      <c r="CC77" s="724"/>
      <c r="CD77" s="724"/>
      <c r="CE77" s="724"/>
      <c r="CF77" s="724"/>
      <c r="CG77" s="724"/>
      <c r="CH77" s="724"/>
      <c r="CI77" s="724"/>
      <c r="CJ77" s="724"/>
      <c r="CK77" s="724"/>
      <c r="CL77" s="724"/>
      <c r="CM77" s="724"/>
      <c r="CN77" s="724"/>
      <c r="CO77" s="724"/>
      <c r="CP77" s="724"/>
      <c r="CQ77" s="724"/>
      <c r="CR77" s="724"/>
      <c r="CS77" s="724"/>
      <c r="CT77" s="724"/>
      <c r="CU77" s="724"/>
      <c r="CV77" s="724"/>
      <c r="CW77" s="721"/>
      <c r="CX77" s="724"/>
      <c r="CY77" s="721"/>
      <c r="CZ77" s="721"/>
      <c r="DA77" s="721"/>
      <c r="DB77" s="721"/>
      <c r="DC77" s="721"/>
      <c r="DD77" s="721"/>
      <c r="DE77" s="721"/>
      <c r="DF77" s="721"/>
      <c r="DG77" s="721"/>
      <c r="DH77" s="721"/>
      <c r="DI77" s="721"/>
      <c r="DJ77" s="721"/>
      <c r="DK77" s="721"/>
      <c r="DL77" s="721"/>
      <c r="DM77" s="721"/>
      <c r="DN77" s="721"/>
      <c r="DO77" s="721"/>
      <c r="DP77" s="721"/>
      <c r="DQ77" s="721"/>
      <c r="DR77" s="721"/>
      <c r="DS77" s="721"/>
      <c r="DT77" s="721" t="str">
        <f t="shared" ca="1" si="242"/>
        <v>Austria-Jordania</v>
      </c>
      <c r="DU77" s="721"/>
      <c r="DV77" s="721"/>
      <c r="DW77" s="8"/>
    </row>
    <row r="78" spans="1:127" ht="15.95" customHeight="1">
      <c r="A78" s="722" t="str">
        <f ca="1">+Equipos!B39</f>
        <v>Argelia</v>
      </c>
      <c r="B78" s="719"/>
      <c r="C78" s="723"/>
      <c r="D78" s="721" t="str">
        <f t="shared" si="245"/>
        <v>Pendiente</v>
      </c>
      <c r="E78" s="721" t="str">
        <f t="shared" si="246"/>
        <v>-</v>
      </c>
      <c r="F78" s="721" t="str">
        <f t="shared" si="247"/>
        <v>-</v>
      </c>
      <c r="G78" s="721"/>
      <c r="H78" s="721" t="str">
        <f t="shared" si="248"/>
        <v>-</v>
      </c>
      <c r="I78" s="721" t="str">
        <f t="shared" si="249"/>
        <v>-</v>
      </c>
      <c r="J78" s="721"/>
      <c r="K78" s="721" t="str">
        <f t="shared" si="250"/>
        <v>-</v>
      </c>
      <c r="L78" s="721" t="str">
        <f t="shared" si="251"/>
        <v>-</v>
      </c>
      <c r="M78" s="721"/>
      <c r="N78" s="721" t="str">
        <f t="shared" si="252"/>
        <v>-</v>
      </c>
      <c r="O78" s="721" t="str">
        <f t="shared" si="253"/>
        <v>-</v>
      </c>
      <c r="P78" s="721"/>
      <c r="Q78" s="721" t="str">
        <f t="shared" si="254"/>
        <v>-</v>
      </c>
      <c r="R78" s="721" t="str">
        <f t="shared" si="255"/>
        <v>-</v>
      </c>
      <c r="S78" s="721"/>
      <c r="T78" s="721" t="str">
        <f t="shared" si="256"/>
        <v>-</v>
      </c>
      <c r="U78" s="721" t="str">
        <f t="shared" si="257"/>
        <v>-</v>
      </c>
      <c r="V78" s="162"/>
      <c r="W78" s="841"/>
      <c r="X78" s="179">
        <f ca="1">Horarios!C78</f>
        <v>46195.791666666664</v>
      </c>
      <c r="Y78" s="180">
        <f ca="1">Horarios!C78</f>
        <v>46195.791666666664</v>
      </c>
      <c r="Z78" s="181" t="str">
        <f>$Z$6</f>
        <v>J2</v>
      </c>
      <c r="AA78" s="182" t="str">
        <f ca="1">A77</f>
        <v>Argentina</v>
      </c>
      <c r="AB78" s="457" t="str" cm="1">
        <f t="array" aca="1" ref="AB78" ca="1">Ver_flag_local</f>
        <v/>
      </c>
      <c r="AC78" s="183"/>
      <c r="AD78" s="184"/>
      <c r="AE78" s="462" t="str" cm="1">
        <f t="array" aca="1" ref="AE78" ca="1">Ver_flag_visit</f>
        <v/>
      </c>
      <c r="AF78" s="185" t="str">
        <f ca="1">A79</f>
        <v>Austria</v>
      </c>
      <c r="AG78" s="396">
        <f t="shared" si="258"/>
        <v>0</v>
      </c>
      <c r="AH78" s="186">
        <v>43</v>
      </c>
      <c r="AI78" s="15" t="str">
        <f>AJ78&amp;$B$76</f>
        <v>1J</v>
      </c>
      <c r="AJ78" s="201">
        <v>1</v>
      </c>
      <c r="AK78" s="467" t="str" cm="1">
        <f t="array" aca="1" ref="AK78" ca="1">Ver_flag_visit</f>
        <v/>
      </c>
      <c r="AL78" s="202" t="str">
        <f ca="1">IFERROR(INDEX($BD$6:$BD$53,MATCH(AI78,$BN$6:$BN$53,0)),"")</f>
        <v>Argentina</v>
      </c>
      <c r="AM78" s="203">
        <f t="shared" ref="AM78:AT81" ca="1" si="262">INDEX($BE$6:$BN$53,MATCH($AL78,$BD$6:$BD$53,0),MATCH(AM$5,$BE$5:$BN$5,0))</f>
        <v>0</v>
      </c>
      <c r="AN78" s="204">
        <f t="shared" ca="1" si="262"/>
        <v>0</v>
      </c>
      <c r="AO78" s="204">
        <f t="shared" ca="1" si="262"/>
        <v>0</v>
      </c>
      <c r="AP78" s="204">
        <f t="shared" ca="1" si="262"/>
        <v>0</v>
      </c>
      <c r="AQ78" s="204">
        <f t="shared" ca="1" si="262"/>
        <v>0</v>
      </c>
      <c r="AR78" s="204">
        <f t="shared" ca="1" si="262"/>
        <v>0</v>
      </c>
      <c r="AS78" s="204">
        <f t="shared" ca="1" si="262"/>
        <v>0</v>
      </c>
      <c r="AT78" s="205">
        <f t="shared" ca="1" si="262"/>
        <v>0</v>
      </c>
      <c r="AU78" s="403">
        <f ca="1">INDEX($DL$6:$DL$53,MATCH(AI78,$DP$6:$DP$53,0))</f>
        <v>1</v>
      </c>
      <c r="AV78" s="207" t="str">
        <f ca="1">INDEX($BD$6:$BD$53,MATCH(AI78,$BM$6:$BM$53,0))</f>
        <v>Argentina</v>
      </c>
      <c r="AW78" s="410"/>
      <c r="AX78" s="208"/>
      <c r="AY78" s="209" t="str">
        <f ca="1">+A77</f>
        <v>Argentina</v>
      </c>
      <c r="AZ78" s="210"/>
      <c r="BA78" s="165"/>
      <c r="BB78" s="721"/>
      <c r="BC78" s="721"/>
      <c r="BD78" s="721"/>
      <c r="BE78" s="721"/>
      <c r="BF78" s="721"/>
      <c r="BG78" s="721"/>
      <c r="BH78" s="721"/>
      <c r="BI78" s="721"/>
      <c r="BJ78" s="721"/>
      <c r="BK78" s="721"/>
      <c r="BL78" s="721"/>
      <c r="BM78" s="721"/>
      <c r="BN78" s="726"/>
      <c r="BO78" s="726"/>
      <c r="BP78" s="726"/>
      <c r="BQ78" s="726"/>
      <c r="BR78" s="721"/>
      <c r="BS78" s="721"/>
      <c r="BT78" s="726"/>
      <c r="BU78" s="726"/>
      <c r="BV78" s="726"/>
      <c r="BW78" s="726"/>
      <c r="BX78" s="726"/>
      <c r="BY78" s="726"/>
      <c r="BZ78" s="726"/>
      <c r="CA78" s="726"/>
      <c r="CB78" s="726"/>
      <c r="CC78" s="726"/>
      <c r="CD78" s="726"/>
      <c r="CE78" s="726"/>
      <c r="CF78" s="726"/>
      <c r="CG78" s="726"/>
      <c r="CH78" s="726"/>
      <c r="CI78" s="726"/>
      <c r="CJ78" s="726"/>
      <c r="CK78" s="726"/>
      <c r="CL78" s="726"/>
      <c r="CM78" s="726"/>
      <c r="CN78" s="726"/>
      <c r="CO78" s="726"/>
      <c r="CP78" s="726"/>
      <c r="CQ78" s="726"/>
      <c r="CR78" s="726"/>
      <c r="CS78" s="726"/>
      <c r="CT78" s="726"/>
      <c r="CU78" s="726"/>
      <c r="CV78" s="726"/>
      <c r="CW78" s="721"/>
      <c r="CX78" s="726"/>
      <c r="CY78" s="721"/>
      <c r="CZ78" s="721"/>
      <c r="DA78" s="721"/>
      <c r="DB78" s="721"/>
      <c r="DC78" s="721"/>
      <c r="DD78" s="721"/>
      <c r="DE78" s="721"/>
      <c r="DF78" s="721"/>
      <c r="DG78" s="721"/>
      <c r="DH78" s="721"/>
      <c r="DI78" s="721"/>
      <c r="DJ78" s="721"/>
      <c r="DK78" s="721"/>
      <c r="DL78" s="721"/>
      <c r="DM78" s="721"/>
      <c r="DN78" s="721"/>
      <c r="DO78" s="721"/>
      <c r="DP78" s="721"/>
      <c r="DQ78" s="721"/>
      <c r="DR78" s="721"/>
      <c r="DS78" s="721"/>
      <c r="DT78" s="721" t="str">
        <f t="shared" ca="1" si="242"/>
        <v>Argentina-Austria</v>
      </c>
      <c r="DU78" s="721"/>
      <c r="DV78" s="721"/>
      <c r="DW78" s="8"/>
    </row>
    <row r="79" spans="1:127" ht="15.95" customHeight="1">
      <c r="A79" s="722" t="str">
        <f ca="1">+Equipos!B40</f>
        <v>Austria</v>
      </c>
      <c r="B79" s="719"/>
      <c r="C79" s="721"/>
      <c r="D79" s="721" t="str">
        <f t="shared" si="245"/>
        <v>Pendiente</v>
      </c>
      <c r="E79" s="721" t="str">
        <f t="shared" si="246"/>
        <v>-</v>
      </c>
      <c r="F79" s="721" t="str">
        <f t="shared" si="247"/>
        <v>-</v>
      </c>
      <c r="G79" s="721"/>
      <c r="H79" s="721" t="str">
        <f t="shared" si="248"/>
        <v>-</v>
      </c>
      <c r="I79" s="721" t="str">
        <f t="shared" si="249"/>
        <v>-</v>
      </c>
      <c r="J79" s="721"/>
      <c r="K79" s="721" t="str">
        <f t="shared" si="250"/>
        <v>-</v>
      </c>
      <c r="L79" s="721" t="str">
        <f t="shared" si="251"/>
        <v>-</v>
      </c>
      <c r="M79" s="721"/>
      <c r="N79" s="721" t="str">
        <f t="shared" si="252"/>
        <v>-</v>
      </c>
      <c r="O79" s="721" t="str">
        <f t="shared" si="253"/>
        <v>-</v>
      </c>
      <c r="P79" s="721"/>
      <c r="Q79" s="721" t="str">
        <f t="shared" si="254"/>
        <v>-</v>
      </c>
      <c r="R79" s="721" t="str">
        <f t="shared" si="255"/>
        <v>-</v>
      </c>
      <c r="S79" s="721"/>
      <c r="T79" s="721" t="str">
        <f t="shared" si="256"/>
        <v>-</v>
      </c>
      <c r="U79" s="721" t="str">
        <f t="shared" si="257"/>
        <v>-</v>
      </c>
      <c r="V79" s="162"/>
      <c r="W79" s="841"/>
      <c r="X79" s="179">
        <f ca="1">Horarios!C79</f>
        <v>46196.208333333336</v>
      </c>
      <c r="Y79" s="180">
        <f ca="1">Horarios!C79</f>
        <v>46196.208333333336</v>
      </c>
      <c r="Z79" s="181" t="str">
        <f>$Z$6</f>
        <v>J2</v>
      </c>
      <c r="AA79" s="182" t="str">
        <f ca="1">A80</f>
        <v>Jordania</v>
      </c>
      <c r="AB79" s="457" t="str" cm="1">
        <f t="array" aca="1" ref="AB79" ca="1">Ver_flag_local</f>
        <v/>
      </c>
      <c r="AC79" s="183"/>
      <c r="AD79" s="184"/>
      <c r="AE79" s="462" t="str" cm="1">
        <f t="array" aca="1" ref="AE79" ca="1">Ver_flag_visit</f>
        <v/>
      </c>
      <c r="AF79" s="185" t="str">
        <f ca="1">A78</f>
        <v>Argelia</v>
      </c>
      <c r="AG79" s="396">
        <f t="shared" si="258"/>
        <v>0</v>
      </c>
      <c r="AH79" s="186">
        <v>44</v>
      </c>
      <c r="AI79" s="15" t="str">
        <f t="shared" ref="AI79:AI81" si="263">AJ79&amp;$B$76</f>
        <v>2J</v>
      </c>
      <c r="AJ79" s="211">
        <v>2</v>
      </c>
      <c r="AK79" s="465" t="str" cm="1">
        <f t="array" aca="1" ref="AK79" ca="1">Ver_flag_visit</f>
        <v/>
      </c>
      <c r="AL79" s="212" t="str">
        <f ca="1">IFERROR(INDEX($BD$6:$BD$53,MATCH(AI79,$BN$6:$BN$53,0)),"")</f>
        <v>Argelia</v>
      </c>
      <c r="AM79" s="213">
        <f t="shared" ca="1" si="262"/>
        <v>0</v>
      </c>
      <c r="AN79" s="214">
        <f t="shared" ca="1" si="262"/>
        <v>0</v>
      </c>
      <c r="AO79" s="214">
        <f t="shared" ca="1" si="262"/>
        <v>0</v>
      </c>
      <c r="AP79" s="214">
        <f t="shared" ca="1" si="262"/>
        <v>0</v>
      </c>
      <c r="AQ79" s="214">
        <f t="shared" ca="1" si="262"/>
        <v>0</v>
      </c>
      <c r="AR79" s="214">
        <f t="shared" ca="1" si="262"/>
        <v>0</v>
      </c>
      <c r="AS79" s="214">
        <f t="shared" ca="1" si="262"/>
        <v>0</v>
      </c>
      <c r="AT79" s="215">
        <f t="shared" ca="1" si="262"/>
        <v>0</v>
      </c>
      <c r="AU79" s="403">
        <f ca="1">INDEX($DL$6:$DL$53,MATCH(AI79,$DP$6:$DP$53,0))</f>
        <v>1</v>
      </c>
      <c r="AV79" s="207" t="str">
        <f ca="1">INDEX($BD$6:$BD$53,MATCH(AI79,$BM$6:$BM$53,0))</f>
        <v>Argelia</v>
      </c>
      <c r="AW79" s="410"/>
      <c r="AX79" s="208"/>
      <c r="AY79" s="216" t="str">
        <f ca="1">+A78</f>
        <v>Argelia</v>
      </c>
      <c r="AZ79" s="217"/>
      <c r="BA79" s="165"/>
      <c r="BB79" s="721"/>
      <c r="BC79" s="721"/>
      <c r="BD79" s="721"/>
      <c r="BE79" s="721"/>
      <c r="BF79" s="721"/>
      <c r="BG79" s="721"/>
      <c r="BH79" s="721"/>
      <c r="BI79" s="721"/>
      <c r="BJ79" s="721"/>
      <c r="BK79" s="721"/>
      <c r="BL79" s="721"/>
      <c r="BM79" s="721"/>
      <c r="BN79" s="726"/>
      <c r="BO79" s="726"/>
      <c r="BP79" s="726"/>
      <c r="BQ79" s="726"/>
      <c r="BR79" s="721"/>
      <c r="BS79" s="721"/>
      <c r="BT79" s="726"/>
      <c r="BU79" s="726"/>
      <c r="BV79" s="726"/>
      <c r="BW79" s="726"/>
      <c r="BX79" s="726"/>
      <c r="BY79" s="726"/>
      <c r="BZ79" s="726"/>
      <c r="CA79" s="726"/>
      <c r="CB79" s="726"/>
      <c r="CC79" s="726"/>
      <c r="CD79" s="726"/>
      <c r="CE79" s="726"/>
      <c r="CF79" s="726"/>
      <c r="CG79" s="726"/>
      <c r="CH79" s="726"/>
      <c r="CI79" s="726"/>
      <c r="CJ79" s="726"/>
      <c r="CK79" s="726"/>
      <c r="CL79" s="726"/>
      <c r="CM79" s="726"/>
      <c r="CN79" s="726"/>
      <c r="CO79" s="726"/>
      <c r="CP79" s="726"/>
      <c r="CQ79" s="726"/>
      <c r="CR79" s="726"/>
      <c r="CS79" s="726"/>
      <c r="CT79" s="726"/>
      <c r="CU79" s="726"/>
      <c r="CV79" s="726"/>
      <c r="CW79" s="721"/>
      <c r="CX79" s="726"/>
      <c r="CY79" s="721"/>
      <c r="CZ79" s="721"/>
      <c r="DA79" s="721"/>
      <c r="DB79" s="721"/>
      <c r="DC79" s="721"/>
      <c r="DD79" s="721"/>
      <c r="DE79" s="721"/>
      <c r="DF79" s="721"/>
      <c r="DG79" s="721"/>
      <c r="DH79" s="721"/>
      <c r="DI79" s="721"/>
      <c r="DJ79" s="721"/>
      <c r="DK79" s="721"/>
      <c r="DL79" s="721"/>
      <c r="DM79" s="721"/>
      <c r="DN79" s="721"/>
      <c r="DO79" s="721"/>
      <c r="DP79" s="721"/>
      <c r="DQ79" s="721"/>
      <c r="DR79" s="721"/>
      <c r="DS79" s="721"/>
      <c r="DT79" s="721" t="str">
        <f t="shared" ca="1" si="242"/>
        <v>Jordania-Argelia</v>
      </c>
      <c r="DU79" s="721"/>
      <c r="DV79" s="721"/>
      <c r="DW79" s="8"/>
    </row>
    <row r="80" spans="1:127" ht="15.95" customHeight="1">
      <c r="A80" s="722" t="str">
        <f ca="1">+Equipos!B41</f>
        <v>Jordania</v>
      </c>
      <c r="B80" s="719"/>
      <c r="C80" s="721"/>
      <c r="D80" s="721" t="str">
        <f t="shared" si="245"/>
        <v>Pendiente</v>
      </c>
      <c r="E80" s="721" t="str">
        <f t="shared" si="246"/>
        <v>-</v>
      </c>
      <c r="F80" s="721" t="str">
        <f t="shared" si="247"/>
        <v>-</v>
      </c>
      <c r="G80" s="721"/>
      <c r="H80" s="721" t="str">
        <f t="shared" si="248"/>
        <v>-</v>
      </c>
      <c r="I80" s="721" t="str">
        <f t="shared" si="249"/>
        <v>-</v>
      </c>
      <c r="J80" s="721"/>
      <c r="K80" s="721" t="str">
        <f t="shared" si="250"/>
        <v>-</v>
      </c>
      <c r="L80" s="721" t="str">
        <f t="shared" si="251"/>
        <v>-</v>
      </c>
      <c r="M80" s="721"/>
      <c r="N80" s="721" t="str">
        <f t="shared" si="252"/>
        <v>-</v>
      </c>
      <c r="O80" s="721" t="str">
        <f t="shared" si="253"/>
        <v>-</v>
      </c>
      <c r="P80" s="721"/>
      <c r="Q80" s="721" t="str">
        <f t="shared" si="254"/>
        <v>-</v>
      </c>
      <c r="R80" s="721" t="str">
        <f t="shared" si="255"/>
        <v>-</v>
      </c>
      <c r="S80" s="721"/>
      <c r="T80" s="721" t="str">
        <f t="shared" si="256"/>
        <v>-</v>
      </c>
      <c r="U80" s="721" t="str">
        <f t="shared" si="257"/>
        <v>-</v>
      </c>
      <c r="V80" s="162"/>
      <c r="W80" s="841"/>
      <c r="X80" s="179">
        <f ca="1">Horarios!C80</f>
        <v>46201.166666666664</v>
      </c>
      <c r="Y80" s="180">
        <f ca="1">Horarios!C80</f>
        <v>46201.166666666664</v>
      </c>
      <c r="Z80" s="181" t="str">
        <f>$Z$8</f>
        <v>J3</v>
      </c>
      <c r="AA80" s="182" t="str">
        <f ca="1">A78</f>
        <v>Argelia</v>
      </c>
      <c r="AB80" s="457" t="str" cm="1">
        <f t="array" aca="1" ref="AB80" ca="1">Ver_flag_local</f>
        <v/>
      </c>
      <c r="AC80" s="183"/>
      <c r="AD80" s="184"/>
      <c r="AE80" s="462" t="str" cm="1">
        <f t="array" aca="1" ref="AE80" ca="1">Ver_flag_visit</f>
        <v/>
      </c>
      <c r="AF80" s="185" t="str">
        <f ca="1">A79</f>
        <v>Austria</v>
      </c>
      <c r="AG80" s="396">
        <f t="shared" si="258"/>
        <v>0</v>
      </c>
      <c r="AH80" s="186">
        <v>69</v>
      </c>
      <c r="AI80" s="15" t="str">
        <f t="shared" si="263"/>
        <v>3J</v>
      </c>
      <c r="AJ80" s="211">
        <v>3</v>
      </c>
      <c r="AK80" s="465" t="str" cm="1">
        <f t="array" aca="1" ref="AK80" ca="1">Ver_flag_visit</f>
        <v/>
      </c>
      <c r="AL80" s="212" t="str">
        <f ca="1">IFERROR(INDEX($BD$6:$BD$53,MATCH(AI80,$BN$6:$BN$53,0)),"")</f>
        <v>Austria</v>
      </c>
      <c r="AM80" s="213">
        <f t="shared" ca="1" si="262"/>
        <v>0</v>
      </c>
      <c r="AN80" s="214">
        <f t="shared" ca="1" si="262"/>
        <v>0</v>
      </c>
      <c r="AO80" s="214">
        <f t="shared" ca="1" si="262"/>
        <v>0</v>
      </c>
      <c r="AP80" s="214">
        <f t="shared" ca="1" si="262"/>
        <v>0</v>
      </c>
      <c r="AQ80" s="214">
        <f t="shared" ca="1" si="262"/>
        <v>0</v>
      </c>
      <c r="AR80" s="214">
        <f t="shared" ca="1" si="262"/>
        <v>0</v>
      </c>
      <c r="AS80" s="214">
        <f t="shared" ca="1" si="262"/>
        <v>0</v>
      </c>
      <c r="AT80" s="215">
        <f t="shared" ca="1" si="262"/>
        <v>0</v>
      </c>
      <c r="AU80" s="403">
        <f ca="1">INDEX($DL$6:$DL$53,MATCH(AI80,$DP$6:$DP$53,0))</f>
        <v>1</v>
      </c>
      <c r="AV80" s="207" t="str">
        <f ca="1">INDEX($BD$6:$BD$53,MATCH(AI80,$BM$6:$BM$53,0))</f>
        <v>Austria</v>
      </c>
      <c r="AW80" s="410"/>
      <c r="AX80" s="208"/>
      <c r="AY80" s="209" t="str">
        <f ca="1">+A79</f>
        <v>Austria</v>
      </c>
      <c r="AZ80" s="210"/>
      <c r="BA80" s="165"/>
      <c r="BB80" s="721"/>
      <c r="BC80" s="721"/>
      <c r="BD80" s="721"/>
      <c r="BE80" s="721"/>
      <c r="BF80" s="721"/>
      <c r="BG80" s="721"/>
      <c r="BH80" s="721"/>
      <c r="BI80" s="721"/>
      <c r="BJ80" s="721"/>
      <c r="BK80" s="721"/>
      <c r="BL80" s="721"/>
      <c r="BM80" s="721"/>
      <c r="BN80" s="726"/>
      <c r="BO80" s="726"/>
      <c r="BP80" s="726"/>
      <c r="BQ80" s="726"/>
      <c r="BR80" s="721"/>
      <c r="BS80" s="721"/>
      <c r="BT80" s="726"/>
      <c r="BU80" s="726"/>
      <c r="BV80" s="726"/>
      <c r="BW80" s="726"/>
      <c r="BX80" s="726"/>
      <c r="BY80" s="726"/>
      <c r="BZ80" s="726"/>
      <c r="CA80" s="726"/>
      <c r="CB80" s="726"/>
      <c r="CC80" s="726"/>
      <c r="CD80" s="726"/>
      <c r="CE80" s="726"/>
      <c r="CF80" s="726"/>
      <c r="CG80" s="726"/>
      <c r="CH80" s="726"/>
      <c r="CI80" s="726"/>
      <c r="CJ80" s="726"/>
      <c r="CK80" s="726"/>
      <c r="CL80" s="726"/>
      <c r="CM80" s="726"/>
      <c r="CN80" s="726"/>
      <c r="CO80" s="726"/>
      <c r="CP80" s="726"/>
      <c r="CQ80" s="726"/>
      <c r="CR80" s="726"/>
      <c r="CS80" s="726"/>
      <c r="CT80" s="726"/>
      <c r="CU80" s="726"/>
      <c r="CV80" s="726"/>
      <c r="CW80" s="721"/>
      <c r="CX80" s="726"/>
      <c r="CY80" s="721"/>
      <c r="CZ80" s="721"/>
      <c r="DA80" s="721"/>
      <c r="DB80" s="721"/>
      <c r="DC80" s="721"/>
      <c r="DD80" s="721"/>
      <c r="DE80" s="721"/>
      <c r="DF80" s="721"/>
      <c r="DG80" s="721"/>
      <c r="DH80" s="721"/>
      <c r="DI80" s="721"/>
      <c r="DJ80" s="721"/>
      <c r="DK80" s="721"/>
      <c r="DL80" s="721"/>
      <c r="DM80" s="721"/>
      <c r="DN80" s="721"/>
      <c r="DO80" s="721"/>
      <c r="DP80" s="721"/>
      <c r="DQ80" s="721"/>
      <c r="DR80" s="721"/>
      <c r="DS80" s="721"/>
      <c r="DT80" s="721" t="str">
        <f t="shared" ca="1" si="242"/>
        <v>Argelia-Austria</v>
      </c>
      <c r="DU80" s="721"/>
      <c r="DV80" s="721"/>
      <c r="DW80" s="8"/>
    </row>
    <row r="81" spans="1:127" ht="17.100000000000001" customHeight="1" thickBot="1">
      <c r="A81" s="716"/>
      <c r="B81" s="716"/>
      <c r="C81" s="716"/>
      <c r="D81" s="721" t="str">
        <f t="shared" si="245"/>
        <v>Pendiente</v>
      </c>
      <c r="E81" s="721" t="str">
        <f t="shared" si="246"/>
        <v>-</v>
      </c>
      <c r="F81" s="721" t="str">
        <f t="shared" si="247"/>
        <v>-</v>
      </c>
      <c r="G81" s="721"/>
      <c r="H81" s="721" t="str">
        <f t="shared" si="248"/>
        <v>-</v>
      </c>
      <c r="I81" s="721" t="str">
        <f t="shared" si="249"/>
        <v>-</v>
      </c>
      <c r="J81" s="721"/>
      <c r="K81" s="721" t="str">
        <f t="shared" si="250"/>
        <v>-</v>
      </c>
      <c r="L81" s="721" t="str">
        <f t="shared" si="251"/>
        <v>-</v>
      </c>
      <c r="M81" s="721"/>
      <c r="N81" s="721" t="str">
        <f t="shared" si="252"/>
        <v>-</v>
      </c>
      <c r="O81" s="721" t="str">
        <f t="shared" si="253"/>
        <v>-</v>
      </c>
      <c r="P81" s="721"/>
      <c r="Q81" s="721" t="str">
        <f t="shared" si="254"/>
        <v>-</v>
      </c>
      <c r="R81" s="721" t="str">
        <f t="shared" si="255"/>
        <v>-</v>
      </c>
      <c r="S81" s="721"/>
      <c r="T81" s="721" t="str">
        <f t="shared" si="256"/>
        <v>-</v>
      </c>
      <c r="U81" s="721" t="str">
        <f t="shared" si="257"/>
        <v>-</v>
      </c>
      <c r="V81" s="162"/>
      <c r="W81" s="842"/>
      <c r="X81" s="218">
        <f ca="1">Horarios!C81</f>
        <v>46201.166666666664</v>
      </c>
      <c r="Y81" s="219">
        <f ca="1">Horarios!C81</f>
        <v>46201.166666666664</v>
      </c>
      <c r="Z81" s="220" t="str">
        <f>$Z$8</f>
        <v>J3</v>
      </c>
      <c r="AA81" s="221" t="str">
        <f ca="1">A80</f>
        <v>Jordania</v>
      </c>
      <c r="AB81" s="458" t="str" cm="1">
        <f t="array" aca="1" ref="AB81" ca="1">Ver_flag_local</f>
        <v/>
      </c>
      <c r="AC81" s="222"/>
      <c r="AD81" s="223"/>
      <c r="AE81" s="463" t="str" cm="1">
        <f t="array" aca="1" ref="AE81" ca="1">Ver_flag_visit</f>
        <v/>
      </c>
      <c r="AF81" s="224" t="str">
        <f ca="1">A77</f>
        <v>Argentina</v>
      </c>
      <c r="AG81" s="396">
        <f t="shared" si="258"/>
        <v>0</v>
      </c>
      <c r="AH81" s="186">
        <v>70</v>
      </c>
      <c r="AI81" s="15" t="str">
        <f t="shared" si="263"/>
        <v>4J</v>
      </c>
      <c r="AJ81" s="225">
        <v>4</v>
      </c>
      <c r="AK81" s="466" t="str" cm="1">
        <f t="array" aca="1" ref="AK81" ca="1">Ver_flag_visit</f>
        <v/>
      </c>
      <c r="AL81" s="226" t="str">
        <f ca="1">IFERROR(INDEX($BD$6:$BD$53,MATCH(AI81,$BN$6:$BN$53,0)),"")</f>
        <v>Jordania</v>
      </c>
      <c r="AM81" s="227">
        <f t="shared" ca="1" si="262"/>
        <v>0</v>
      </c>
      <c r="AN81" s="228">
        <f t="shared" ca="1" si="262"/>
        <v>0</v>
      </c>
      <c r="AO81" s="228">
        <f t="shared" ca="1" si="262"/>
        <v>0</v>
      </c>
      <c r="AP81" s="228">
        <f t="shared" ca="1" si="262"/>
        <v>0</v>
      </c>
      <c r="AQ81" s="228">
        <f t="shared" ca="1" si="262"/>
        <v>0</v>
      </c>
      <c r="AR81" s="228">
        <f t="shared" ca="1" si="262"/>
        <v>0</v>
      </c>
      <c r="AS81" s="228">
        <f t="shared" ca="1" si="262"/>
        <v>0</v>
      </c>
      <c r="AT81" s="229">
        <f t="shared" ca="1" si="262"/>
        <v>0</v>
      </c>
      <c r="AU81" s="403">
        <f ca="1">INDEX($DL$6:$DL$53,MATCH(AI81,$DP$6:$DP$53,0))</f>
        <v>1</v>
      </c>
      <c r="AV81" s="207" t="str">
        <f ca="1">INDEX($BD$6:$BD$53,MATCH(AI81,$BM$6:$BM$53,0))</f>
        <v>Jordania</v>
      </c>
      <c r="AW81" s="410"/>
      <c r="AX81" s="208"/>
      <c r="AY81" s="230" t="str">
        <f ca="1">+A80</f>
        <v>Jordania</v>
      </c>
      <c r="AZ81" s="231"/>
      <c r="BA81" s="165"/>
      <c r="BB81" s="721"/>
      <c r="BC81" s="721"/>
      <c r="BD81" s="721"/>
      <c r="BE81" s="721"/>
      <c r="BF81" s="721"/>
      <c r="BG81" s="721"/>
      <c r="BH81" s="721"/>
      <c r="BI81" s="721"/>
      <c r="BJ81" s="721"/>
      <c r="BK81" s="721"/>
      <c r="BL81" s="721"/>
      <c r="BM81" s="721"/>
      <c r="BN81" s="726"/>
      <c r="BO81" s="726"/>
      <c r="BP81" s="726"/>
      <c r="BQ81" s="726"/>
      <c r="BR81" s="721"/>
      <c r="BS81" s="721"/>
      <c r="BT81" s="726"/>
      <c r="BU81" s="726"/>
      <c r="BV81" s="726"/>
      <c r="BW81" s="726"/>
      <c r="BX81" s="726"/>
      <c r="BY81" s="726"/>
      <c r="BZ81" s="726"/>
      <c r="CA81" s="726"/>
      <c r="CB81" s="726"/>
      <c r="CC81" s="726"/>
      <c r="CD81" s="726"/>
      <c r="CE81" s="726"/>
      <c r="CF81" s="726"/>
      <c r="CG81" s="726"/>
      <c r="CH81" s="726"/>
      <c r="CI81" s="726"/>
      <c r="CJ81" s="726"/>
      <c r="CK81" s="726"/>
      <c r="CL81" s="726"/>
      <c r="CM81" s="726"/>
      <c r="CN81" s="726"/>
      <c r="CO81" s="726"/>
      <c r="CP81" s="726"/>
      <c r="CQ81" s="726"/>
      <c r="CR81" s="726"/>
      <c r="CS81" s="726"/>
      <c r="CT81" s="726"/>
      <c r="CU81" s="726"/>
      <c r="CV81" s="726"/>
      <c r="CW81" s="721"/>
      <c r="CX81" s="726"/>
      <c r="CY81" s="721"/>
      <c r="CZ81" s="721"/>
      <c r="DA81" s="721"/>
      <c r="DB81" s="721"/>
      <c r="DC81" s="721"/>
      <c r="DD81" s="721"/>
      <c r="DE81" s="721"/>
      <c r="DF81" s="721"/>
      <c r="DG81" s="721"/>
      <c r="DH81" s="721"/>
      <c r="DI81" s="721"/>
      <c r="DJ81" s="721"/>
      <c r="DK81" s="721"/>
      <c r="DL81" s="721"/>
      <c r="DM81" s="721"/>
      <c r="DN81" s="721"/>
      <c r="DO81" s="721"/>
      <c r="DP81" s="721"/>
      <c r="DQ81" s="721"/>
      <c r="DR81" s="721"/>
      <c r="DS81" s="721"/>
      <c r="DT81" s="721" t="str">
        <f t="shared" ca="1" si="242"/>
        <v>Jordania-Argentina</v>
      </c>
      <c r="DU81" s="721"/>
      <c r="DV81" s="721"/>
      <c r="DW81" s="8"/>
    </row>
    <row r="82" spans="1:127" ht="15.75" thickBot="1">
      <c r="A82" s="716"/>
      <c r="B82" s="716"/>
      <c r="C82" s="716"/>
      <c r="D82" s="721"/>
      <c r="E82" s="721"/>
      <c r="F82" s="721"/>
      <c r="G82" s="721"/>
      <c r="H82" s="721"/>
      <c r="I82" s="721"/>
      <c r="J82" s="721"/>
      <c r="K82" s="721"/>
      <c r="L82" s="721"/>
      <c r="M82" s="721"/>
      <c r="N82" s="721"/>
      <c r="O82" s="721"/>
      <c r="P82" s="721"/>
      <c r="Q82" s="721"/>
      <c r="R82" s="721"/>
      <c r="S82" s="721"/>
      <c r="T82" s="721"/>
      <c r="U82" s="721"/>
      <c r="V82" s="162"/>
      <c r="W82" s="232"/>
      <c r="X82" s="233"/>
      <c r="Y82" s="232"/>
      <c r="Z82" s="234"/>
      <c r="AA82" s="235"/>
      <c r="AB82" s="461"/>
      <c r="AC82" s="237"/>
      <c r="AD82" s="237"/>
      <c r="AE82" s="461"/>
      <c r="AF82" s="238"/>
      <c r="AG82" s="398"/>
      <c r="AH82" s="186"/>
      <c r="AI82" s="161"/>
      <c r="AJ82" s="239"/>
      <c r="AK82" s="240"/>
      <c r="AL82" s="176"/>
      <c r="AM82" s="241"/>
      <c r="AN82" s="239"/>
      <c r="AO82" s="239"/>
      <c r="AP82" s="239"/>
      <c r="AQ82" s="239"/>
      <c r="AR82" s="239"/>
      <c r="AS82" s="239"/>
      <c r="AT82" s="239"/>
      <c r="AU82" s="403"/>
      <c r="AV82" s="206"/>
      <c r="AW82" s="411"/>
      <c r="AX82" s="208"/>
      <c r="AY82" s="232"/>
      <c r="AZ82" s="233"/>
      <c r="BA82" s="165"/>
      <c r="BB82" s="721"/>
      <c r="BC82" s="721"/>
      <c r="BD82" s="721"/>
      <c r="BE82" s="721"/>
      <c r="BF82" s="721"/>
      <c r="BG82" s="721"/>
      <c r="BH82" s="721"/>
      <c r="BI82" s="721"/>
      <c r="BJ82" s="721"/>
      <c r="BK82" s="721"/>
      <c r="BL82" s="721"/>
      <c r="BM82" s="721"/>
      <c r="BN82" s="726"/>
      <c r="BO82" s="726"/>
      <c r="BP82" s="726"/>
      <c r="BQ82" s="726"/>
      <c r="BR82" s="721"/>
      <c r="BS82" s="721"/>
      <c r="BT82" s="726"/>
      <c r="BU82" s="726"/>
      <c r="BV82" s="726"/>
      <c r="BW82" s="726"/>
      <c r="BX82" s="726"/>
      <c r="BY82" s="726"/>
      <c r="BZ82" s="726"/>
      <c r="CA82" s="726"/>
      <c r="CB82" s="726"/>
      <c r="CC82" s="726"/>
      <c r="CD82" s="726"/>
      <c r="CE82" s="726"/>
      <c r="CF82" s="726"/>
      <c r="CG82" s="726"/>
      <c r="CH82" s="726"/>
      <c r="CI82" s="726"/>
      <c r="CJ82" s="726"/>
      <c r="CK82" s="726"/>
      <c r="CL82" s="726"/>
      <c r="CM82" s="726"/>
      <c r="CN82" s="726"/>
      <c r="CO82" s="726"/>
      <c r="CP82" s="726"/>
      <c r="CQ82" s="726"/>
      <c r="CR82" s="726"/>
      <c r="CS82" s="726"/>
      <c r="CT82" s="726"/>
      <c r="CU82" s="726"/>
      <c r="CV82" s="726"/>
      <c r="CW82" s="721"/>
      <c r="CX82" s="726"/>
      <c r="CY82" s="721"/>
      <c r="CZ82" s="721"/>
      <c r="DA82" s="721"/>
      <c r="DB82" s="721"/>
      <c r="DC82" s="721"/>
      <c r="DD82" s="721"/>
      <c r="DE82" s="721"/>
      <c r="DF82" s="721"/>
      <c r="DG82" s="721"/>
      <c r="DH82" s="721"/>
      <c r="DI82" s="721"/>
      <c r="DJ82" s="721"/>
      <c r="DK82" s="721"/>
      <c r="DL82" s="721"/>
      <c r="DM82" s="721"/>
      <c r="DN82" s="721"/>
      <c r="DO82" s="721"/>
      <c r="DP82" s="721"/>
      <c r="DQ82" s="721"/>
      <c r="DR82" s="721"/>
      <c r="DS82" s="721"/>
      <c r="DT82" s="721" t="str">
        <f t="shared" si="242"/>
        <v>-</v>
      </c>
      <c r="DU82" s="721"/>
      <c r="DV82" s="721"/>
      <c r="DW82" s="8"/>
    </row>
    <row r="83" spans="1:127" ht="15.75" thickBot="1">
      <c r="A83" s="716"/>
      <c r="B83" s="719"/>
      <c r="C83" s="716"/>
      <c r="D83" s="716"/>
      <c r="E83" s="716"/>
      <c r="F83" s="716"/>
      <c r="G83" s="716"/>
      <c r="H83" s="716"/>
      <c r="I83" s="716"/>
      <c r="J83" s="716"/>
      <c r="K83" s="716"/>
      <c r="L83" s="716"/>
      <c r="M83" s="716"/>
      <c r="N83" s="721"/>
      <c r="O83" s="721"/>
      <c r="P83" s="721"/>
      <c r="Q83" s="721"/>
      <c r="R83" s="721"/>
      <c r="S83" s="721"/>
      <c r="T83" s="721"/>
      <c r="U83" s="721"/>
      <c r="V83" s="162"/>
      <c r="W83" s="169"/>
      <c r="X83" s="170" t="str">
        <f>X3</f>
        <v>Fecha</v>
      </c>
      <c r="Y83" s="170" t="str">
        <f>Y3</f>
        <v>Hora</v>
      </c>
      <c r="Z83" s="171" t="str">
        <f>Z3</f>
        <v>Jor.</v>
      </c>
      <c r="AA83" s="172" t="str">
        <f>AA3</f>
        <v>Casa</v>
      </c>
      <c r="AB83" s="171"/>
      <c r="AC83" s="171" t="str">
        <f>AC3</f>
        <v>Gol</v>
      </c>
      <c r="AD83" s="171" t="str">
        <f>AD3</f>
        <v>Gol</v>
      </c>
      <c r="AE83" s="171"/>
      <c r="AF83" s="174" t="str">
        <f>AF3</f>
        <v>Fuera</v>
      </c>
      <c r="AG83" s="397"/>
      <c r="AH83" s="186"/>
      <c r="AI83" s="14"/>
      <c r="AJ83" s="176"/>
      <c r="AK83" s="242"/>
      <c r="AL83" s="176"/>
      <c r="AM83" s="176"/>
      <c r="AN83" s="176"/>
      <c r="AO83" s="176"/>
      <c r="AP83" s="176"/>
      <c r="AQ83" s="176"/>
      <c r="AR83" s="176"/>
      <c r="AS83" s="176"/>
      <c r="AT83" s="176"/>
      <c r="AU83" s="404"/>
      <c r="AV83" s="18"/>
      <c r="AW83" s="412"/>
      <c r="AX83" s="243"/>
      <c r="AY83" s="232"/>
      <c r="AZ83" s="233"/>
      <c r="BA83" s="165"/>
      <c r="BB83" s="721"/>
      <c r="BC83" s="721"/>
      <c r="BD83" s="721"/>
      <c r="BE83" s="721"/>
      <c r="BF83" s="721"/>
      <c r="BG83" s="721"/>
      <c r="BH83" s="721"/>
      <c r="BI83" s="721"/>
      <c r="BJ83" s="721"/>
      <c r="BK83" s="721"/>
      <c r="BL83" s="721"/>
      <c r="BM83" s="721"/>
      <c r="BN83" s="721"/>
      <c r="BO83" s="721"/>
      <c r="BP83" s="721"/>
      <c r="BQ83" s="721"/>
      <c r="BR83" s="721"/>
      <c r="BS83" s="721"/>
      <c r="BT83" s="721"/>
      <c r="BU83" s="721"/>
      <c r="BV83" s="721"/>
      <c r="BW83" s="721"/>
      <c r="BX83" s="721"/>
      <c r="BY83" s="721"/>
      <c r="BZ83" s="721"/>
      <c r="CA83" s="721"/>
      <c r="CB83" s="721"/>
      <c r="CC83" s="721"/>
      <c r="CD83" s="721"/>
      <c r="CE83" s="721"/>
      <c r="CF83" s="721"/>
      <c r="CG83" s="721"/>
      <c r="CH83" s="721"/>
      <c r="CI83" s="721"/>
      <c r="CJ83" s="721"/>
      <c r="CK83" s="721"/>
      <c r="CL83" s="721"/>
      <c r="CM83" s="721"/>
      <c r="CN83" s="721"/>
      <c r="CO83" s="721"/>
      <c r="CP83" s="721"/>
      <c r="CQ83" s="721"/>
      <c r="CR83" s="721"/>
      <c r="CS83" s="721"/>
      <c r="CT83" s="721"/>
      <c r="CU83" s="721"/>
      <c r="CV83" s="721"/>
      <c r="CW83" s="721"/>
      <c r="CX83" s="721"/>
      <c r="CY83" s="721"/>
      <c r="CZ83" s="721"/>
      <c r="DA83" s="721"/>
      <c r="DB83" s="721"/>
      <c r="DC83" s="721"/>
      <c r="DD83" s="721"/>
      <c r="DE83" s="721"/>
      <c r="DF83" s="721"/>
      <c r="DG83" s="721"/>
      <c r="DH83" s="721"/>
      <c r="DI83" s="721"/>
      <c r="DJ83" s="721"/>
      <c r="DK83" s="721"/>
      <c r="DL83" s="721"/>
      <c r="DM83" s="721"/>
      <c r="DN83" s="721"/>
      <c r="DO83" s="721"/>
      <c r="DP83" s="721"/>
      <c r="DQ83" s="721"/>
      <c r="DR83" s="721"/>
      <c r="DS83" s="721"/>
      <c r="DT83" s="721" t="str">
        <f t="shared" si="242"/>
        <v>Casa-Fuera</v>
      </c>
      <c r="DU83" s="721"/>
      <c r="DV83" s="721"/>
      <c r="DW83" s="8"/>
    </row>
    <row r="84" spans="1:127" ht="15" customHeight="1" thickBot="1">
      <c r="A84" s="718" t="s">
        <v>30</v>
      </c>
      <c r="B84" s="719" t="s">
        <v>439</v>
      </c>
      <c r="C84" s="720">
        <f>COUNTIF(Equipos!$C$2:$C$49,WORLDCUP!B84)</f>
        <v>4</v>
      </c>
      <c r="D84" s="721" t="str">
        <f t="shared" ref="D84:D89" si="264">IF(OR(AC84="",AD84=""),"Pendiente",IF(AC84&gt;AD84,"Local",IF(AC84&lt;AD84,"Visitante","Empate")))</f>
        <v>Pendiente</v>
      </c>
      <c r="E84" s="721" t="str">
        <f t="shared" ref="E84:E89" si="265">IF(D84="Pendiente","-",INDEX($BT$6:$BT$53,MATCH($AA84,$BD$6:$BD$53,0)))</f>
        <v>-</v>
      </c>
      <c r="F84" s="721" t="str">
        <f t="shared" ref="F84:F89" si="266">IF(D84="Pendiente","-",INDEX($BT$6:$BT$53,MATCH($AF84,$BD$6:$BD$53,0)))</f>
        <v>-</v>
      </c>
      <c r="G84" s="721"/>
      <c r="H84" s="721" t="str">
        <f t="shared" ref="H84:H89" si="267">IF(D84="Pendiente","-",INDEX($BZ$6:$BZ$53,MATCH($AA84,$BD$6:$BD$53,0)))</f>
        <v>-</v>
      </c>
      <c r="I84" s="721" t="str">
        <f t="shared" ref="I84:I89" si="268">IF(D84="Pendiente","-",INDEX($BZ$6:$BZ$53,MATCH($AF84,$BD$6:$BD$53,0)))</f>
        <v>-</v>
      </c>
      <c r="J84" s="721"/>
      <c r="K84" s="721" t="str">
        <f t="shared" ref="K84:K89" si="269">IF(D84="Pendiente","-",INDEX($CE$6:$CE$53,MATCH($AA84,$BD$6:$BD$53,0)))</f>
        <v>-</v>
      </c>
      <c r="L84" s="721" t="str">
        <f t="shared" ref="L84:L89" si="270">IF(D84="Pendiente","-",INDEX($CE$6:$CE$53,MATCH($AF84,$BD$6:$BD$53,0)))</f>
        <v>-</v>
      </c>
      <c r="M84" s="721"/>
      <c r="N84" s="721" t="str">
        <f t="shared" ref="N84:N89" si="271">IF(D84="Pendiente","-",INDEX($CH$6:$CH$53,MATCH($AA84,$BD$6:$BD$53,0)))</f>
        <v>-</v>
      </c>
      <c r="O84" s="721" t="str">
        <f t="shared" ref="O84:O89" si="272">IF(D84="Pendiente","-",INDEX($CH$6:$CH$53,MATCH($AF84,$BD$6:$BD$53,0)))</f>
        <v>-</v>
      </c>
      <c r="P84" s="721"/>
      <c r="Q84" s="721" t="str">
        <f t="shared" ref="Q84:Q89" si="273">IF(D84="Pendiente","-",INDEX($CN$6:$CN$53,MATCH($AA84,$BD$6:$BD$53,0)))</f>
        <v>-</v>
      </c>
      <c r="R84" s="721" t="str">
        <f t="shared" ref="R84:R89" si="274">IF(D84="Pendiente","-",INDEX($CN$6:$CN$53,MATCH($AF84,$BD$6:$BD$53,0)))</f>
        <v>-</v>
      </c>
      <c r="S84" s="721"/>
      <c r="T84" s="721" t="str">
        <f t="shared" ref="T84:T89" si="275">IF(D84="Pendiente","-",INDEX($CS$6:$CS$53,MATCH($AA84,$BD$6:$BD$53,0)))</f>
        <v>-</v>
      </c>
      <c r="U84" s="721" t="str">
        <f t="shared" ref="U84:U89" si="276">IF(D84="Pendiente","-",INDEX($CS$6:$CS$53,MATCH($AF84,$BD$6:$BD$53,0)))</f>
        <v>-</v>
      </c>
      <c r="V84" s="162"/>
      <c r="W84" s="847" t="s">
        <v>439</v>
      </c>
      <c r="X84" s="179">
        <f ca="1">Horarios!C84</f>
        <v>46190.791666666664</v>
      </c>
      <c r="Y84" s="180">
        <f ca="1">Horarios!C84</f>
        <v>46190.791666666664</v>
      </c>
      <c r="Z84" s="181" t="str">
        <f>$Z$4</f>
        <v>J1</v>
      </c>
      <c r="AA84" s="182" t="str">
        <f ca="1">A85</f>
        <v>Portugal</v>
      </c>
      <c r="AB84" s="457" t="str" cm="1">
        <f t="array" aca="1" ref="AB84" ca="1">Ver_flag_local</f>
        <v/>
      </c>
      <c r="AC84" s="183"/>
      <c r="AD84" s="184"/>
      <c r="AE84" s="462" t="str" cm="1">
        <f t="array" aca="1" ref="AE84" ca="1">Ver_flag_visit</f>
        <v/>
      </c>
      <c r="AF84" s="185" t="str">
        <f ca="1">A86</f>
        <v>RD Congo</v>
      </c>
      <c r="AG84" s="396">
        <f t="shared" ref="AG84:AG89" si="277">IF(NOT(OR(ISBLANK(AC84),ISBLANK(AD84))),1,0)</f>
        <v>0</v>
      </c>
      <c r="AH84" s="186">
        <v>23</v>
      </c>
      <c r="AI84" s="15"/>
      <c r="AJ84" s="187" t="str">
        <f>CONCATENATE(AJ3," ",B84)</f>
        <v>Grupo K</v>
      </c>
      <c r="AK84" s="188"/>
      <c r="AL84" s="188"/>
      <c r="AM84" s="188"/>
      <c r="AN84" s="188"/>
      <c r="AO84" s="188"/>
      <c r="AP84" s="188"/>
      <c r="AQ84" s="188"/>
      <c r="AR84" s="188"/>
      <c r="AS84" s="188"/>
      <c r="AT84" s="189"/>
      <c r="AU84" s="404"/>
      <c r="AV84" s="190" t="str">
        <f t="shared" ref="AV84" ca="1" si="278">IF(AU85&gt;0,$AV$3,"")</f>
        <v/>
      </c>
      <c r="AW84" s="198"/>
      <c r="AX84" s="245"/>
      <c r="AY84" s="232"/>
      <c r="AZ84" s="233"/>
      <c r="BA84" s="165"/>
      <c r="BB84" s="721"/>
      <c r="BC84" s="721"/>
      <c r="BD84" s="721"/>
      <c r="BE84" s="721"/>
      <c r="BF84" s="721"/>
      <c r="BG84" s="721"/>
      <c r="BH84" s="721"/>
      <c r="BI84" s="721"/>
      <c r="BJ84" s="721"/>
      <c r="BK84" s="721"/>
      <c r="BL84" s="721"/>
      <c r="BM84" s="721"/>
      <c r="BN84" s="721"/>
      <c r="BO84" s="721"/>
      <c r="BP84" s="721"/>
      <c r="BQ84" s="721"/>
      <c r="BR84" s="721"/>
      <c r="BS84" s="721"/>
      <c r="BT84" s="721"/>
      <c r="BU84" s="721"/>
      <c r="BV84" s="721"/>
      <c r="BW84" s="721"/>
      <c r="BX84" s="721"/>
      <c r="BY84" s="721"/>
      <c r="BZ84" s="721"/>
      <c r="CA84" s="721"/>
      <c r="CB84" s="721"/>
      <c r="CC84" s="721"/>
      <c r="CD84" s="721"/>
      <c r="CE84" s="721"/>
      <c r="CF84" s="721"/>
      <c r="CG84" s="721"/>
      <c r="CH84" s="721"/>
      <c r="CI84" s="721"/>
      <c r="CJ84" s="721"/>
      <c r="CK84" s="721"/>
      <c r="CL84" s="721"/>
      <c r="CM84" s="721"/>
      <c r="CN84" s="721"/>
      <c r="CO84" s="721"/>
      <c r="CP84" s="721"/>
      <c r="CQ84" s="721"/>
      <c r="CR84" s="721"/>
      <c r="CS84" s="721"/>
      <c r="CT84" s="721"/>
      <c r="CU84" s="721"/>
      <c r="CV84" s="721"/>
      <c r="CW84" s="721"/>
      <c r="CX84" s="726"/>
      <c r="CY84" s="721"/>
      <c r="CZ84" s="721"/>
      <c r="DA84" s="721"/>
      <c r="DB84" s="721"/>
      <c r="DC84" s="721"/>
      <c r="DD84" s="721"/>
      <c r="DE84" s="721"/>
      <c r="DF84" s="721"/>
      <c r="DG84" s="721"/>
      <c r="DH84" s="721"/>
      <c r="DI84" s="721"/>
      <c r="DJ84" s="721"/>
      <c r="DK84" s="721"/>
      <c r="DL84" s="721"/>
      <c r="DM84" s="721"/>
      <c r="DN84" s="721"/>
      <c r="DO84" s="721"/>
      <c r="DP84" s="721"/>
      <c r="DQ84" s="721"/>
      <c r="DR84" s="721"/>
      <c r="DS84" s="721"/>
      <c r="DT84" s="721" t="str">
        <f t="shared" ca="1" si="242"/>
        <v>Portugal-RD Congo</v>
      </c>
      <c r="DU84" s="721"/>
      <c r="DV84" s="721"/>
      <c r="DW84" s="8"/>
    </row>
    <row r="85" spans="1:127" ht="15.95" customHeight="1">
      <c r="A85" s="722" t="str">
        <f ca="1">+Equipos!B42</f>
        <v>Portugal</v>
      </c>
      <c r="B85" s="719"/>
      <c r="C85" s="719"/>
      <c r="D85" s="721" t="str">
        <f t="shared" si="264"/>
        <v>Pendiente</v>
      </c>
      <c r="E85" s="721" t="str">
        <f t="shared" si="265"/>
        <v>-</v>
      </c>
      <c r="F85" s="721" t="str">
        <f t="shared" si="266"/>
        <v>-</v>
      </c>
      <c r="G85" s="721"/>
      <c r="H85" s="721" t="str">
        <f t="shared" si="267"/>
        <v>-</v>
      </c>
      <c r="I85" s="721" t="str">
        <f t="shared" si="268"/>
        <v>-</v>
      </c>
      <c r="J85" s="721"/>
      <c r="K85" s="721" t="str">
        <f t="shared" si="269"/>
        <v>-</v>
      </c>
      <c r="L85" s="721" t="str">
        <f t="shared" si="270"/>
        <v>-</v>
      </c>
      <c r="M85" s="721"/>
      <c r="N85" s="721" t="str">
        <f t="shared" si="271"/>
        <v>-</v>
      </c>
      <c r="O85" s="721" t="str">
        <f t="shared" si="272"/>
        <v>-</v>
      </c>
      <c r="P85" s="721"/>
      <c r="Q85" s="721" t="str">
        <f t="shared" si="273"/>
        <v>-</v>
      </c>
      <c r="R85" s="721" t="str">
        <f t="shared" si="274"/>
        <v>-</v>
      </c>
      <c r="S85" s="721"/>
      <c r="T85" s="721" t="str">
        <f t="shared" si="275"/>
        <v>-</v>
      </c>
      <c r="U85" s="721" t="str">
        <f t="shared" si="276"/>
        <v>-</v>
      </c>
      <c r="V85" s="162"/>
      <c r="W85" s="847"/>
      <c r="X85" s="179">
        <f ca="1">Horarios!C85</f>
        <v>46191.166666666664</v>
      </c>
      <c r="Y85" s="180">
        <f ca="1">Horarios!C85</f>
        <v>46191.166666666664</v>
      </c>
      <c r="Z85" s="181" t="str">
        <f>$Z$4</f>
        <v>J1</v>
      </c>
      <c r="AA85" s="182" t="str">
        <f ca="1">A87</f>
        <v>Uzbekistán</v>
      </c>
      <c r="AB85" s="457" t="str" cm="1">
        <f t="array" aca="1" ref="AB85" ca="1">Ver_flag_local</f>
        <v/>
      </c>
      <c r="AC85" s="183"/>
      <c r="AD85" s="184"/>
      <c r="AE85" s="462" t="str" cm="1">
        <f t="array" aca="1" ref="AE85" ca="1">Ver_flag_visit</f>
        <v/>
      </c>
      <c r="AF85" s="185" t="str">
        <f ca="1">A88</f>
        <v>Colombia</v>
      </c>
      <c r="AG85" s="396">
        <f t="shared" si="277"/>
        <v>0</v>
      </c>
      <c r="AH85" s="186">
        <v>24</v>
      </c>
      <c r="AI85" s="15"/>
      <c r="AJ85" s="194" t="str">
        <f>AJ5</f>
        <v>Pos</v>
      </c>
      <c r="AK85" s="195"/>
      <c r="AL85" s="196" t="str">
        <f t="shared" ref="AL85:AT85" si="279">AL5</f>
        <v>Selección</v>
      </c>
      <c r="AM85" s="195" t="str">
        <f t="shared" si="279"/>
        <v>Pts</v>
      </c>
      <c r="AN85" s="195" t="str">
        <f t="shared" si="279"/>
        <v>J</v>
      </c>
      <c r="AO85" s="195" t="str">
        <f t="shared" si="279"/>
        <v>G</v>
      </c>
      <c r="AP85" s="195" t="str">
        <f t="shared" si="279"/>
        <v>E</v>
      </c>
      <c r="AQ85" s="195" t="str">
        <f t="shared" si="279"/>
        <v>P</v>
      </c>
      <c r="AR85" s="195" t="str">
        <f t="shared" si="279"/>
        <v>GF</v>
      </c>
      <c r="AS85" s="195" t="str">
        <f t="shared" si="279"/>
        <v>GC</v>
      </c>
      <c r="AT85" s="197" t="str">
        <f t="shared" si="279"/>
        <v>DG</v>
      </c>
      <c r="AU85" s="404">
        <f t="shared" ref="AU85" ca="1" si="280">COUNTIF(AU86:AU89,"&gt;1")</f>
        <v>0</v>
      </c>
      <c r="AV85" s="198"/>
      <c r="AW85" s="198"/>
      <c r="AX85" s="245"/>
      <c r="AY85" s="199" t="str">
        <f>AL85</f>
        <v>Selección</v>
      </c>
      <c r="AZ85" s="200" t="str">
        <f>+Idiomas!$D$69</f>
        <v>Puntos penalizados</v>
      </c>
      <c r="BA85" s="165"/>
      <c r="BB85" s="721"/>
      <c r="BC85" s="721"/>
      <c r="BD85" s="721"/>
      <c r="BE85" s="721"/>
      <c r="BF85" s="721"/>
      <c r="BG85" s="721"/>
      <c r="BH85" s="721"/>
      <c r="BI85" s="721"/>
      <c r="BJ85" s="721"/>
      <c r="BK85" s="721"/>
      <c r="BL85" s="721"/>
      <c r="BM85" s="721"/>
      <c r="BN85" s="724"/>
      <c r="BO85" s="724"/>
      <c r="BP85" s="724"/>
      <c r="BQ85" s="724"/>
      <c r="BR85" s="721"/>
      <c r="BS85" s="721"/>
      <c r="BT85" s="724"/>
      <c r="BU85" s="724"/>
      <c r="BV85" s="724"/>
      <c r="BW85" s="724"/>
      <c r="BX85" s="724"/>
      <c r="BY85" s="724"/>
      <c r="BZ85" s="724"/>
      <c r="CA85" s="724"/>
      <c r="CB85" s="724"/>
      <c r="CC85" s="724"/>
      <c r="CD85" s="724"/>
      <c r="CE85" s="724"/>
      <c r="CF85" s="724"/>
      <c r="CG85" s="724"/>
      <c r="CH85" s="724"/>
      <c r="CI85" s="724"/>
      <c r="CJ85" s="724"/>
      <c r="CK85" s="724"/>
      <c r="CL85" s="724"/>
      <c r="CM85" s="724"/>
      <c r="CN85" s="724"/>
      <c r="CO85" s="724"/>
      <c r="CP85" s="724"/>
      <c r="CQ85" s="724"/>
      <c r="CR85" s="724"/>
      <c r="CS85" s="724"/>
      <c r="CT85" s="724"/>
      <c r="CU85" s="724"/>
      <c r="CV85" s="724"/>
      <c r="CW85" s="721"/>
      <c r="CX85" s="724"/>
      <c r="CY85" s="721"/>
      <c r="CZ85" s="721"/>
      <c r="DA85" s="721"/>
      <c r="DB85" s="721"/>
      <c r="DC85" s="721"/>
      <c r="DD85" s="721"/>
      <c r="DE85" s="721"/>
      <c r="DF85" s="721"/>
      <c r="DG85" s="721"/>
      <c r="DH85" s="721"/>
      <c r="DI85" s="721"/>
      <c r="DJ85" s="721"/>
      <c r="DK85" s="721"/>
      <c r="DL85" s="721"/>
      <c r="DM85" s="721"/>
      <c r="DN85" s="721"/>
      <c r="DO85" s="721"/>
      <c r="DP85" s="721"/>
      <c r="DQ85" s="721"/>
      <c r="DR85" s="721"/>
      <c r="DS85" s="721"/>
      <c r="DT85" s="721" t="str">
        <f t="shared" ca="1" si="242"/>
        <v>Uzbekistán-Colombia</v>
      </c>
      <c r="DU85" s="721"/>
      <c r="DV85" s="721"/>
      <c r="DW85" s="8"/>
    </row>
    <row r="86" spans="1:127" ht="15.95" customHeight="1">
      <c r="A86" s="722" t="str">
        <f ca="1">+Equipos!B43</f>
        <v>RD Congo</v>
      </c>
      <c r="B86" s="719"/>
      <c r="C86" s="723"/>
      <c r="D86" s="721" t="str">
        <f t="shared" si="264"/>
        <v>Pendiente</v>
      </c>
      <c r="E86" s="721" t="str">
        <f t="shared" si="265"/>
        <v>-</v>
      </c>
      <c r="F86" s="721" t="str">
        <f t="shared" si="266"/>
        <v>-</v>
      </c>
      <c r="G86" s="721"/>
      <c r="H86" s="721" t="str">
        <f t="shared" si="267"/>
        <v>-</v>
      </c>
      <c r="I86" s="721" t="str">
        <f t="shared" si="268"/>
        <v>-</v>
      </c>
      <c r="J86" s="721"/>
      <c r="K86" s="721" t="str">
        <f t="shared" si="269"/>
        <v>-</v>
      </c>
      <c r="L86" s="721" t="str">
        <f t="shared" si="270"/>
        <v>-</v>
      </c>
      <c r="M86" s="721"/>
      <c r="N86" s="721" t="str">
        <f t="shared" si="271"/>
        <v>-</v>
      </c>
      <c r="O86" s="721" t="str">
        <f t="shared" si="272"/>
        <v>-</v>
      </c>
      <c r="P86" s="721"/>
      <c r="Q86" s="721" t="str">
        <f t="shared" si="273"/>
        <v>-</v>
      </c>
      <c r="R86" s="721" t="str">
        <f t="shared" si="274"/>
        <v>-</v>
      </c>
      <c r="S86" s="721"/>
      <c r="T86" s="721" t="str">
        <f t="shared" si="275"/>
        <v>-</v>
      </c>
      <c r="U86" s="721" t="str">
        <f t="shared" si="276"/>
        <v>-</v>
      </c>
      <c r="V86" s="162"/>
      <c r="W86" s="847"/>
      <c r="X86" s="179">
        <f ca="1">Horarios!C86</f>
        <v>46196.791666666664</v>
      </c>
      <c r="Y86" s="180">
        <f ca="1">Horarios!C86</f>
        <v>46196.791666666664</v>
      </c>
      <c r="Z86" s="181" t="str">
        <f>$Z$6</f>
        <v>J2</v>
      </c>
      <c r="AA86" s="182" t="str">
        <f ca="1">A85</f>
        <v>Portugal</v>
      </c>
      <c r="AB86" s="457" t="str" cm="1">
        <f t="array" aca="1" ref="AB86" ca="1">Ver_flag_local</f>
        <v/>
      </c>
      <c r="AC86" s="183"/>
      <c r="AD86" s="184"/>
      <c r="AE86" s="462" t="str" cm="1">
        <f t="array" aca="1" ref="AE86" ca="1">Ver_flag_visit</f>
        <v/>
      </c>
      <c r="AF86" s="185" t="str">
        <f ca="1">A87</f>
        <v>Uzbekistán</v>
      </c>
      <c r="AG86" s="396">
        <f t="shared" si="277"/>
        <v>0</v>
      </c>
      <c r="AH86" s="186">
        <v>47</v>
      </c>
      <c r="AI86" s="15" t="str">
        <f>AJ86&amp;$B$84</f>
        <v>1K</v>
      </c>
      <c r="AJ86" s="201">
        <v>1</v>
      </c>
      <c r="AK86" s="467" t="str" cm="1">
        <f t="array" aca="1" ref="AK86" ca="1">Ver_flag_visit</f>
        <v/>
      </c>
      <c r="AL86" s="202" t="str">
        <f ca="1">IFERROR(INDEX($BD$6:$BD$53,MATCH(AI86,$BN$6:$BN$53,0)),"")</f>
        <v>Portugal</v>
      </c>
      <c r="AM86" s="203">
        <f t="shared" ref="AM86:AT89" ca="1" si="281">INDEX($BE$6:$BN$53,MATCH($AL86,$BD$6:$BD$53,0),MATCH(AM$5,$BE$5:$BN$5,0))</f>
        <v>0</v>
      </c>
      <c r="AN86" s="204">
        <f t="shared" ca="1" si="281"/>
        <v>0</v>
      </c>
      <c r="AO86" s="204">
        <f t="shared" ca="1" si="281"/>
        <v>0</v>
      </c>
      <c r="AP86" s="204">
        <f t="shared" ca="1" si="281"/>
        <v>0</v>
      </c>
      <c r="AQ86" s="204">
        <f t="shared" ca="1" si="281"/>
        <v>0</v>
      </c>
      <c r="AR86" s="204">
        <f t="shared" ca="1" si="281"/>
        <v>0</v>
      </c>
      <c r="AS86" s="204">
        <f t="shared" ca="1" si="281"/>
        <v>0</v>
      </c>
      <c r="AT86" s="205">
        <f t="shared" ca="1" si="281"/>
        <v>0</v>
      </c>
      <c r="AU86" s="403">
        <f ca="1">INDEX($DL$6:$DL$53,MATCH(AI86,$DP$6:$DP$53,0))</f>
        <v>1</v>
      </c>
      <c r="AV86" s="207" t="str">
        <f ca="1">INDEX($BD$6:$BD$53,MATCH(AI86,$BM$6:$BM$53,0))</f>
        <v>Portugal</v>
      </c>
      <c r="AW86" s="410"/>
      <c r="AX86" s="208"/>
      <c r="AY86" s="209" t="str">
        <f ca="1">+A85</f>
        <v>Portugal</v>
      </c>
      <c r="AZ86" s="210"/>
      <c r="BA86" s="165"/>
      <c r="BB86" s="721"/>
      <c r="BC86" s="721"/>
      <c r="BD86" s="721"/>
      <c r="BE86" s="721"/>
      <c r="BF86" s="721"/>
      <c r="BG86" s="721"/>
      <c r="BH86" s="721"/>
      <c r="BI86" s="721"/>
      <c r="BJ86" s="721"/>
      <c r="BK86" s="721"/>
      <c r="BL86" s="721"/>
      <c r="BM86" s="721"/>
      <c r="BN86" s="726"/>
      <c r="BO86" s="726"/>
      <c r="BP86" s="726"/>
      <c r="BQ86" s="726"/>
      <c r="BR86" s="721"/>
      <c r="BS86" s="721"/>
      <c r="BT86" s="726"/>
      <c r="BU86" s="726"/>
      <c r="BV86" s="726"/>
      <c r="BW86" s="726"/>
      <c r="BX86" s="726"/>
      <c r="BY86" s="726"/>
      <c r="BZ86" s="726"/>
      <c r="CA86" s="726"/>
      <c r="CB86" s="726"/>
      <c r="CC86" s="726"/>
      <c r="CD86" s="726"/>
      <c r="CE86" s="726"/>
      <c r="CF86" s="726"/>
      <c r="CG86" s="726"/>
      <c r="CH86" s="726"/>
      <c r="CI86" s="726"/>
      <c r="CJ86" s="726"/>
      <c r="CK86" s="726"/>
      <c r="CL86" s="726"/>
      <c r="CM86" s="726"/>
      <c r="CN86" s="726"/>
      <c r="CO86" s="726"/>
      <c r="CP86" s="726"/>
      <c r="CQ86" s="726"/>
      <c r="CR86" s="726"/>
      <c r="CS86" s="726"/>
      <c r="CT86" s="726"/>
      <c r="CU86" s="726"/>
      <c r="CV86" s="726"/>
      <c r="CW86" s="721"/>
      <c r="CX86" s="726"/>
      <c r="CY86" s="721"/>
      <c r="CZ86" s="721"/>
      <c r="DA86" s="721"/>
      <c r="DB86" s="721"/>
      <c r="DC86" s="721"/>
      <c r="DD86" s="721"/>
      <c r="DE86" s="721"/>
      <c r="DF86" s="721"/>
      <c r="DG86" s="721"/>
      <c r="DH86" s="721"/>
      <c r="DI86" s="721"/>
      <c r="DJ86" s="721"/>
      <c r="DK86" s="721"/>
      <c r="DL86" s="721"/>
      <c r="DM86" s="721"/>
      <c r="DN86" s="721"/>
      <c r="DO86" s="721"/>
      <c r="DP86" s="721"/>
      <c r="DQ86" s="721"/>
      <c r="DR86" s="721"/>
      <c r="DS86" s="721"/>
      <c r="DT86" s="721" t="str">
        <f t="shared" ca="1" si="242"/>
        <v>Portugal-Uzbekistán</v>
      </c>
      <c r="DU86" s="721"/>
      <c r="DV86" s="721"/>
      <c r="DW86" s="8"/>
    </row>
    <row r="87" spans="1:127" ht="15.95" customHeight="1">
      <c r="A87" s="722" t="str">
        <f ca="1">+Equipos!B44</f>
        <v>Uzbekistán</v>
      </c>
      <c r="B87" s="719"/>
      <c r="C87" s="721"/>
      <c r="D87" s="721" t="str">
        <f t="shared" si="264"/>
        <v>Pendiente</v>
      </c>
      <c r="E87" s="721" t="str">
        <f t="shared" si="265"/>
        <v>-</v>
      </c>
      <c r="F87" s="721" t="str">
        <f t="shared" si="266"/>
        <v>-</v>
      </c>
      <c r="G87" s="721"/>
      <c r="H87" s="721" t="str">
        <f t="shared" si="267"/>
        <v>-</v>
      </c>
      <c r="I87" s="721" t="str">
        <f t="shared" si="268"/>
        <v>-</v>
      </c>
      <c r="J87" s="721"/>
      <c r="K87" s="721" t="str">
        <f t="shared" si="269"/>
        <v>-</v>
      </c>
      <c r="L87" s="721" t="str">
        <f t="shared" si="270"/>
        <v>-</v>
      </c>
      <c r="M87" s="721"/>
      <c r="N87" s="721" t="str">
        <f t="shared" si="271"/>
        <v>-</v>
      </c>
      <c r="O87" s="721" t="str">
        <f t="shared" si="272"/>
        <v>-</v>
      </c>
      <c r="P87" s="721"/>
      <c r="Q87" s="721" t="str">
        <f t="shared" si="273"/>
        <v>-</v>
      </c>
      <c r="R87" s="721" t="str">
        <f t="shared" si="274"/>
        <v>-</v>
      </c>
      <c r="S87" s="721"/>
      <c r="T87" s="721" t="str">
        <f t="shared" si="275"/>
        <v>-</v>
      </c>
      <c r="U87" s="721" t="str">
        <f t="shared" si="276"/>
        <v>-</v>
      </c>
      <c r="V87" s="162"/>
      <c r="W87" s="847"/>
      <c r="X87" s="179">
        <f ca="1">Horarios!C87</f>
        <v>46197.166666666664</v>
      </c>
      <c r="Y87" s="180">
        <f ca="1">Horarios!C87</f>
        <v>46197.166666666664</v>
      </c>
      <c r="Z87" s="181" t="str">
        <f>$Z$6</f>
        <v>J2</v>
      </c>
      <c r="AA87" s="182" t="str">
        <f ca="1">A88</f>
        <v>Colombia</v>
      </c>
      <c r="AB87" s="457" t="str" cm="1">
        <f t="array" aca="1" ref="AB87" ca="1">Ver_flag_local</f>
        <v/>
      </c>
      <c r="AC87" s="183"/>
      <c r="AD87" s="184"/>
      <c r="AE87" s="462" t="str" cm="1">
        <f t="array" aca="1" ref="AE87" ca="1">Ver_flag_visit</f>
        <v/>
      </c>
      <c r="AF87" s="185" t="str">
        <f ca="1">A86</f>
        <v>RD Congo</v>
      </c>
      <c r="AG87" s="396">
        <f t="shared" si="277"/>
        <v>0</v>
      </c>
      <c r="AH87" s="186">
        <v>48</v>
      </c>
      <c r="AI87" s="15" t="str">
        <f t="shared" ref="AI87:AI89" si="282">AJ87&amp;$B$84</f>
        <v>2K</v>
      </c>
      <c r="AJ87" s="211">
        <v>2</v>
      </c>
      <c r="AK87" s="465" t="str" cm="1">
        <f t="array" aca="1" ref="AK87" ca="1">Ver_flag_visit</f>
        <v/>
      </c>
      <c r="AL87" s="212" t="str">
        <f ca="1">IFERROR(INDEX($BD$6:$BD$53,MATCH(AI87,$BN$6:$BN$53,0)),"")</f>
        <v>RD Congo</v>
      </c>
      <c r="AM87" s="213">
        <f t="shared" ca="1" si="281"/>
        <v>0</v>
      </c>
      <c r="AN87" s="214">
        <f t="shared" ca="1" si="281"/>
        <v>0</v>
      </c>
      <c r="AO87" s="214">
        <f t="shared" ca="1" si="281"/>
        <v>0</v>
      </c>
      <c r="AP87" s="214">
        <f t="shared" ca="1" si="281"/>
        <v>0</v>
      </c>
      <c r="AQ87" s="214">
        <f t="shared" ca="1" si="281"/>
        <v>0</v>
      </c>
      <c r="AR87" s="214">
        <f t="shared" ca="1" si="281"/>
        <v>0</v>
      </c>
      <c r="AS87" s="214">
        <f t="shared" ca="1" si="281"/>
        <v>0</v>
      </c>
      <c r="AT87" s="215">
        <f t="shared" ca="1" si="281"/>
        <v>0</v>
      </c>
      <c r="AU87" s="403">
        <f ca="1">INDEX($DL$6:$DL$53,MATCH(AI87,$DP$6:$DP$53,0))</f>
        <v>1</v>
      </c>
      <c r="AV87" s="207" t="str">
        <f ca="1">INDEX($BD$6:$BD$53,MATCH(AI87,$BM$6:$BM$53,0))</f>
        <v>RD Congo</v>
      </c>
      <c r="AW87" s="410"/>
      <c r="AX87" s="208"/>
      <c r="AY87" s="216" t="str">
        <f ca="1">+A86</f>
        <v>RD Congo</v>
      </c>
      <c r="AZ87" s="217"/>
      <c r="BA87" s="165"/>
      <c r="BB87" s="721"/>
      <c r="BC87" s="721"/>
      <c r="BD87" s="721"/>
      <c r="BE87" s="721"/>
      <c r="BF87" s="721"/>
      <c r="BG87" s="721"/>
      <c r="BH87" s="721"/>
      <c r="BI87" s="721"/>
      <c r="BJ87" s="721"/>
      <c r="BK87" s="721"/>
      <c r="BL87" s="721"/>
      <c r="BM87" s="721"/>
      <c r="BN87" s="726"/>
      <c r="BO87" s="726"/>
      <c r="BP87" s="726"/>
      <c r="BQ87" s="726"/>
      <c r="BR87" s="721"/>
      <c r="BS87" s="721"/>
      <c r="BT87" s="726"/>
      <c r="BU87" s="726"/>
      <c r="BV87" s="726"/>
      <c r="BW87" s="726"/>
      <c r="BX87" s="726"/>
      <c r="BY87" s="726"/>
      <c r="BZ87" s="726"/>
      <c r="CA87" s="726"/>
      <c r="CB87" s="726"/>
      <c r="CC87" s="726"/>
      <c r="CD87" s="726"/>
      <c r="CE87" s="726"/>
      <c r="CF87" s="726"/>
      <c r="CG87" s="726"/>
      <c r="CH87" s="726"/>
      <c r="CI87" s="726"/>
      <c r="CJ87" s="726"/>
      <c r="CK87" s="726"/>
      <c r="CL87" s="726"/>
      <c r="CM87" s="726"/>
      <c r="CN87" s="726"/>
      <c r="CO87" s="726"/>
      <c r="CP87" s="726"/>
      <c r="CQ87" s="726"/>
      <c r="CR87" s="726"/>
      <c r="CS87" s="726"/>
      <c r="CT87" s="726"/>
      <c r="CU87" s="726"/>
      <c r="CV87" s="726"/>
      <c r="CW87" s="721"/>
      <c r="CX87" s="726"/>
      <c r="CY87" s="721"/>
      <c r="CZ87" s="721"/>
      <c r="DA87" s="721"/>
      <c r="DB87" s="721"/>
      <c r="DC87" s="721"/>
      <c r="DD87" s="721"/>
      <c r="DE87" s="721"/>
      <c r="DF87" s="721"/>
      <c r="DG87" s="721"/>
      <c r="DH87" s="721"/>
      <c r="DI87" s="721"/>
      <c r="DJ87" s="721"/>
      <c r="DK87" s="721"/>
      <c r="DL87" s="721"/>
      <c r="DM87" s="721"/>
      <c r="DN87" s="721"/>
      <c r="DO87" s="721"/>
      <c r="DP87" s="721"/>
      <c r="DQ87" s="721"/>
      <c r="DR87" s="721"/>
      <c r="DS87" s="721"/>
      <c r="DT87" s="721" t="str">
        <f t="shared" ca="1" si="242"/>
        <v>Colombia-RD Congo</v>
      </c>
      <c r="DU87" s="721"/>
      <c r="DV87" s="721"/>
      <c r="DW87" s="8"/>
    </row>
    <row r="88" spans="1:127" ht="15.95" customHeight="1">
      <c r="A88" s="722" t="str">
        <f ca="1">+Equipos!B45</f>
        <v>Colombia</v>
      </c>
      <c r="B88" s="719"/>
      <c r="C88" s="721"/>
      <c r="D88" s="721" t="str">
        <f t="shared" si="264"/>
        <v>Pendiente</v>
      </c>
      <c r="E88" s="721" t="str">
        <f t="shared" si="265"/>
        <v>-</v>
      </c>
      <c r="F88" s="721" t="str">
        <f t="shared" si="266"/>
        <v>-</v>
      </c>
      <c r="G88" s="721"/>
      <c r="H88" s="721" t="str">
        <f t="shared" si="267"/>
        <v>-</v>
      </c>
      <c r="I88" s="721" t="str">
        <f t="shared" si="268"/>
        <v>-</v>
      </c>
      <c r="J88" s="721"/>
      <c r="K88" s="721" t="str">
        <f t="shared" si="269"/>
        <v>-</v>
      </c>
      <c r="L88" s="721" t="str">
        <f t="shared" si="270"/>
        <v>-</v>
      </c>
      <c r="M88" s="721"/>
      <c r="N88" s="721" t="str">
        <f t="shared" si="271"/>
        <v>-</v>
      </c>
      <c r="O88" s="721" t="str">
        <f t="shared" si="272"/>
        <v>-</v>
      </c>
      <c r="P88" s="721"/>
      <c r="Q88" s="721" t="str">
        <f t="shared" si="273"/>
        <v>-</v>
      </c>
      <c r="R88" s="721" t="str">
        <f t="shared" si="274"/>
        <v>-</v>
      </c>
      <c r="S88" s="721"/>
      <c r="T88" s="721" t="str">
        <f t="shared" si="275"/>
        <v>-</v>
      </c>
      <c r="U88" s="721" t="str">
        <f t="shared" si="276"/>
        <v>-</v>
      </c>
      <c r="V88" s="162"/>
      <c r="W88" s="847"/>
      <c r="X88" s="179">
        <f ca="1">Horarios!C88</f>
        <v>46201.0625</v>
      </c>
      <c r="Y88" s="180">
        <f ca="1">Horarios!C88</f>
        <v>46201.0625</v>
      </c>
      <c r="Z88" s="181" t="str">
        <f>$Z$8</f>
        <v>J3</v>
      </c>
      <c r="AA88" s="182" t="str">
        <f ca="1">A88</f>
        <v>Colombia</v>
      </c>
      <c r="AB88" s="457" t="str" cm="1">
        <f t="array" aca="1" ref="AB88" ca="1">Ver_flag_local</f>
        <v/>
      </c>
      <c r="AC88" s="183"/>
      <c r="AD88" s="184"/>
      <c r="AE88" s="462" t="str" cm="1">
        <f t="array" aca="1" ref="AE88" ca="1">Ver_flag_visit</f>
        <v/>
      </c>
      <c r="AF88" s="185" t="str">
        <f ca="1">A85</f>
        <v>Portugal</v>
      </c>
      <c r="AG88" s="396">
        <f t="shared" si="277"/>
        <v>0</v>
      </c>
      <c r="AH88" s="186">
        <v>71</v>
      </c>
      <c r="AI88" s="15" t="str">
        <f t="shared" si="282"/>
        <v>3K</v>
      </c>
      <c r="AJ88" s="211">
        <v>3</v>
      </c>
      <c r="AK88" s="465" t="str" cm="1">
        <f t="array" aca="1" ref="AK88" ca="1">Ver_flag_visit</f>
        <v/>
      </c>
      <c r="AL88" s="212" t="str">
        <f ca="1">IFERROR(INDEX($BD$6:$BD$53,MATCH(AI88,$BN$6:$BN$53,0)),"")</f>
        <v>Uzbekistán</v>
      </c>
      <c r="AM88" s="213">
        <f t="shared" ca="1" si="281"/>
        <v>0</v>
      </c>
      <c r="AN88" s="214">
        <f t="shared" ca="1" si="281"/>
        <v>0</v>
      </c>
      <c r="AO88" s="214">
        <f t="shared" ca="1" si="281"/>
        <v>0</v>
      </c>
      <c r="AP88" s="214">
        <f t="shared" ca="1" si="281"/>
        <v>0</v>
      </c>
      <c r="AQ88" s="214">
        <f t="shared" ca="1" si="281"/>
        <v>0</v>
      </c>
      <c r="AR88" s="214">
        <f t="shared" ca="1" si="281"/>
        <v>0</v>
      </c>
      <c r="AS88" s="214">
        <f t="shared" ca="1" si="281"/>
        <v>0</v>
      </c>
      <c r="AT88" s="215">
        <f t="shared" ca="1" si="281"/>
        <v>0</v>
      </c>
      <c r="AU88" s="403">
        <f ca="1">INDEX($DL$6:$DL$53,MATCH(AI88,$DP$6:$DP$53,0))</f>
        <v>1</v>
      </c>
      <c r="AV88" s="207" t="str">
        <f ca="1">INDEX($BD$6:$BD$53,MATCH(AI88,$BM$6:$BM$53,0))</f>
        <v>Uzbekistán</v>
      </c>
      <c r="AW88" s="410"/>
      <c r="AX88" s="208"/>
      <c r="AY88" s="209" t="str">
        <f ca="1">+A87</f>
        <v>Uzbekistán</v>
      </c>
      <c r="AZ88" s="210"/>
      <c r="BA88" s="165"/>
      <c r="BB88" s="721"/>
      <c r="BC88" s="721"/>
      <c r="BD88" s="721"/>
      <c r="BE88" s="721"/>
      <c r="BF88" s="721"/>
      <c r="BG88" s="721"/>
      <c r="BH88" s="721"/>
      <c r="BI88" s="721"/>
      <c r="BJ88" s="721"/>
      <c r="BK88" s="721"/>
      <c r="BL88" s="721"/>
      <c r="BM88" s="721"/>
      <c r="BN88" s="726"/>
      <c r="BO88" s="726"/>
      <c r="BP88" s="726"/>
      <c r="BQ88" s="726"/>
      <c r="BR88" s="721"/>
      <c r="BS88" s="721"/>
      <c r="BT88" s="726"/>
      <c r="BU88" s="726"/>
      <c r="BV88" s="726"/>
      <c r="BW88" s="726"/>
      <c r="BX88" s="726"/>
      <c r="BY88" s="726"/>
      <c r="BZ88" s="726"/>
      <c r="CA88" s="726"/>
      <c r="CB88" s="726"/>
      <c r="CC88" s="726"/>
      <c r="CD88" s="726"/>
      <c r="CE88" s="726"/>
      <c r="CF88" s="726"/>
      <c r="CG88" s="726"/>
      <c r="CH88" s="726"/>
      <c r="CI88" s="726"/>
      <c r="CJ88" s="726"/>
      <c r="CK88" s="726"/>
      <c r="CL88" s="726"/>
      <c r="CM88" s="726"/>
      <c r="CN88" s="726"/>
      <c r="CO88" s="726"/>
      <c r="CP88" s="726"/>
      <c r="CQ88" s="726"/>
      <c r="CR88" s="726"/>
      <c r="CS88" s="726"/>
      <c r="CT88" s="726"/>
      <c r="CU88" s="726"/>
      <c r="CV88" s="726"/>
      <c r="CW88" s="721"/>
      <c r="CX88" s="726"/>
      <c r="CY88" s="721"/>
      <c r="CZ88" s="721"/>
      <c r="DA88" s="721"/>
      <c r="DB88" s="721"/>
      <c r="DC88" s="721"/>
      <c r="DD88" s="721"/>
      <c r="DE88" s="721"/>
      <c r="DF88" s="721"/>
      <c r="DG88" s="721"/>
      <c r="DH88" s="721"/>
      <c r="DI88" s="721"/>
      <c r="DJ88" s="721"/>
      <c r="DK88" s="721"/>
      <c r="DL88" s="721"/>
      <c r="DM88" s="721"/>
      <c r="DN88" s="721"/>
      <c r="DO88" s="721"/>
      <c r="DP88" s="721"/>
      <c r="DQ88" s="721"/>
      <c r="DR88" s="721"/>
      <c r="DS88" s="721"/>
      <c r="DT88" s="721" t="str">
        <f t="shared" ca="1" si="242"/>
        <v>Colombia-Portugal</v>
      </c>
      <c r="DU88" s="721"/>
      <c r="DV88" s="721"/>
      <c r="DW88" s="8"/>
    </row>
    <row r="89" spans="1:127" ht="17.100000000000001" customHeight="1" thickBot="1">
      <c r="A89" s="716"/>
      <c r="B89" s="716"/>
      <c r="C89" s="716"/>
      <c r="D89" s="721" t="str">
        <f t="shared" si="264"/>
        <v>Pendiente</v>
      </c>
      <c r="E89" s="721" t="str">
        <f t="shared" si="265"/>
        <v>-</v>
      </c>
      <c r="F89" s="721" t="str">
        <f t="shared" si="266"/>
        <v>-</v>
      </c>
      <c r="G89" s="721"/>
      <c r="H89" s="721" t="str">
        <f t="shared" si="267"/>
        <v>-</v>
      </c>
      <c r="I89" s="721" t="str">
        <f t="shared" si="268"/>
        <v>-</v>
      </c>
      <c r="J89" s="721"/>
      <c r="K89" s="721" t="str">
        <f t="shared" si="269"/>
        <v>-</v>
      </c>
      <c r="L89" s="721" t="str">
        <f t="shared" si="270"/>
        <v>-</v>
      </c>
      <c r="M89" s="721"/>
      <c r="N89" s="721" t="str">
        <f t="shared" si="271"/>
        <v>-</v>
      </c>
      <c r="O89" s="721" t="str">
        <f t="shared" si="272"/>
        <v>-</v>
      </c>
      <c r="P89" s="721"/>
      <c r="Q89" s="721" t="str">
        <f t="shared" si="273"/>
        <v>-</v>
      </c>
      <c r="R89" s="721" t="str">
        <f t="shared" si="274"/>
        <v>-</v>
      </c>
      <c r="S89" s="721"/>
      <c r="T89" s="721" t="str">
        <f t="shared" si="275"/>
        <v>-</v>
      </c>
      <c r="U89" s="721" t="str">
        <f t="shared" si="276"/>
        <v>-</v>
      </c>
      <c r="V89" s="162"/>
      <c r="W89" s="848"/>
      <c r="X89" s="218">
        <f ca="1">Horarios!C89</f>
        <v>46201.0625</v>
      </c>
      <c r="Y89" s="219">
        <f ca="1">Horarios!C89</f>
        <v>46201.0625</v>
      </c>
      <c r="Z89" s="220" t="str">
        <f>$Z$8</f>
        <v>J3</v>
      </c>
      <c r="AA89" s="221" t="str">
        <f ca="1">A86</f>
        <v>RD Congo</v>
      </c>
      <c r="AB89" s="458" t="str" cm="1">
        <f t="array" aca="1" ref="AB89" ca="1">Ver_flag_local</f>
        <v/>
      </c>
      <c r="AC89" s="222"/>
      <c r="AD89" s="223"/>
      <c r="AE89" s="463" t="str" cm="1">
        <f t="array" aca="1" ref="AE89" ca="1">Ver_flag_visit</f>
        <v/>
      </c>
      <c r="AF89" s="224" t="str">
        <f ca="1">A87</f>
        <v>Uzbekistán</v>
      </c>
      <c r="AG89" s="396">
        <f t="shared" si="277"/>
        <v>0</v>
      </c>
      <c r="AH89" s="186">
        <v>72</v>
      </c>
      <c r="AI89" s="15" t="str">
        <f t="shared" si="282"/>
        <v>4K</v>
      </c>
      <c r="AJ89" s="225">
        <v>4</v>
      </c>
      <c r="AK89" s="466" t="str" cm="1">
        <f t="array" aca="1" ref="AK89" ca="1">Ver_flag_visit</f>
        <v/>
      </c>
      <c r="AL89" s="226" t="str">
        <f ca="1">IFERROR(INDEX($BD$6:$BD$53,MATCH(AI89,$BN$6:$BN$53,0)),"")</f>
        <v>Colombia</v>
      </c>
      <c r="AM89" s="227">
        <f t="shared" ca="1" si="281"/>
        <v>0</v>
      </c>
      <c r="AN89" s="228">
        <f t="shared" ca="1" si="281"/>
        <v>0</v>
      </c>
      <c r="AO89" s="228">
        <f t="shared" ca="1" si="281"/>
        <v>0</v>
      </c>
      <c r="AP89" s="228">
        <f t="shared" ca="1" si="281"/>
        <v>0</v>
      </c>
      <c r="AQ89" s="228">
        <f t="shared" ca="1" si="281"/>
        <v>0</v>
      </c>
      <c r="AR89" s="228">
        <f t="shared" ca="1" si="281"/>
        <v>0</v>
      </c>
      <c r="AS89" s="228">
        <f t="shared" ca="1" si="281"/>
        <v>0</v>
      </c>
      <c r="AT89" s="229">
        <f t="shared" ca="1" si="281"/>
        <v>0</v>
      </c>
      <c r="AU89" s="403">
        <f ca="1">INDEX($DL$6:$DL$53,MATCH(AI89,$DP$6:$DP$53,0))</f>
        <v>1</v>
      </c>
      <c r="AV89" s="207" t="str">
        <f ca="1">INDEX($BD$6:$BD$53,MATCH(AI89,$BM$6:$BM$53,0))</f>
        <v>Colombia</v>
      </c>
      <c r="AW89" s="410"/>
      <c r="AX89" s="208"/>
      <c r="AY89" s="230" t="str">
        <f ca="1">+A88</f>
        <v>Colombia</v>
      </c>
      <c r="AZ89" s="231"/>
      <c r="BA89" s="165"/>
      <c r="BB89" s="721"/>
      <c r="BC89" s="721"/>
      <c r="BD89" s="721"/>
      <c r="BE89" s="721"/>
      <c r="BF89" s="721"/>
      <c r="BG89" s="721"/>
      <c r="BH89" s="721"/>
      <c r="BI89" s="721"/>
      <c r="BJ89" s="721"/>
      <c r="BK89" s="721"/>
      <c r="BL89" s="721"/>
      <c r="BM89" s="721"/>
      <c r="BN89" s="726"/>
      <c r="BO89" s="726"/>
      <c r="BP89" s="726"/>
      <c r="BQ89" s="726"/>
      <c r="BR89" s="721"/>
      <c r="BS89" s="721"/>
      <c r="BT89" s="726"/>
      <c r="BU89" s="726"/>
      <c r="BV89" s="726"/>
      <c r="BW89" s="726"/>
      <c r="BX89" s="726"/>
      <c r="BY89" s="726"/>
      <c r="BZ89" s="726"/>
      <c r="CA89" s="726"/>
      <c r="CB89" s="726"/>
      <c r="CC89" s="726"/>
      <c r="CD89" s="726"/>
      <c r="CE89" s="726"/>
      <c r="CF89" s="726"/>
      <c r="CG89" s="726"/>
      <c r="CH89" s="726"/>
      <c r="CI89" s="726"/>
      <c r="CJ89" s="726"/>
      <c r="CK89" s="726"/>
      <c r="CL89" s="726"/>
      <c r="CM89" s="726"/>
      <c r="CN89" s="726"/>
      <c r="CO89" s="726"/>
      <c r="CP89" s="726"/>
      <c r="CQ89" s="726"/>
      <c r="CR89" s="726"/>
      <c r="CS89" s="726"/>
      <c r="CT89" s="726"/>
      <c r="CU89" s="726"/>
      <c r="CV89" s="726"/>
      <c r="CW89" s="721"/>
      <c r="CX89" s="726"/>
      <c r="CY89" s="721"/>
      <c r="CZ89" s="721"/>
      <c r="DA89" s="721"/>
      <c r="DB89" s="721"/>
      <c r="DC89" s="721"/>
      <c r="DD89" s="721"/>
      <c r="DE89" s="721"/>
      <c r="DF89" s="721"/>
      <c r="DG89" s="721"/>
      <c r="DH89" s="721"/>
      <c r="DI89" s="721"/>
      <c r="DJ89" s="721"/>
      <c r="DK89" s="721"/>
      <c r="DL89" s="721"/>
      <c r="DM89" s="721"/>
      <c r="DN89" s="721"/>
      <c r="DO89" s="721"/>
      <c r="DP89" s="721"/>
      <c r="DQ89" s="721"/>
      <c r="DR89" s="721"/>
      <c r="DS89" s="721"/>
      <c r="DT89" s="721" t="str">
        <f t="shared" ca="1" si="242"/>
        <v>RD Congo-Uzbekistán</v>
      </c>
      <c r="DU89" s="721"/>
      <c r="DV89" s="721"/>
      <c r="DW89" s="8"/>
    </row>
    <row r="90" spans="1:127" ht="15.75" thickBot="1">
      <c r="A90" s="716"/>
      <c r="B90" s="716"/>
      <c r="C90" s="716"/>
      <c r="D90" s="721"/>
      <c r="E90" s="721"/>
      <c r="F90" s="721"/>
      <c r="G90" s="721"/>
      <c r="H90" s="721"/>
      <c r="I90" s="721"/>
      <c r="J90" s="721"/>
      <c r="K90" s="721"/>
      <c r="L90" s="721"/>
      <c r="M90" s="721"/>
      <c r="N90" s="721"/>
      <c r="O90" s="721"/>
      <c r="P90" s="721"/>
      <c r="Q90" s="721"/>
      <c r="R90" s="721"/>
      <c r="S90" s="721"/>
      <c r="T90" s="721"/>
      <c r="U90" s="721"/>
      <c r="V90" s="162"/>
      <c r="W90" s="232"/>
      <c r="X90" s="233"/>
      <c r="Y90" s="232"/>
      <c r="Z90" s="234"/>
      <c r="AA90" s="235"/>
      <c r="AB90" s="461"/>
      <c r="AC90" s="237"/>
      <c r="AD90" s="237"/>
      <c r="AE90" s="461"/>
      <c r="AF90" s="238"/>
      <c r="AG90" s="398"/>
      <c r="AH90" s="186"/>
      <c r="AI90" s="161"/>
      <c r="AJ90" s="239"/>
      <c r="AK90" s="240"/>
      <c r="AL90" s="176"/>
      <c r="AM90" s="241"/>
      <c r="AN90" s="239"/>
      <c r="AO90" s="239"/>
      <c r="AP90" s="239"/>
      <c r="AQ90" s="239"/>
      <c r="AR90" s="239"/>
      <c r="AS90" s="239"/>
      <c r="AT90" s="239"/>
      <c r="AU90" s="403"/>
      <c r="AV90" s="206"/>
      <c r="AW90" s="411"/>
      <c r="AX90" s="208"/>
      <c r="AY90" s="232"/>
      <c r="AZ90" s="233"/>
      <c r="BA90" s="165"/>
      <c r="BB90" s="721"/>
      <c r="BC90" s="721"/>
      <c r="BD90" s="721"/>
      <c r="BE90" s="721"/>
      <c r="BF90" s="721"/>
      <c r="BG90" s="721"/>
      <c r="BH90" s="721"/>
      <c r="BI90" s="721"/>
      <c r="BJ90" s="721"/>
      <c r="BK90" s="721"/>
      <c r="BL90" s="721"/>
      <c r="BM90" s="721"/>
      <c r="BN90" s="726"/>
      <c r="BO90" s="726"/>
      <c r="BP90" s="726"/>
      <c r="BQ90" s="726"/>
      <c r="BR90" s="721"/>
      <c r="BS90" s="721"/>
      <c r="BT90" s="726"/>
      <c r="BU90" s="726"/>
      <c r="BV90" s="726"/>
      <c r="BW90" s="726"/>
      <c r="BX90" s="726"/>
      <c r="BY90" s="726"/>
      <c r="BZ90" s="726"/>
      <c r="CA90" s="726"/>
      <c r="CB90" s="726"/>
      <c r="CC90" s="726"/>
      <c r="CD90" s="726"/>
      <c r="CE90" s="726"/>
      <c r="CF90" s="726"/>
      <c r="CG90" s="726"/>
      <c r="CH90" s="726"/>
      <c r="CI90" s="726"/>
      <c r="CJ90" s="726"/>
      <c r="CK90" s="726"/>
      <c r="CL90" s="726"/>
      <c r="CM90" s="726"/>
      <c r="CN90" s="726"/>
      <c r="CO90" s="726"/>
      <c r="CP90" s="726"/>
      <c r="CQ90" s="726"/>
      <c r="CR90" s="726"/>
      <c r="CS90" s="726"/>
      <c r="CT90" s="726"/>
      <c r="CU90" s="726"/>
      <c r="CV90" s="726"/>
      <c r="CW90" s="721"/>
      <c r="CX90" s="726"/>
      <c r="CY90" s="721"/>
      <c r="CZ90" s="721"/>
      <c r="DA90" s="721"/>
      <c r="DB90" s="721"/>
      <c r="DC90" s="721"/>
      <c r="DD90" s="721"/>
      <c r="DE90" s="721"/>
      <c r="DF90" s="721"/>
      <c r="DG90" s="721"/>
      <c r="DH90" s="721"/>
      <c r="DI90" s="721"/>
      <c r="DJ90" s="721"/>
      <c r="DK90" s="721"/>
      <c r="DL90" s="721"/>
      <c r="DM90" s="721"/>
      <c r="DN90" s="721"/>
      <c r="DO90" s="721"/>
      <c r="DP90" s="721"/>
      <c r="DQ90" s="721"/>
      <c r="DR90" s="721"/>
      <c r="DS90" s="721"/>
      <c r="DT90" s="721" t="str">
        <f t="shared" si="242"/>
        <v>-</v>
      </c>
      <c r="DU90" s="721"/>
      <c r="DV90" s="721"/>
      <c r="DW90" s="8"/>
    </row>
    <row r="91" spans="1:127" ht="15.75" thickBot="1">
      <c r="A91" s="716"/>
      <c r="B91" s="719"/>
      <c r="C91" s="716"/>
      <c r="D91" s="716"/>
      <c r="E91" s="716"/>
      <c r="F91" s="716"/>
      <c r="G91" s="716"/>
      <c r="H91" s="716"/>
      <c r="I91" s="716"/>
      <c r="J91" s="716"/>
      <c r="K91" s="716"/>
      <c r="L91" s="716"/>
      <c r="M91" s="716"/>
      <c r="N91" s="721"/>
      <c r="O91" s="721"/>
      <c r="P91" s="721"/>
      <c r="Q91" s="721"/>
      <c r="R91" s="721"/>
      <c r="S91" s="721"/>
      <c r="T91" s="721"/>
      <c r="U91" s="721"/>
      <c r="V91" s="162"/>
      <c r="W91" s="169"/>
      <c r="X91" s="170" t="str">
        <f>X3</f>
        <v>Fecha</v>
      </c>
      <c r="Y91" s="170" t="str">
        <f>Y3</f>
        <v>Hora</v>
      </c>
      <c r="Z91" s="255" t="str">
        <f>Z3</f>
        <v>Jor.</v>
      </c>
      <c r="AA91" s="256" t="str">
        <f>AA3</f>
        <v>Casa</v>
      </c>
      <c r="AB91" s="170"/>
      <c r="AC91" s="170" t="str">
        <f>AC3</f>
        <v>Gol</v>
      </c>
      <c r="AD91" s="170" t="str">
        <f>AD3</f>
        <v>Gol</v>
      </c>
      <c r="AE91" s="170"/>
      <c r="AF91" s="257" t="str">
        <f>AF3</f>
        <v>Fuera</v>
      </c>
      <c r="AG91" s="397"/>
      <c r="AH91" s="186"/>
      <c r="AI91" s="14"/>
      <c r="AJ91" s="176"/>
      <c r="AK91" s="242"/>
      <c r="AL91" s="176"/>
      <c r="AM91" s="176"/>
      <c r="AN91" s="176"/>
      <c r="AO91" s="176"/>
      <c r="AP91" s="176"/>
      <c r="AQ91" s="176"/>
      <c r="AR91" s="176"/>
      <c r="AS91" s="176"/>
      <c r="AT91" s="176"/>
      <c r="AU91" s="404"/>
      <c r="AV91" s="18"/>
      <c r="AW91" s="412"/>
      <c r="AX91" s="243"/>
      <c r="AY91" s="232"/>
      <c r="AZ91" s="233"/>
      <c r="BA91" s="165"/>
      <c r="BB91" s="721"/>
      <c r="BC91" s="721"/>
      <c r="BD91" s="721"/>
      <c r="BE91" s="721"/>
      <c r="BF91" s="721"/>
      <c r="BG91" s="721"/>
      <c r="BH91" s="721"/>
      <c r="BI91" s="721"/>
      <c r="BJ91" s="721"/>
      <c r="BK91" s="721"/>
      <c r="BL91" s="721"/>
      <c r="BM91" s="721"/>
      <c r="BN91" s="721"/>
      <c r="BO91" s="721"/>
      <c r="BP91" s="721"/>
      <c r="BQ91" s="721"/>
      <c r="BR91" s="721"/>
      <c r="BS91" s="721"/>
      <c r="BT91" s="721"/>
      <c r="BU91" s="721"/>
      <c r="BV91" s="721"/>
      <c r="BW91" s="721"/>
      <c r="BX91" s="721"/>
      <c r="BY91" s="721"/>
      <c r="BZ91" s="721"/>
      <c r="CA91" s="721"/>
      <c r="CB91" s="721"/>
      <c r="CC91" s="721"/>
      <c r="CD91" s="721"/>
      <c r="CE91" s="721"/>
      <c r="CF91" s="721"/>
      <c r="CG91" s="721"/>
      <c r="CH91" s="721"/>
      <c r="CI91" s="721"/>
      <c r="CJ91" s="721"/>
      <c r="CK91" s="721"/>
      <c r="CL91" s="721"/>
      <c r="CM91" s="721"/>
      <c r="CN91" s="721"/>
      <c r="CO91" s="721"/>
      <c r="CP91" s="721"/>
      <c r="CQ91" s="721"/>
      <c r="CR91" s="721"/>
      <c r="CS91" s="721"/>
      <c r="CT91" s="721"/>
      <c r="CU91" s="721"/>
      <c r="CV91" s="721"/>
      <c r="CW91" s="721"/>
      <c r="CX91" s="721"/>
      <c r="CY91" s="721"/>
      <c r="CZ91" s="721"/>
      <c r="DA91" s="721"/>
      <c r="DB91" s="721"/>
      <c r="DC91" s="721"/>
      <c r="DD91" s="721"/>
      <c r="DE91" s="721"/>
      <c r="DF91" s="721"/>
      <c r="DG91" s="721"/>
      <c r="DH91" s="721"/>
      <c r="DI91" s="721"/>
      <c r="DJ91" s="721"/>
      <c r="DK91" s="721"/>
      <c r="DL91" s="721"/>
      <c r="DM91" s="721"/>
      <c r="DN91" s="721"/>
      <c r="DO91" s="721"/>
      <c r="DP91" s="721"/>
      <c r="DQ91" s="721"/>
      <c r="DR91" s="721"/>
      <c r="DS91" s="721"/>
      <c r="DT91" s="721" t="str">
        <f t="shared" si="242"/>
        <v>Casa-Fuera</v>
      </c>
      <c r="DU91" s="721"/>
      <c r="DV91" s="721"/>
      <c r="DW91" s="8"/>
    </row>
    <row r="92" spans="1:127" ht="15" customHeight="1" thickBot="1">
      <c r="A92" s="718" t="s">
        <v>30</v>
      </c>
      <c r="B92" s="719" t="s">
        <v>238</v>
      </c>
      <c r="C92" s="720">
        <f>COUNTIF(Equipos!$C$2:$C$49,WORLDCUP!B92)</f>
        <v>4</v>
      </c>
      <c r="D92" s="721" t="str">
        <f t="shared" ref="D92:D97" si="283">IF(OR(AC92="",AD92=""),"Pendiente",IF(AC92&gt;AD92,"Local",IF(AC92&lt;AD92,"Visitante","Empate")))</f>
        <v>Pendiente</v>
      </c>
      <c r="E92" s="721" t="str">
        <f t="shared" ref="E92:E97" si="284">IF(D92="Pendiente","-",INDEX($BT$6:$BT$53,MATCH($AA92,$BD$6:$BD$53,0)))</f>
        <v>-</v>
      </c>
      <c r="F92" s="721" t="str">
        <f t="shared" ref="F92:F97" si="285">IF(D92="Pendiente","-",INDEX($BT$6:$BT$53,MATCH($AF92,$BD$6:$BD$53,0)))</f>
        <v>-</v>
      </c>
      <c r="G92" s="721"/>
      <c r="H92" s="721" t="str">
        <f t="shared" ref="H92:H97" si="286">IF(D92="Pendiente","-",INDEX($BZ$6:$BZ$53,MATCH($AA92,$BD$6:$BD$53,0)))</f>
        <v>-</v>
      </c>
      <c r="I92" s="721" t="str">
        <f t="shared" ref="I92:I97" si="287">IF(D92="Pendiente","-",INDEX($BZ$6:$BZ$53,MATCH($AF92,$BD$6:$BD$53,0)))</f>
        <v>-</v>
      </c>
      <c r="J92" s="721"/>
      <c r="K92" s="721" t="str">
        <f t="shared" ref="K92:K97" si="288">IF(D92="Pendiente","-",INDEX($CE$6:$CE$53,MATCH($AA92,$BD$6:$BD$53,0)))</f>
        <v>-</v>
      </c>
      <c r="L92" s="721" t="str">
        <f t="shared" ref="L92:L97" si="289">IF(D92="Pendiente","-",INDEX($CE$6:$CE$53,MATCH($AF92,$BD$6:$BD$53,0)))</f>
        <v>-</v>
      </c>
      <c r="M92" s="721"/>
      <c r="N92" s="721" t="str">
        <f t="shared" ref="N92:N97" si="290">IF(D92="Pendiente","-",INDEX($CH$6:$CH$53,MATCH($AA92,$BD$6:$BD$53,0)))</f>
        <v>-</v>
      </c>
      <c r="O92" s="721" t="str">
        <f t="shared" ref="O92:O97" si="291">IF(D92="Pendiente","-",INDEX($CH$6:$CH$53,MATCH($AF92,$BD$6:$BD$53,0)))</f>
        <v>-</v>
      </c>
      <c r="P92" s="721"/>
      <c r="Q92" s="721" t="str">
        <f t="shared" ref="Q92:Q97" si="292">IF(D92="Pendiente","-",INDEX($CN$6:$CN$53,MATCH($AA92,$BD$6:$BD$53,0)))</f>
        <v>-</v>
      </c>
      <c r="R92" s="721" t="str">
        <f t="shared" ref="R92:R97" si="293">IF(D92="Pendiente","-",INDEX($CN$6:$CN$53,MATCH($AF92,$BD$6:$BD$53,0)))</f>
        <v>-</v>
      </c>
      <c r="S92" s="721"/>
      <c r="T92" s="721" t="str">
        <f t="shared" ref="T92:T97" si="294">IF(D92="Pendiente","-",INDEX($CS$6:$CS$53,MATCH($AA92,$BD$6:$BD$53,0)))</f>
        <v>-</v>
      </c>
      <c r="U92" s="721" t="str">
        <f t="shared" ref="U92:U97" si="295">IF(D92="Pendiente","-",INDEX($CS$6:$CS$53,MATCH($AF92,$BD$6:$BD$53,0)))</f>
        <v>-</v>
      </c>
      <c r="V92" s="162"/>
      <c r="W92" s="843" t="s">
        <v>238</v>
      </c>
      <c r="X92" s="179">
        <f ca="1">Horarios!C92</f>
        <v>46190.916666666664</v>
      </c>
      <c r="Y92" s="180">
        <f ca="1">Horarios!C92</f>
        <v>46190.916666666664</v>
      </c>
      <c r="Z92" s="181" t="str">
        <f>$Z$4</f>
        <v>J1</v>
      </c>
      <c r="AA92" s="182" t="str">
        <f ca="1">A93</f>
        <v>Inglaterra</v>
      </c>
      <c r="AB92" s="457" t="str" cm="1">
        <f t="array" aca="1" ref="AB92" ca="1">Ver_flag_local</f>
        <v/>
      </c>
      <c r="AC92" s="183"/>
      <c r="AD92" s="184"/>
      <c r="AE92" s="462" t="str" cm="1">
        <f t="array" aca="1" ref="AE92" ca="1">Ver_flag_visit</f>
        <v/>
      </c>
      <c r="AF92" s="185" t="str">
        <f ca="1">A94</f>
        <v>Croacia</v>
      </c>
      <c r="AG92" s="396">
        <f t="shared" ref="AG92:AG97" si="296">IF(NOT(OR(ISBLANK(AC92),ISBLANK(AD92))),1,0)</f>
        <v>0</v>
      </c>
      <c r="AH92" s="186">
        <v>22</v>
      </c>
      <c r="AI92" s="15"/>
      <c r="AJ92" s="187" t="str">
        <f>CONCATENATE(AJ3," ",B92)</f>
        <v>Grupo L</v>
      </c>
      <c r="AK92" s="188"/>
      <c r="AL92" s="188"/>
      <c r="AM92" s="188"/>
      <c r="AN92" s="188"/>
      <c r="AO92" s="188"/>
      <c r="AP92" s="188"/>
      <c r="AQ92" s="188"/>
      <c r="AR92" s="188"/>
      <c r="AS92" s="188"/>
      <c r="AT92" s="189"/>
      <c r="AU92" s="404"/>
      <c r="AV92" s="190" t="str">
        <f t="shared" ref="AV92" ca="1" si="297">IF(AU93&gt;0,$AV$3,"")</f>
        <v/>
      </c>
      <c r="AW92" s="198"/>
      <c r="AX92" s="245"/>
      <c r="AY92" s="232"/>
      <c r="AZ92" s="233"/>
      <c r="BA92" s="165"/>
      <c r="BB92" s="721"/>
      <c r="BC92" s="721"/>
      <c r="BD92" s="721"/>
      <c r="BE92" s="721"/>
      <c r="BF92" s="721"/>
      <c r="BG92" s="721"/>
      <c r="BH92" s="721"/>
      <c r="BI92" s="721"/>
      <c r="BJ92" s="721"/>
      <c r="BK92" s="721"/>
      <c r="BL92" s="721"/>
      <c r="BM92" s="721"/>
      <c r="BN92" s="721"/>
      <c r="BO92" s="721"/>
      <c r="BP92" s="721"/>
      <c r="BQ92" s="721"/>
      <c r="BR92" s="721"/>
      <c r="BS92" s="721"/>
      <c r="BT92" s="721"/>
      <c r="BU92" s="721"/>
      <c r="BV92" s="721"/>
      <c r="BW92" s="721"/>
      <c r="BX92" s="721"/>
      <c r="BY92" s="721"/>
      <c r="BZ92" s="721"/>
      <c r="CA92" s="721"/>
      <c r="CB92" s="721"/>
      <c r="CC92" s="721"/>
      <c r="CD92" s="721"/>
      <c r="CE92" s="721"/>
      <c r="CF92" s="721"/>
      <c r="CG92" s="721"/>
      <c r="CH92" s="721"/>
      <c r="CI92" s="721"/>
      <c r="CJ92" s="721"/>
      <c r="CK92" s="721"/>
      <c r="CL92" s="721"/>
      <c r="CM92" s="721"/>
      <c r="CN92" s="721"/>
      <c r="CO92" s="721"/>
      <c r="CP92" s="721"/>
      <c r="CQ92" s="721"/>
      <c r="CR92" s="721"/>
      <c r="CS92" s="721"/>
      <c r="CT92" s="721"/>
      <c r="CU92" s="721"/>
      <c r="CV92" s="721"/>
      <c r="CW92" s="721"/>
      <c r="CX92" s="726"/>
      <c r="CY92" s="721"/>
      <c r="CZ92" s="721"/>
      <c r="DA92" s="721"/>
      <c r="DB92" s="721"/>
      <c r="DC92" s="721"/>
      <c r="DD92" s="721"/>
      <c r="DE92" s="721"/>
      <c r="DF92" s="721"/>
      <c r="DG92" s="721"/>
      <c r="DH92" s="721"/>
      <c r="DI92" s="721"/>
      <c r="DJ92" s="721"/>
      <c r="DK92" s="721"/>
      <c r="DL92" s="721"/>
      <c r="DM92" s="721"/>
      <c r="DN92" s="721"/>
      <c r="DO92" s="721"/>
      <c r="DP92" s="721"/>
      <c r="DQ92" s="721"/>
      <c r="DR92" s="721"/>
      <c r="DS92" s="721"/>
      <c r="DT92" s="721" t="str">
        <f t="shared" ca="1" si="242"/>
        <v>Inglaterra-Croacia</v>
      </c>
      <c r="DU92" s="721"/>
      <c r="DV92" s="721"/>
      <c r="DW92" s="8"/>
    </row>
    <row r="93" spans="1:127" ht="15.95" customHeight="1">
      <c r="A93" s="722" t="str">
        <f ca="1">+Equipos!B46</f>
        <v>Inglaterra</v>
      </c>
      <c r="B93" s="719"/>
      <c r="C93" s="719"/>
      <c r="D93" s="721" t="str">
        <f t="shared" si="283"/>
        <v>Pendiente</v>
      </c>
      <c r="E93" s="721" t="str">
        <f t="shared" si="284"/>
        <v>-</v>
      </c>
      <c r="F93" s="721" t="str">
        <f t="shared" si="285"/>
        <v>-</v>
      </c>
      <c r="G93" s="721"/>
      <c r="H93" s="721" t="str">
        <f t="shared" si="286"/>
        <v>-</v>
      </c>
      <c r="I93" s="721" t="str">
        <f t="shared" si="287"/>
        <v>-</v>
      </c>
      <c r="J93" s="721"/>
      <c r="K93" s="721" t="str">
        <f t="shared" si="288"/>
        <v>-</v>
      </c>
      <c r="L93" s="721" t="str">
        <f t="shared" si="289"/>
        <v>-</v>
      </c>
      <c r="M93" s="721"/>
      <c r="N93" s="721" t="str">
        <f t="shared" si="290"/>
        <v>-</v>
      </c>
      <c r="O93" s="721" t="str">
        <f t="shared" si="291"/>
        <v>-</v>
      </c>
      <c r="P93" s="721"/>
      <c r="Q93" s="721" t="str">
        <f t="shared" si="292"/>
        <v>-</v>
      </c>
      <c r="R93" s="721" t="str">
        <f t="shared" si="293"/>
        <v>-</v>
      </c>
      <c r="S93" s="721"/>
      <c r="T93" s="721" t="str">
        <f t="shared" si="294"/>
        <v>-</v>
      </c>
      <c r="U93" s="721" t="str">
        <f t="shared" si="295"/>
        <v>-</v>
      </c>
      <c r="V93" s="162"/>
      <c r="W93" s="843"/>
      <c r="X93" s="179">
        <f ca="1">Horarios!C93</f>
        <v>46191.041666666664</v>
      </c>
      <c r="Y93" s="180">
        <f ca="1">Horarios!C93</f>
        <v>46191.041666666664</v>
      </c>
      <c r="Z93" s="181" t="str">
        <f>$Z$4</f>
        <v>J1</v>
      </c>
      <c r="AA93" s="182" t="str">
        <f ca="1">A95</f>
        <v>Ghana</v>
      </c>
      <c r="AB93" s="457" t="str" cm="1">
        <f t="array" aca="1" ref="AB93" ca="1">Ver_flag_local</f>
        <v/>
      </c>
      <c r="AC93" s="183"/>
      <c r="AD93" s="184"/>
      <c r="AE93" s="462" t="str" cm="1">
        <f t="array" aca="1" ref="AE93" ca="1">Ver_flag_visit</f>
        <v/>
      </c>
      <c r="AF93" s="185" t="str">
        <f ca="1">A96</f>
        <v>Panamá</v>
      </c>
      <c r="AG93" s="396">
        <f t="shared" si="296"/>
        <v>0</v>
      </c>
      <c r="AH93" s="186">
        <v>21</v>
      </c>
      <c r="AI93" s="15"/>
      <c r="AJ93" s="194" t="str">
        <f>AJ5</f>
        <v>Pos</v>
      </c>
      <c r="AK93" s="195"/>
      <c r="AL93" s="196" t="str">
        <f t="shared" ref="AL93:AT93" si="298">AL5</f>
        <v>Selección</v>
      </c>
      <c r="AM93" s="195" t="str">
        <f t="shared" si="298"/>
        <v>Pts</v>
      </c>
      <c r="AN93" s="195" t="str">
        <f t="shared" si="298"/>
        <v>J</v>
      </c>
      <c r="AO93" s="195" t="str">
        <f t="shared" si="298"/>
        <v>G</v>
      </c>
      <c r="AP93" s="195" t="str">
        <f t="shared" si="298"/>
        <v>E</v>
      </c>
      <c r="AQ93" s="195" t="str">
        <f t="shared" si="298"/>
        <v>P</v>
      </c>
      <c r="AR93" s="195" t="str">
        <f t="shared" si="298"/>
        <v>GF</v>
      </c>
      <c r="AS93" s="195" t="str">
        <f t="shared" si="298"/>
        <v>GC</v>
      </c>
      <c r="AT93" s="197" t="str">
        <f t="shared" si="298"/>
        <v>DG</v>
      </c>
      <c r="AU93" s="404">
        <f t="shared" ref="AU93" ca="1" si="299">COUNTIF(AU94:AU97,"&gt;1")</f>
        <v>0</v>
      </c>
      <c r="AV93" s="198"/>
      <c r="AW93" s="198"/>
      <c r="AX93" s="245"/>
      <c r="AY93" s="199" t="str">
        <f>AL93</f>
        <v>Selección</v>
      </c>
      <c r="AZ93" s="200" t="str">
        <f>+Idiomas!$D$69</f>
        <v>Puntos penalizados</v>
      </c>
      <c r="BA93" s="165"/>
      <c r="BB93" s="721"/>
      <c r="BC93" s="721"/>
      <c r="BD93" s="721"/>
      <c r="BE93" s="721"/>
      <c r="BF93" s="721"/>
      <c r="BG93" s="721"/>
      <c r="BH93" s="721"/>
      <c r="BI93" s="721"/>
      <c r="BJ93" s="721"/>
      <c r="BK93" s="721"/>
      <c r="BL93" s="721"/>
      <c r="BM93" s="721"/>
      <c r="BN93" s="724"/>
      <c r="BO93" s="724"/>
      <c r="BP93" s="724"/>
      <c r="BQ93" s="724"/>
      <c r="BR93" s="721"/>
      <c r="BS93" s="721"/>
      <c r="BT93" s="724"/>
      <c r="BU93" s="724"/>
      <c r="BV93" s="724"/>
      <c r="BW93" s="724"/>
      <c r="BX93" s="724"/>
      <c r="BY93" s="724"/>
      <c r="BZ93" s="724"/>
      <c r="CA93" s="724"/>
      <c r="CB93" s="724"/>
      <c r="CC93" s="724"/>
      <c r="CD93" s="724"/>
      <c r="CE93" s="724"/>
      <c r="CF93" s="724"/>
      <c r="CG93" s="724"/>
      <c r="CH93" s="724"/>
      <c r="CI93" s="724"/>
      <c r="CJ93" s="724"/>
      <c r="CK93" s="724"/>
      <c r="CL93" s="724"/>
      <c r="CM93" s="724"/>
      <c r="CN93" s="724"/>
      <c r="CO93" s="724"/>
      <c r="CP93" s="724"/>
      <c r="CQ93" s="724"/>
      <c r="CR93" s="724"/>
      <c r="CS93" s="724"/>
      <c r="CT93" s="724"/>
      <c r="CU93" s="724"/>
      <c r="CV93" s="724"/>
      <c r="CW93" s="721"/>
      <c r="CX93" s="724"/>
      <c r="CY93" s="721"/>
      <c r="CZ93" s="721"/>
      <c r="DA93" s="721"/>
      <c r="DB93" s="721"/>
      <c r="DC93" s="721"/>
      <c r="DD93" s="721"/>
      <c r="DE93" s="721"/>
      <c r="DF93" s="721"/>
      <c r="DG93" s="721"/>
      <c r="DH93" s="721"/>
      <c r="DI93" s="721"/>
      <c r="DJ93" s="721"/>
      <c r="DK93" s="721"/>
      <c r="DL93" s="721"/>
      <c r="DM93" s="721"/>
      <c r="DN93" s="721"/>
      <c r="DO93" s="721"/>
      <c r="DP93" s="721"/>
      <c r="DQ93" s="721"/>
      <c r="DR93" s="721"/>
      <c r="DS93" s="721"/>
      <c r="DT93" s="721" t="str">
        <f t="shared" ca="1" si="242"/>
        <v>Ghana-Panamá</v>
      </c>
      <c r="DU93" s="721"/>
      <c r="DV93" s="721"/>
      <c r="DW93" s="8"/>
    </row>
    <row r="94" spans="1:127" ht="15.95" customHeight="1">
      <c r="A94" s="722" t="str">
        <f ca="1">+Equipos!B47</f>
        <v>Croacia</v>
      </c>
      <c r="B94" s="719"/>
      <c r="C94" s="723"/>
      <c r="D94" s="721" t="str">
        <f t="shared" si="283"/>
        <v>Pendiente</v>
      </c>
      <c r="E94" s="721" t="str">
        <f t="shared" si="284"/>
        <v>-</v>
      </c>
      <c r="F94" s="721" t="str">
        <f t="shared" si="285"/>
        <v>-</v>
      </c>
      <c r="G94" s="721"/>
      <c r="H94" s="721" t="str">
        <f t="shared" si="286"/>
        <v>-</v>
      </c>
      <c r="I94" s="721" t="str">
        <f t="shared" si="287"/>
        <v>-</v>
      </c>
      <c r="J94" s="721"/>
      <c r="K94" s="721" t="str">
        <f t="shared" si="288"/>
        <v>-</v>
      </c>
      <c r="L94" s="721" t="str">
        <f t="shared" si="289"/>
        <v>-</v>
      </c>
      <c r="M94" s="721"/>
      <c r="N94" s="721" t="str">
        <f t="shared" si="290"/>
        <v>-</v>
      </c>
      <c r="O94" s="721" t="str">
        <f t="shared" si="291"/>
        <v>-</v>
      </c>
      <c r="P94" s="721"/>
      <c r="Q94" s="721" t="str">
        <f t="shared" si="292"/>
        <v>-</v>
      </c>
      <c r="R94" s="721" t="str">
        <f t="shared" si="293"/>
        <v>-</v>
      </c>
      <c r="S94" s="721"/>
      <c r="T94" s="721" t="str">
        <f t="shared" si="294"/>
        <v>-</v>
      </c>
      <c r="U94" s="721" t="str">
        <f t="shared" si="295"/>
        <v>-</v>
      </c>
      <c r="V94" s="162"/>
      <c r="W94" s="843"/>
      <c r="X94" s="179">
        <f ca="1">Horarios!C94</f>
        <v>46196.916666666664</v>
      </c>
      <c r="Y94" s="180">
        <f ca="1">Horarios!C94</f>
        <v>46196.916666666664</v>
      </c>
      <c r="Z94" s="181" t="str">
        <f>$Z$6</f>
        <v>J2</v>
      </c>
      <c r="AA94" s="182" t="str">
        <f ca="1">A93</f>
        <v>Inglaterra</v>
      </c>
      <c r="AB94" s="457" t="str" cm="1">
        <f t="array" aca="1" ref="AB94" ca="1">Ver_flag_local</f>
        <v/>
      </c>
      <c r="AC94" s="183"/>
      <c r="AD94" s="184"/>
      <c r="AE94" s="462" t="str" cm="1">
        <f t="array" aca="1" ref="AE94" ca="1">Ver_flag_visit</f>
        <v/>
      </c>
      <c r="AF94" s="185" t="str">
        <f ca="1">A95</f>
        <v>Ghana</v>
      </c>
      <c r="AG94" s="396">
        <f t="shared" si="296"/>
        <v>0</v>
      </c>
      <c r="AH94" s="186">
        <v>45</v>
      </c>
      <c r="AI94" s="15" t="str">
        <f>AJ94&amp;$B$92</f>
        <v>1L</v>
      </c>
      <c r="AJ94" s="201">
        <v>1</v>
      </c>
      <c r="AK94" s="467" t="str" cm="1">
        <f t="array" aca="1" ref="AK94" ca="1">Ver_flag_visit</f>
        <v/>
      </c>
      <c r="AL94" s="202" t="str">
        <f ca="1">IFERROR(INDEX($BD$6:$BD$53,MATCH(AI94,$BN$6:$BN$53,0)),"")</f>
        <v>Inglaterra</v>
      </c>
      <c r="AM94" s="203">
        <f t="shared" ref="AM94:AT97" ca="1" si="300">INDEX($BE$6:$BN$53,MATCH($AL94,$BD$6:$BD$53,0),MATCH(AM$5,$BE$5:$BN$5,0))</f>
        <v>0</v>
      </c>
      <c r="AN94" s="204">
        <f t="shared" ca="1" si="300"/>
        <v>0</v>
      </c>
      <c r="AO94" s="204">
        <f t="shared" ca="1" si="300"/>
        <v>0</v>
      </c>
      <c r="AP94" s="204">
        <f t="shared" ca="1" si="300"/>
        <v>0</v>
      </c>
      <c r="AQ94" s="204">
        <f t="shared" ca="1" si="300"/>
        <v>0</v>
      </c>
      <c r="AR94" s="204">
        <f t="shared" ca="1" si="300"/>
        <v>0</v>
      </c>
      <c r="AS94" s="204">
        <f t="shared" ca="1" si="300"/>
        <v>0</v>
      </c>
      <c r="AT94" s="205">
        <f t="shared" ca="1" si="300"/>
        <v>0</v>
      </c>
      <c r="AU94" s="403">
        <f ca="1">INDEX($DL$6:$DL$53,MATCH(AI94,$DP$6:$DP$53,0))</f>
        <v>1</v>
      </c>
      <c r="AV94" s="207" t="str">
        <f ca="1">INDEX($BD$6:$BD$53,MATCH(AI94,$BM$6:$BM$53,0))</f>
        <v>Inglaterra</v>
      </c>
      <c r="AW94" s="410"/>
      <c r="AX94" s="208"/>
      <c r="AY94" s="209" t="str">
        <f ca="1">+A93</f>
        <v>Inglaterra</v>
      </c>
      <c r="AZ94" s="210"/>
      <c r="BA94" s="165"/>
      <c r="BB94" s="721"/>
      <c r="BC94" s="721"/>
      <c r="BD94" s="721"/>
      <c r="BE94" s="721"/>
      <c r="BF94" s="721"/>
      <c r="BG94" s="721"/>
      <c r="BH94" s="721"/>
      <c r="BI94" s="721"/>
      <c r="BJ94" s="721"/>
      <c r="BK94" s="721"/>
      <c r="BL94" s="721"/>
      <c r="BM94" s="721"/>
      <c r="BN94" s="726"/>
      <c r="BO94" s="726"/>
      <c r="BP94" s="726"/>
      <c r="BQ94" s="726"/>
      <c r="BR94" s="721"/>
      <c r="BS94" s="721"/>
      <c r="BT94" s="726"/>
      <c r="BU94" s="726"/>
      <c r="BV94" s="726"/>
      <c r="BW94" s="726"/>
      <c r="BX94" s="726"/>
      <c r="BY94" s="726"/>
      <c r="BZ94" s="726"/>
      <c r="CA94" s="726"/>
      <c r="CB94" s="726"/>
      <c r="CC94" s="726"/>
      <c r="CD94" s="726"/>
      <c r="CE94" s="726"/>
      <c r="CF94" s="726"/>
      <c r="CG94" s="726"/>
      <c r="CH94" s="726"/>
      <c r="CI94" s="726"/>
      <c r="CJ94" s="726"/>
      <c r="CK94" s="726"/>
      <c r="CL94" s="726"/>
      <c r="CM94" s="726"/>
      <c r="CN94" s="726"/>
      <c r="CO94" s="726"/>
      <c r="CP94" s="726"/>
      <c r="CQ94" s="726"/>
      <c r="CR94" s="726"/>
      <c r="CS94" s="726"/>
      <c r="CT94" s="726"/>
      <c r="CU94" s="726"/>
      <c r="CV94" s="726"/>
      <c r="CW94" s="721"/>
      <c r="CX94" s="726"/>
      <c r="CY94" s="721"/>
      <c r="CZ94" s="721"/>
      <c r="DA94" s="721"/>
      <c r="DB94" s="721"/>
      <c r="DC94" s="721"/>
      <c r="DD94" s="721"/>
      <c r="DE94" s="721"/>
      <c r="DF94" s="721"/>
      <c r="DG94" s="721"/>
      <c r="DH94" s="721"/>
      <c r="DI94" s="721"/>
      <c r="DJ94" s="721"/>
      <c r="DK94" s="721"/>
      <c r="DL94" s="721"/>
      <c r="DM94" s="721"/>
      <c r="DN94" s="721"/>
      <c r="DO94" s="721"/>
      <c r="DP94" s="721"/>
      <c r="DQ94" s="721"/>
      <c r="DR94" s="721"/>
      <c r="DS94" s="721"/>
      <c r="DT94" s="721" t="str">
        <f t="shared" ca="1" si="242"/>
        <v>Inglaterra-Ghana</v>
      </c>
      <c r="DU94" s="721"/>
      <c r="DV94" s="721"/>
      <c r="DW94" s="8"/>
    </row>
    <row r="95" spans="1:127" ht="15.95" customHeight="1">
      <c r="A95" s="722" t="str">
        <f ca="1">+Equipos!B48</f>
        <v>Ghana</v>
      </c>
      <c r="B95" s="719"/>
      <c r="C95" s="721"/>
      <c r="D95" s="721" t="str">
        <f t="shared" si="283"/>
        <v>Pendiente</v>
      </c>
      <c r="E95" s="721" t="str">
        <f t="shared" si="284"/>
        <v>-</v>
      </c>
      <c r="F95" s="721" t="str">
        <f t="shared" si="285"/>
        <v>-</v>
      </c>
      <c r="G95" s="721"/>
      <c r="H95" s="721" t="str">
        <f t="shared" si="286"/>
        <v>-</v>
      </c>
      <c r="I95" s="721" t="str">
        <f t="shared" si="287"/>
        <v>-</v>
      </c>
      <c r="J95" s="721"/>
      <c r="K95" s="721" t="str">
        <f t="shared" si="288"/>
        <v>-</v>
      </c>
      <c r="L95" s="721" t="str">
        <f t="shared" si="289"/>
        <v>-</v>
      </c>
      <c r="M95" s="721"/>
      <c r="N95" s="721" t="str">
        <f t="shared" si="290"/>
        <v>-</v>
      </c>
      <c r="O95" s="721" t="str">
        <f t="shared" si="291"/>
        <v>-</v>
      </c>
      <c r="P95" s="721"/>
      <c r="Q95" s="721" t="str">
        <f t="shared" si="292"/>
        <v>-</v>
      </c>
      <c r="R95" s="721" t="str">
        <f t="shared" si="293"/>
        <v>-</v>
      </c>
      <c r="S95" s="721"/>
      <c r="T95" s="721" t="str">
        <f t="shared" si="294"/>
        <v>-</v>
      </c>
      <c r="U95" s="721" t="str">
        <f t="shared" si="295"/>
        <v>-</v>
      </c>
      <c r="V95" s="162"/>
      <c r="W95" s="843"/>
      <c r="X95" s="179">
        <f ca="1">Horarios!C95</f>
        <v>46197.041666666664</v>
      </c>
      <c r="Y95" s="180">
        <f ca="1">Horarios!C95</f>
        <v>46197.041666666664</v>
      </c>
      <c r="Z95" s="181" t="str">
        <f>$Z$6</f>
        <v>J2</v>
      </c>
      <c r="AA95" s="182" t="str">
        <f ca="1">A96</f>
        <v>Panamá</v>
      </c>
      <c r="AB95" s="457" t="str" cm="1">
        <f t="array" aca="1" ref="AB95" ca="1">Ver_flag_local</f>
        <v/>
      </c>
      <c r="AC95" s="183"/>
      <c r="AD95" s="184"/>
      <c r="AE95" s="462" t="str" cm="1">
        <f t="array" aca="1" ref="AE95" ca="1">Ver_flag_visit</f>
        <v/>
      </c>
      <c r="AF95" s="185" t="str">
        <f ca="1">A94</f>
        <v>Croacia</v>
      </c>
      <c r="AG95" s="396">
        <f t="shared" si="296"/>
        <v>0</v>
      </c>
      <c r="AH95" s="186">
        <v>46</v>
      </c>
      <c r="AI95" s="15" t="str">
        <f t="shared" ref="AI95:AI97" si="301">AJ95&amp;$B$92</f>
        <v>2L</v>
      </c>
      <c r="AJ95" s="211">
        <v>2</v>
      </c>
      <c r="AK95" s="465" t="str" cm="1">
        <f t="array" aca="1" ref="AK95" ca="1">Ver_flag_visit</f>
        <v/>
      </c>
      <c r="AL95" s="212" t="str">
        <f ca="1">IFERROR(INDEX($BD$6:$BD$53,MATCH(AI95,$BN$6:$BN$53,0)),"")</f>
        <v>Croacia</v>
      </c>
      <c r="AM95" s="213">
        <f t="shared" ca="1" si="300"/>
        <v>0</v>
      </c>
      <c r="AN95" s="214">
        <f t="shared" ca="1" si="300"/>
        <v>0</v>
      </c>
      <c r="AO95" s="214">
        <f t="shared" ca="1" si="300"/>
        <v>0</v>
      </c>
      <c r="AP95" s="214">
        <f t="shared" ca="1" si="300"/>
        <v>0</v>
      </c>
      <c r="AQ95" s="214">
        <f t="shared" ca="1" si="300"/>
        <v>0</v>
      </c>
      <c r="AR95" s="214">
        <f t="shared" ca="1" si="300"/>
        <v>0</v>
      </c>
      <c r="AS95" s="214">
        <f t="shared" ca="1" si="300"/>
        <v>0</v>
      </c>
      <c r="AT95" s="215">
        <f t="shared" ca="1" si="300"/>
        <v>0</v>
      </c>
      <c r="AU95" s="403">
        <f ca="1">INDEX($DL$6:$DL$53,MATCH(AI95,$DP$6:$DP$53,0))</f>
        <v>1</v>
      </c>
      <c r="AV95" s="207" t="str">
        <f ca="1">INDEX($BD$6:$BD$53,MATCH(AI95,$BM$6:$BM$53,0))</f>
        <v>Croacia</v>
      </c>
      <c r="AW95" s="410"/>
      <c r="AX95" s="208"/>
      <c r="AY95" s="216" t="str">
        <f ca="1">+A94</f>
        <v>Croacia</v>
      </c>
      <c r="AZ95" s="217"/>
      <c r="BA95" s="165"/>
      <c r="BB95" s="721"/>
      <c r="BC95" s="721"/>
      <c r="BD95" s="721"/>
      <c r="BE95" s="721"/>
      <c r="BF95" s="721"/>
      <c r="BG95" s="721"/>
      <c r="BH95" s="721"/>
      <c r="BI95" s="721"/>
      <c r="BJ95" s="721"/>
      <c r="BK95" s="721"/>
      <c r="BL95" s="721"/>
      <c r="BM95" s="721"/>
      <c r="BN95" s="726"/>
      <c r="BO95" s="726"/>
      <c r="BP95" s="726"/>
      <c r="BQ95" s="726"/>
      <c r="BR95" s="721"/>
      <c r="BS95" s="721"/>
      <c r="BT95" s="726"/>
      <c r="BU95" s="726"/>
      <c r="BV95" s="726"/>
      <c r="BW95" s="726"/>
      <c r="BX95" s="726"/>
      <c r="BY95" s="726"/>
      <c r="BZ95" s="726"/>
      <c r="CA95" s="726"/>
      <c r="CB95" s="726"/>
      <c r="CC95" s="726"/>
      <c r="CD95" s="726"/>
      <c r="CE95" s="726"/>
      <c r="CF95" s="726"/>
      <c r="CG95" s="726"/>
      <c r="CH95" s="726"/>
      <c r="CI95" s="726"/>
      <c r="CJ95" s="726"/>
      <c r="CK95" s="726"/>
      <c r="CL95" s="726"/>
      <c r="CM95" s="726"/>
      <c r="CN95" s="726"/>
      <c r="CO95" s="726"/>
      <c r="CP95" s="726"/>
      <c r="CQ95" s="726"/>
      <c r="CR95" s="726"/>
      <c r="CS95" s="726"/>
      <c r="CT95" s="726"/>
      <c r="CU95" s="726"/>
      <c r="CV95" s="726"/>
      <c r="CW95" s="721"/>
      <c r="CX95" s="726"/>
      <c r="CY95" s="721"/>
      <c r="CZ95" s="721"/>
      <c r="DA95" s="721"/>
      <c r="DB95" s="721"/>
      <c r="DC95" s="721"/>
      <c r="DD95" s="721"/>
      <c r="DE95" s="721"/>
      <c r="DF95" s="721"/>
      <c r="DG95" s="721"/>
      <c r="DH95" s="721"/>
      <c r="DI95" s="721"/>
      <c r="DJ95" s="721"/>
      <c r="DK95" s="721"/>
      <c r="DL95" s="721"/>
      <c r="DM95" s="721"/>
      <c r="DN95" s="721"/>
      <c r="DO95" s="721"/>
      <c r="DP95" s="721"/>
      <c r="DQ95" s="721"/>
      <c r="DR95" s="721"/>
      <c r="DS95" s="721"/>
      <c r="DT95" s="721" t="str">
        <f t="shared" ca="1" si="242"/>
        <v>Panamá-Croacia</v>
      </c>
      <c r="DU95" s="721"/>
      <c r="DV95" s="721"/>
      <c r="DW95" s="8"/>
    </row>
    <row r="96" spans="1:127" ht="15.95" customHeight="1">
      <c r="A96" s="722" t="str">
        <f ca="1">+Equipos!B49</f>
        <v>Panamá</v>
      </c>
      <c r="B96" s="719"/>
      <c r="C96" s="721"/>
      <c r="D96" s="721" t="str">
        <f t="shared" si="283"/>
        <v>Pendiente</v>
      </c>
      <c r="E96" s="721" t="str">
        <f t="shared" si="284"/>
        <v>-</v>
      </c>
      <c r="F96" s="721" t="str">
        <f t="shared" si="285"/>
        <v>-</v>
      </c>
      <c r="G96" s="721"/>
      <c r="H96" s="721" t="str">
        <f t="shared" si="286"/>
        <v>-</v>
      </c>
      <c r="I96" s="721" t="str">
        <f t="shared" si="287"/>
        <v>-</v>
      </c>
      <c r="J96" s="721"/>
      <c r="K96" s="721" t="str">
        <f t="shared" si="288"/>
        <v>-</v>
      </c>
      <c r="L96" s="721" t="str">
        <f t="shared" si="289"/>
        <v>-</v>
      </c>
      <c r="M96" s="721"/>
      <c r="N96" s="721" t="str">
        <f t="shared" si="290"/>
        <v>-</v>
      </c>
      <c r="O96" s="721" t="str">
        <f t="shared" si="291"/>
        <v>-</v>
      </c>
      <c r="P96" s="721"/>
      <c r="Q96" s="721" t="str">
        <f t="shared" si="292"/>
        <v>-</v>
      </c>
      <c r="R96" s="721" t="str">
        <f t="shared" si="293"/>
        <v>-</v>
      </c>
      <c r="S96" s="721"/>
      <c r="T96" s="721" t="str">
        <f t="shared" si="294"/>
        <v>-</v>
      </c>
      <c r="U96" s="721" t="str">
        <f t="shared" si="295"/>
        <v>-</v>
      </c>
      <c r="V96" s="162"/>
      <c r="W96" s="843"/>
      <c r="X96" s="179">
        <f ca="1">Horarios!C96</f>
        <v>46200.958333333336</v>
      </c>
      <c r="Y96" s="180">
        <f ca="1">Horarios!C96</f>
        <v>46200.958333333336</v>
      </c>
      <c r="Z96" s="181" t="str">
        <f>$Z$8</f>
        <v>J3</v>
      </c>
      <c r="AA96" s="182" t="str">
        <f ca="1">A96</f>
        <v>Panamá</v>
      </c>
      <c r="AB96" s="457" t="str" cm="1">
        <f t="array" aca="1" ref="AB96" ca="1">Ver_flag_local</f>
        <v/>
      </c>
      <c r="AC96" s="183"/>
      <c r="AD96" s="184"/>
      <c r="AE96" s="462" t="str" cm="1">
        <f t="array" aca="1" ref="AE96" ca="1">Ver_flag_visit</f>
        <v/>
      </c>
      <c r="AF96" s="185" t="str">
        <f ca="1">A93</f>
        <v>Inglaterra</v>
      </c>
      <c r="AG96" s="396">
        <f t="shared" si="296"/>
        <v>0</v>
      </c>
      <c r="AH96" s="186">
        <v>67</v>
      </c>
      <c r="AI96" s="15" t="str">
        <f t="shared" si="301"/>
        <v>3L</v>
      </c>
      <c r="AJ96" s="211">
        <v>3</v>
      </c>
      <c r="AK96" s="465" t="str" cm="1">
        <f t="array" aca="1" ref="AK96" ca="1">Ver_flag_visit</f>
        <v/>
      </c>
      <c r="AL96" s="212" t="str">
        <f ca="1">IFERROR(INDEX($BD$6:$BD$53,MATCH(AI96,$BN$6:$BN$53,0)),"")</f>
        <v>Ghana</v>
      </c>
      <c r="AM96" s="213">
        <f t="shared" ca="1" si="300"/>
        <v>0</v>
      </c>
      <c r="AN96" s="214">
        <f t="shared" ca="1" si="300"/>
        <v>0</v>
      </c>
      <c r="AO96" s="214">
        <f t="shared" ca="1" si="300"/>
        <v>0</v>
      </c>
      <c r="AP96" s="214">
        <f t="shared" ca="1" si="300"/>
        <v>0</v>
      </c>
      <c r="AQ96" s="214">
        <f t="shared" ca="1" si="300"/>
        <v>0</v>
      </c>
      <c r="AR96" s="214">
        <f t="shared" ca="1" si="300"/>
        <v>0</v>
      </c>
      <c r="AS96" s="214">
        <f t="shared" ca="1" si="300"/>
        <v>0</v>
      </c>
      <c r="AT96" s="215">
        <f t="shared" ca="1" si="300"/>
        <v>0</v>
      </c>
      <c r="AU96" s="403">
        <f ca="1">INDEX($DL$6:$DL$53,MATCH(AI96,$DP$6:$DP$53,0))</f>
        <v>1</v>
      </c>
      <c r="AV96" s="207" t="str">
        <f ca="1">INDEX($BD$6:$BD$53,MATCH(AI96,$BM$6:$BM$53,0))</f>
        <v>Ghana</v>
      </c>
      <c r="AW96" s="410"/>
      <c r="AX96" s="208"/>
      <c r="AY96" s="209" t="str">
        <f ca="1">+A95</f>
        <v>Ghana</v>
      </c>
      <c r="AZ96" s="210"/>
      <c r="BA96" s="165"/>
      <c r="BB96" s="721"/>
      <c r="BC96" s="721"/>
      <c r="BD96" s="721"/>
      <c r="BE96" s="721"/>
      <c r="BF96" s="721"/>
      <c r="BG96" s="721"/>
      <c r="BH96" s="721"/>
      <c r="BI96" s="721"/>
      <c r="BJ96" s="721"/>
      <c r="BK96" s="721"/>
      <c r="BL96" s="721"/>
      <c r="BM96" s="721"/>
      <c r="BN96" s="726"/>
      <c r="BO96" s="726"/>
      <c r="BP96" s="726"/>
      <c r="BQ96" s="726"/>
      <c r="BR96" s="721"/>
      <c r="BS96" s="721"/>
      <c r="BT96" s="726"/>
      <c r="BU96" s="726"/>
      <c r="BV96" s="726"/>
      <c r="BW96" s="726"/>
      <c r="BX96" s="726"/>
      <c r="BY96" s="726"/>
      <c r="BZ96" s="726"/>
      <c r="CA96" s="726"/>
      <c r="CB96" s="726"/>
      <c r="CC96" s="726"/>
      <c r="CD96" s="726"/>
      <c r="CE96" s="726"/>
      <c r="CF96" s="726"/>
      <c r="CG96" s="726"/>
      <c r="CH96" s="726"/>
      <c r="CI96" s="726"/>
      <c r="CJ96" s="726"/>
      <c r="CK96" s="726"/>
      <c r="CL96" s="726"/>
      <c r="CM96" s="726"/>
      <c r="CN96" s="726"/>
      <c r="CO96" s="726"/>
      <c r="CP96" s="726"/>
      <c r="CQ96" s="726"/>
      <c r="CR96" s="726"/>
      <c r="CS96" s="726"/>
      <c r="CT96" s="726"/>
      <c r="CU96" s="726"/>
      <c r="CV96" s="726"/>
      <c r="CW96" s="721"/>
      <c r="CX96" s="726"/>
      <c r="CY96" s="721"/>
      <c r="CZ96" s="721"/>
      <c r="DA96" s="721"/>
      <c r="DB96" s="721"/>
      <c r="DC96" s="721"/>
      <c r="DD96" s="721"/>
      <c r="DE96" s="721"/>
      <c r="DF96" s="721"/>
      <c r="DG96" s="721"/>
      <c r="DH96" s="721"/>
      <c r="DI96" s="721"/>
      <c r="DJ96" s="721"/>
      <c r="DK96" s="721"/>
      <c r="DL96" s="721"/>
      <c r="DM96" s="721"/>
      <c r="DN96" s="721"/>
      <c r="DO96" s="721"/>
      <c r="DP96" s="721"/>
      <c r="DQ96" s="721"/>
      <c r="DR96" s="721"/>
      <c r="DS96" s="721"/>
      <c r="DT96" s="721" t="str">
        <f t="shared" ca="1" si="242"/>
        <v>Panamá-Inglaterra</v>
      </c>
      <c r="DU96" s="721"/>
      <c r="DV96" s="721"/>
      <c r="DW96" s="8"/>
    </row>
    <row r="97" spans="1:127" ht="17.100000000000001" customHeight="1" thickBot="1">
      <c r="A97" s="716"/>
      <c r="B97" s="716"/>
      <c r="C97" s="716"/>
      <c r="D97" s="721" t="str">
        <f t="shared" si="283"/>
        <v>Pendiente</v>
      </c>
      <c r="E97" s="721" t="str">
        <f t="shared" si="284"/>
        <v>-</v>
      </c>
      <c r="F97" s="721" t="str">
        <f t="shared" si="285"/>
        <v>-</v>
      </c>
      <c r="G97" s="721"/>
      <c r="H97" s="721" t="str">
        <f t="shared" si="286"/>
        <v>-</v>
      </c>
      <c r="I97" s="721" t="str">
        <f t="shared" si="287"/>
        <v>-</v>
      </c>
      <c r="J97" s="721"/>
      <c r="K97" s="721" t="str">
        <f t="shared" si="288"/>
        <v>-</v>
      </c>
      <c r="L97" s="721" t="str">
        <f t="shared" si="289"/>
        <v>-</v>
      </c>
      <c r="M97" s="721"/>
      <c r="N97" s="721" t="str">
        <f t="shared" si="290"/>
        <v>-</v>
      </c>
      <c r="O97" s="721" t="str">
        <f t="shared" si="291"/>
        <v>-</v>
      </c>
      <c r="P97" s="721"/>
      <c r="Q97" s="721" t="str">
        <f t="shared" si="292"/>
        <v>-</v>
      </c>
      <c r="R97" s="721" t="str">
        <f t="shared" si="293"/>
        <v>-</v>
      </c>
      <c r="S97" s="721"/>
      <c r="T97" s="721" t="str">
        <f t="shared" si="294"/>
        <v>-</v>
      </c>
      <c r="U97" s="721" t="str">
        <f t="shared" si="295"/>
        <v>-</v>
      </c>
      <c r="V97" s="162"/>
      <c r="W97" s="844"/>
      <c r="X97" s="218">
        <f ca="1">Horarios!C97</f>
        <v>46200.958333333336</v>
      </c>
      <c r="Y97" s="219">
        <f ca="1">Horarios!C97</f>
        <v>46200.958333333336</v>
      </c>
      <c r="Z97" s="220" t="str">
        <f>$Z$8</f>
        <v>J3</v>
      </c>
      <c r="AA97" s="221" t="str">
        <f ca="1">A94</f>
        <v>Croacia</v>
      </c>
      <c r="AB97" s="458" t="str" cm="1">
        <f t="array" aca="1" ref="AB97" ca="1">Ver_flag_local</f>
        <v/>
      </c>
      <c r="AC97" s="222"/>
      <c r="AD97" s="223"/>
      <c r="AE97" s="463" t="str" cm="1">
        <f t="array" aca="1" ref="AE97" ca="1">Ver_flag_visit</f>
        <v/>
      </c>
      <c r="AF97" s="224" t="str">
        <f ca="1">A95</f>
        <v>Ghana</v>
      </c>
      <c r="AG97" s="396">
        <f t="shared" si="296"/>
        <v>0</v>
      </c>
      <c r="AH97" s="186">
        <v>68</v>
      </c>
      <c r="AI97" s="15" t="str">
        <f t="shared" si="301"/>
        <v>4L</v>
      </c>
      <c r="AJ97" s="225">
        <v>4</v>
      </c>
      <c r="AK97" s="466" t="str" cm="1">
        <f t="array" aca="1" ref="AK97" ca="1">Ver_flag_visit</f>
        <v/>
      </c>
      <c r="AL97" s="226" t="str">
        <f ca="1">IFERROR(INDEX($BD$6:$BD$53,MATCH(AI97,$BN$6:$BN$53,0)),"")</f>
        <v>Panamá</v>
      </c>
      <c r="AM97" s="227">
        <f t="shared" ca="1" si="300"/>
        <v>0</v>
      </c>
      <c r="AN97" s="228">
        <f t="shared" ca="1" si="300"/>
        <v>0</v>
      </c>
      <c r="AO97" s="228">
        <f t="shared" ca="1" si="300"/>
        <v>0</v>
      </c>
      <c r="AP97" s="228">
        <f t="shared" ca="1" si="300"/>
        <v>0</v>
      </c>
      <c r="AQ97" s="228">
        <f t="shared" ca="1" si="300"/>
        <v>0</v>
      </c>
      <c r="AR97" s="228">
        <f t="shared" ca="1" si="300"/>
        <v>0</v>
      </c>
      <c r="AS97" s="228">
        <f t="shared" ca="1" si="300"/>
        <v>0</v>
      </c>
      <c r="AT97" s="229">
        <f t="shared" ca="1" si="300"/>
        <v>0</v>
      </c>
      <c r="AU97" s="403">
        <f ca="1">INDEX($DL$6:$DL$53,MATCH(AI97,$DP$6:$DP$53,0))</f>
        <v>1</v>
      </c>
      <c r="AV97" s="207" t="str">
        <f ca="1">INDEX($BD$6:$BD$53,MATCH(AI97,$BM$6:$BM$53,0))</f>
        <v>Panamá</v>
      </c>
      <c r="AW97" s="410"/>
      <c r="AX97" s="208"/>
      <c r="AY97" s="230" t="str">
        <f ca="1">+A96</f>
        <v>Panamá</v>
      </c>
      <c r="AZ97" s="231"/>
      <c r="BA97" s="165"/>
      <c r="BB97" s="721"/>
      <c r="BC97" s="721"/>
      <c r="BD97" s="721"/>
      <c r="BE97" s="721"/>
      <c r="BF97" s="721"/>
      <c r="BG97" s="721"/>
      <c r="BH97" s="721"/>
      <c r="BI97" s="721"/>
      <c r="BJ97" s="721"/>
      <c r="BK97" s="721"/>
      <c r="BL97" s="721"/>
      <c r="BM97" s="721"/>
      <c r="BN97" s="726"/>
      <c r="BO97" s="726"/>
      <c r="BP97" s="726"/>
      <c r="BQ97" s="726"/>
      <c r="BR97" s="721"/>
      <c r="BS97" s="721"/>
      <c r="BT97" s="726"/>
      <c r="BU97" s="726"/>
      <c r="BV97" s="726"/>
      <c r="BW97" s="726"/>
      <c r="BX97" s="726"/>
      <c r="BY97" s="726"/>
      <c r="BZ97" s="726"/>
      <c r="CA97" s="726"/>
      <c r="CB97" s="726"/>
      <c r="CC97" s="726"/>
      <c r="CD97" s="726"/>
      <c r="CE97" s="726"/>
      <c r="CF97" s="726"/>
      <c r="CG97" s="726"/>
      <c r="CH97" s="726"/>
      <c r="CI97" s="726"/>
      <c r="CJ97" s="726"/>
      <c r="CK97" s="726"/>
      <c r="CL97" s="726"/>
      <c r="CM97" s="726"/>
      <c r="CN97" s="726"/>
      <c r="CO97" s="726"/>
      <c r="CP97" s="726"/>
      <c r="CQ97" s="726"/>
      <c r="CR97" s="726"/>
      <c r="CS97" s="726"/>
      <c r="CT97" s="726"/>
      <c r="CU97" s="726"/>
      <c r="CV97" s="726"/>
      <c r="CW97" s="721"/>
      <c r="CX97" s="726"/>
      <c r="CY97" s="721"/>
      <c r="CZ97" s="721"/>
      <c r="DA97" s="721"/>
      <c r="DB97" s="721"/>
      <c r="DC97" s="721"/>
      <c r="DD97" s="721"/>
      <c r="DE97" s="721"/>
      <c r="DF97" s="721"/>
      <c r="DG97" s="721"/>
      <c r="DH97" s="721"/>
      <c r="DI97" s="721"/>
      <c r="DJ97" s="721"/>
      <c r="DK97" s="721"/>
      <c r="DL97" s="721"/>
      <c r="DM97" s="721"/>
      <c r="DN97" s="721"/>
      <c r="DO97" s="721"/>
      <c r="DP97" s="721"/>
      <c r="DQ97" s="721"/>
      <c r="DR97" s="721"/>
      <c r="DS97" s="721"/>
      <c r="DT97" s="721" t="str">
        <f t="shared" ca="1" si="242"/>
        <v>Croacia-Ghana</v>
      </c>
      <c r="DU97" s="721"/>
      <c r="DV97" s="721"/>
      <c r="DW97" s="8"/>
    </row>
    <row r="98" spans="1:127" ht="15.75" thickBot="1">
      <c r="A98" s="716"/>
      <c r="B98" s="716"/>
      <c r="C98" s="716"/>
      <c r="D98" s="721"/>
      <c r="E98" s="721"/>
      <c r="F98" s="721"/>
      <c r="G98" s="721"/>
      <c r="H98" s="721"/>
      <c r="I98" s="721"/>
      <c r="J98" s="721"/>
      <c r="K98" s="721"/>
      <c r="L98" s="721"/>
      <c r="M98" s="721"/>
      <c r="N98" s="721"/>
      <c r="O98" s="721"/>
      <c r="P98" s="721"/>
      <c r="Q98" s="721"/>
      <c r="R98" s="721"/>
      <c r="S98" s="721"/>
      <c r="T98" s="721"/>
      <c r="U98" s="721"/>
      <c r="V98" s="162"/>
      <c r="W98" s="232"/>
      <c r="X98" s="233"/>
      <c r="Y98" s="232"/>
      <c r="Z98" s="234"/>
      <c r="AA98" s="235"/>
      <c r="AB98" s="236"/>
      <c r="AC98" s="237"/>
      <c r="AD98" s="237"/>
      <c r="AE98" s="236"/>
      <c r="AF98" s="238"/>
      <c r="AG98" s="398"/>
      <c r="AH98" s="161"/>
      <c r="AI98" s="161"/>
      <c r="AJ98" s="239"/>
      <c r="AK98" s="240"/>
      <c r="AL98" s="176"/>
      <c r="AM98" s="241"/>
      <c r="AN98" s="239"/>
      <c r="AO98" s="239"/>
      <c r="AP98" s="239"/>
      <c r="AQ98" s="239"/>
      <c r="AR98" s="239"/>
      <c r="AS98" s="239"/>
      <c r="AT98" s="239"/>
      <c r="AU98" s="403"/>
      <c r="AV98" s="206"/>
      <c r="AW98" s="411"/>
      <c r="AX98" s="258"/>
      <c r="AY98" s="232"/>
      <c r="AZ98" s="233"/>
      <c r="BA98" s="165"/>
      <c r="BB98" s="721"/>
      <c r="BC98" s="721"/>
      <c r="BD98" s="721"/>
      <c r="BE98" s="721"/>
      <c r="BF98" s="721"/>
      <c r="BG98" s="721"/>
      <c r="BH98" s="721"/>
      <c r="BI98" s="721"/>
      <c r="BJ98" s="721"/>
      <c r="BK98" s="721"/>
      <c r="BL98" s="721"/>
      <c r="BM98" s="721"/>
      <c r="BN98" s="721"/>
      <c r="BO98" s="721"/>
      <c r="BP98" s="721"/>
      <c r="BQ98" s="721"/>
      <c r="BR98" s="721"/>
      <c r="BS98" s="721"/>
      <c r="BT98" s="721"/>
      <c r="BU98" s="721"/>
      <c r="BV98" s="721"/>
      <c r="BW98" s="721"/>
      <c r="BX98" s="721"/>
      <c r="BY98" s="721"/>
      <c r="BZ98" s="721"/>
      <c r="CA98" s="721"/>
      <c r="CB98" s="721"/>
      <c r="CC98" s="721"/>
      <c r="CD98" s="721"/>
      <c r="CE98" s="721"/>
      <c r="CF98" s="721"/>
      <c r="CG98" s="721"/>
      <c r="CH98" s="721"/>
      <c r="CI98" s="721"/>
      <c r="CJ98" s="721"/>
      <c r="CK98" s="721"/>
      <c r="CL98" s="721"/>
      <c r="CM98" s="721"/>
      <c r="CN98" s="721"/>
      <c r="CO98" s="721"/>
      <c r="CP98" s="721"/>
      <c r="CQ98" s="721"/>
      <c r="CR98" s="721"/>
      <c r="CS98" s="721"/>
      <c r="CT98" s="721"/>
      <c r="CU98" s="721"/>
      <c r="CV98" s="721"/>
      <c r="CW98" s="721"/>
      <c r="CX98" s="721"/>
      <c r="CY98" s="721"/>
      <c r="CZ98" s="721"/>
      <c r="DA98" s="721"/>
      <c r="DB98" s="721"/>
      <c r="DC98" s="721"/>
      <c r="DD98" s="721"/>
      <c r="DE98" s="721"/>
      <c r="DF98" s="721"/>
      <c r="DG98" s="721"/>
      <c r="DH98" s="721"/>
      <c r="DI98" s="721"/>
      <c r="DJ98" s="721"/>
      <c r="DK98" s="721"/>
      <c r="DL98" s="721"/>
      <c r="DM98" s="721"/>
      <c r="DN98" s="721"/>
      <c r="DO98" s="721"/>
      <c r="DP98" s="721"/>
      <c r="DQ98" s="721"/>
      <c r="DR98" s="721"/>
      <c r="DS98" s="721"/>
      <c r="DT98" s="721" t="str">
        <f t="shared" si="242"/>
        <v>-</v>
      </c>
      <c r="DU98" s="721"/>
      <c r="DV98" s="721"/>
      <c r="DW98" s="8"/>
    </row>
    <row r="99" spans="1:127" ht="15.75" thickBot="1">
      <c r="A99" s="716"/>
      <c r="B99" s="716"/>
      <c r="C99" s="716"/>
      <c r="D99" s="721"/>
      <c r="E99" s="721"/>
      <c r="F99" s="721"/>
      <c r="G99" s="721"/>
      <c r="H99" s="721"/>
      <c r="I99" s="721"/>
      <c r="J99" s="721" t="s">
        <v>1294</v>
      </c>
      <c r="K99" s="721"/>
      <c r="L99" s="721"/>
      <c r="M99" s="721"/>
      <c r="N99" s="721"/>
      <c r="O99" s="721"/>
      <c r="P99" s="721"/>
      <c r="Q99" s="721"/>
      <c r="R99" s="721"/>
      <c r="S99" s="721"/>
      <c r="T99" s="721"/>
      <c r="U99" s="721"/>
      <c r="V99" s="162"/>
      <c r="W99" s="259" t="str">
        <f>Idiomas!D25</f>
        <v>Dieciseisavos de final</v>
      </c>
      <c r="X99" s="260"/>
      <c r="Y99" s="261"/>
      <c r="Z99" s="261"/>
      <c r="AA99" s="261"/>
      <c r="AB99" s="261"/>
      <c r="AC99" s="261"/>
      <c r="AD99" s="261"/>
      <c r="AE99" s="261"/>
      <c r="AF99" s="262"/>
      <c r="AG99" s="399"/>
      <c r="AH99" s="207"/>
      <c r="AI99" s="161"/>
      <c r="AJ99" s="475"/>
      <c r="AK99" s="263" t="str">
        <f ca="1">+IF(OR($H$113&gt;=48,$AJ$99&gt;=48),"",Idiomas!D71)</f>
        <v>La clasificación de los mejores terceros aparece al final de la J1</v>
      </c>
      <c r="AL99" s="176"/>
      <c r="AM99" s="176"/>
      <c r="AN99" s="176"/>
      <c r="AO99" s="176"/>
      <c r="AP99" s="176"/>
      <c r="AQ99" s="176"/>
      <c r="AR99" s="176"/>
      <c r="AS99" s="176"/>
      <c r="AT99" s="176"/>
      <c r="AU99" s="404"/>
      <c r="AV99" s="18"/>
      <c r="AW99" s="412"/>
      <c r="AX99" s="265"/>
      <c r="AY99" s="232"/>
      <c r="AZ99" s="233"/>
      <c r="BA99" s="165"/>
      <c r="BB99" s="721"/>
      <c r="BC99" s="721"/>
      <c r="BD99" s="721"/>
      <c r="BE99" s="721"/>
      <c r="BF99" s="721"/>
      <c r="BG99" s="721"/>
      <c r="BH99" s="721"/>
      <c r="BI99" s="721"/>
      <c r="BJ99" s="721"/>
      <c r="BK99" s="721"/>
      <c r="BL99" s="721"/>
      <c r="BM99" s="721"/>
      <c r="BN99" s="721"/>
      <c r="BO99" s="721"/>
      <c r="BP99" s="721"/>
      <c r="BQ99" s="721"/>
      <c r="BR99" s="721"/>
      <c r="BS99" s="721"/>
      <c r="BT99" s="721"/>
      <c r="BU99" s="721"/>
      <c r="BV99" s="721"/>
      <c r="BW99" s="721"/>
      <c r="BX99" s="721"/>
      <c r="BY99" s="721"/>
      <c r="BZ99" s="721"/>
      <c r="CA99" s="721"/>
      <c r="CB99" s="721"/>
      <c r="CC99" s="721"/>
      <c r="CD99" s="721"/>
      <c r="CE99" s="721"/>
      <c r="CF99" s="721"/>
      <c r="CG99" s="721"/>
      <c r="CH99" s="721"/>
      <c r="CI99" s="721"/>
      <c r="CJ99" s="721"/>
      <c r="CK99" s="721"/>
      <c r="CL99" s="721"/>
      <c r="CM99" s="721"/>
      <c r="CN99" s="721"/>
      <c r="CO99" s="721"/>
      <c r="CP99" s="721"/>
      <c r="CQ99" s="721"/>
      <c r="CR99" s="721"/>
      <c r="CS99" s="721"/>
      <c r="CT99" s="721"/>
      <c r="CU99" s="721"/>
      <c r="CV99" s="721"/>
      <c r="CW99" s="721"/>
      <c r="CX99" s="721"/>
      <c r="CY99" s="721"/>
      <c r="CZ99" s="721"/>
      <c r="DA99" s="721"/>
      <c r="DB99" s="721"/>
      <c r="DC99" s="723"/>
      <c r="DD99" s="723"/>
      <c r="DE99" s="723"/>
      <c r="DF99" s="723"/>
      <c r="DG99" s="723"/>
      <c r="DH99" s="723"/>
      <c r="DI99" s="723"/>
      <c r="DJ99" s="723"/>
      <c r="DK99" s="723"/>
      <c r="DL99" s="723"/>
      <c r="DM99" s="723"/>
      <c r="DN99" s="723"/>
      <c r="DO99" s="723"/>
      <c r="DP99" s="723"/>
      <c r="DQ99" s="723"/>
      <c r="DR99" s="723"/>
      <c r="DS99" s="723"/>
      <c r="DT99" s="721" t="str">
        <f t="shared" si="242"/>
        <v>-</v>
      </c>
      <c r="DU99" s="723"/>
      <c r="DV99" s="723"/>
      <c r="DW99" s="472"/>
    </row>
    <row r="100" spans="1:127" ht="15.95" customHeight="1">
      <c r="A100" s="716" t="s">
        <v>1295</v>
      </c>
      <c r="B100" s="716"/>
      <c r="C100" s="716"/>
      <c r="D100" s="721"/>
      <c r="E100" s="721"/>
      <c r="F100" s="721"/>
      <c r="G100" s="721"/>
      <c r="H100" s="721"/>
      <c r="I100" s="721"/>
      <c r="J100" s="721" t="s">
        <v>1191</v>
      </c>
      <c r="K100" s="721" t="s">
        <v>720</v>
      </c>
      <c r="L100" s="721"/>
      <c r="M100" s="721" t="s">
        <v>1192</v>
      </c>
      <c r="N100" s="721" t="s">
        <v>1193</v>
      </c>
      <c r="O100" s="721"/>
      <c r="P100" s="721"/>
      <c r="Q100" s="721"/>
      <c r="R100" s="721"/>
      <c r="S100" s="721"/>
      <c r="T100" s="721"/>
      <c r="U100" s="721"/>
      <c r="V100" s="162"/>
      <c r="W100" s="169"/>
      <c r="X100" s="170" t="str">
        <f>X3</f>
        <v>Fecha</v>
      </c>
      <c r="Y100" s="170" t="str">
        <f>Y3</f>
        <v>Hora</v>
      </c>
      <c r="Z100" s="170" t="s">
        <v>717</v>
      </c>
      <c r="AA100" s="256" t="str">
        <f>AA3</f>
        <v>Casa</v>
      </c>
      <c r="AB100" s="255" t="s">
        <v>13</v>
      </c>
      <c r="AC100" s="170" t="str">
        <f>AC3</f>
        <v>Gol</v>
      </c>
      <c r="AD100" s="170" t="str">
        <f>AD3</f>
        <v>Gol</v>
      </c>
      <c r="AE100" s="255" t="s">
        <v>13</v>
      </c>
      <c r="AF100" s="257" t="str">
        <f>AF3</f>
        <v>Fuera</v>
      </c>
      <c r="AG100" s="399"/>
      <c r="AH100" s="207"/>
      <c r="AI100" s="161"/>
      <c r="AJ100" s="187" t="str">
        <f>Idiomas!D24</f>
        <v>Mejores terceros</v>
      </c>
      <c r="AK100" s="188"/>
      <c r="AL100" s="188"/>
      <c r="AM100" s="188"/>
      <c r="AN100" s="188"/>
      <c r="AO100" s="188"/>
      <c r="AP100" s="188"/>
      <c r="AQ100" s="188"/>
      <c r="AR100" s="188"/>
      <c r="AS100" s="188"/>
      <c r="AT100" s="189"/>
      <c r="AU100" s="405"/>
      <c r="AV100" s="190" t="str">
        <f ca="1">IF(AU101&gt;0,$AV$3,"")</f>
        <v/>
      </c>
      <c r="AW100" s="15"/>
      <c r="AX100" s="237"/>
      <c r="AY100" s="232"/>
      <c r="AZ100" s="233"/>
      <c r="BA100" s="165"/>
      <c r="BB100" s="715"/>
      <c r="BC100" s="721"/>
      <c r="BD100" s="721"/>
      <c r="BE100" s="721"/>
      <c r="BF100" s="721"/>
      <c r="BG100" s="721"/>
      <c r="BH100" s="721"/>
      <c r="BI100" s="721"/>
      <c r="BJ100" s="721"/>
      <c r="BK100" s="721"/>
      <c r="BL100" s="721"/>
      <c r="BM100" s="715"/>
      <c r="BN100" s="715"/>
      <c r="BO100" s="715"/>
      <c r="BP100" s="715"/>
      <c r="BQ100" s="715"/>
      <c r="BR100" s="715"/>
      <c r="BS100" s="715"/>
      <c r="BT100" s="715"/>
      <c r="BU100" s="715"/>
      <c r="BV100" s="715"/>
      <c r="BW100" s="715"/>
      <c r="BX100" s="715"/>
      <c r="BY100" s="715"/>
      <c r="BZ100" s="715"/>
      <c r="CA100" s="715"/>
      <c r="CB100" s="715"/>
      <c r="CC100" s="715"/>
      <c r="CD100" s="715"/>
      <c r="CE100" s="715"/>
      <c r="CF100" s="715"/>
      <c r="CG100" s="715"/>
      <c r="CH100" s="715"/>
      <c r="CI100" s="715"/>
      <c r="CJ100" s="715"/>
      <c r="CK100" s="715"/>
      <c r="CL100" s="715"/>
      <c r="CM100" s="715"/>
      <c r="CN100" s="715"/>
      <c r="CO100" s="715"/>
      <c r="CP100" s="715"/>
      <c r="CQ100" s="715"/>
      <c r="CR100" s="715"/>
      <c r="CS100" s="715"/>
      <c r="CT100" s="715"/>
      <c r="CU100" s="715"/>
      <c r="CV100" s="715"/>
      <c r="CW100" s="715"/>
      <c r="CX100" s="715"/>
      <c r="CY100" s="715"/>
      <c r="CZ100" s="715"/>
      <c r="DA100" s="715"/>
      <c r="DB100" s="715"/>
      <c r="DC100" s="715"/>
      <c r="DD100" s="715"/>
      <c r="DE100" s="715"/>
      <c r="DF100" s="715"/>
      <c r="DG100" s="715"/>
      <c r="DH100" s="715"/>
      <c r="DI100" s="715"/>
      <c r="DJ100" s="715"/>
      <c r="DK100" s="715"/>
      <c r="DL100" s="715"/>
      <c r="DM100" s="715"/>
      <c r="DN100" s="715"/>
      <c r="DO100" s="715"/>
      <c r="DP100" s="715"/>
      <c r="DQ100" s="715"/>
      <c r="DR100" s="715"/>
      <c r="DS100" s="715"/>
      <c r="DT100" s="721" t="str">
        <f t="shared" si="242"/>
        <v>Casa-Fuera</v>
      </c>
      <c r="DU100" s="715"/>
      <c r="DV100" s="715"/>
      <c r="DW100" s="11"/>
    </row>
    <row r="101" spans="1:127" ht="15.95" customHeight="1" thickBot="1">
      <c r="A101" s="715" t="s">
        <v>646</v>
      </c>
      <c r="B101" s="715" t="s">
        <v>649</v>
      </c>
      <c r="C101" s="716"/>
      <c r="D101" s="724" t="str">
        <f t="shared" ref="D101:D116" si="302">IF(AND(OR(AC101="",AD101="")),"W"&amp;AH101,IF(AC101&gt;AD101,AA101,IF(AC101&lt;AD101,AF101,IF(AND(AC101=AD101,AB101=AE101),"W"&amp;AH101,IF(AND(AC101=AD101,OR(AB101="",AE101="")),"W"&amp;AH101,IF(AND(AC101=AD101,AB101&gt;AE101),AA101,AF101))))))</f>
        <v>W73</v>
      </c>
      <c r="E101" s="716" t="s">
        <v>0</v>
      </c>
      <c r="F101" s="716" t="s">
        <v>1</v>
      </c>
      <c r="G101" s="725" t="s">
        <v>0</v>
      </c>
      <c r="H101" s="726">
        <f t="shared" ref="H101:H112" ca="1" si="303">+SUMIF($BC$6:$BC$53,G101,$BF$6:$BF$53)</f>
        <v>4</v>
      </c>
      <c r="I101" s="721"/>
      <c r="J101" s="715">
        <v>73</v>
      </c>
      <c r="K101" s="715">
        <v>46201.75</v>
      </c>
      <c r="L101" s="715" t="s">
        <v>685</v>
      </c>
      <c r="M101" s="715" t="str">
        <f t="shared" ref="M101:M116" ca="1" si="304">+IF(OR(INDEX($H$101:$H$113,MATCH(E101,$G$101:$G$113,0))=12,$AJ$99=144),INDEX($AL$6:$AL$97,MATCH(A101,$AI$6:$AI$97,0)),A101)</f>
        <v>2A</v>
      </c>
      <c r="N101" s="715"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15"/>
      <c r="P101" s="715"/>
      <c r="Q101" s="715"/>
      <c r="R101" s="715"/>
      <c r="S101" s="715"/>
      <c r="T101" s="715"/>
      <c r="U101" s="715"/>
      <c r="V101" s="162"/>
      <c r="W101" s="849" t="s">
        <v>483</v>
      </c>
      <c r="X101" s="179">
        <f ca="1">Horarios!C101</f>
        <v>46201.875</v>
      </c>
      <c r="Y101" s="180">
        <f ca="1">Horarios!C101</f>
        <v>46201.875</v>
      </c>
      <c r="Z101" s="266">
        <f>AH101</f>
        <v>73</v>
      </c>
      <c r="AA101" s="267" t="str">
        <f t="shared" ref="AA101:AA116" ca="1" si="305">+INDEX($M$101:$M$147,MATCH(AH101,$J$101:$J$147,0))</f>
        <v>2A</v>
      </c>
      <c r="AB101" s="268"/>
      <c r="AC101" s="184"/>
      <c r="AD101" s="184"/>
      <c r="AE101" s="269"/>
      <c r="AF101" s="270" t="str">
        <f t="shared" ref="AF101:AF116" ca="1" si="306">+INDEX($N$101:$N$147,MATCH(AH101,$J$101:$J$147,0))</f>
        <v>2B</v>
      </c>
      <c r="AG101" s="400">
        <f t="shared" ref="AG101:AG116" si="307">IF(D101="W"&amp;AH101,0,1)</f>
        <v>0</v>
      </c>
      <c r="AH101" s="186">
        <v>73</v>
      </c>
      <c r="AI101" s="161"/>
      <c r="AJ101" s="194" t="str">
        <f>AJ5</f>
        <v>Pos</v>
      </c>
      <c r="AK101" s="195"/>
      <c r="AL101" s="196" t="str">
        <f t="shared" ref="AL101:AT101" si="308">AL5</f>
        <v>Selección</v>
      </c>
      <c r="AM101" s="195" t="str">
        <f t="shared" si="308"/>
        <v>Pts</v>
      </c>
      <c r="AN101" s="195" t="str">
        <f t="shared" si="308"/>
        <v>J</v>
      </c>
      <c r="AO101" s="195" t="str">
        <f t="shared" si="308"/>
        <v>G</v>
      </c>
      <c r="AP101" s="195" t="str">
        <f t="shared" si="308"/>
        <v>E</v>
      </c>
      <c r="AQ101" s="195" t="str">
        <f t="shared" si="308"/>
        <v>P</v>
      </c>
      <c r="AR101" s="195" t="str">
        <f t="shared" si="308"/>
        <v>GF</v>
      </c>
      <c r="AS101" s="195" t="str">
        <f t="shared" si="308"/>
        <v>GC</v>
      </c>
      <c r="AT101" s="197" t="str">
        <f t="shared" si="308"/>
        <v>DG</v>
      </c>
      <c r="AU101" s="404">
        <f ca="1">COUNTIF(AU102:AU113,"&gt;1")</f>
        <v>0</v>
      </c>
      <c r="AV101" s="18"/>
      <c r="AW101" s="412"/>
      <c r="AX101" s="264"/>
      <c r="AY101" s="406" t="str">
        <f ca="1">+IF(OR($H$113&gt;=48,$AJ$99=144),Idiomas!D70,"")</f>
        <v/>
      </c>
      <c r="AZ101" s="407" t="str">
        <f ca="1">+IF(OR($H$113&gt;=48,$AJ$99=144),BI112,"")</f>
        <v/>
      </c>
      <c r="BA101" s="165"/>
      <c r="BB101" s="721"/>
      <c r="BC101" s="721"/>
      <c r="BD101" s="721"/>
      <c r="BE101" s="721"/>
      <c r="BF101" s="721"/>
      <c r="BG101" s="721"/>
      <c r="BH101" s="721"/>
      <c r="BI101" s="721"/>
      <c r="BJ101" s="721"/>
      <c r="BK101" s="721"/>
      <c r="BL101" s="721"/>
      <c r="BM101" s="721"/>
      <c r="BN101" s="721"/>
      <c r="BO101" s="721"/>
      <c r="BP101" s="721"/>
      <c r="BQ101" s="721"/>
      <c r="BR101" s="721"/>
      <c r="BS101" s="721"/>
      <c r="BT101" s="721"/>
      <c r="BU101" s="721"/>
      <c r="BV101" s="721"/>
      <c r="BW101" s="721"/>
      <c r="BX101" s="721"/>
      <c r="BY101" s="721"/>
      <c r="BZ101" s="721"/>
      <c r="CA101" s="721"/>
      <c r="CB101" s="721"/>
      <c r="CC101" s="721"/>
      <c r="CD101" s="721"/>
      <c r="CE101" s="721"/>
      <c r="CF101" s="721"/>
      <c r="CG101" s="721"/>
      <c r="CH101" s="721"/>
      <c r="CI101" s="721"/>
      <c r="CJ101" s="721"/>
      <c r="CK101" s="721"/>
      <c r="CL101" s="721"/>
      <c r="CM101" s="721"/>
      <c r="CN101" s="721"/>
      <c r="CO101" s="721"/>
      <c r="CP101" s="721"/>
      <c r="CQ101" s="721"/>
      <c r="CR101" s="721"/>
      <c r="CS101" s="721"/>
      <c r="CT101" s="721"/>
      <c r="CU101" s="721"/>
      <c r="CV101" s="721"/>
      <c r="CW101" s="721"/>
      <c r="CX101" s="721"/>
      <c r="CY101" s="721"/>
      <c r="CZ101" s="721"/>
      <c r="DA101" s="721"/>
      <c r="DB101" s="721"/>
      <c r="DC101" s="721"/>
      <c r="DD101" s="721"/>
      <c r="DE101" s="721"/>
      <c r="DF101" s="721"/>
      <c r="DG101" s="721"/>
      <c r="DH101" s="721"/>
      <c r="DI101" s="721"/>
      <c r="DJ101" s="721"/>
      <c r="DK101" s="721"/>
      <c r="DL101" s="721"/>
      <c r="DM101" s="721"/>
      <c r="DN101" s="721"/>
      <c r="DO101" s="721"/>
      <c r="DP101" s="721"/>
      <c r="DQ101" s="721"/>
      <c r="DR101" s="721"/>
      <c r="DS101" s="721"/>
      <c r="DT101" s="721" t="str">
        <f t="shared" ca="1" si="242"/>
        <v>2A-2B</v>
      </c>
      <c r="DU101" s="721"/>
      <c r="DV101" s="721"/>
      <c r="DW101" s="8"/>
    </row>
    <row r="102" spans="1:127" ht="15.95" customHeight="1">
      <c r="A102" s="715" t="s">
        <v>661</v>
      </c>
      <c r="B102" s="715" t="s">
        <v>722</v>
      </c>
      <c r="C102" s="716"/>
      <c r="D102" s="724" t="str">
        <f t="shared" si="302"/>
        <v>W76</v>
      </c>
      <c r="E102" s="716" t="s">
        <v>3</v>
      </c>
      <c r="F102" s="716" t="s">
        <v>721</v>
      </c>
      <c r="G102" s="725" t="s">
        <v>1</v>
      </c>
      <c r="H102" s="726">
        <f t="shared" ca="1" si="303"/>
        <v>0</v>
      </c>
      <c r="I102" s="721"/>
      <c r="J102" s="715">
        <v>74</v>
      </c>
      <c r="K102" s="715">
        <v>46202.75</v>
      </c>
      <c r="L102" s="715" t="s">
        <v>686</v>
      </c>
      <c r="M102" s="715" t="str">
        <f t="shared" ca="1" si="304"/>
        <v>1E</v>
      </c>
      <c r="N102" s="715"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15"/>
      <c r="P102" s="715"/>
      <c r="Q102" s="715"/>
      <c r="R102" s="715"/>
      <c r="S102" s="715"/>
      <c r="T102" s="715"/>
      <c r="U102" s="715"/>
      <c r="V102" s="162"/>
      <c r="W102" s="849"/>
      <c r="X102" s="179">
        <f ca="1">Horarios!C102</f>
        <v>46202.791666666664</v>
      </c>
      <c r="Y102" s="180">
        <f ca="1">Horarios!C102</f>
        <v>46202.791666666664</v>
      </c>
      <c r="Z102" s="266">
        <f t="shared" ref="Z102:Z116" si="309">AH102</f>
        <v>76</v>
      </c>
      <c r="AA102" s="267" t="str">
        <f t="shared" ca="1" si="305"/>
        <v>1C</v>
      </c>
      <c r="AB102" s="268"/>
      <c r="AC102" s="271"/>
      <c r="AD102" s="271"/>
      <c r="AE102" s="268"/>
      <c r="AF102" s="270" t="str">
        <f t="shared" ca="1" si="306"/>
        <v>2F</v>
      </c>
      <c r="AG102" s="400">
        <f t="shared" si="307"/>
        <v>0</v>
      </c>
      <c r="AH102" s="186">
        <v>76</v>
      </c>
      <c r="AI102" s="207">
        <v>1</v>
      </c>
      <c r="AJ102" s="272">
        <v>1</v>
      </c>
      <c r="AK102" s="464" t="str" cm="1">
        <f t="array" aca="1" ref="AK102" ca="1">Ver_flag_visit</f>
        <v/>
      </c>
      <c r="AL102" s="273" t="str">
        <f t="shared" ref="AL102:AL113" ca="1" si="310">+IF($H$113&gt;=48,INDEX($BD$58:$BD$69,MATCH(AI102,$BN$58:$BN$69,0)),BB58)</f>
        <v>3A</v>
      </c>
      <c r="AM102" s="274" t="str">
        <f t="shared" ref="AM102:AT102" ca="1" si="311">+IF($H$113&gt;=48,INDEX($BE$58:$BN$69,MATCH($AL102,$BD$58:$BD$69,0),MATCH(AM$5,$BE$57:$BN$57,0)),$BB58)</f>
        <v>3A</v>
      </c>
      <c r="AN102" s="275" t="str">
        <f t="shared" ca="1" si="311"/>
        <v>3A</v>
      </c>
      <c r="AO102" s="275" t="str">
        <f t="shared" ca="1" si="311"/>
        <v>3A</v>
      </c>
      <c r="AP102" s="275" t="str">
        <f t="shared" ca="1" si="311"/>
        <v>3A</v>
      </c>
      <c r="AQ102" s="276" t="str">
        <f t="shared" ca="1" si="311"/>
        <v>3A</v>
      </c>
      <c r="AR102" s="276" t="str">
        <f t="shared" ca="1" si="311"/>
        <v>3A</v>
      </c>
      <c r="AS102" s="276" t="str">
        <f t="shared" ca="1" si="311"/>
        <v>3A</v>
      </c>
      <c r="AT102" s="277" t="str">
        <f t="shared" ca="1" si="311"/>
        <v>3A</v>
      </c>
      <c r="AU102" s="403" t="str">
        <f t="shared" ref="AU102:AU113" ca="1" si="312">IF($H$113=144,INDEX($DL$58:$DL$69,MATCH(AI102,$DP$58:$DP$69,0)),"")</f>
        <v/>
      </c>
      <c r="AV102" s="207" t="str">
        <f t="shared" ref="AV102:AV113" ca="1" si="313">INDEX($BD$58:$BD$69,MATCH(AI102,$BM$58:$BM$69,0))</f>
        <v>Arabia Saudita</v>
      </c>
      <c r="AW102" s="410"/>
      <c r="AX102" s="278"/>
      <c r="AY102" s="232"/>
      <c r="AZ102" s="233"/>
      <c r="BA102" s="165"/>
      <c r="BB102" s="715"/>
      <c r="BC102" s="721"/>
      <c r="BD102" s="715"/>
      <c r="BE102" s="737" t="s">
        <v>444</v>
      </c>
      <c r="BF102" s="715" t="s">
        <v>719</v>
      </c>
      <c r="BG102" s="715" t="s">
        <v>764</v>
      </c>
      <c r="BH102" s="715"/>
      <c r="BI102" s="715" t="s">
        <v>85</v>
      </c>
      <c r="BJ102" s="715"/>
      <c r="BK102" s="721"/>
      <c r="BL102" s="721"/>
      <c r="BM102" s="715"/>
      <c r="BN102" s="715"/>
      <c r="BO102" s="715"/>
      <c r="BP102" s="715"/>
      <c r="BQ102" s="715"/>
      <c r="BR102" s="715"/>
      <c r="BS102" s="715"/>
      <c r="BT102" s="715"/>
      <c r="BU102" s="715"/>
      <c r="BV102" s="715"/>
      <c r="BW102" s="715"/>
      <c r="BX102" s="715"/>
      <c r="BY102" s="715"/>
      <c r="BZ102" s="715"/>
      <c r="CA102" s="715"/>
      <c r="CB102" s="715"/>
      <c r="CC102" s="715"/>
      <c r="CD102" s="715"/>
      <c r="CE102" s="715"/>
      <c r="CF102" s="715"/>
      <c r="CG102" s="715"/>
      <c r="CH102" s="715"/>
      <c r="CI102" s="715"/>
      <c r="CJ102" s="715"/>
      <c r="CK102" s="715"/>
      <c r="CL102" s="715"/>
      <c r="CM102" s="715"/>
      <c r="CN102" s="715"/>
      <c r="CO102" s="715"/>
      <c r="CP102" s="715"/>
      <c r="CQ102" s="715"/>
      <c r="CR102" s="715"/>
      <c r="CS102" s="715"/>
      <c r="CT102" s="715"/>
      <c r="CU102" s="715"/>
      <c r="CV102" s="715"/>
      <c r="CW102" s="715"/>
      <c r="CX102" s="715"/>
      <c r="CY102" s="715"/>
      <c r="CZ102" s="715"/>
      <c r="DA102" s="715"/>
      <c r="DB102" s="715"/>
      <c r="DC102" s="715"/>
      <c r="DD102" s="715"/>
      <c r="DE102" s="715"/>
      <c r="DF102" s="715"/>
      <c r="DG102" s="715"/>
      <c r="DH102" s="715"/>
      <c r="DI102" s="715"/>
      <c r="DJ102" s="715"/>
      <c r="DK102" s="715"/>
      <c r="DL102" s="715"/>
      <c r="DM102" s="715"/>
      <c r="DN102" s="715"/>
      <c r="DO102" s="715"/>
      <c r="DP102" s="715"/>
      <c r="DQ102" s="715"/>
      <c r="DR102" s="715"/>
      <c r="DS102" s="715"/>
      <c r="DT102" s="721" t="str">
        <f t="shared" ca="1" si="242"/>
        <v>1C-2F</v>
      </c>
      <c r="DU102" s="715"/>
      <c r="DV102" s="715"/>
      <c r="DW102" s="11"/>
    </row>
    <row r="103" spans="1:127" ht="15.95" customHeight="1">
      <c r="A103" s="715" t="s">
        <v>664</v>
      </c>
      <c r="B103" s="715" t="s">
        <v>656</v>
      </c>
      <c r="C103" s="716"/>
      <c r="D103" s="724" t="str">
        <f t="shared" si="302"/>
        <v>W74</v>
      </c>
      <c r="E103" s="716" t="s">
        <v>4</v>
      </c>
      <c r="F103" s="716" t="s">
        <v>2</v>
      </c>
      <c r="G103" s="725" t="s">
        <v>2</v>
      </c>
      <c r="H103" s="726">
        <f t="shared" ca="1" si="303"/>
        <v>0</v>
      </c>
      <c r="I103" s="721"/>
      <c r="J103" s="715">
        <v>75</v>
      </c>
      <c r="K103" s="715">
        <v>46202.75</v>
      </c>
      <c r="L103" s="715" t="s">
        <v>687</v>
      </c>
      <c r="M103" s="715" t="str">
        <f t="shared" ca="1" si="304"/>
        <v>1F</v>
      </c>
      <c r="N103" s="715"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15"/>
      <c r="P103" s="715"/>
      <c r="Q103" s="715"/>
      <c r="R103" s="715"/>
      <c r="S103" s="715"/>
      <c r="T103" s="715"/>
      <c r="U103" s="715"/>
      <c r="V103" s="162"/>
      <c r="W103" s="849"/>
      <c r="X103" s="179">
        <f ca="1">Horarios!C103</f>
        <v>46202.9375</v>
      </c>
      <c r="Y103" s="180">
        <f ca="1">Horarios!C103</f>
        <v>46202.9375</v>
      </c>
      <c r="Z103" s="266">
        <f t="shared" si="309"/>
        <v>74</v>
      </c>
      <c r="AA103" s="267" t="str">
        <f t="shared" ca="1" si="305"/>
        <v>1E</v>
      </c>
      <c r="AB103" s="268"/>
      <c r="AC103" s="271"/>
      <c r="AD103" s="271"/>
      <c r="AE103" s="268"/>
      <c r="AF103" s="270" t="str">
        <f t="shared" ca="1" si="306"/>
        <v>3ABCDF</v>
      </c>
      <c r="AG103" s="400">
        <f t="shared" si="307"/>
        <v>0</v>
      </c>
      <c r="AH103" s="186">
        <v>74</v>
      </c>
      <c r="AI103" s="207">
        <v>2</v>
      </c>
      <c r="AJ103" s="211">
        <v>2</v>
      </c>
      <c r="AK103" s="465" t="str" cm="1">
        <f t="array" aca="1" ref="AK103" ca="1">Ver_flag_visit</f>
        <v/>
      </c>
      <c r="AL103" s="279" t="str">
        <f t="shared" ca="1" si="310"/>
        <v>3B</v>
      </c>
      <c r="AM103" s="280" t="str">
        <f t="shared" ref="AM103:AT103" ca="1" si="314">+IF($H$113&gt;=48,INDEX($BE$58:$BN$69,MATCH($AL103,$BD$58:$BD$69,0),MATCH(AM$5,$BE$57:$BN$57,0)),$BB59)</f>
        <v>3B</v>
      </c>
      <c r="AN103" s="281" t="str">
        <f t="shared" ca="1" si="314"/>
        <v>3B</v>
      </c>
      <c r="AO103" s="281" t="str">
        <f t="shared" ca="1" si="314"/>
        <v>3B</v>
      </c>
      <c r="AP103" s="281" t="str">
        <f t="shared" ca="1" si="314"/>
        <v>3B</v>
      </c>
      <c r="AQ103" s="281" t="str">
        <f t="shared" ca="1" si="314"/>
        <v>3B</v>
      </c>
      <c r="AR103" s="281" t="str">
        <f t="shared" ca="1" si="314"/>
        <v>3B</v>
      </c>
      <c r="AS103" s="281" t="str">
        <f t="shared" ca="1" si="314"/>
        <v>3B</v>
      </c>
      <c r="AT103" s="282" t="str">
        <f t="shared" ca="1" si="314"/>
        <v>3B</v>
      </c>
      <c r="AU103" s="403" t="str">
        <f t="shared" ca="1" si="312"/>
        <v/>
      </c>
      <c r="AV103" s="207" t="str">
        <f t="shared" ca="1" si="313"/>
        <v>Australia</v>
      </c>
      <c r="AW103" s="410">
        <v>2</v>
      </c>
      <c r="AX103" s="278"/>
      <c r="AY103" s="283"/>
      <c r="AZ103" s="284" t="str">
        <f t="shared" ref="AZ103:AZ110" ca="1" si="315">+IF(OR($H$113&gt;=48,$AJ$99=144),BF117&amp;" - "&amp;BG117,"")</f>
        <v/>
      </c>
      <c r="BA103" s="165"/>
      <c r="BB103" s="715"/>
      <c r="BC103" s="721"/>
      <c r="BD103" s="715"/>
      <c r="BE103" s="715"/>
      <c r="BF103" s="715" t="str">
        <f t="shared" ref="BF103:BF110" ca="1" si="316">IFERROR(INDEX($BC$6:$BC$53,MATCH(AL102,$BD$6:$BD$53,0)),"")</f>
        <v/>
      </c>
      <c r="BG103" s="715">
        <f t="shared" ref="BG103:BG110" ca="1" si="317">COUNTIF($BF$103:$BF$110,"&lt;="&amp;BF103)</f>
        <v>0</v>
      </c>
      <c r="BH103" s="715"/>
      <c r="BI103" s="721">
        <v>1</v>
      </c>
      <c r="BJ103" s="715" t="str">
        <f t="shared" ref="BJ103:BJ110" ca="1" si="318">IFERROR(INDEX($BF$103:$BF$110,MATCH(BI103,$BG$103:$BG$110,0)),"Grupo")</f>
        <v>Grupo</v>
      </c>
      <c r="BK103" s="721"/>
      <c r="BL103" s="721"/>
      <c r="BM103" s="715"/>
      <c r="BN103" s="715"/>
      <c r="BO103" s="715"/>
      <c r="BP103" s="715"/>
      <c r="BQ103" s="715"/>
      <c r="BR103" s="715"/>
      <c r="BS103" s="715"/>
      <c r="BT103" s="715"/>
      <c r="BU103" s="715"/>
      <c r="BV103" s="715"/>
      <c r="BW103" s="715"/>
      <c r="BX103" s="715"/>
      <c r="BY103" s="715"/>
      <c r="BZ103" s="715"/>
      <c r="CA103" s="715"/>
      <c r="CB103" s="715"/>
      <c r="CC103" s="715"/>
      <c r="CD103" s="715"/>
      <c r="CE103" s="715"/>
      <c r="CF103" s="715"/>
      <c r="CG103" s="715"/>
      <c r="CH103" s="715"/>
      <c r="CI103" s="715"/>
      <c r="CJ103" s="715"/>
      <c r="CK103" s="715"/>
      <c r="CL103" s="715"/>
      <c r="CM103" s="715"/>
      <c r="CN103" s="715"/>
      <c r="CO103" s="715"/>
      <c r="CP103" s="715"/>
      <c r="CQ103" s="715"/>
      <c r="CR103" s="715"/>
      <c r="CS103" s="715"/>
      <c r="CT103" s="715"/>
      <c r="CU103" s="715"/>
      <c r="CV103" s="715"/>
      <c r="CW103" s="715"/>
      <c r="CX103" s="715"/>
      <c r="CY103" s="715"/>
      <c r="CZ103" s="715"/>
      <c r="DA103" s="715"/>
      <c r="DB103" s="715"/>
      <c r="DC103" s="715"/>
      <c r="DD103" s="715"/>
      <c r="DE103" s="715"/>
      <c r="DF103" s="715"/>
      <c r="DG103" s="715"/>
      <c r="DH103" s="715"/>
      <c r="DI103" s="715"/>
      <c r="DJ103" s="715"/>
      <c r="DK103" s="715"/>
      <c r="DL103" s="715"/>
      <c r="DM103" s="715"/>
      <c r="DN103" s="715"/>
      <c r="DO103" s="715"/>
      <c r="DP103" s="715"/>
      <c r="DQ103" s="715"/>
      <c r="DR103" s="715"/>
      <c r="DS103" s="715"/>
      <c r="DT103" s="721" t="str">
        <f t="shared" ca="1" si="242"/>
        <v>1E-3ABCDF</v>
      </c>
      <c r="DU103" s="715"/>
      <c r="DV103" s="715"/>
      <c r="DW103" s="11"/>
    </row>
    <row r="104" spans="1:127" ht="15.95" customHeight="1">
      <c r="A104" s="715" t="s">
        <v>651</v>
      </c>
      <c r="B104" s="715" t="s">
        <v>665</v>
      </c>
      <c r="C104" s="716"/>
      <c r="D104" s="724" t="str">
        <f t="shared" si="302"/>
        <v>W75</v>
      </c>
      <c r="E104" s="716" t="s">
        <v>2</v>
      </c>
      <c r="F104" s="716" t="s">
        <v>4</v>
      </c>
      <c r="G104" s="725" t="s">
        <v>73</v>
      </c>
      <c r="H104" s="726">
        <f t="shared" ca="1" si="303"/>
        <v>0</v>
      </c>
      <c r="I104" s="721"/>
      <c r="J104" s="715">
        <v>76</v>
      </c>
      <c r="K104" s="715">
        <v>46202.75</v>
      </c>
      <c r="L104" s="715" t="s">
        <v>688</v>
      </c>
      <c r="M104" s="715" t="str">
        <f t="shared" ca="1" si="304"/>
        <v>1C</v>
      </c>
      <c r="N104" s="715"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15"/>
      <c r="P104" s="715"/>
      <c r="Q104" s="715"/>
      <c r="R104" s="715"/>
      <c r="S104" s="715"/>
      <c r="T104" s="715"/>
      <c r="U104" s="715"/>
      <c r="V104" s="162"/>
      <c r="W104" s="849"/>
      <c r="X104" s="179">
        <f ca="1">Horarios!C104</f>
        <v>46203.125</v>
      </c>
      <c r="Y104" s="180">
        <f ca="1">Horarios!C104</f>
        <v>46203.125</v>
      </c>
      <c r="Z104" s="266">
        <f t="shared" si="309"/>
        <v>75</v>
      </c>
      <c r="AA104" s="267" t="str">
        <f t="shared" ca="1" si="305"/>
        <v>1F</v>
      </c>
      <c r="AB104" s="268"/>
      <c r="AC104" s="271"/>
      <c r="AD104" s="271"/>
      <c r="AE104" s="268"/>
      <c r="AF104" s="270" t="str">
        <f t="shared" ca="1" si="306"/>
        <v>2C</v>
      </c>
      <c r="AG104" s="400">
        <f t="shared" si="307"/>
        <v>0</v>
      </c>
      <c r="AH104" s="186">
        <v>75</v>
      </c>
      <c r="AI104" s="207">
        <v>3</v>
      </c>
      <c r="AJ104" s="211">
        <v>3</v>
      </c>
      <c r="AK104" s="465" t="str" cm="1">
        <f t="array" aca="1" ref="AK104" ca="1">Ver_flag_visit</f>
        <v/>
      </c>
      <c r="AL104" s="279" t="str">
        <f t="shared" ca="1" si="310"/>
        <v>3C</v>
      </c>
      <c r="AM104" s="280" t="str">
        <f t="shared" ref="AM104:AT104" ca="1" si="319">+IF($H$113&gt;=48,INDEX($BE$58:$BN$69,MATCH($AL104,$BD$58:$BD$69,0),MATCH(AM$5,$BE$57:$BN$57,0)),$BB60)</f>
        <v>3C</v>
      </c>
      <c r="AN104" s="281" t="str">
        <f t="shared" ca="1" si="319"/>
        <v>3C</v>
      </c>
      <c r="AO104" s="281" t="str">
        <f t="shared" ca="1" si="319"/>
        <v>3C</v>
      </c>
      <c r="AP104" s="281" t="str">
        <f t="shared" ca="1" si="319"/>
        <v>3C</v>
      </c>
      <c r="AQ104" s="281" t="str">
        <f t="shared" ca="1" si="319"/>
        <v>3C</v>
      </c>
      <c r="AR104" s="281" t="str">
        <f t="shared" ca="1" si="319"/>
        <v>3C</v>
      </c>
      <c r="AS104" s="281" t="str">
        <f t="shared" ca="1" si="319"/>
        <v>3C</v>
      </c>
      <c r="AT104" s="282" t="str">
        <f t="shared" ca="1" si="319"/>
        <v>3C</v>
      </c>
      <c r="AU104" s="403" t="str">
        <f t="shared" ca="1" si="312"/>
        <v/>
      </c>
      <c r="AV104" s="207" t="str">
        <f t="shared" ca="1" si="313"/>
        <v>Austria</v>
      </c>
      <c r="AW104" s="410">
        <v>3</v>
      </c>
      <c r="AX104" s="278"/>
      <c r="AY104" s="283"/>
      <c r="AZ104" s="284" t="str">
        <f t="shared" ca="1" si="315"/>
        <v/>
      </c>
      <c r="BA104" s="165"/>
      <c r="BB104" s="715"/>
      <c r="BC104" s="721"/>
      <c r="BD104" s="715"/>
      <c r="BE104" s="715"/>
      <c r="BF104" s="715" t="str">
        <f t="shared" ca="1" si="316"/>
        <v/>
      </c>
      <c r="BG104" s="715">
        <f t="shared" ca="1" si="317"/>
        <v>0</v>
      </c>
      <c r="BH104" s="715"/>
      <c r="BI104" s="721">
        <v>2</v>
      </c>
      <c r="BJ104" s="715" t="str">
        <f t="shared" ca="1" si="318"/>
        <v>Grupo</v>
      </c>
      <c r="BK104" s="721"/>
      <c r="BL104" s="721"/>
      <c r="BM104" s="715"/>
      <c r="BN104" s="715"/>
      <c r="BO104" s="715"/>
      <c r="BP104" s="715"/>
      <c r="BQ104" s="715"/>
      <c r="BR104" s="715"/>
      <c r="BS104" s="715"/>
      <c r="BT104" s="715"/>
      <c r="BU104" s="715"/>
      <c r="BV104" s="715"/>
      <c r="BW104" s="715"/>
      <c r="BX104" s="715"/>
      <c r="BY104" s="715"/>
      <c r="BZ104" s="715"/>
      <c r="CA104" s="715"/>
      <c r="CB104" s="715"/>
      <c r="CC104" s="715"/>
      <c r="CD104" s="715"/>
      <c r="CE104" s="715"/>
      <c r="CF104" s="715"/>
      <c r="CG104" s="715"/>
      <c r="CH104" s="715"/>
      <c r="CI104" s="715"/>
      <c r="CJ104" s="715"/>
      <c r="CK104" s="715"/>
      <c r="CL104" s="715"/>
      <c r="CM104" s="715"/>
      <c r="CN104" s="715"/>
      <c r="CO104" s="715"/>
      <c r="CP104" s="715"/>
      <c r="CQ104" s="715"/>
      <c r="CR104" s="715"/>
      <c r="CS104" s="715"/>
      <c r="CT104" s="715"/>
      <c r="CU104" s="715"/>
      <c r="CV104" s="715"/>
      <c r="CW104" s="715"/>
      <c r="CX104" s="715"/>
      <c r="CY104" s="715"/>
      <c r="CZ104" s="715"/>
      <c r="DA104" s="715"/>
      <c r="DB104" s="715"/>
      <c r="DC104" s="715"/>
      <c r="DD104" s="715"/>
      <c r="DE104" s="715"/>
      <c r="DF104" s="715"/>
      <c r="DG104" s="715"/>
      <c r="DH104" s="715"/>
      <c r="DI104" s="715"/>
      <c r="DJ104" s="715"/>
      <c r="DK104" s="715"/>
      <c r="DL104" s="715"/>
      <c r="DM104" s="715"/>
      <c r="DN104" s="715"/>
      <c r="DO104" s="715"/>
      <c r="DP104" s="715"/>
      <c r="DQ104" s="715"/>
      <c r="DR104" s="715"/>
      <c r="DS104" s="715"/>
      <c r="DT104" s="721" t="str">
        <f t="shared" ca="1" si="242"/>
        <v>1F-2C</v>
      </c>
      <c r="DU104" s="715"/>
      <c r="DV104" s="715"/>
      <c r="DW104" s="11"/>
    </row>
    <row r="105" spans="1:127" ht="15.95" customHeight="1">
      <c r="A105" s="715" t="s">
        <v>673</v>
      </c>
      <c r="B105" s="715" t="s">
        <v>723</v>
      </c>
      <c r="C105" s="716"/>
      <c r="D105" s="724" t="str">
        <f t="shared" si="302"/>
        <v>W78</v>
      </c>
      <c r="E105" s="716" t="s">
        <v>438</v>
      </c>
      <c r="F105" s="716" t="s">
        <v>721</v>
      </c>
      <c r="G105" s="725" t="s">
        <v>3</v>
      </c>
      <c r="H105" s="726">
        <f t="shared" ca="1" si="303"/>
        <v>0</v>
      </c>
      <c r="I105" s="721"/>
      <c r="J105" s="715">
        <v>77</v>
      </c>
      <c r="K105" s="715">
        <v>46203.75</v>
      </c>
      <c r="L105" s="715" t="s">
        <v>689</v>
      </c>
      <c r="M105" s="715" t="str">
        <f t="shared" ca="1" si="304"/>
        <v>1I</v>
      </c>
      <c r="N105" s="715"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15"/>
      <c r="P105" s="715"/>
      <c r="Q105" s="715"/>
      <c r="R105" s="715"/>
      <c r="S105" s="715"/>
      <c r="T105" s="715"/>
      <c r="U105" s="715"/>
      <c r="V105" s="162"/>
      <c r="W105" s="849"/>
      <c r="X105" s="179">
        <f ca="1">Horarios!C105</f>
        <v>46203.791666666664</v>
      </c>
      <c r="Y105" s="180">
        <f ca="1">Horarios!C105</f>
        <v>46203.791666666664</v>
      </c>
      <c r="Z105" s="266">
        <f t="shared" si="309"/>
        <v>78</v>
      </c>
      <c r="AA105" s="267" t="str">
        <f t="shared" ca="1" si="305"/>
        <v>2E</v>
      </c>
      <c r="AB105" s="268"/>
      <c r="AC105" s="271"/>
      <c r="AD105" s="271"/>
      <c r="AE105" s="268"/>
      <c r="AF105" s="270" t="str">
        <f t="shared" ca="1" si="306"/>
        <v>2I</v>
      </c>
      <c r="AG105" s="400">
        <f t="shared" si="307"/>
        <v>0</v>
      </c>
      <c r="AH105" s="186">
        <v>78</v>
      </c>
      <c r="AI105" s="207">
        <v>4</v>
      </c>
      <c r="AJ105" s="211">
        <v>4</v>
      </c>
      <c r="AK105" s="465" t="str" cm="1">
        <f t="array" aca="1" ref="AK105" ca="1">Ver_flag_visit</f>
        <v/>
      </c>
      <c r="AL105" s="279" t="str">
        <f t="shared" ca="1" si="310"/>
        <v>3D</v>
      </c>
      <c r="AM105" s="280" t="str">
        <f t="shared" ref="AM105:AT105" ca="1" si="320">+IF($H$113&gt;=48,INDEX($BE$58:$BN$69,MATCH($AL105,$BD$58:$BD$69,0),MATCH(AM$5,$BE$57:$BN$57,0)),$BB61)</f>
        <v>3D</v>
      </c>
      <c r="AN105" s="281" t="str">
        <f t="shared" ca="1" si="320"/>
        <v>3D</v>
      </c>
      <c r="AO105" s="281" t="str">
        <f t="shared" ca="1" si="320"/>
        <v>3D</v>
      </c>
      <c r="AP105" s="281" t="str">
        <f t="shared" ca="1" si="320"/>
        <v>3D</v>
      </c>
      <c r="AQ105" s="281" t="str">
        <f t="shared" ca="1" si="320"/>
        <v>3D</v>
      </c>
      <c r="AR105" s="281" t="str">
        <f t="shared" ca="1" si="320"/>
        <v>3D</v>
      </c>
      <c r="AS105" s="281" t="str">
        <f t="shared" ca="1" si="320"/>
        <v>3D</v>
      </c>
      <c r="AT105" s="282" t="str">
        <f t="shared" ca="1" si="320"/>
        <v>3D</v>
      </c>
      <c r="AU105" s="403" t="str">
        <f t="shared" ca="1" si="312"/>
        <v/>
      </c>
      <c r="AV105" s="207" t="str">
        <f t="shared" ca="1" si="313"/>
        <v>Catar</v>
      </c>
      <c r="AW105" s="410"/>
      <c r="AX105" s="278"/>
      <c r="AY105" s="283"/>
      <c r="AZ105" s="284" t="str">
        <f t="shared" ca="1" si="315"/>
        <v/>
      </c>
      <c r="BA105" s="165"/>
      <c r="BB105" s="715"/>
      <c r="BC105" s="721"/>
      <c r="BD105" s="715"/>
      <c r="BE105" s="715"/>
      <c r="BF105" s="715" t="str">
        <f t="shared" ca="1" si="316"/>
        <v/>
      </c>
      <c r="BG105" s="715">
        <f t="shared" ca="1" si="317"/>
        <v>0</v>
      </c>
      <c r="BH105" s="715"/>
      <c r="BI105" s="721">
        <v>3</v>
      </c>
      <c r="BJ105" s="715" t="str">
        <f t="shared" ca="1" si="318"/>
        <v>Grupo</v>
      </c>
      <c r="BK105" s="721"/>
      <c r="BL105" s="721"/>
      <c r="BM105" s="715"/>
      <c r="BN105" s="715"/>
      <c r="BO105" s="715"/>
      <c r="BP105" s="715"/>
      <c r="BQ105" s="715"/>
      <c r="BR105" s="715"/>
      <c r="BS105" s="715"/>
      <c r="BT105" s="715"/>
      <c r="BU105" s="715"/>
      <c r="BV105" s="715"/>
      <c r="BW105" s="715"/>
      <c r="BX105" s="715"/>
      <c r="BY105" s="715"/>
      <c r="BZ105" s="715"/>
      <c r="CA105" s="715"/>
      <c r="CB105" s="715"/>
      <c r="CC105" s="715"/>
      <c r="CD105" s="715"/>
      <c r="CE105" s="715"/>
      <c r="CF105" s="715"/>
      <c r="CG105" s="715"/>
      <c r="CH105" s="715"/>
      <c r="CI105" s="715"/>
      <c r="CJ105" s="715"/>
      <c r="CK105" s="715"/>
      <c r="CL105" s="715"/>
      <c r="CM105" s="715"/>
      <c r="CN105" s="715"/>
      <c r="CO105" s="715"/>
      <c r="CP105" s="715"/>
      <c r="CQ105" s="715"/>
      <c r="CR105" s="715"/>
      <c r="CS105" s="715"/>
      <c r="CT105" s="715"/>
      <c r="CU105" s="715"/>
      <c r="CV105" s="715"/>
      <c r="CW105" s="715"/>
      <c r="CX105" s="715"/>
      <c r="CY105" s="715"/>
      <c r="CZ105" s="715"/>
      <c r="DA105" s="715"/>
      <c r="DB105" s="715"/>
      <c r="DC105" s="715"/>
      <c r="DD105" s="715"/>
      <c r="DE105" s="715"/>
      <c r="DF105" s="715"/>
      <c r="DG105" s="715"/>
      <c r="DH105" s="715"/>
      <c r="DI105" s="715"/>
      <c r="DJ105" s="715"/>
      <c r="DK105" s="715"/>
      <c r="DL105" s="715"/>
      <c r="DM105" s="715"/>
      <c r="DN105" s="715"/>
      <c r="DO105" s="715"/>
      <c r="DP105" s="715"/>
      <c r="DQ105" s="715"/>
      <c r="DR105" s="715"/>
      <c r="DS105" s="715"/>
      <c r="DT105" s="721" t="str">
        <f t="shared" ca="1" si="242"/>
        <v>2E-2I</v>
      </c>
      <c r="DU105" s="715"/>
      <c r="DV105" s="715"/>
      <c r="DW105" s="11"/>
    </row>
    <row r="106" spans="1:127" ht="15.95" customHeight="1">
      <c r="A106" s="715" t="s">
        <v>662</v>
      </c>
      <c r="B106" s="715" t="s">
        <v>674</v>
      </c>
      <c r="C106" s="716"/>
      <c r="D106" s="724" t="str">
        <f t="shared" si="302"/>
        <v>W77</v>
      </c>
      <c r="E106" s="716" t="s">
        <v>3</v>
      </c>
      <c r="F106" s="716" t="s">
        <v>438</v>
      </c>
      <c r="G106" s="725" t="s">
        <v>4</v>
      </c>
      <c r="H106" s="726">
        <f t="shared" ca="1" si="303"/>
        <v>0</v>
      </c>
      <c r="I106" s="721"/>
      <c r="J106" s="715">
        <v>78</v>
      </c>
      <c r="K106" s="715">
        <v>46203.75</v>
      </c>
      <c r="L106" s="715" t="s">
        <v>690</v>
      </c>
      <c r="M106" s="715" t="str">
        <f t="shared" ca="1" si="304"/>
        <v>2E</v>
      </c>
      <c r="N106" s="715"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15"/>
      <c r="P106" s="715"/>
      <c r="Q106" s="715"/>
      <c r="R106" s="715"/>
      <c r="S106" s="715"/>
      <c r="T106" s="715"/>
      <c r="U106" s="715"/>
      <c r="V106" s="162"/>
      <c r="W106" s="849"/>
      <c r="X106" s="179">
        <f ca="1">Horarios!C106</f>
        <v>46203.958333333336</v>
      </c>
      <c r="Y106" s="180">
        <f ca="1">Horarios!C106</f>
        <v>46203.958333333336</v>
      </c>
      <c r="Z106" s="266">
        <f t="shared" si="309"/>
        <v>77</v>
      </c>
      <c r="AA106" s="267" t="str">
        <f t="shared" ca="1" si="305"/>
        <v>1I</v>
      </c>
      <c r="AB106" s="268"/>
      <c r="AC106" s="271"/>
      <c r="AD106" s="271"/>
      <c r="AE106" s="268"/>
      <c r="AF106" s="270" t="str">
        <f t="shared" ca="1" si="306"/>
        <v>3CDFGH</v>
      </c>
      <c r="AG106" s="400">
        <f t="shared" si="307"/>
        <v>0</v>
      </c>
      <c r="AH106" s="186">
        <v>77</v>
      </c>
      <c r="AI106" s="207">
        <v>5</v>
      </c>
      <c r="AJ106" s="211">
        <v>5</v>
      </c>
      <c r="AK106" s="465" t="str" cm="1">
        <f t="array" aca="1" ref="AK106" ca="1">Ver_flag_visit</f>
        <v/>
      </c>
      <c r="AL106" s="279" t="str">
        <f t="shared" ca="1" si="310"/>
        <v>3E</v>
      </c>
      <c r="AM106" s="280" t="str">
        <f t="shared" ref="AM106:AT106" ca="1" si="321">+IF($H$113&gt;=48,INDEX($BE$58:$BN$69,MATCH($AL106,$BD$58:$BD$69,0),MATCH(AM$5,$BE$57:$BN$57,0)),$BB62)</f>
        <v>3E</v>
      </c>
      <c r="AN106" s="281" t="str">
        <f t="shared" ca="1" si="321"/>
        <v>3E</v>
      </c>
      <c r="AO106" s="281" t="str">
        <f t="shared" ca="1" si="321"/>
        <v>3E</v>
      </c>
      <c r="AP106" s="281" t="str">
        <f t="shared" ca="1" si="321"/>
        <v>3E</v>
      </c>
      <c r="AQ106" s="281" t="str">
        <f t="shared" ca="1" si="321"/>
        <v>3E</v>
      </c>
      <c r="AR106" s="281" t="str">
        <f t="shared" ca="1" si="321"/>
        <v>3E</v>
      </c>
      <c r="AS106" s="281" t="str">
        <f t="shared" ca="1" si="321"/>
        <v>3E</v>
      </c>
      <c r="AT106" s="282" t="str">
        <f t="shared" ca="1" si="321"/>
        <v>3E</v>
      </c>
      <c r="AU106" s="403" t="str">
        <f t="shared" ca="1" si="312"/>
        <v/>
      </c>
      <c r="AV106" s="207" t="str">
        <f t="shared" ca="1" si="313"/>
        <v>Costa de Marfil</v>
      </c>
      <c r="AW106" s="410"/>
      <c r="AX106" s="278"/>
      <c r="AY106" s="283"/>
      <c r="AZ106" s="284" t="str">
        <f t="shared" ca="1" si="315"/>
        <v/>
      </c>
      <c r="BA106" s="165"/>
      <c r="BB106" s="715"/>
      <c r="BC106" s="721"/>
      <c r="BD106" s="715"/>
      <c r="BE106" s="715"/>
      <c r="BF106" s="715" t="str">
        <f t="shared" ca="1" si="316"/>
        <v/>
      </c>
      <c r="BG106" s="715">
        <f t="shared" ca="1" si="317"/>
        <v>0</v>
      </c>
      <c r="BH106" s="715"/>
      <c r="BI106" s="721">
        <v>4</v>
      </c>
      <c r="BJ106" s="715" t="str">
        <f t="shared" ca="1" si="318"/>
        <v>Grupo</v>
      </c>
      <c r="BK106" s="721"/>
      <c r="BL106" s="721"/>
      <c r="BM106" s="715"/>
      <c r="BN106" s="715"/>
      <c r="BO106" s="715"/>
      <c r="BP106" s="715"/>
      <c r="BQ106" s="715"/>
      <c r="BR106" s="715"/>
      <c r="BS106" s="715"/>
      <c r="BT106" s="715"/>
      <c r="BU106" s="715"/>
      <c r="BV106" s="715"/>
      <c r="BW106" s="715"/>
      <c r="BX106" s="715"/>
      <c r="BY106" s="715"/>
      <c r="BZ106" s="715"/>
      <c r="CA106" s="715"/>
      <c r="CB106" s="715"/>
      <c r="CC106" s="715"/>
      <c r="CD106" s="715"/>
      <c r="CE106" s="715"/>
      <c r="CF106" s="715"/>
      <c r="CG106" s="715"/>
      <c r="CH106" s="715"/>
      <c r="CI106" s="715"/>
      <c r="CJ106" s="715"/>
      <c r="CK106" s="715"/>
      <c r="CL106" s="715"/>
      <c r="CM106" s="715"/>
      <c r="CN106" s="715"/>
      <c r="CO106" s="715"/>
      <c r="CP106" s="715"/>
      <c r="CQ106" s="715"/>
      <c r="CR106" s="715"/>
      <c r="CS106" s="715"/>
      <c r="CT106" s="715"/>
      <c r="CU106" s="715"/>
      <c r="CV106" s="715"/>
      <c r="CW106" s="715"/>
      <c r="CX106" s="715"/>
      <c r="CY106" s="715"/>
      <c r="CZ106" s="715"/>
      <c r="DA106" s="715"/>
      <c r="DB106" s="715"/>
      <c r="DC106" s="715"/>
      <c r="DD106" s="715"/>
      <c r="DE106" s="715"/>
      <c r="DF106" s="715"/>
      <c r="DG106" s="715"/>
      <c r="DH106" s="715"/>
      <c r="DI106" s="715"/>
      <c r="DJ106" s="715"/>
      <c r="DK106" s="715"/>
      <c r="DL106" s="715"/>
      <c r="DM106" s="715"/>
      <c r="DN106" s="715"/>
      <c r="DO106" s="715"/>
      <c r="DP106" s="715"/>
      <c r="DQ106" s="715"/>
      <c r="DR106" s="715"/>
      <c r="DS106" s="715"/>
      <c r="DT106" s="721" t="str">
        <f t="shared" ca="1" si="242"/>
        <v>1I-3CDFGH</v>
      </c>
      <c r="DU106" s="715"/>
      <c r="DV106" s="715"/>
      <c r="DW106" s="11"/>
    </row>
    <row r="107" spans="1:127" ht="15.95" customHeight="1">
      <c r="A107" s="715" t="s">
        <v>645</v>
      </c>
      <c r="B107" s="715" t="s">
        <v>724</v>
      </c>
      <c r="C107" s="716"/>
      <c r="D107" s="724" t="str">
        <f t="shared" si="302"/>
        <v>W79</v>
      </c>
      <c r="E107" s="716" t="s">
        <v>0</v>
      </c>
      <c r="F107" s="716" t="s">
        <v>721</v>
      </c>
      <c r="G107" s="725" t="s">
        <v>6</v>
      </c>
      <c r="H107" s="726">
        <f t="shared" ca="1" si="303"/>
        <v>0</v>
      </c>
      <c r="I107" s="721"/>
      <c r="J107" s="715">
        <v>79</v>
      </c>
      <c r="K107" s="715">
        <v>46203.75</v>
      </c>
      <c r="L107" s="715" t="s">
        <v>691</v>
      </c>
      <c r="M107" s="715" t="str">
        <f t="shared" ca="1" si="304"/>
        <v>1A</v>
      </c>
      <c r="N107" s="715"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15"/>
      <c r="P107" s="715"/>
      <c r="Q107" s="715"/>
      <c r="R107" s="715"/>
      <c r="S107" s="715"/>
      <c r="T107" s="715"/>
      <c r="U107" s="715"/>
      <c r="V107" s="162"/>
      <c r="W107" s="849"/>
      <c r="X107" s="179">
        <f ca="1">Horarios!C107</f>
        <v>46204.125</v>
      </c>
      <c r="Y107" s="180">
        <f ca="1">Horarios!C107</f>
        <v>46204.125</v>
      </c>
      <c r="Z107" s="266">
        <f t="shared" si="309"/>
        <v>79</v>
      </c>
      <c r="AA107" s="267" t="str">
        <f t="shared" ca="1" si="305"/>
        <v>1A</v>
      </c>
      <c r="AB107" s="268"/>
      <c r="AC107" s="271"/>
      <c r="AD107" s="271"/>
      <c r="AE107" s="268"/>
      <c r="AF107" s="270" t="str">
        <f t="shared" ca="1" si="306"/>
        <v>3CEFHI</v>
      </c>
      <c r="AG107" s="400">
        <f t="shared" si="307"/>
        <v>0</v>
      </c>
      <c r="AH107" s="186">
        <v>79</v>
      </c>
      <c r="AI107" s="207">
        <v>6</v>
      </c>
      <c r="AJ107" s="211">
        <v>6</v>
      </c>
      <c r="AK107" s="465" t="str" cm="1">
        <f t="array" aca="1" ref="AK107" ca="1">Ver_flag_visit</f>
        <v/>
      </c>
      <c r="AL107" s="279" t="str">
        <f t="shared" ca="1" si="310"/>
        <v>3F</v>
      </c>
      <c r="AM107" s="280" t="str">
        <f t="shared" ref="AM107:AT107" ca="1" si="322">+IF($H$113&gt;=48,INDEX($BE$58:$BN$69,MATCH($AL107,$BD$58:$BD$69,0),MATCH(AM$5,$BE$57:$BN$57,0)),$BB63)</f>
        <v>3F</v>
      </c>
      <c r="AN107" s="281" t="str">
        <f t="shared" ca="1" si="322"/>
        <v>3F</v>
      </c>
      <c r="AO107" s="281" t="str">
        <f t="shared" ca="1" si="322"/>
        <v>3F</v>
      </c>
      <c r="AP107" s="281" t="str">
        <f t="shared" ca="1" si="322"/>
        <v>3F</v>
      </c>
      <c r="AQ107" s="281" t="str">
        <f t="shared" ca="1" si="322"/>
        <v>3F</v>
      </c>
      <c r="AR107" s="281" t="str">
        <f t="shared" ca="1" si="322"/>
        <v>3F</v>
      </c>
      <c r="AS107" s="281" t="str">
        <f t="shared" ca="1" si="322"/>
        <v>3F</v>
      </c>
      <c r="AT107" s="282" t="str">
        <f t="shared" ca="1" si="322"/>
        <v>3F</v>
      </c>
      <c r="AU107" s="403" t="str">
        <f t="shared" ca="1" si="312"/>
        <v/>
      </c>
      <c r="AV107" s="207" t="str">
        <f ca="1">INDEX($BD$58:$BD$69,MATCH(AI107,$BM$58:$BM$69,0))</f>
        <v>Ghana</v>
      </c>
      <c r="AW107" s="410">
        <v>7</v>
      </c>
      <c r="AX107" s="278"/>
      <c r="AY107" s="283"/>
      <c r="AZ107" s="284" t="str">
        <f t="shared" ca="1" si="315"/>
        <v/>
      </c>
      <c r="BA107" s="165"/>
      <c r="BB107" s="715"/>
      <c r="BC107" s="721"/>
      <c r="BD107" s="715"/>
      <c r="BE107" s="721"/>
      <c r="BF107" s="715" t="str">
        <f t="shared" ca="1" si="316"/>
        <v/>
      </c>
      <c r="BG107" s="715">
        <f t="shared" ca="1" si="317"/>
        <v>0</v>
      </c>
      <c r="BH107" s="715"/>
      <c r="BI107" s="715">
        <v>5</v>
      </c>
      <c r="BJ107" s="715" t="str">
        <f t="shared" ca="1" si="318"/>
        <v>Grupo</v>
      </c>
      <c r="BK107" s="721"/>
      <c r="BL107" s="721"/>
      <c r="BM107" s="715"/>
      <c r="BN107" s="715"/>
      <c r="BO107" s="715"/>
      <c r="BP107" s="715"/>
      <c r="BQ107" s="715"/>
      <c r="BR107" s="715"/>
      <c r="BS107" s="715"/>
      <c r="BT107" s="715"/>
      <c r="BU107" s="715"/>
      <c r="BV107" s="715"/>
      <c r="BW107" s="715"/>
      <c r="BX107" s="715"/>
      <c r="BY107" s="715"/>
      <c r="BZ107" s="715"/>
      <c r="CA107" s="715"/>
      <c r="CB107" s="715"/>
      <c r="CC107" s="715"/>
      <c r="CD107" s="715"/>
      <c r="CE107" s="715"/>
      <c r="CF107" s="715"/>
      <c r="CG107" s="715"/>
      <c r="CH107" s="715"/>
      <c r="CI107" s="715"/>
      <c r="CJ107" s="715"/>
      <c r="CK107" s="715"/>
      <c r="CL107" s="715"/>
      <c r="CM107" s="715"/>
      <c r="CN107" s="715"/>
      <c r="CO107" s="715"/>
      <c r="CP107" s="715"/>
      <c r="CQ107" s="715"/>
      <c r="CR107" s="715"/>
      <c r="CS107" s="715"/>
      <c r="CT107" s="715"/>
      <c r="CU107" s="715"/>
      <c r="CV107" s="715"/>
      <c r="CW107" s="715"/>
      <c r="CX107" s="715"/>
      <c r="CY107" s="715"/>
      <c r="CZ107" s="715"/>
      <c r="DA107" s="715"/>
      <c r="DB107" s="715"/>
      <c r="DC107" s="715"/>
      <c r="DD107" s="715"/>
      <c r="DE107" s="715"/>
      <c r="DF107" s="715"/>
      <c r="DG107" s="715"/>
      <c r="DH107" s="715"/>
      <c r="DI107" s="715"/>
      <c r="DJ107" s="715"/>
      <c r="DK107" s="715"/>
      <c r="DL107" s="715"/>
      <c r="DM107" s="715"/>
      <c r="DN107" s="715"/>
      <c r="DO107" s="715"/>
      <c r="DP107" s="715"/>
      <c r="DQ107" s="715"/>
      <c r="DR107" s="715"/>
      <c r="DS107" s="715"/>
      <c r="DT107" s="721" t="str">
        <f t="shared" ca="1" si="242"/>
        <v>1A-3CEFHI</v>
      </c>
      <c r="DU107" s="715"/>
      <c r="DV107" s="715"/>
      <c r="DW107" s="11"/>
    </row>
    <row r="108" spans="1:127" ht="15.95" customHeight="1">
      <c r="A108" s="715" t="s">
        <v>682</v>
      </c>
      <c r="B108" s="715" t="s">
        <v>725</v>
      </c>
      <c r="C108" s="716"/>
      <c r="D108" s="724" t="str">
        <f t="shared" si="302"/>
        <v>W80</v>
      </c>
      <c r="E108" s="716" t="s">
        <v>238</v>
      </c>
      <c r="F108" s="716" t="s">
        <v>721</v>
      </c>
      <c r="G108" s="725" t="s">
        <v>437</v>
      </c>
      <c r="H108" s="726">
        <f t="shared" ca="1" si="303"/>
        <v>0</v>
      </c>
      <c r="I108" s="721"/>
      <c r="J108" s="715">
        <v>80</v>
      </c>
      <c r="K108" s="715">
        <v>46204.75</v>
      </c>
      <c r="L108" s="715" t="s">
        <v>692</v>
      </c>
      <c r="M108" s="715" t="str">
        <f t="shared" ca="1" si="304"/>
        <v>1L</v>
      </c>
      <c r="N108" s="715"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15"/>
      <c r="P108" s="715"/>
      <c r="Q108" s="715"/>
      <c r="R108" s="715"/>
      <c r="S108" s="715"/>
      <c r="T108" s="715"/>
      <c r="U108" s="715"/>
      <c r="V108" s="162"/>
      <c r="W108" s="849"/>
      <c r="X108" s="179">
        <f ca="1">Horarios!C108</f>
        <v>46204.75</v>
      </c>
      <c r="Y108" s="180">
        <f ca="1">Horarios!C108</f>
        <v>46204.75</v>
      </c>
      <c r="Z108" s="266">
        <f t="shared" si="309"/>
        <v>80</v>
      </c>
      <c r="AA108" s="267" t="str">
        <f t="shared" ca="1" si="305"/>
        <v>1L</v>
      </c>
      <c r="AB108" s="268"/>
      <c r="AC108" s="271"/>
      <c r="AD108" s="271"/>
      <c r="AE108" s="268"/>
      <c r="AF108" s="270" t="str">
        <f t="shared" ca="1" si="306"/>
        <v>3EHIJK</v>
      </c>
      <c r="AG108" s="400">
        <f t="shared" si="307"/>
        <v>0</v>
      </c>
      <c r="AH108" s="186">
        <v>80</v>
      </c>
      <c r="AI108" s="207">
        <v>7</v>
      </c>
      <c r="AJ108" s="211">
        <v>7</v>
      </c>
      <c r="AK108" s="465" t="str" cm="1">
        <f t="array" aca="1" ref="AK108" ca="1">Ver_flag_visit</f>
        <v/>
      </c>
      <c r="AL108" s="279" t="str">
        <f t="shared" ca="1" si="310"/>
        <v>3G</v>
      </c>
      <c r="AM108" s="280" t="str">
        <f t="shared" ref="AM108:AT108" ca="1" si="323">+IF($H$113&gt;=48,INDEX($BE$58:$BN$69,MATCH($AL108,$BD$58:$BD$69,0),MATCH(AM$5,$BE$57:$BN$57,0)),$BB64)</f>
        <v>3G</v>
      </c>
      <c r="AN108" s="281" t="str">
        <f t="shared" ca="1" si="323"/>
        <v>3G</v>
      </c>
      <c r="AO108" s="281" t="str">
        <f t="shared" ca="1" si="323"/>
        <v>3G</v>
      </c>
      <c r="AP108" s="281" t="str">
        <f t="shared" ca="1" si="323"/>
        <v>3G</v>
      </c>
      <c r="AQ108" s="281" t="str">
        <f t="shared" ca="1" si="323"/>
        <v>3G</v>
      </c>
      <c r="AR108" s="281" t="str">
        <f t="shared" ca="1" si="323"/>
        <v>3G</v>
      </c>
      <c r="AS108" s="281" t="str">
        <f t="shared" ca="1" si="323"/>
        <v>3G</v>
      </c>
      <c r="AT108" s="282" t="str">
        <f t="shared" ca="1" si="323"/>
        <v>3G</v>
      </c>
      <c r="AU108" s="403" t="str">
        <f t="shared" ca="1" si="312"/>
        <v/>
      </c>
      <c r="AV108" s="207" t="str">
        <f t="shared" ca="1" si="313"/>
        <v>Haití</v>
      </c>
      <c r="AW108" s="410">
        <v>6</v>
      </c>
      <c r="AX108" s="278"/>
      <c r="AY108" s="283"/>
      <c r="AZ108" s="284" t="str">
        <f t="shared" ca="1" si="315"/>
        <v/>
      </c>
      <c r="BA108" s="165"/>
      <c r="BB108" s="715"/>
      <c r="BC108" s="715"/>
      <c r="BD108" s="715"/>
      <c r="BE108" s="721"/>
      <c r="BF108" s="715" t="str">
        <f t="shared" ca="1" si="316"/>
        <v/>
      </c>
      <c r="BG108" s="715">
        <f t="shared" ca="1" si="317"/>
        <v>0</v>
      </c>
      <c r="BH108" s="715"/>
      <c r="BI108" s="715">
        <v>6</v>
      </c>
      <c r="BJ108" s="715" t="str">
        <f t="shared" ca="1" si="318"/>
        <v>Grupo</v>
      </c>
      <c r="BK108" s="721"/>
      <c r="BL108" s="715"/>
      <c r="BM108" s="715"/>
      <c r="BN108" s="715"/>
      <c r="BO108" s="715"/>
      <c r="BP108" s="715"/>
      <c r="BQ108" s="715"/>
      <c r="BR108" s="715"/>
      <c r="BS108" s="715"/>
      <c r="BT108" s="715"/>
      <c r="BU108" s="715"/>
      <c r="BV108" s="715"/>
      <c r="BW108" s="715"/>
      <c r="BX108" s="715"/>
      <c r="BY108" s="715"/>
      <c r="BZ108" s="715"/>
      <c r="CA108" s="715"/>
      <c r="CB108" s="715"/>
      <c r="CC108" s="715"/>
      <c r="CD108" s="715"/>
      <c r="CE108" s="715"/>
      <c r="CF108" s="715"/>
      <c r="CG108" s="715"/>
      <c r="CH108" s="715"/>
      <c r="CI108" s="715"/>
      <c r="CJ108" s="715"/>
      <c r="CK108" s="715"/>
      <c r="CL108" s="715"/>
      <c r="CM108" s="715"/>
      <c r="CN108" s="715"/>
      <c r="CO108" s="715"/>
      <c r="CP108" s="715"/>
      <c r="CQ108" s="715"/>
      <c r="CR108" s="715"/>
      <c r="CS108" s="715"/>
      <c r="CT108" s="715"/>
      <c r="CU108" s="715"/>
      <c r="CV108" s="715"/>
      <c r="CW108" s="715"/>
      <c r="CX108" s="715"/>
      <c r="CY108" s="715"/>
      <c r="CZ108" s="715"/>
      <c r="DA108" s="715"/>
      <c r="DB108" s="715"/>
      <c r="DC108" s="715"/>
      <c r="DD108" s="715"/>
      <c r="DE108" s="715"/>
      <c r="DF108" s="715"/>
      <c r="DG108" s="715"/>
      <c r="DH108" s="715"/>
      <c r="DI108" s="715"/>
      <c r="DJ108" s="715"/>
      <c r="DK108" s="715"/>
      <c r="DL108" s="715"/>
      <c r="DM108" s="715"/>
      <c r="DN108" s="715"/>
      <c r="DO108" s="715"/>
      <c r="DP108" s="715"/>
      <c r="DQ108" s="715"/>
      <c r="DR108" s="715"/>
      <c r="DS108" s="715"/>
      <c r="DT108" s="721" t="str">
        <f t="shared" ca="1" si="242"/>
        <v>1L-3EHIJK</v>
      </c>
      <c r="DU108" s="715"/>
      <c r="DV108" s="715"/>
      <c r="DW108" s="11"/>
    </row>
    <row r="109" spans="1:127" ht="15.95" customHeight="1">
      <c r="A109" s="715" t="s">
        <v>658</v>
      </c>
      <c r="B109" s="715" t="s">
        <v>726</v>
      </c>
      <c r="C109" s="716"/>
      <c r="D109" s="724" t="str">
        <f t="shared" si="302"/>
        <v>W82</v>
      </c>
      <c r="E109" s="716" t="s">
        <v>73</v>
      </c>
      <c r="F109" s="716" t="s">
        <v>721</v>
      </c>
      <c r="G109" s="725" t="s">
        <v>438</v>
      </c>
      <c r="H109" s="726">
        <f t="shared" ca="1" si="303"/>
        <v>0</v>
      </c>
      <c r="I109" s="721"/>
      <c r="J109" s="715">
        <v>81</v>
      </c>
      <c r="K109" s="715">
        <v>46204.75</v>
      </c>
      <c r="L109" s="715" t="s">
        <v>693</v>
      </c>
      <c r="M109" s="715" t="str">
        <f t="shared" ca="1" si="304"/>
        <v>1D</v>
      </c>
      <c r="N109" s="715"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15"/>
      <c r="P109" s="715"/>
      <c r="Q109" s="715"/>
      <c r="R109" s="715"/>
      <c r="S109" s="715"/>
      <c r="T109" s="715"/>
      <c r="U109" s="715"/>
      <c r="V109" s="162"/>
      <c r="W109" s="849"/>
      <c r="X109" s="179">
        <f ca="1">Horarios!C109</f>
        <v>46204.916666666664</v>
      </c>
      <c r="Y109" s="180">
        <f ca="1">Horarios!C109</f>
        <v>46204.916666666664</v>
      </c>
      <c r="Z109" s="266">
        <f t="shared" si="309"/>
        <v>82</v>
      </c>
      <c r="AA109" s="267" t="str">
        <f t="shared" ca="1" si="305"/>
        <v>1G</v>
      </c>
      <c r="AB109" s="268"/>
      <c r="AC109" s="271"/>
      <c r="AD109" s="271"/>
      <c r="AE109" s="268"/>
      <c r="AF109" s="270" t="str">
        <f t="shared" ca="1" si="306"/>
        <v>3AEHIJ</v>
      </c>
      <c r="AG109" s="400">
        <f t="shared" si="307"/>
        <v>0</v>
      </c>
      <c r="AH109" s="186">
        <v>82</v>
      </c>
      <c r="AI109" s="207">
        <v>8</v>
      </c>
      <c r="AJ109" s="211">
        <v>8</v>
      </c>
      <c r="AK109" s="465" t="str" cm="1">
        <f t="array" aca="1" ref="AK109" ca="1">Ver_flag_visit</f>
        <v/>
      </c>
      <c r="AL109" s="279" t="str">
        <f t="shared" ca="1" si="310"/>
        <v>3H</v>
      </c>
      <c r="AM109" s="280" t="str">
        <f t="shared" ref="AM109:AT109" ca="1" si="324">+IF($H$113&gt;=48,INDEX($BE$58:$BN$69,MATCH($AL109,$BD$58:$BD$69,0),MATCH(AM$5,$BE$57:$BN$57,0)),$BB65)</f>
        <v>3H</v>
      </c>
      <c r="AN109" s="281" t="str">
        <f t="shared" ca="1" si="324"/>
        <v>3H</v>
      </c>
      <c r="AO109" s="281" t="str">
        <f t="shared" ca="1" si="324"/>
        <v>3H</v>
      </c>
      <c r="AP109" s="281" t="str">
        <f t="shared" ca="1" si="324"/>
        <v>3H</v>
      </c>
      <c r="AQ109" s="281" t="str">
        <f t="shared" ca="1" si="324"/>
        <v>3H</v>
      </c>
      <c r="AR109" s="281" t="str">
        <f t="shared" ca="1" si="324"/>
        <v>3H</v>
      </c>
      <c r="AS109" s="281" t="str">
        <f t="shared" ca="1" si="324"/>
        <v>3H</v>
      </c>
      <c r="AT109" s="282" t="str">
        <f t="shared" ca="1" si="324"/>
        <v>3H</v>
      </c>
      <c r="AU109" s="403" t="str">
        <f t="shared" ca="1" si="312"/>
        <v/>
      </c>
      <c r="AV109" s="207" t="str">
        <f t="shared" ca="1" si="313"/>
        <v>Irak</v>
      </c>
      <c r="AW109" s="410"/>
      <c r="AX109" s="278"/>
      <c r="AY109" s="283"/>
      <c r="AZ109" s="284" t="str">
        <f t="shared" ca="1" si="315"/>
        <v/>
      </c>
      <c r="BA109" s="165"/>
      <c r="BB109" s="715"/>
      <c r="BC109" s="715"/>
      <c r="BD109" s="715"/>
      <c r="BE109" s="721"/>
      <c r="BF109" s="715" t="str">
        <f t="shared" ca="1" si="316"/>
        <v/>
      </c>
      <c r="BG109" s="715">
        <f t="shared" ca="1" si="317"/>
        <v>0</v>
      </c>
      <c r="BH109" s="715"/>
      <c r="BI109" s="715">
        <v>7</v>
      </c>
      <c r="BJ109" s="715" t="str">
        <f t="shared" ca="1" si="318"/>
        <v>Grupo</v>
      </c>
      <c r="BK109" s="721"/>
      <c r="BL109" s="715"/>
      <c r="BM109" s="715"/>
      <c r="BN109" s="715"/>
      <c r="BO109" s="715"/>
      <c r="BP109" s="715"/>
      <c r="BQ109" s="715"/>
      <c r="BR109" s="715"/>
      <c r="BS109" s="715"/>
      <c r="BT109" s="715"/>
      <c r="BU109" s="715"/>
      <c r="BV109" s="715"/>
      <c r="BW109" s="715"/>
      <c r="BX109" s="715"/>
      <c r="BY109" s="715"/>
      <c r="BZ109" s="715"/>
      <c r="CA109" s="715"/>
      <c r="CB109" s="715"/>
      <c r="CC109" s="715"/>
      <c r="CD109" s="715"/>
      <c r="CE109" s="715"/>
      <c r="CF109" s="715"/>
      <c r="CG109" s="715"/>
      <c r="CH109" s="715"/>
      <c r="CI109" s="715"/>
      <c r="CJ109" s="715"/>
      <c r="CK109" s="715"/>
      <c r="CL109" s="715"/>
      <c r="CM109" s="715"/>
      <c r="CN109" s="715"/>
      <c r="CO109" s="715"/>
      <c r="CP109" s="715"/>
      <c r="CQ109" s="715"/>
      <c r="CR109" s="715"/>
      <c r="CS109" s="715"/>
      <c r="CT109" s="715"/>
      <c r="CU109" s="715"/>
      <c r="CV109" s="715"/>
      <c r="CW109" s="715"/>
      <c r="CX109" s="715"/>
      <c r="CY109" s="715"/>
      <c r="CZ109" s="715"/>
      <c r="DA109" s="715"/>
      <c r="DB109" s="715"/>
      <c r="DC109" s="715"/>
      <c r="DD109" s="715"/>
      <c r="DE109" s="715"/>
      <c r="DF109" s="715"/>
      <c r="DG109" s="715"/>
      <c r="DH109" s="715"/>
      <c r="DI109" s="715"/>
      <c r="DJ109" s="715"/>
      <c r="DK109" s="715"/>
      <c r="DL109" s="715"/>
      <c r="DM109" s="715"/>
      <c r="DN109" s="715"/>
      <c r="DO109" s="715"/>
      <c r="DP109" s="715"/>
      <c r="DQ109" s="715"/>
      <c r="DR109" s="715"/>
      <c r="DS109" s="715"/>
      <c r="DT109" s="721" t="str">
        <f t="shared" ca="1" si="242"/>
        <v>1G-3AEHIJ</v>
      </c>
      <c r="DU109" s="715"/>
      <c r="DV109" s="715"/>
      <c r="DW109" s="11"/>
    </row>
    <row r="110" spans="1:127" ht="15.95" customHeight="1">
      <c r="A110" s="715" t="s">
        <v>667</v>
      </c>
      <c r="B110" s="715" t="s">
        <v>727</v>
      </c>
      <c r="C110" s="716"/>
      <c r="D110" s="724" t="str">
        <f t="shared" si="302"/>
        <v>W81</v>
      </c>
      <c r="E110" s="716" t="s">
        <v>6</v>
      </c>
      <c r="F110" s="716" t="s">
        <v>721</v>
      </c>
      <c r="G110" s="725" t="s">
        <v>5</v>
      </c>
      <c r="H110" s="726">
        <f t="shared" ca="1" si="303"/>
        <v>0</v>
      </c>
      <c r="I110" s="721"/>
      <c r="J110" s="715">
        <v>82</v>
      </c>
      <c r="K110" s="715">
        <v>46204.75</v>
      </c>
      <c r="L110" s="715" t="s">
        <v>694</v>
      </c>
      <c r="M110" s="715" t="str">
        <f t="shared" ca="1" si="304"/>
        <v>1G</v>
      </c>
      <c r="N110" s="715"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15"/>
      <c r="P110" s="715"/>
      <c r="Q110" s="715"/>
      <c r="R110" s="715"/>
      <c r="S110" s="715"/>
      <c r="T110" s="715"/>
      <c r="U110" s="715"/>
      <c r="V110" s="162"/>
      <c r="W110" s="849"/>
      <c r="X110" s="179">
        <f ca="1">Horarios!C110</f>
        <v>46205.083333333336</v>
      </c>
      <c r="Y110" s="180">
        <f ca="1">Horarios!C110</f>
        <v>46205.083333333336</v>
      </c>
      <c r="Z110" s="266">
        <f t="shared" si="309"/>
        <v>81</v>
      </c>
      <c r="AA110" s="267" t="str">
        <f t="shared" ca="1" si="305"/>
        <v>1D</v>
      </c>
      <c r="AB110" s="268"/>
      <c r="AC110" s="271"/>
      <c r="AD110" s="271"/>
      <c r="AE110" s="268"/>
      <c r="AF110" s="270" t="str">
        <f t="shared" ca="1" si="306"/>
        <v>3BEFIJ</v>
      </c>
      <c r="AG110" s="400">
        <f t="shared" si="307"/>
        <v>0</v>
      </c>
      <c r="AH110" s="186">
        <v>81</v>
      </c>
      <c r="AI110" s="207">
        <v>9</v>
      </c>
      <c r="AJ110" s="211">
        <v>9</v>
      </c>
      <c r="AK110" s="465" t="str" cm="1">
        <f t="array" aca="1" ref="AK110" ca="1">Ver_flag_visit</f>
        <v/>
      </c>
      <c r="AL110" s="279" t="str">
        <f t="shared" ca="1" si="310"/>
        <v>3I</v>
      </c>
      <c r="AM110" s="280" t="str">
        <f t="shared" ref="AM110:AT110" ca="1" si="325">+IF($H$113&gt;=48,INDEX($BE$58:$BN$69,MATCH($AL110,$BD$58:$BD$69,0),MATCH(AM$5,$BE$57:$BN$57,0)),$BB66)</f>
        <v>3I</v>
      </c>
      <c r="AN110" s="281" t="str">
        <f t="shared" ca="1" si="325"/>
        <v>3I</v>
      </c>
      <c r="AO110" s="281" t="str">
        <f t="shared" ca="1" si="325"/>
        <v>3I</v>
      </c>
      <c r="AP110" s="281" t="str">
        <f t="shared" ca="1" si="325"/>
        <v>3I</v>
      </c>
      <c r="AQ110" s="281" t="str">
        <f t="shared" ca="1" si="325"/>
        <v>3I</v>
      </c>
      <c r="AR110" s="281" t="str">
        <f t="shared" ca="1" si="325"/>
        <v>3I</v>
      </c>
      <c r="AS110" s="281" t="str">
        <f t="shared" ca="1" si="325"/>
        <v>3I</v>
      </c>
      <c r="AT110" s="282" t="str">
        <f t="shared" ca="1" si="325"/>
        <v>3I</v>
      </c>
      <c r="AU110" s="403" t="str">
        <f t="shared" ca="1" si="312"/>
        <v/>
      </c>
      <c r="AV110" s="207" t="str">
        <f t="shared" ca="1" si="313"/>
        <v>Irán</v>
      </c>
      <c r="AW110" s="410">
        <v>9</v>
      </c>
      <c r="AX110" s="278"/>
      <c r="AY110" s="283"/>
      <c r="AZ110" s="284" t="str">
        <f t="shared" ca="1" si="315"/>
        <v/>
      </c>
      <c r="BA110" s="165"/>
      <c r="BB110" s="715"/>
      <c r="BC110" s="715"/>
      <c r="BD110" s="715"/>
      <c r="BE110" s="721"/>
      <c r="BF110" s="715" t="str">
        <f t="shared" ca="1" si="316"/>
        <v/>
      </c>
      <c r="BG110" s="715">
        <f t="shared" ca="1" si="317"/>
        <v>0</v>
      </c>
      <c r="BH110" s="715"/>
      <c r="BI110" s="721">
        <v>8</v>
      </c>
      <c r="BJ110" s="715" t="str">
        <f t="shared" ca="1" si="318"/>
        <v>Grupo</v>
      </c>
      <c r="BK110" s="721"/>
      <c r="BL110" s="715"/>
      <c r="BM110" s="715"/>
      <c r="BN110" s="715"/>
      <c r="BO110" s="715"/>
      <c r="BP110" s="715"/>
      <c r="BQ110" s="715"/>
      <c r="BR110" s="715"/>
      <c r="BS110" s="715"/>
      <c r="BT110" s="715"/>
      <c r="BU110" s="715"/>
      <c r="BV110" s="715"/>
      <c r="BW110" s="715"/>
      <c r="BX110" s="715"/>
      <c r="BY110" s="715"/>
      <c r="BZ110" s="715"/>
      <c r="CA110" s="715"/>
      <c r="CB110" s="715"/>
      <c r="CC110" s="715"/>
      <c r="CD110" s="715"/>
      <c r="CE110" s="715"/>
      <c r="CF110" s="715"/>
      <c r="CG110" s="715"/>
      <c r="CH110" s="715"/>
      <c r="CI110" s="715"/>
      <c r="CJ110" s="715"/>
      <c r="CK110" s="715"/>
      <c r="CL110" s="715"/>
      <c r="CM110" s="715"/>
      <c r="CN110" s="715"/>
      <c r="CO110" s="715"/>
      <c r="CP110" s="715"/>
      <c r="CQ110" s="715"/>
      <c r="CR110" s="715"/>
      <c r="CS110" s="715"/>
      <c r="CT110" s="715"/>
      <c r="CU110" s="715"/>
      <c r="CV110" s="715"/>
      <c r="CW110" s="715"/>
      <c r="CX110" s="715"/>
      <c r="CY110" s="715"/>
      <c r="CZ110" s="715"/>
      <c r="DA110" s="715"/>
      <c r="DB110" s="715"/>
      <c r="DC110" s="715"/>
      <c r="DD110" s="715"/>
      <c r="DE110" s="715"/>
      <c r="DF110" s="715"/>
      <c r="DG110" s="715"/>
      <c r="DH110" s="715"/>
      <c r="DI110" s="715"/>
      <c r="DJ110" s="715"/>
      <c r="DK110" s="715"/>
      <c r="DL110" s="715"/>
      <c r="DM110" s="715"/>
      <c r="DN110" s="715"/>
      <c r="DO110" s="715"/>
      <c r="DP110" s="715"/>
      <c r="DQ110" s="715"/>
      <c r="DR110" s="715"/>
      <c r="DS110" s="715"/>
      <c r="DT110" s="721" t="str">
        <f t="shared" ca="1" si="242"/>
        <v>1D-3BEFIJ</v>
      </c>
      <c r="DU110" s="715"/>
      <c r="DV110" s="715"/>
      <c r="DW110" s="11"/>
    </row>
    <row r="111" spans="1:127" ht="15.95" customHeight="1">
      <c r="A111" s="715" t="s">
        <v>680</v>
      </c>
      <c r="B111" s="715" t="s">
        <v>683</v>
      </c>
      <c r="C111" s="716"/>
      <c r="D111" s="724" t="str">
        <f t="shared" si="302"/>
        <v>W84</v>
      </c>
      <c r="E111" s="716" t="s">
        <v>439</v>
      </c>
      <c r="F111" s="716" t="s">
        <v>238</v>
      </c>
      <c r="G111" s="725" t="s">
        <v>439</v>
      </c>
      <c r="H111" s="726">
        <f t="shared" ca="1" si="303"/>
        <v>0</v>
      </c>
      <c r="I111" s="721"/>
      <c r="J111" s="715">
        <v>83</v>
      </c>
      <c r="K111" s="715">
        <v>46205.75</v>
      </c>
      <c r="L111" s="715" t="s">
        <v>695</v>
      </c>
      <c r="M111" s="715" t="str">
        <f t="shared" ca="1" si="304"/>
        <v>2K</v>
      </c>
      <c r="N111" s="715"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15"/>
      <c r="P111" s="715"/>
      <c r="Q111" s="715"/>
      <c r="R111" s="715"/>
      <c r="S111" s="715"/>
      <c r="T111" s="715"/>
      <c r="U111" s="715"/>
      <c r="V111" s="162"/>
      <c r="W111" s="849"/>
      <c r="X111" s="179">
        <f ca="1">Horarios!C111</f>
        <v>46205.875</v>
      </c>
      <c r="Y111" s="180">
        <f ca="1">Horarios!C111</f>
        <v>46205.875</v>
      </c>
      <c r="Z111" s="266">
        <f t="shared" si="309"/>
        <v>84</v>
      </c>
      <c r="AA111" s="267" t="str">
        <f t="shared" ca="1" si="305"/>
        <v>1H</v>
      </c>
      <c r="AB111" s="268"/>
      <c r="AC111" s="271"/>
      <c r="AD111" s="271"/>
      <c r="AE111" s="268"/>
      <c r="AF111" s="270" t="str">
        <f t="shared" ca="1" si="306"/>
        <v>2J</v>
      </c>
      <c r="AG111" s="400">
        <f t="shared" si="307"/>
        <v>0</v>
      </c>
      <c r="AH111" s="186">
        <v>84</v>
      </c>
      <c r="AI111" s="207">
        <v>10</v>
      </c>
      <c r="AJ111" s="211">
        <v>10</v>
      </c>
      <c r="AK111" s="465" t="str" cm="1">
        <f t="array" aca="1" ref="AK111" ca="1">Ver_flag_visit</f>
        <v/>
      </c>
      <c r="AL111" s="279" t="str">
        <f t="shared" ca="1" si="310"/>
        <v>3J</v>
      </c>
      <c r="AM111" s="280" t="str">
        <f t="shared" ref="AM111:AT111" ca="1" si="326">+IF($H$113&gt;=48,INDEX($BE$58:$BN$69,MATCH($AL111,$BD$58:$BD$69,0),MATCH(AM$5,$BE$57:$BN$57,0)),$BB67)</f>
        <v>3J</v>
      </c>
      <c r="AN111" s="281" t="str">
        <f t="shared" ca="1" si="326"/>
        <v>3J</v>
      </c>
      <c r="AO111" s="281" t="str">
        <f t="shared" ca="1" si="326"/>
        <v>3J</v>
      </c>
      <c r="AP111" s="281" t="str">
        <f t="shared" ca="1" si="326"/>
        <v>3J</v>
      </c>
      <c r="AQ111" s="281" t="str">
        <f t="shared" ca="1" si="326"/>
        <v>3J</v>
      </c>
      <c r="AR111" s="281" t="str">
        <f t="shared" ca="1" si="326"/>
        <v>3J</v>
      </c>
      <c r="AS111" s="281" t="str">
        <f t="shared" ca="1" si="326"/>
        <v>3J</v>
      </c>
      <c r="AT111" s="282" t="str">
        <f t="shared" ca="1" si="326"/>
        <v>3J</v>
      </c>
      <c r="AU111" s="403" t="str">
        <f t="shared" ca="1" si="312"/>
        <v/>
      </c>
      <c r="AV111" s="207" t="str">
        <f t="shared" ca="1" si="313"/>
        <v>Suecia</v>
      </c>
      <c r="AW111" s="410">
        <v>10</v>
      </c>
      <c r="AX111" s="278"/>
      <c r="AY111" s="285"/>
      <c r="AZ111" s="285"/>
      <c r="BA111" s="165"/>
      <c r="BB111" s="715"/>
      <c r="BC111" s="715"/>
      <c r="BD111" s="723"/>
      <c r="BE111" s="715"/>
      <c r="BF111" s="715"/>
      <c r="BG111" s="715"/>
      <c r="BH111" s="715"/>
      <c r="BI111" s="715" t="s">
        <v>86</v>
      </c>
      <c r="BJ111" s="715"/>
      <c r="BK111" s="721"/>
      <c r="BL111" s="715"/>
      <c r="BM111" s="715"/>
      <c r="BN111" s="715"/>
      <c r="BO111" s="715"/>
      <c r="BP111" s="715"/>
      <c r="BQ111" s="715"/>
      <c r="BR111" s="715"/>
      <c r="BS111" s="715"/>
      <c r="BT111" s="715"/>
      <c r="BU111" s="715"/>
      <c r="BV111" s="715"/>
      <c r="BW111" s="715"/>
      <c r="BX111" s="715"/>
      <c r="BY111" s="715"/>
      <c r="BZ111" s="715"/>
      <c r="CA111" s="715"/>
      <c r="CB111" s="715"/>
      <c r="CC111" s="715"/>
      <c r="CD111" s="715"/>
      <c r="CE111" s="715"/>
      <c r="CF111" s="715"/>
      <c r="CG111" s="715"/>
      <c r="CH111" s="715"/>
      <c r="CI111" s="715"/>
      <c r="CJ111" s="715"/>
      <c r="CK111" s="715"/>
      <c r="CL111" s="715"/>
      <c r="CM111" s="715"/>
      <c r="CN111" s="715"/>
      <c r="CO111" s="715"/>
      <c r="CP111" s="715"/>
      <c r="CQ111" s="715"/>
      <c r="CR111" s="715"/>
      <c r="CS111" s="715"/>
      <c r="CT111" s="715"/>
      <c r="CU111" s="715"/>
      <c r="CV111" s="715"/>
      <c r="CW111" s="715"/>
      <c r="CX111" s="715"/>
      <c r="CY111" s="715"/>
      <c r="CZ111" s="715"/>
      <c r="DA111" s="715"/>
      <c r="DB111" s="715"/>
      <c r="DC111" s="715"/>
      <c r="DD111" s="715"/>
      <c r="DE111" s="715"/>
      <c r="DF111" s="715"/>
      <c r="DG111" s="715"/>
      <c r="DH111" s="715"/>
      <c r="DI111" s="715"/>
      <c r="DJ111" s="715"/>
      <c r="DK111" s="715"/>
      <c r="DL111" s="715"/>
      <c r="DM111" s="715"/>
      <c r="DN111" s="715"/>
      <c r="DO111" s="715"/>
      <c r="DP111" s="715"/>
      <c r="DQ111" s="715"/>
      <c r="DR111" s="715"/>
      <c r="DS111" s="715"/>
      <c r="DT111" s="721" t="str">
        <f t="shared" ca="1" si="242"/>
        <v>1H-2J</v>
      </c>
      <c r="DU111" s="715"/>
      <c r="DV111" s="715"/>
      <c r="DW111" s="11"/>
    </row>
    <row r="112" spans="1:127" ht="15.95" customHeight="1">
      <c r="A112" s="715" t="s">
        <v>670</v>
      </c>
      <c r="B112" s="715" t="s">
        <v>677</v>
      </c>
      <c r="C112" s="716"/>
      <c r="D112" s="724" t="str">
        <f t="shared" si="302"/>
        <v>W83</v>
      </c>
      <c r="E112" s="716" t="s">
        <v>437</v>
      </c>
      <c r="F112" s="716" t="s">
        <v>5</v>
      </c>
      <c r="G112" s="725" t="s">
        <v>238</v>
      </c>
      <c r="H112" s="726">
        <f t="shared" ca="1" si="303"/>
        <v>0</v>
      </c>
      <c r="I112" s="721"/>
      <c r="J112" s="715">
        <v>84</v>
      </c>
      <c r="K112" s="715">
        <v>46205.75</v>
      </c>
      <c r="L112" s="715" t="s">
        <v>696</v>
      </c>
      <c r="M112" s="715" t="str">
        <f t="shared" ca="1" si="304"/>
        <v>1H</v>
      </c>
      <c r="N112" s="715"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15"/>
      <c r="P112" s="715"/>
      <c r="Q112" s="715"/>
      <c r="R112" s="715"/>
      <c r="S112" s="715"/>
      <c r="T112" s="715"/>
      <c r="U112" s="715"/>
      <c r="V112" s="162"/>
      <c r="W112" s="849"/>
      <c r="X112" s="179">
        <f ca="1">Horarios!C112</f>
        <v>46206.041666666664</v>
      </c>
      <c r="Y112" s="180">
        <f ca="1">Horarios!C112</f>
        <v>46206.041666666664</v>
      </c>
      <c r="Z112" s="266">
        <f t="shared" si="309"/>
        <v>83</v>
      </c>
      <c r="AA112" s="267" t="str">
        <f t="shared" ca="1" si="305"/>
        <v>2K</v>
      </c>
      <c r="AB112" s="268"/>
      <c r="AC112" s="271"/>
      <c r="AD112" s="271"/>
      <c r="AE112" s="268"/>
      <c r="AF112" s="270" t="str">
        <f t="shared" ca="1" si="306"/>
        <v>2L</v>
      </c>
      <c r="AG112" s="400">
        <f t="shared" si="307"/>
        <v>0</v>
      </c>
      <c r="AH112" s="186">
        <v>83</v>
      </c>
      <c r="AI112" s="207">
        <v>11</v>
      </c>
      <c r="AJ112" s="211">
        <v>11</v>
      </c>
      <c r="AK112" s="465" t="str" cm="1">
        <f t="array" aca="1" ref="AK112" ca="1">Ver_flag_visit</f>
        <v/>
      </c>
      <c r="AL112" s="279" t="str">
        <f t="shared" ca="1" si="310"/>
        <v>3K</v>
      </c>
      <c r="AM112" s="280" t="str">
        <f t="shared" ref="AM112:AT112" ca="1" si="327">+IF($H$113&gt;=48,INDEX($BE$58:$BN$69,MATCH($AL112,$BD$58:$BD$69,0),MATCH(AM$5,$BE$57:$BN$57,0)),$BB68)</f>
        <v>3K</v>
      </c>
      <c r="AN112" s="281" t="str">
        <f t="shared" ca="1" si="327"/>
        <v>3K</v>
      </c>
      <c r="AO112" s="281" t="str">
        <f t="shared" ca="1" si="327"/>
        <v>3K</v>
      </c>
      <c r="AP112" s="281" t="str">
        <f t="shared" ca="1" si="327"/>
        <v>3K</v>
      </c>
      <c r="AQ112" s="281" t="str">
        <f t="shared" ca="1" si="327"/>
        <v>3K</v>
      </c>
      <c r="AR112" s="281" t="str">
        <f t="shared" ca="1" si="327"/>
        <v>3K</v>
      </c>
      <c r="AS112" s="281" t="str">
        <f t="shared" ca="1" si="327"/>
        <v>3K</v>
      </c>
      <c r="AT112" s="282" t="str">
        <f t="shared" ca="1" si="327"/>
        <v>3K</v>
      </c>
      <c r="AU112" s="403" t="str">
        <f t="shared" ca="1" si="312"/>
        <v/>
      </c>
      <c r="AV112" s="207" t="str">
        <f t="shared" ca="1" si="313"/>
        <v>Uzbekistán</v>
      </c>
      <c r="AW112" s="410"/>
      <c r="AX112" s="278"/>
      <c r="AY112" s="285"/>
      <c r="AZ112" s="285"/>
      <c r="BA112" s="165"/>
      <c r="BB112" s="715"/>
      <c r="BC112" s="715"/>
      <c r="BD112" s="723"/>
      <c r="BE112" s="715"/>
      <c r="BF112" s="715"/>
      <c r="BG112" s="715"/>
      <c r="BH112" s="715"/>
      <c r="BI112" s="715" t="str">
        <f ca="1">IFERROR(CONCATENATE(BJ103,BJ104,BJ105,BJ106,BJ107,BJ108,BJ109,BJ110),"¿A/B/C/D/E/F/G/H/I/J/K/L?")</f>
        <v>GrupoGrupoGrupoGrupoGrupoGrupoGrupoGrupo</v>
      </c>
      <c r="BJ112" s="715"/>
      <c r="BK112" s="721"/>
      <c r="BL112" s="715"/>
      <c r="BM112" s="715"/>
      <c r="BN112" s="715"/>
      <c r="BO112" s="715"/>
      <c r="BP112" s="715"/>
      <c r="BQ112" s="715"/>
      <c r="BR112" s="715"/>
      <c r="BS112" s="715"/>
      <c r="BT112" s="715"/>
      <c r="BU112" s="715"/>
      <c r="BV112" s="715"/>
      <c r="BW112" s="715"/>
      <c r="BX112" s="715"/>
      <c r="BY112" s="715"/>
      <c r="BZ112" s="715"/>
      <c r="CA112" s="715"/>
      <c r="CB112" s="715"/>
      <c r="CC112" s="715"/>
      <c r="CD112" s="715"/>
      <c r="CE112" s="715"/>
      <c r="CF112" s="715"/>
      <c r="CG112" s="715"/>
      <c r="CH112" s="715"/>
      <c r="CI112" s="715"/>
      <c r="CJ112" s="715"/>
      <c r="CK112" s="715"/>
      <c r="CL112" s="715"/>
      <c r="CM112" s="715"/>
      <c r="CN112" s="715"/>
      <c r="CO112" s="715"/>
      <c r="CP112" s="715"/>
      <c r="CQ112" s="715"/>
      <c r="CR112" s="715"/>
      <c r="CS112" s="715"/>
      <c r="CT112" s="715"/>
      <c r="CU112" s="715"/>
      <c r="CV112" s="715"/>
      <c r="CW112" s="715"/>
      <c r="CX112" s="715"/>
      <c r="CY112" s="715"/>
      <c r="CZ112" s="715"/>
      <c r="DA112" s="715"/>
      <c r="DB112" s="715"/>
      <c r="DC112" s="715"/>
      <c r="DD112" s="715"/>
      <c r="DE112" s="715"/>
      <c r="DF112" s="715"/>
      <c r="DG112" s="715"/>
      <c r="DH112" s="715"/>
      <c r="DI112" s="715"/>
      <c r="DJ112" s="715"/>
      <c r="DK112" s="715"/>
      <c r="DL112" s="715"/>
      <c r="DM112" s="715"/>
      <c r="DN112" s="715"/>
      <c r="DO112" s="715"/>
      <c r="DP112" s="715"/>
      <c r="DQ112" s="715"/>
      <c r="DR112" s="715"/>
      <c r="DS112" s="715"/>
      <c r="DT112" s="721" t="str">
        <f t="shared" ca="1" si="242"/>
        <v>2K-2L</v>
      </c>
      <c r="DU112" s="715"/>
      <c r="DV112" s="715"/>
      <c r="DW112" s="11"/>
    </row>
    <row r="113" spans="1:127" ht="15.95" customHeight="1" thickBot="1">
      <c r="A113" s="715" t="s">
        <v>648</v>
      </c>
      <c r="B113" s="715" t="s">
        <v>728</v>
      </c>
      <c r="C113" s="716"/>
      <c r="D113" s="724" t="str">
        <f t="shared" si="302"/>
        <v>W85</v>
      </c>
      <c r="E113" s="716" t="s">
        <v>1</v>
      </c>
      <c r="F113" s="716" t="s">
        <v>721</v>
      </c>
      <c r="G113" s="725" t="s">
        <v>721</v>
      </c>
      <c r="H113" s="726">
        <f ca="1">+IF(AJ99&lt;&gt;144,SUM(H101:H112),AJ99)</f>
        <v>4</v>
      </c>
      <c r="I113" s="721"/>
      <c r="J113" s="715">
        <v>85</v>
      </c>
      <c r="K113" s="715">
        <v>46205.75</v>
      </c>
      <c r="L113" s="715" t="s">
        <v>697</v>
      </c>
      <c r="M113" s="715" t="str">
        <f t="shared" ca="1" si="304"/>
        <v>1B</v>
      </c>
      <c r="N113" s="715"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15"/>
      <c r="P113" s="715"/>
      <c r="Q113" s="715"/>
      <c r="R113" s="715"/>
      <c r="S113" s="715"/>
      <c r="T113" s="715"/>
      <c r="U113" s="715"/>
      <c r="V113" s="162"/>
      <c r="W113" s="849"/>
      <c r="X113" s="179">
        <f ca="1">Horarios!C113</f>
        <v>46206.208333333336</v>
      </c>
      <c r="Y113" s="180">
        <f ca="1">Horarios!C113</f>
        <v>46206.208333333336</v>
      </c>
      <c r="Z113" s="266">
        <f t="shared" si="309"/>
        <v>85</v>
      </c>
      <c r="AA113" s="267" t="str">
        <f t="shared" ca="1" si="305"/>
        <v>1B</v>
      </c>
      <c r="AB113" s="268"/>
      <c r="AC113" s="271"/>
      <c r="AD113" s="271"/>
      <c r="AE113" s="269"/>
      <c r="AF113" s="270" t="str">
        <f t="shared" ca="1" si="306"/>
        <v>3EFGIJ</v>
      </c>
      <c r="AG113" s="400">
        <f t="shared" si="307"/>
        <v>0</v>
      </c>
      <c r="AH113" s="186">
        <v>85</v>
      </c>
      <c r="AI113" s="207">
        <v>12</v>
      </c>
      <c r="AJ113" s="225">
        <v>12</v>
      </c>
      <c r="AK113" s="466" t="str" cm="1">
        <f t="array" aca="1" ref="AK113" ca="1">Ver_flag_visit</f>
        <v/>
      </c>
      <c r="AL113" s="226" t="str">
        <f t="shared" ca="1" si="310"/>
        <v>3L</v>
      </c>
      <c r="AM113" s="227" t="str">
        <f t="shared" ref="AM113:AT113" ca="1" si="328">+IF($H$113&gt;=48,INDEX($BE$58:$BN$69,MATCH($AL113,$BD$58:$BD$69,0),MATCH(AM$5,$BE$57:$BN$57,0)),$BB69)</f>
        <v>3L</v>
      </c>
      <c r="AN113" s="228" t="str">
        <f t="shared" ca="1" si="328"/>
        <v>3L</v>
      </c>
      <c r="AO113" s="228" t="str">
        <f t="shared" ca="1" si="328"/>
        <v>3L</v>
      </c>
      <c r="AP113" s="228" t="str">
        <f t="shared" ca="1" si="328"/>
        <v>3L</v>
      </c>
      <c r="AQ113" s="228" t="str">
        <f t="shared" ca="1" si="328"/>
        <v>3L</v>
      </c>
      <c r="AR113" s="228" t="str">
        <f t="shared" ca="1" si="328"/>
        <v>3L</v>
      </c>
      <c r="AS113" s="228" t="str">
        <f t="shared" ca="1" si="328"/>
        <v>3L</v>
      </c>
      <c r="AT113" s="229" t="str">
        <f t="shared" ca="1" si="328"/>
        <v>3L</v>
      </c>
      <c r="AU113" s="403" t="str">
        <f t="shared" ca="1" si="312"/>
        <v/>
      </c>
      <c r="AV113" s="207" t="str">
        <f t="shared" ca="1" si="313"/>
        <v>República Checa</v>
      </c>
      <c r="AW113" s="410"/>
      <c r="AX113" s="278"/>
      <c r="AY113" s="232"/>
      <c r="AZ113" s="233"/>
      <c r="BA113" s="165"/>
      <c r="BB113" s="715"/>
      <c r="BC113" s="715"/>
      <c r="BD113" s="715"/>
      <c r="BE113" s="715"/>
      <c r="BF113" s="715"/>
      <c r="BG113" s="715"/>
      <c r="BH113" s="715"/>
      <c r="BI113" s="715"/>
      <c r="BJ113" s="715"/>
      <c r="BK113" s="715"/>
      <c r="BL113" s="715"/>
      <c r="BM113" s="715"/>
      <c r="BN113" s="715"/>
      <c r="BO113" s="715"/>
      <c r="BP113" s="715"/>
      <c r="BQ113" s="715"/>
      <c r="BR113" s="715"/>
      <c r="BS113" s="715"/>
      <c r="BT113" s="715"/>
      <c r="BU113" s="715"/>
      <c r="BV113" s="715"/>
      <c r="BW113" s="715"/>
      <c r="BX113" s="715"/>
      <c r="BY113" s="715"/>
      <c r="BZ113" s="715"/>
      <c r="CA113" s="715"/>
      <c r="CB113" s="715"/>
      <c r="CC113" s="715"/>
      <c r="CD113" s="715"/>
      <c r="CE113" s="715"/>
      <c r="CF113" s="715"/>
      <c r="CG113" s="715"/>
      <c r="CH113" s="715"/>
      <c r="CI113" s="715"/>
      <c r="CJ113" s="715"/>
      <c r="CK113" s="715"/>
      <c r="CL113" s="715"/>
      <c r="CM113" s="715"/>
      <c r="CN113" s="715"/>
      <c r="CO113" s="715"/>
      <c r="CP113" s="715"/>
      <c r="CQ113" s="715"/>
      <c r="CR113" s="715"/>
      <c r="CS113" s="715"/>
      <c r="CT113" s="715"/>
      <c r="CU113" s="715"/>
      <c r="CV113" s="715"/>
      <c r="CW113" s="715"/>
      <c r="CX113" s="715"/>
      <c r="CY113" s="715"/>
      <c r="CZ113" s="715"/>
      <c r="DA113" s="715"/>
      <c r="DB113" s="715"/>
      <c r="DC113" s="715"/>
      <c r="DD113" s="715"/>
      <c r="DE113" s="715"/>
      <c r="DF113" s="715"/>
      <c r="DG113" s="715"/>
      <c r="DH113" s="715"/>
      <c r="DI113" s="715"/>
      <c r="DJ113" s="715"/>
      <c r="DK113" s="715"/>
      <c r="DL113" s="715"/>
      <c r="DM113" s="715"/>
      <c r="DN113" s="715"/>
      <c r="DO113" s="715"/>
      <c r="DP113" s="715"/>
      <c r="DQ113" s="715"/>
      <c r="DR113" s="715"/>
      <c r="DS113" s="715"/>
      <c r="DT113" s="721" t="str">
        <f t="shared" ca="1" si="242"/>
        <v>1B-3EFGIJ</v>
      </c>
      <c r="DU113" s="715"/>
      <c r="DV113" s="715"/>
      <c r="DW113" s="11"/>
    </row>
    <row r="114" spans="1:127" ht="15.95" customHeight="1">
      <c r="A114" s="715" t="s">
        <v>676</v>
      </c>
      <c r="B114" s="715" t="s">
        <v>671</v>
      </c>
      <c r="C114" s="716"/>
      <c r="D114" s="724" t="str">
        <f t="shared" si="302"/>
        <v>W88</v>
      </c>
      <c r="E114" s="716" t="s">
        <v>5</v>
      </c>
      <c r="F114" s="716" t="s">
        <v>437</v>
      </c>
      <c r="G114" s="721"/>
      <c r="H114" s="721"/>
      <c r="I114" s="721"/>
      <c r="J114" s="715">
        <v>86</v>
      </c>
      <c r="K114" s="715">
        <v>46206.75</v>
      </c>
      <c r="L114" s="715" t="s">
        <v>698</v>
      </c>
      <c r="M114" s="715" t="str">
        <f t="shared" ca="1" si="304"/>
        <v>1J</v>
      </c>
      <c r="N114" s="715"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15"/>
      <c r="P114" s="715"/>
      <c r="Q114" s="715"/>
      <c r="R114" s="715"/>
      <c r="S114" s="715"/>
      <c r="T114" s="715"/>
      <c r="U114" s="715"/>
      <c r="V114" s="162"/>
      <c r="W114" s="849"/>
      <c r="X114" s="179">
        <f ca="1">Horarios!C114</f>
        <v>46206.833333333336</v>
      </c>
      <c r="Y114" s="180">
        <f ca="1">Horarios!C114</f>
        <v>46206.833333333336</v>
      </c>
      <c r="Z114" s="266">
        <f t="shared" si="309"/>
        <v>88</v>
      </c>
      <c r="AA114" s="267" t="str">
        <f t="shared" ca="1" si="305"/>
        <v>2D</v>
      </c>
      <c r="AB114" s="268"/>
      <c r="AC114" s="271"/>
      <c r="AD114" s="271"/>
      <c r="AE114" s="268"/>
      <c r="AF114" s="270" t="str">
        <f t="shared" ca="1" si="306"/>
        <v>2G</v>
      </c>
      <c r="AG114" s="400">
        <f t="shared" si="307"/>
        <v>0</v>
      </c>
      <c r="AH114" s="186">
        <v>88</v>
      </c>
      <c r="AI114" s="207"/>
      <c r="AJ114" s="239"/>
      <c r="AK114" s="240"/>
      <c r="AL114" s="176"/>
      <c r="AM114" s="241"/>
      <c r="AN114" s="239"/>
      <c r="AO114" s="239"/>
      <c r="AP114" s="239"/>
      <c r="AQ114" s="239"/>
      <c r="AR114" s="239"/>
      <c r="AS114" s="239"/>
      <c r="AT114" s="239"/>
      <c r="AU114" s="206"/>
      <c r="AV114" s="206"/>
      <c r="AW114" s="286"/>
      <c r="AX114" s="286"/>
      <c r="AY114" s="232"/>
      <c r="AZ114" s="233"/>
      <c r="BA114" s="165"/>
      <c r="BB114" s="721"/>
      <c r="BC114" s="721"/>
      <c r="BD114" s="721"/>
      <c r="BE114" s="721"/>
      <c r="BF114" s="721"/>
      <c r="BG114" s="721"/>
      <c r="BH114" s="721"/>
      <c r="BI114" s="721"/>
      <c r="BJ114" s="721"/>
      <c r="BK114" s="721"/>
      <c r="BL114" s="721"/>
      <c r="BM114" s="721"/>
      <c r="BN114" s="721"/>
      <c r="BO114" s="721"/>
      <c r="BP114" s="721"/>
      <c r="BQ114" s="721"/>
      <c r="BR114" s="721"/>
      <c r="BS114" s="721"/>
      <c r="BT114" s="721"/>
      <c r="BU114" s="721"/>
      <c r="BV114" s="721"/>
      <c r="BW114" s="721"/>
      <c r="BX114" s="721"/>
      <c r="BY114" s="721"/>
      <c r="BZ114" s="721"/>
      <c r="CA114" s="721"/>
      <c r="CB114" s="721"/>
      <c r="CC114" s="721"/>
      <c r="CD114" s="721"/>
      <c r="CE114" s="721"/>
      <c r="CF114" s="721"/>
      <c r="CG114" s="721"/>
      <c r="CH114" s="721"/>
      <c r="CI114" s="721"/>
      <c r="CJ114" s="721"/>
      <c r="CK114" s="721"/>
      <c r="CL114" s="721"/>
      <c r="CM114" s="721"/>
      <c r="CN114" s="721"/>
      <c r="CO114" s="721"/>
      <c r="CP114" s="721"/>
      <c r="CQ114" s="721"/>
      <c r="CR114" s="721"/>
      <c r="CS114" s="721"/>
      <c r="CT114" s="721"/>
      <c r="CU114" s="721"/>
      <c r="CV114" s="721"/>
      <c r="CW114" s="721"/>
      <c r="CX114" s="721"/>
      <c r="CY114" s="721"/>
      <c r="CZ114" s="721"/>
      <c r="DA114" s="721"/>
      <c r="DB114" s="721"/>
      <c r="DC114" s="721"/>
      <c r="DD114" s="721"/>
      <c r="DE114" s="721"/>
      <c r="DF114" s="721"/>
      <c r="DG114" s="721"/>
      <c r="DH114" s="721"/>
      <c r="DI114" s="721"/>
      <c r="DJ114" s="721"/>
      <c r="DK114" s="721"/>
      <c r="DL114" s="721"/>
      <c r="DM114" s="721"/>
      <c r="DN114" s="721"/>
      <c r="DO114" s="721"/>
      <c r="DP114" s="721"/>
      <c r="DQ114" s="721"/>
      <c r="DR114" s="721"/>
      <c r="DS114" s="721"/>
      <c r="DT114" s="721" t="str">
        <f t="shared" ca="1" si="242"/>
        <v>2D-2G</v>
      </c>
      <c r="DU114" s="721"/>
      <c r="DV114" s="721"/>
      <c r="DW114" s="8"/>
    </row>
    <row r="115" spans="1:127" ht="15.95" customHeight="1">
      <c r="A115" s="715" t="s">
        <v>679</v>
      </c>
      <c r="B115" s="715" t="s">
        <v>729</v>
      </c>
      <c r="C115" s="716"/>
      <c r="D115" s="724" t="str">
        <f t="shared" si="302"/>
        <v>W86</v>
      </c>
      <c r="E115" s="716" t="s">
        <v>439</v>
      </c>
      <c r="F115" s="716" t="s">
        <v>721</v>
      </c>
      <c r="G115" s="721"/>
      <c r="H115" s="721"/>
      <c r="I115" s="721"/>
      <c r="J115" s="715">
        <v>87</v>
      </c>
      <c r="K115" s="715">
        <v>46206.75</v>
      </c>
      <c r="L115" s="715" t="s">
        <v>699</v>
      </c>
      <c r="M115" s="715" t="str">
        <f t="shared" ca="1" si="304"/>
        <v>1K</v>
      </c>
      <c r="N115" s="715"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15"/>
      <c r="P115" s="715"/>
      <c r="Q115" s="715"/>
      <c r="R115" s="715"/>
      <c r="S115" s="715"/>
      <c r="T115" s="715"/>
      <c r="U115" s="715"/>
      <c r="V115" s="162"/>
      <c r="W115" s="849"/>
      <c r="X115" s="179">
        <f ca="1">Horarios!C115</f>
        <v>46207</v>
      </c>
      <c r="Y115" s="180">
        <f ca="1">Horarios!C115</f>
        <v>46207</v>
      </c>
      <c r="Z115" s="266">
        <f t="shared" si="309"/>
        <v>86</v>
      </c>
      <c r="AA115" s="267" t="str">
        <f t="shared" ca="1" si="305"/>
        <v>1J</v>
      </c>
      <c r="AB115" s="268"/>
      <c r="AC115" s="271"/>
      <c r="AD115" s="271"/>
      <c r="AE115" s="268"/>
      <c r="AF115" s="270" t="str">
        <f t="shared" ca="1" si="306"/>
        <v>2H</v>
      </c>
      <c r="AG115" s="400">
        <f t="shared" si="307"/>
        <v>0</v>
      </c>
      <c r="AH115" s="186">
        <v>86</v>
      </c>
      <c r="AI115" s="207"/>
      <c r="AJ115" s="176"/>
      <c r="AK115" s="242"/>
      <c r="AL115" s="15" t="str">
        <f>+IF($AJ$99&gt;=48,Idiomas!D78,"")</f>
        <v/>
      </c>
      <c r="AM115" s="176"/>
      <c r="AN115" s="176"/>
      <c r="AO115" s="176"/>
      <c r="AP115" s="176"/>
      <c r="AQ115" s="176"/>
      <c r="AR115" s="176"/>
      <c r="AS115" s="176"/>
      <c r="AT115" s="176"/>
      <c r="AU115" s="18"/>
      <c r="AV115" s="18"/>
      <c r="AW115" s="288"/>
      <c r="AX115" s="288"/>
      <c r="AY115" s="232"/>
      <c r="AZ115" s="233"/>
      <c r="BA115" s="165"/>
      <c r="BB115" s="721"/>
      <c r="BC115" s="721"/>
      <c r="BD115" s="721"/>
      <c r="BE115" s="721"/>
      <c r="BF115" s="721"/>
      <c r="BG115" s="721"/>
      <c r="BH115" s="721"/>
      <c r="BI115" s="721"/>
      <c r="BJ115" s="721"/>
      <c r="BK115" s="721"/>
      <c r="BL115" s="721"/>
      <c r="BM115" s="721"/>
      <c r="BN115" s="721"/>
      <c r="BO115" s="721"/>
      <c r="BP115" s="721"/>
      <c r="BQ115" s="721"/>
      <c r="BR115" s="721"/>
      <c r="BS115" s="721"/>
      <c r="BT115" s="721"/>
      <c r="BU115" s="721"/>
      <c r="BV115" s="721"/>
      <c r="BW115" s="721"/>
      <c r="BX115" s="721"/>
      <c r="BY115" s="721"/>
      <c r="BZ115" s="721"/>
      <c r="CA115" s="721"/>
      <c r="CB115" s="721"/>
      <c r="CC115" s="721"/>
      <c r="CD115" s="721"/>
      <c r="CE115" s="721"/>
      <c r="CF115" s="721"/>
      <c r="CG115" s="721"/>
      <c r="CH115" s="721"/>
      <c r="CI115" s="721"/>
      <c r="CJ115" s="721"/>
      <c r="CK115" s="721"/>
      <c r="CL115" s="721"/>
      <c r="CM115" s="721"/>
      <c r="CN115" s="721"/>
      <c r="CO115" s="721"/>
      <c r="CP115" s="721"/>
      <c r="CQ115" s="721"/>
      <c r="CR115" s="721"/>
      <c r="CS115" s="721"/>
      <c r="CT115" s="721"/>
      <c r="CU115" s="721"/>
      <c r="CV115" s="721"/>
      <c r="CW115" s="721"/>
      <c r="CX115" s="721"/>
      <c r="CY115" s="721"/>
      <c r="CZ115" s="721"/>
      <c r="DA115" s="721"/>
      <c r="DB115" s="721"/>
      <c r="DC115" s="721"/>
      <c r="DD115" s="721"/>
      <c r="DE115" s="721"/>
      <c r="DF115" s="721"/>
      <c r="DG115" s="721"/>
      <c r="DH115" s="721"/>
      <c r="DI115" s="721"/>
      <c r="DJ115" s="721"/>
      <c r="DK115" s="721"/>
      <c r="DL115" s="721"/>
      <c r="DM115" s="721"/>
      <c r="DN115" s="721"/>
      <c r="DO115" s="721"/>
      <c r="DP115" s="721"/>
      <c r="DQ115" s="721"/>
      <c r="DR115" s="721"/>
      <c r="DS115" s="721"/>
      <c r="DT115" s="721" t="str">
        <f t="shared" ca="1" si="242"/>
        <v>1J-2H</v>
      </c>
      <c r="DU115" s="721"/>
      <c r="DV115" s="721"/>
      <c r="DW115" s="8"/>
    </row>
    <row r="116" spans="1:127" ht="15.95" customHeight="1" thickBot="1">
      <c r="A116" s="715" t="s">
        <v>659</v>
      </c>
      <c r="B116" s="715" t="s">
        <v>668</v>
      </c>
      <c r="C116" s="716"/>
      <c r="D116" s="724" t="str">
        <f t="shared" si="302"/>
        <v>W87</v>
      </c>
      <c r="E116" s="716" t="s">
        <v>73</v>
      </c>
      <c r="F116" s="716" t="s">
        <v>6</v>
      </c>
      <c r="G116" s="721"/>
      <c r="H116" s="721"/>
      <c r="I116" s="721"/>
      <c r="J116" s="715">
        <v>88</v>
      </c>
      <c r="K116" s="715">
        <v>46206.75</v>
      </c>
      <c r="L116" s="715" t="s">
        <v>700</v>
      </c>
      <c r="M116" s="715" t="str">
        <f t="shared" ca="1" si="304"/>
        <v>2D</v>
      </c>
      <c r="N116" s="715"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15"/>
      <c r="P116" s="715"/>
      <c r="Q116" s="715"/>
      <c r="R116" s="715"/>
      <c r="S116" s="715"/>
      <c r="T116" s="715"/>
      <c r="U116" s="715"/>
      <c r="V116" s="162"/>
      <c r="W116" s="850"/>
      <c r="X116" s="218">
        <f ca="1">Horarios!C116</f>
        <v>46207.145833333336</v>
      </c>
      <c r="Y116" s="219">
        <f ca="1">Horarios!C116</f>
        <v>46207.145833333336</v>
      </c>
      <c r="Z116" s="289">
        <f t="shared" si="309"/>
        <v>87</v>
      </c>
      <c r="AA116" s="290" t="str">
        <f t="shared" ca="1" si="305"/>
        <v>1K</v>
      </c>
      <c r="AB116" s="291"/>
      <c r="AC116" s="292"/>
      <c r="AD116" s="292"/>
      <c r="AE116" s="291"/>
      <c r="AF116" s="293" t="str">
        <f t="shared" ca="1" si="306"/>
        <v>3DEIJL</v>
      </c>
      <c r="AG116" s="400">
        <f t="shared" si="307"/>
        <v>0</v>
      </c>
      <c r="AH116" s="186">
        <v>87</v>
      </c>
      <c r="AI116" s="207"/>
      <c r="AJ116" s="168"/>
      <c r="AK116" s="168"/>
      <c r="AL116" s="474" t="s">
        <v>1802</v>
      </c>
      <c r="AM116" s="287"/>
      <c r="AN116" s="287"/>
      <c r="AO116" s="287"/>
      <c r="AP116" s="287"/>
      <c r="AQ116" s="287"/>
      <c r="AR116" s="287"/>
      <c r="AS116" s="287"/>
      <c r="AT116" s="287"/>
      <c r="AU116" s="15"/>
      <c r="AV116" s="15"/>
      <c r="AW116" s="287"/>
      <c r="AX116" s="287"/>
      <c r="AY116" s="232"/>
      <c r="AZ116" s="233"/>
      <c r="BA116" s="165"/>
      <c r="BB116" s="721"/>
      <c r="BC116" s="721"/>
      <c r="BD116" s="721"/>
      <c r="BE116" s="721"/>
      <c r="BF116" s="721"/>
      <c r="BG116" s="721"/>
      <c r="BH116" s="721"/>
      <c r="BI116" s="721"/>
      <c r="BJ116" s="721"/>
      <c r="BK116" s="721"/>
      <c r="BL116" s="721"/>
      <c r="BM116" s="721"/>
      <c r="BN116" s="721"/>
      <c r="BO116" s="721"/>
      <c r="BP116" s="721"/>
      <c r="BQ116" s="721"/>
      <c r="BR116" s="721"/>
      <c r="BS116" s="721"/>
      <c r="BT116" s="721"/>
      <c r="BU116" s="721"/>
      <c r="BV116" s="721"/>
      <c r="BW116" s="721"/>
      <c r="BX116" s="721"/>
      <c r="BY116" s="721"/>
      <c r="BZ116" s="721"/>
      <c r="CA116" s="721"/>
      <c r="CB116" s="721"/>
      <c r="CC116" s="721"/>
      <c r="CD116" s="721"/>
      <c r="CE116" s="721"/>
      <c r="CF116" s="721"/>
      <c r="CG116" s="721"/>
      <c r="CH116" s="721"/>
      <c r="CI116" s="721"/>
      <c r="CJ116" s="721"/>
      <c r="CK116" s="721"/>
      <c r="CL116" s="721"/>
      <c r="CM116" s="721"/>
      <c r="CN116" s="721"/>
      <c r="CO116" s="721"/>
      <c r="CP116" s="721"/>
      <c r="CQ116" s="721"/>
      <c r="CR116" s="721"/>
      <c r="CS116" s="721"/>
      <c r="CT116" s="721"/>
      <c r="CU116" s="721"/>
      <c r="CV116" s="721"/>
      <c r="CW116" s="721"/>
      <c r="CX116" s="721"/>
      <c r="CY116" s="721"/>
      <c r="CZ116" s="721"/>
      <c r="DA116" s="721"/>
      <c r="DB116" s="721"/>
      <c r="DC116" s="721"/>
      <c r="DD116" s="721"/>
      <c r="DE116" s="721"/>
      <c r="DF116" s="721"/>
      <c r="DG116" s="721"/>
      <c r="DH116" s="721"/>
      <c r="DI116" s="721"/>
      <c r="DJ116" s="721"/>
      <c r="DK116" s="721"/>
      <c r="DL116" s="721"/>
      <c r="DM116" s="721"/>
      <c r="DN116" s="721"/>
      <c r="DO116" s="721"/>
      <c r="DP116" s="721"/>
      <c r="DQ116" s="721"/>
      <c r="DR116" s="721"/>
      <c r="DS116" s="721"/>
      <c r="DT116" s="721" t="str">
        <f t="shared" ca="1" si="242"/>
        <v>1K-3DEIJL</v>
      </c>
      <c r="DU116" s="721"/>
      <c r="DV116" s="721"/>
      <c r="DW116" s="8"/>
    </row>
    <row r="117" spans="1:127" ht="15.95" customHeight="1" thickBot="1">
      <c r="A117" s="716"/>
      <c r="B117" s="716"/>
      <c r="C117" s="716"/>
      <c r="D117" s="727"/>
      <c r="E117" s="721"/>
      <c r="F117" s="721"/>
      <c r="G117" s="721"/>
      <c r="H117" s="721"/>
      <c r="I117" s="721"/>
      <c r="J117" s="721"/>
      <c r="K117" s="721"/>
      <c r="L117" s="721"/>
      <c r="M117" s="721"/>
      <c r="N117" s="721"/>
      <c r="O117" s="721"/>
      <c r="P117" s="721"/>
      <c r="Q117" s="721"/>
      <c r="R117" s="721"/>
      <c r="S117" s="721"/>
      <c r="T117" s="721"/>
      <c r="U117" s="721"/>
      <c r="V117" s="162"/>
      <c r="W117" s="232"/>
      <c r="X117" s="233"/>
      <c r="Y117" s="232"/>
      <c r="Z117" s="234"/>
      <c r="AA117" s="235"/>
      <c r="AB117" s="236"/>
      <c r="AC117" s="237"/>
      <c r="AD117" s="237"/>
      <c r="AE117" s="236"/>
      <c r="AF117" s="238"/>
      <c r="AG117" s="399"/>
      <c r="AH117" s="186"/>
      <c r="AI117" s="207"/>
      <c r="AJ117" s="168"/>
      <c r="AK117" s="168"/>
      <c r="AL117" s="168"/>
      <c r="AM117" s="287"/>
      <c r="AN117" s="287"/>
      <c r="AO117" s="287"/>
      <c r="AP117" s="287"/>
      <c r="AQ117" s="287"/>
      <c r="AR117" s="287"/>
      <c r="AS117" s="287"/>
      <c r="AT117" s="287"/>
      <c r="AU117" s="15"/>
      <c r="AV117" s="15"/>
      <c r="AW117" s="287"/>
      <c r="AX117" s="287"/>
      <c r="AY117" s="232"/>
      <c r="AZ117" s="233"/>
      <c r="BA117" s="165"/>
      <c r="BB117" s="721"/>
      <c r="BC117" s="721"/>
      <c r="BD117" s="721"/>
      <c r="BE117" s="721"/>
      <c r="BF117" s="738" t="s">
        <v>645</v>
      </c>
      <c r="BG117" s="721" t="e">
        <f ca="1">+INDEX(Combinaciones3!$P$2:$W$496,MATCH(1,Combinaciones3!$B$2:$B$497,0),MATCH(WORLDCUP!BF117,Combinaciones3!$P$1:$W$1,0))</f>
        <v>#N/A</v>
      </c>
      <c r="BH117" s="721"/>
      <c r="BI117" s="721"/>
      <c r="BJ117" s="721"/>
      <c r="BK117" s="721"/>
      <c r="BL117" s="721"/>
      <c r="BM117" s="721"/>
      <c r="BN117" s="721"/>
      <c r="BO117" s="721"/>
      <c r="BP117" s="721"/>
      <c r="BQ117" s="721"/>
      <c r="BR117" s="721"/>
      <c r="BS117" s="721"/>
      <c r="BT117" s="721"/>
      <c r="BU117" s="721"/>
      <c r="BV117" s="721"/>
      <c r="BW117" s="721"/>
      <c r="BX117" s="721"/>
      <c r="BY117" s="721"/>
      <c r="BZ117" s="721"/>
      <c r="CA117" s="721"/>
      <c r="CB117" s="721"/>
      <c r="CC117" s="721"/>
      <c r="CD117" s="721"/>
      <c r="CE117" s="721"/>
      <c r="CF117" s="721"/>
      <c r="CG117" s="721"/>
      <c r="CH117" s="721"/>
      <c r="CI117" s="721"/>
      <c r="CJ117" s="721"/>
      <c r="CK117" s="721"/>
      <c r="CL117" s="721"/>
      <c r="CM117" s="721"/>
      <c r="CN117" s="721"/>
      <c r="CO117" s="721"/>
      <c r="CP117" s="721"/>
      <c r="CQ117" s="721"/>
      <c r="CR117" s="721"/>
      <c r="CS117" s="721"/>
      <c r="CT117" s="721"/>
      <c r="CU117" s="721"/>
      <c r="CV117" s="721"/>
      <c r="CW117" s="721"/>
      <c r="CX117" s="721"/>
      <c r="CY117" s="721"/>
      <c r="CZ117" s="721"/>
      <c r="DA117" s="721"/>
      <c r="DB117" s="721"/>
      <c r="DC117" s="721"/>
      <c r="DD117" s="721"/>
      <c r="DE117" s="721"/>
      <c r="DF117" s="721"/>
      <c r="DG117" s="721"/>
      <c r="DH117" s="721"/>
      <c r="DI117" s="721"/>
      <c r="DJ117" s="721"/>
      <c r="DK117" s="721"/>
      <c r="DL117" s="721"/>
      <c r="DM117" s="721"/>
      <c r="DN117" s="721"/>
      <c r="DO117" s="721"/>
      <c r="DP117" s="721"/>
      <c r="DQ117" s="721"/>
      <c r="DR117" s="721"/>
      <c r="DS117" s="721"/>
      <c r="DT117" s="721" t="str">
        <f t="shared" si="242"/>
        <v>-</v>
      </c>
      <c r="DU117" s="721"/>
      <c r="DV117" s="721"/>
      <c r="DW117" s="8"/>
    </row>
    <row r="118" spans="1:127" ht="15.95" customHeight="1" thickBot="1">
      <c r="A118" s="716"/>
      <c r="B118" s="716"/>
      <c r="C118" s="716"/>
      <c r="D118" s="727"/>
      <c r="E118" s="721"/>
      <c r="F118" s="721"/>
      <c r="G118" s="721"/>
      <c r="H118" s="721"/>
      <c r="I118" s="721"/>
      <c r="J118" s="721"/>
      <c r="K118" s="721"/>
      <c r="L118" s="721"/>
      <c r="M118" s="721"/>
      <c r="N118" s="721"/>
      <c r="O118" s="721"/>
      <c r="P118" s="721"/>
      <c r="Q118" s="721"/>
      <c r="R118" s="721"/>
      <c r="S118" s="721"/>
      <c r="T118" s="721"/>
      <c r="U118" s="721"/>
      <c r="V118" s="162"/>
      <c r="W118" s="259" t="str">
        <f>Idiomas!D26</f>
        <v>Octavos de final</v>
      </c>
      <c r="X118" s="260"/>
      <c r="Y118" s="261"/>
      <c r="Z118" s="261"/>
      <c r="AA118" s="261"/>
      <c r="AB118" s="261"/>
      <c r="AC118" s="261"/>
      <c r="AD118" s="261"/>
      <c r="AE118" s="261"/>
      <c r="AF118" s="262"/>
      <c r="AG118" s="399"/>
      <c r="AH118" s="186"/>
      <c r="AI118" s="207"/>
      <c r="AJ118" s="287"/>
      <c r="AK118" s="168"/>
      <c r="AL118" s="294"/>
      <c r="AM118" s="287"/>
      <c r="AN118" s="287"/>
      <c r="AO118" s="287"/>
      <c r="AP118" s="287"/>
      <c r="AQ118" s="287"/>
      <c r="AR118" s="287"/>
      <c r="AS118" s="287"/>
      <c r="AT118" s="287"/>
      <c r="AU118" s="15"/>
      <c r="AV118" s="15"/>
      <c r="AW118" s="287"/>
      <c r="AX118" s="287"/>
      <c r="AY118" s="232"/>
      <c r="AZ118" s="233"/>
      <c r="BA118" s="13"/>
      <c r="BB118" s="721"/>
      <c r="BC118" s="721"/>
      <c r="BD118" s="721"/>
      <c r="BE118" s="721"/>
      <c r="BF118" s="738" t="s">
        <v>648</v>
      </c>
      <c r="BG118" s="721" t="e">
        <f ca="1">+INDEX(Combinaciones3!$P$2:$W$496,MATCH(1,Combinaciones3!$B$2:$B$497,0),MATCH(WORLDCUP!BF118,Combinaciones3!$P$1:$W$1,0))</f>
        <v>#N/A</v>
      </c>
      <c r="BH118" s="721"/>
      <c r="BI118" s="721"/>
      <c r="BJ118" s="721"/>
      <c r="BK118" s="721"/>
      <c r="BL118" s="721"/>
      <c r="BM118" s="721"/>
      <c r="BN118" s="721"/>
      <c r="BO118" s="721"/>
      <c r="BP118" s="721"/>
      <c r="BQ118" s="721"/>
      <c r="BR118" s="721"/>
      <c r="BS118" s="721"/>
      <c r="BT118" s="721"/>
      <c r="BU118" s="721"/>
      <c r="BV118" s="721"/>
      <c r="BW118" s="721"/>
      <c r="BX118" s="721"/>
      <c r="BY118" s="721"/>
      <c r="BZ118" s="721"/>
      <c r="CA118" s="721"/>
      <c r="CB118" s="721"/>
      <c r="CC118" s="721"/>
      <c r="CD118" s="721"/>
      <c r="CE118" s="721"/>
      <c r="CF118" s="721"/>
      <c r="CG118" s="721"/>
      <c r="CH118" s="721"/>
      <c r="CI118" s="721"/>
      <c r="CJ118" s="721"/>
      <c r="CK118" s="721"/>
      <c r="CL118" s="721"/>
      <c r="CM118" s="721"/>
      <c r="CN118" s="721"/>
      <c r="CO118" s="721"/>
      <c r="CP118" s="721"/>
      <c r="CQ118" s="721"/>
      <c r="CR118" s="721"/>
      <c r="CS118" s="721"/>
      <c r="CT118" s="721"/>
      <c r="CU118" s="721"/>
      <c r="CV118" s="721"/>
      <c r="CW118" s="721"/>
      <c r="CX118" s="721"/>
      <c r="CY118" s="721"/>
      <c r="CZ118" s="721"/>
      <c r="DA118" s="721"/>
      <c r="DB118" s="721"/>
      <c r="DC118" s="721"/>
      <c r="DD118" s="721"/>
      <c r="DE118" s="721"/>
      <c r="DF118" s="721"/>
      <c r="DG118" s="721"/>
      <c r="DH118" s="721"/>
      <c r="DI118" s="721"/>
      <c r="DJ118" s="721"/>
      <c r="DK118" s="721"/>
      <c r="DL118" s="721"/>
      <c r="DM118" s="721"/>
      <c r="DN118" s="721"/>
      <c r="DO118" s="721"/>
      <c r="DP118" s="721"/>
      <c r="DQ118" s="721"/>
      <c r="DR118" s="721"/>
      <c r="DS118" s="721"/>
      <c r="DT118" s="721" t="str">
        <f t="shared" si="242"/>
        <v>-</v>
      </c>
      <c r="DU118" s="721"/>
      <c r="DV118" s="721"/>
      <c r="DW118" s="8"/>
    </row>
    <row r="119" spans="1:127" ht="15.95" customHeight="1">
      <c r="A119" s="716"/>
      <c r="B119" s="716"/>
      <c r="C119" s="716"/>
      <c r="D119" s="727"/>
      <c r="E119" s="721"/>
      <c r="F119" s="721"/>
      <c r="G119" s="721"/>
      <c r="H119" s="721"/>
      <c r="I119" s="721"/>
      <c r="J119" s="721"/>
      <c r="K119" s="721"/>
      <c r="L119" s="721"/>
      <c r="M119" s="721"/>
      <c r="N119" s="721"/>
      <c r="O119" s="721"/>
      <c r="P119" s="721"/>
      <c r="Q119" s="721"/>
      <c r="R119" s="721"/>
      <c r="S119" s="721"/>
      <c r="T119" s="721"/>
      <c r="U119" s="721"/>
      <c r="V119" s="162"/>
      <c r="W119" s="169"/>
      <c r="X119" s="170" t="str">
        <f>X3</f>
        <v>Fecha</v>
      </c>
      <c r="Y119" s="170" t="str">
        <f>Y3</f>
        <v>Hora</v>
      </c>
      <c r="Z119" s="255"/>
      <c r="AA119" s="256" t="str">
        <f>AA3</f>
        <v>Casa</v>
      </c>
      <c r="AB119" s="255" t="s">
        <v>13</v>
      </c>
      <c r="AC119" s="170" t="str">
        <f>AC3</f>
        <v>Gol</v>
      </c>
      <c r="AD119" s="170" t="str">
        <f>AD3</f>
        <v>Gol</v>
      </c>
      <c r="AE119" s="255" t="s">
        <v>13</v>
      </c>
      <c r="AF119" s="257" t="str">
        <f>AF3</f>
        <v>Fuera</v>
      </c>
      <c r="AG119" s="399"/>
      <c r="AH119" s="186"/>
      <c r="AI119" s="207"/>
      <c r="AJ119" s="168"/>
      <c r="AK119" s="168"/>
      <c r="AL119" s="168"/>
      <c r="AM119" s="287"/>
      <c r="AN119" s="287"/>
      <c r="AO119" s="287"/>
      <c r="AP119" s="287"/>
      <c r="AQ119" s="287"/>
      <c r="AR119" s="287"/>
      <c r="AS119" s="287"/>
      <c r="AT119" s="287"/>
      <c r="AU119" s="15"/>
      <c r="AV119" s="15"/>
      <c r="AW119" s="287"/>
      <c r="AX119" s="287"/>
      <c r="AY119" s="232"/>
      <c r="AZ119" s="233"/>
      <c r="BA119" s="165"/>
      <c r="BB119" s="721"/>
      <c r="BC119" s="721"/>
      <c r="BD119" s="721"/>
      <c r="BE119" s="721"/>
      <c r="BF119" s="738" t="s">
        <v>658</v>
      </c>
      <c r="BG119" s="721" t="e">
        <f ca="1">+INDEX(Combinaciones3!$P$2:$W$496,MATCH(1,Combinaciones3!$B$2:$B$497,0),MATCH(WORLDCUP!BF119,Combinaciones3!$P$1:$W$1,0))</f>
        <v>#N/A</v>
      </c>
      <c r="BH119" s="721"/>
      <c r="BI119" s="721"/>
      <c r="BJ119" s="721"/>
      <c r="BK119" s="721"/>
      <c r="BL119" s="721"/>
      <c r="BM119" s="721"/>
      <c r="BN119" s="721"/>
      <c r="BO119" s="721"/>
      <c r="BP119" s="721"/>
      <c r="BQ119" s="721"/>
      <c r="BR119" s="721"/>
      <c r="BS119" s="721"/>
      <c r="BT119" s="721"/>
      <c r="BU119" s="721"/>
      <c r="BV119" s="721"/>
      <c r="BW119" s="721"/>
      <c r="BX119" s="721"/>
      <c r="BY119" s="721"/>
      <c r="BZ119" s="721"/>
      <c r="CA119" s="721"/>
      <c r="CB119" s="721"/>
      <c r="CC119" s="721"/>
      <c r="CD119" s="721"/>
      <c r="CE119" s="721"/>
      <c r="CF119" s="721"/>
      <c r="CG119" s="721"/>
      <c r="CH119" s="721"/>
      <c r="CI119" s="721"/>
      <c r="CJ119" s="721"/>
      <c r="CK119" s="721"/>
      <c r="CL119" s="721"/>
      <c r="CM119" s="721"/>
      <c r="CN119" s="721"/>
      <c r="CO119" s="721"/>
      <c r="CP119" s="721"/>
      <c r="CQ119" s="721"/>
      <c r="CR119" s="721"/>
      <c r="CS119" s="721"/>
      <c r="CT119" s="721"/>
      <c r="CU119" s="721"/>
      <c r="CV119" s="721"/>
      <c r="CW119" s="721"/>
      <c r="CX119" s="721"/>
      <c r="CY119" s="721"/>
      <c r="CZ119" s="721"/>
      <c r="DA119" s="721"/>
      <c r="DB119" s="721"/>
      <c r="DC119" s="721"/>
      <c r="DD119" s="721"/>
      <c r="DE119" s="721"/>
      <c r="DF119" s="721"/>
      <c r="DG119" s="721"/>
      <c r="DH119" s="721"/>
      <c r="DI119" s="721"/>
      <c r="DJ119" s="721"/>
      <c r="DK119" s="721"/>
      <c r="DL119" s="721"/>
      <c r="DM119" s="721"/>
      <c r="DN119" s="721"/>
      <c r="DO119" s="721"/>
      <c r="DP119" s="721"/>
      <c r="DQ119" s="721"/>
      <c r="DR119" s="721"/>
      <c r="DS119" s="721"/>
      <c r="DT119" s="721" t="str">
        <f t="shared" si="242"/>
        <v>Casa-Fuera</v>
      </c>
      <c r="DU119" s="721"/>
      <c r="DV119" s="721"/>
      <c r="DW119" s="8"/>
    </row>
    <row r="120" spans="1:127" ht="15.95" customHeight="1">
      <c r="A120" s="715" t="s">
        <v>730</v>
      </c>
      <c r="B120" s="715" t="s">
        <v>731</v>
      </c>
      <c r="C120" s="716"/>
      <c r="D120" s="724" t="str">
        <f t="shared" ref="D120:D127" si="329">IF(AND(OR(AC120="",AD120="")),"W"&amp;AH120,IF(AC120&gt;AD120,AA120,IF(AC120&lt;AD120,AF120,IF(AND(AC120=AD120,AB120=AE120),"W"&amp;AH120,IF(AND(AC120=AD120,OR(AB120="",AE120="")),"W"&amp;AH120,IF(AND(AC120=AD120,AB120&gt;AE120),AA120,AF120))))))</f>
        <v>W90</v>
      </c>
      <c r="E120" s="721">
        <v>74</v>
      </c>
      <c r="F120" s="721">
        <v>77</v>
      </c>
      <c r="G120" s="721"/>
      <c r="H120" s="721"/>
      <c r="I120" s="721"/>
      <c r="J120" s="715">
        <v>89</v>
      </c>
      <c r="K120" s="715">
        <v>46207.75</v>
      </c>
      <c r="L120" s="715" t="s">
        <v>701</v>
      </c>
      <c r="M120" s="721" t="str">
        <f t="shared" ref="M120:N127" si="330">+INDEX($D$101:$D$147,MATCH(E120,$AH$101:$AH$147,0))</f>
        <v>W74</v>
      </c>
      <c r="N120" s="721" t="str">
        <f t="shared" si="330"/>
        <v>W77</v>
      </c>
      <c r="O120" s="721"/>
      <c r="P120" s="721"/>
      <c r="Q120" s="721"/>
      <c r="R120" s="721"/>
      <c r="S120" s="721"/>
      <c r="T120" s="721"/>
      <c r="U120" s="721"/>
      <c r="V120" s="162"/>
      <c r="W120" s="851" t="s">
        <v>88</v>
      </c>
      <c r="X120" s="179">
        <f ca="1">Horarios!C120</f>
        <v>46207.791666666664</v>
      </c>
      <c r="Y120" s="180">
        <f ca="1">Horarios!C120</f>
        <v>46207.791666666664</v>
      </c>
      <c r="Z120" s="266">
        <f t="shared" ref="Z120:Z127" si="331">AH120</f>
        <v>90</v>
      </c>
      <c r="AA120" s="267" t="str">
        <f t="shared" ref="AA120:AA127" si="332">+INDEX($M$101:$M$147,MATCH(AH120,$J$101:$J$147,0))</f>
        <v>W73</v>
      </c>
      <c r="AB120" s="268"/>
      <c r="AC120" s="295"/>
      <c r="AD120" s="295"/>
      <c r="AE120" s="268"/>
      <c r="AF120" s="270" t="str">
        <f t="shared" ref="AF120:AF127" si="333">+INDEX($N$101:$N$147,MATCH(AH120,$J$101:$J$147,0))</f>
        <v>W75</v>
      </c>
      <c r="AG120" s="400">
        <f t="shared" ref="AG120:AG127" si="334">IF(D120="W"&amp;AH120,0,1)</f>
        <v>0</v>
      </c>
      <c r="AH120" s="186">
        <v>90</v>
      </c>
      <c r="AI120" s="207"/>
      <c r="AJ120" s="168"/>
      <c r="AK120" s="168"/>
      <c r="AL120" s="296"/>
      <c r="AM120" s="287"/>
      <c r="AN120" s="287"/>
      <c r="AO120" s="287"/>
      <c r="AP120" s="287"/>
      <c r="AQ120" s="287"/>
      <c r="AR120" s="287"/>
      <c r="AS120" s="287"/>
      <c r="AT120" s="287"/>
      <c r="AU120" s="15"/>
      <c r="AV120" s="15"/>
      <c r="AW120" s="287"/>
      <c r="AX120" s="287"/>
      <c r="AY120" s="232"/>
      <c r="AZ120" s="233"/>
      <c r="BA120" s="165"/>
      <c r="BB120" s="721"/>
      <c r="BC120" s="721"/>
      <c r="BD120" s="721"/>
      <c r="BE120" s="721"/>
      <c r="BF120" s="738" t="s">
        <v>661</v>
      </c>
      <c r="BG120" s="721" t="e">
        <f ca="1">+INDEX(Combinaciones3!$P$2:$W$496,MATCH(1,Combinaciones3!$B$2:$B$497,0),MATCH(WORLDCUP!BF120,Combinaciones3!$P$1:$W$1,0))</f>
        <v>#N/A</v>
      </c>
      <c r="BH120" s="721"/>
      <c r="BI120" s="721"/>
      <c r="BJ120" s="721"/>
      <c r="BK120" s="721"/>
      <c r="BL120" s="721"/>
      <c r="BM120" s="721"/>
      <c r="BN120" s="721"/>
      <c r="BO120" s="721"/>
      <c r="BP120" s="721"/>
      <c r="BQ120" s="721"/>
      <c r="BR120" s="721"/>
      <c r="BS120" s="721"/>
      <c r="BT120" s="721"/>
      <c r="BU120" s="721"/>
      <c r="BV120" s="721"/>
      <c r="BW120" s="721"/>
      <c r="BX120" s="721"/>
      <c r="BY120" s="721"/>
      <c r="BZ120" s="721"/>
      <c r="CA120" s="721"/>
      <c r="CB120" s="721"/>
      <c r="CC120" s="721"/>
      <c r="CD120" s="721"/>
      <c r="CE120" s="721"/>
      <c r="CF120" s="721"/>
      <c r="CG120" s="721"/>
      <c r="CH120" s="721"/>
      <c r="CI120" s="721"/>
      <c r="CJ120" s="721"/>
      <c r="CK120" s="721"/>
      <c r="CL120" s="721"/>
      <c r="CM120" s="721"/>
      <c r="CN120" s="721"/>
      <c r="CO120" s="721"/>
      <c r="CP120" s="721"/>
      <c r="CQ120" s="721"/>
      <c r="CR120" s="721"/>
      <c r="CS120" s="721"/>
      <c r="CT120" s="721"/>
      <c r="CU120" s="721"/>
      <c r="CV120" s="721"/>
      <c r="CW120" s="721"/>
      <c r="CX120" s="721"/>
      <c r="CY120" s="721"/>
      <c r="CZ120" s="721"/>
      <c r="DA120" s="721"/>
      <c r="DB120" s="721"/>
      <c r="DC120" s="721"/>
      <c r="DD120" s="721"/>
      <c r="DE120" s="721"/>
      <c r="DF120" s="721"/>
      <c r="DG120" s="721"/>
      <c r="DH120" s="721"/>
      <c r="DI120" s="721"/>
      <c r="DJ120" s="721"/>
      <c r="DK120" s="721"/>
      <c r="DL120" s="721"/>
      <c r="DM120" s="721"/>
      <c r="DN120" s="721"/>
      <c r="DO120" s="721"/>
      <c r="DP120" s="721"/>
      <c r="DQ120" s="721"/>
      <c r="DR120" s="721"/>
      <c r="DS120" s="721"/>
      <c r="DT120" s="721" t="str">
        <f t="shared" si="242"/>
        <v>W73-W75</v>
      </c>
      <c r="DU120" s="721"/>
      <c r="DV120" s="721"/>
      <c r="DW120" s="8"/>
    </row>
    <row r="121" spans="1:127" ht="15.95" customHeight="1">
      <c r="A121" s="715" t="s">
        <v>732</v>
      </c>
      <c r="B121" s="715" t="s">
        <v>733</v>
      </c>
      <c r="C121" s="716"/>
      <c r="D121" s="724" t="str">
        <f t="shared" si="329"/>
        <v>W89</v>
      </c>
      <c r="E121" s="721">
        <v>73</v>
      </c>
      <c r="F121" s="721">
        <v>75</v>
      </c>
      <c r="G121" s="721"/>
      <c r="H121" s="721"/>
      <c r="I121" s="721"/>
      <c r="J121" s="715">
        <v>90</v>
      </c>
      <c r="K121" s="715">
        <v>46207.875</v>
      </c>
      <c r="L121" s="715" t="s">
        <v>702</v>
      </c>
      <c r="M121" s="721" t="str">
        <f t="shared" si="330"/>
        <v>W73</v>
      </c>
      <c r="N121" s="721" t="str">
        <f t="shared" si="330"/>
        <v>W75</v>
      </c>
      <c r="O121" s="721"/>
      <c r="P121" s="721"/>
      <c r="Q121" s="721"/>
      <c r="R121" s="721"/>
      <c r="S121" s="721"/>
      <c r="T121" s="721"/>
      <c r="U121" s="721"/>
      <c r="V121" s="162"/>
      <c r="W121" s="851"/>
      <c r="X121" s="179">
        <f ca="1">Horarios!C121</f>
        <v>46207.958333333336</v>
      </c>
      <c r="Y121" s="180">
        <f ca="1">Horarios!C121</f>
        <v>46207.958333333336</v>
      </c>
      <c r="Z121" s="266">
        <f t="shared" si="331"/>
        <v>89</v>
      </c>
      <c r="AA121" s="267" t="str">
        <f t="shared" si="332"/>
        <v>W74</v>
      </c>
      <c r="AB121" s="268"/>
      <c r="AC121" s="297"/>
      <c r="AD121" s="297"/>
      <c r="AE121" s="268"/>
      <c r="AF121" s="270" t="str">
        <f t="shared" si="333"/>
        <v>W77</v>
      </c>
      <c r="AG121" s="400">
        <f t="shared" si="334"/>
        <v>0</v>
      </c>
      <c r="AH121" s="186">
        <v>89</v>
      </c>
      <c r="AI121" s="207"/>
      <c r="AJ121" s="168"/>
      <c r="AK121" s="168"/>
      <c r="AL121" s="168"/>
      <c r="AM121" s="287"/>
      <c r="AN121" s="287"/>
      <c r="AO121" s="287"/>
      <c r="AP121" s="287"/>
      <c r="AQ121" s="287"/>
      <c r="AR121" s="287"/>
      <c r="AS121" s="287"/>
      <c r="AT121" s="287"/>
      <c r="AU121" s="15"/>
      <c r="AV121" s="15"/>
      <c r="AW121" s="287"/>
      <c r="AX121" s="287"/>
      <c r="AY121" s="232"/>
      <c r="AZ121" s="233"/>
      <c r="BA121" s="165"/>
      <c r="BB121" s="721"/>
      <c r="BC121" s="721"/>
      <c r="BD121" s="721"/>
      <c r="BE121" s="721"/>
      <c r="BF121" s="738" t="s">
        <v>667</v>
      </c>
      <c r="BG121" s="721" t="e">
        <f ca="1">+INDEX(Combinaciones3!$P$2:$W$496,MATCH(1,Combinaciones3!$B$2:$B$497,0),MATCH(WORLDCUP!BF121,Combinaciones3!$P$1:$W$1,0))</f>
        <v>#N/A</v>
      </c>
      <c r="BH121" s="721"/>
      <c r="BI121" s="721"/>
      <c r="BJ121" s="721"/>
      <c r="BK121" s="721"/>
      <c r="BL121" s="721"/>
      <c r="BM121" s="721"/>
      <c r="BN121" s="721"/>
      <c r="BO121" s="721"/>
      <c r="BP121" s="721"/>
      <c r="BQ121" s="721"/>
      <c r="BR121" s="721"/>
      <c r="BS121" s="721"/>
      <c r="BT121" s="721"/>
      <c r="BU121" s="721"/>
      <c r="BV121" s="721"/>
      <c r="BW121" s="721"/>
      <c r="BX121" s="721"/>
      <c r="BY121" s="721"/>
      <c r="BZ121" s="721"/>
      <c r="CA121" s="721"/>
      <c r="CB121" s="721"/>
      <c r="CC121" s="721"/>
      <c r="CD121" s="721"/>
      <c r="CE121" s="721"/>
      <c r="CF121" s="721"/>
      <c r="CG121" s="721"/>
      <c r="CH121" s="721"/>
      <c r="CI121" s="721"/>
      <c r="CJ121" s="721"/>
      <c r="CK121" s="721"/>
      <c r="CL121" s="721"/>
      <c r="CM121" s="721"/>
      <c r="CN121" s="721"/>
      <c r="CO121" s="721"/>
      <c r="CP121" s="721"/>
      <c r="CQ121" s="721"/>
      <c r="CR121" s="721"/>
      <c r="CS121" s="721"/>
      <c r="CT121" s="721"/>
      <c r="CU121" s="721"/>
      <c r="CV121" s="721"/>
      <c r="CW121" s="721"/>
      <c r="CX121" s="721"/>
      <c r="CY121" s="721"/>
      <c r="CZ121" s="721"/>
      <c r="DA121" s="721"/>
      <c r="DB121" s="721"/>
      <c r="DC121" s="721"/>
      <c r="DD121" s="721"/>
      <c r="DE121" s="721"/>
      <c r="DF121" s="721"/>
      <c r="DG121" s="721"/>
      <c r="DH121" s="721"/>
      <c r="DI121" s="721"/>
      <c r="DJ121" s="721"/>
      <c r="DK121" s="721"/>
      <c r="DL121" s="721"/>
      <c r="DM121" s="721"/>
      <c r="DN121" s="721"/>
      <c r="DO121" s="721"/>
      <c r="DP121" s="721"/>
      <c r="DQ121" s="721"/>
      <c r="DR121" s="721"/>
      <c r="DS121" s="721"/>
      <c r="DT121" s="721" t="str">
        <f t="shared" si="242"/>
        <v>W74-W77</v>
      </c>
      <c r="DU121" s="721"/>
      <c r="DV121" s="721"/>
      <c r="DW121" s="8"/>
    </row>
    <row r="122" spans="1:127" ht="15.95" customHeight="1">
      <c r="A122" s="715" t="s">
        <v>734</v>
      </c>
      <c r="B122" s="715" t="s">
        <v>735</v>
      </c>
      <c r="C122" s="716"/>
      <c r="D122" s="724" t="str">
        <f t="shared" si="329"/>
        <v>W91</v>
      </c>
      <c r="E122" s="721">
        <v>76</v>
      </c>
      <c r="F122" s="721">
        <v>78</v>
      </c>
      <c r="G122" s="721"/>
      <c r="H122" s="721"/>
      <c r="I122" s="721"/>
      <c r="J122" s="715">
        <v>91</v>
      </c>
      <c r="K122" s="715">
        <v>46208.75</v>
      </c>
      <c r="L122" s="715" t="s">
        <v>703</v>
      </c>
      <c r="M122" s="721" t="str">
        <f t="shared" si="330"/>
        <v>W76</v>
      </c>
      <c r="N122" s="721" t="str">
        <f t="shared" si="330"/>
        <v>W78</v>
      </c>
      <c r="O122" s="721"/>
      <c r="P122" s="721"/>
      <c r="Q122" s="721"/>
      <c r="R122" s="721"/>
      <c r="S122" s="721"/>
      <c r="T122" s="721"/>
      <c r="U122" s="721"/>
      <c r="V122" s="162"/>
      <c r="W122" s="851"/>
      <c r="X122" s="179">
        <f ca="1">Horarios!C122</f>
        <v>46208.916666666664</v>
      </c>
      <c r="Y122" s="180">
        <f ca="1">Horarios!C122</f>
        <v>46208.916666666664</v>
      </c>
      <c r="Z122" s="266">
        <f t="shared" si="331"/>
        <v>91</v>
      </c>
      <c r="AA122" s="267" t="str">
        <f t="shared" si="332"/>
        <v>W76</v>
      </c>
      <c r="AB122" s="268"/>
      <c r="AC122" s="297"/>
      <c r="AD122" s="297"/>
      <c r="AE122" s="268"/>
      <c r="AF122" s="270" t="str">
        <f t="shared" si="333"/>
        <v>W78</v>
      </c>
      <c r="AG122" s="400">
        <f t="shared" si="334"/>
        <v>0</v>
      </c>
      <c r="AH122" s="186">
        <v>91</v>
      </c>
      <c r="AI122" s="207"/>
      <c r="AJ122" s="168"/>
      <c r="AK122" s="168"/>
      <c r="AL122" s="168"/>
      <c r="AM122" s="287"/>
      <c r="AN122" s="287"/>
      <c r="AO122" s="287"/>
      <c r="AP122" s="287"/>
      <c r="AQ122" s="287"/>
      <c r="AR122" s="287"/>
      <c r="AS122" s="287"/>
      <c r="AT122" s="287"/>
      <c r="AU122" s="15"/>
      <c r="AV122" s="15"/>
      <c r="AW122" s="287"/>
      <c r="AX122" s="287"/>
      <c r="AY122" s="232"/>
      <c r="AZ122" s="233"/>
      <c r="BA122" s="165"/>
      <c r="BB122" s="721"/>
      <c r="BC122" s="721"/>
      <c r="BD122" s="721"/>
      <c r="BE122" s="721"/>
      <c r="BF122" s="729" t="s">
        <v>673</v>
      </c>
      <c r="BG122" s="721" t="e">
        <f ca="1">+INDEX(Combinaciones3!$P$2:$W$496,MATCH(1,Combinaciones3!$B$2:$B$497,0),MATCH(WORLDCUP!BF122,Combinaciones3!$P$1:$W$1,0))</f>
        <v>#N/A</v>
      </c>
      <c r="BH122" s="721"/>
      <c r="BI122" s="721"/>
      <c r="BJ122" s="721"/>
      <c r="BK122" s="721"/>
      <c r="BL122" s="721"/>
      <c r="BM122" s="721"/>
      <c r="BN122" s="721"/>
      <c r="BO122" s="721"/>
      <c r="BP122" s="721"/>
      <c r="BQ122" s="721"/>
      <c r="BR122" s="721"/>
      <c r="BS122" s="721"/>
      <c r="BT122" s="721"/>
      <c r="BU122" s="721"/>
      <c r="BV122" s="721"/>
      <c r="BW122" s="721"/>
      <c r="BX122" s="721"/>
      <c r="BY122" s="721"/>
      <c r="BZ122" s="721"/>
      <c r="CA122" s="721"/>
      <c r="CB122" s="721"/>
      <c r="CC122" s="721"/>
      <c r="CD122" s="721"/>
      <c r="CE122" s="721"/>
      <c r="CF122" s="721"/>
      <c r="CG122" s="721"/>
      <c r="CH122" s="721"/>
      <c r="CI122" s="721"/>
      <c r="CJ122" s="721"/>
      <c r="CK122" s="721"/>
      <c r="CL122" s="721"/>
      <c r="CM122" s="721"/>
      <c r="CN122" s="721"/>
      <c r="CO122" s="721"/>
      <c r="CP122" s="721"/>
      <c r="CQ122" s="721"/>
      <c r="CR122" s="721"/>
      <c r="CS122" s="721"/>
      <c r="CT122" s="721"/>
      <c r="CU122" s="721"/>
      <c r="CV122" s="721"/>
      <c r="CW122" s="721"/>
      <c r="CX122" s="721"/>
      <c r="CY122" s="721"/>
      <c r="CZ122" s="721"/>
      <c r="DA122" s="721"/>
      <c r="DB122" s="721"/>
      <c r="DC122" s="721"/>
      <c r="DD122" s="721"/>
      <c r="DE122" s="721"/>
      <c r="DF122" s="721"/>
      <c r="DG122" s="721"/>
      <c r="DH122" s="721"/>
      <c r="DI122" s="721"/>
      <c r="DJ122" s="721"/>
      <c r="DK122" s="721"/>
      <c r="DL122" s="721"/>
      <c r="DM122" s="721"/>
      <c r="DN122" s="721"/>
      <c r="DO122" s="721"/>
      <c r="DP122" s="721"/>
      <c r="DQ122" s="721"/>
      <c r="DR122" s="721"/>
      <c r="DS122" s="721"/>
      <c r="DT122" s="721" t="str">
        <f t="shared" si="242"/>
        <v>W76-W78</v>
      </c>
      <c r="DU122" s="721"/>
      <c r="DV122" s="721"/>
      <c r="DW122" s="8"/>
    </row>
    <row r="123" spans="1:127" ht="15.95" customHeight="1">
      <c r="A123" s="715" t="s">
        <v>736</v>
      </c>
      <c r="B123" s="715" t="s">
        <v>737</v>
      </c>
      <c r="C123" s="716"/>
      <c r="D123" s="724" t="str">
        <f t="shared" si="329"/>
        <v>W92</v>
      </c>
      <c r="E123" s="721">
        <v>79</v>
      </c>
      <c r="F123" s="721">
        <v>80</v>
      </c>
      <c r="G123" s="721"/>
      <c r="H123" s="721"/>
      <c r="I123" s="721"/>
      <c r="J123" s="715">
        <v>92</v>
      </c>
      <c r="K123" s="715">
        <v>46208.875</v>
      </c>
      <c r="L123" s="715" t="s">
        <v>704</v>
      </c>
      <c r="M123" s="721" t="str">
        <f t="shared" si="330"/>
        <v>W79</v>
      </c>
      <c r="N123" s="721" t="str">
        <f t="shared" si="330"/>
        <v>W80</v>
      </c>
      <c r="O123" s="721"/>
      <c r="P123" s="721"/>
      <c r="Q123" s="721"/>
      <c r="R123" s="721"/>
      <c r="S123" s="721"/>
      <c r="T123" s="721"/>
      <c r="U123" s="721"/>
      <c r="V123" s="162"/>
      <c r="W123" s="851"/>
      <c r="X123" s="179">
        <f ca="1">Horarios!C123</f>
        <v>46209.083333333336</v>
      </c>
      <c r="Y123" s="180">
        <f ca="1">Horarios!C123</f>
        <v>46209.083333333336</v>
      </c>
      <c r="Z123" s="266">
        <f t="shared" si="331"/>
        <v>92</v>
      </c>
      <c r="AA123" s="267" t="str">
        <f t="shared" si="332"/>
        <v>W79</v>
      </c>
      <c r="AB123" s="268"/>
      <c r="AC123" s="297"/>
      <c r="AD123" s="297"/>
      <c r="AE123" s="268"/>
      <c r="AF123" s="270" t="str">
        <f t="shared" si="333"/>
        <v>W80</v>
      </c>
      <c r="AG123" s="400">
        <f t="shared" si="334"/>
        <v>0</v>
      </c>
      <c r="AH123" s="186">
        <v>92</v>
      </c>
      <c r="AI123" s="207"/>
      <c r="AJ123" s="168"/>
      <c r="AK123" s="168"/>
      <c r="AL123" s="168"/>
      <c r="AM123" s="287"/>
      <c r="AN123" s="287"/>
      <c r="AO123" s="287"/>
      <c r="AP123" s="287"/>
      <c r="AQ123" s="287"/>
      <c r="AR123" s="287"/>
      <c r="AS123" s="287"/>
      <c r="AT123" s="287"/>
      <c r="AU123" s="15"/>
      <c r="AV123" s="15"/>
      <c r="AW123" s="287"/>
      <c r="AX123" s="287"/>
      <c r="AY123" s="232"/>
      <c r="AZ123" s="233"/>
      <c r="BA123" s="165"/>
      <c r="BB123" s="721"/>
      <c r="BC123" s="721"/>
      <c r="BD123" s="721"/>
      <c r="BE123" s="721"/>
      <c r="BF123" s="729" t="s">
        <v>679</v>
      </c>
      <c r="BG123" s="721" t="e">
        <f ca="1">+INDEX(Combinaciones3!$P$2:$W$496,MATCH(1,Combinaciones3!$B$2:$B$497,0),MATCH(WORLDCUP!BF123,Combinaciones3!$P$1:$W$1,0))</f>
        <v>#N/A</v>
      </c>
      <c r="BH123" s="721"/>
      <c r="BI123" s="721"/>
      <c r="BJ123" s="721"/>
      <c r="BK123" s="721"/>
      <c r="BL123" s="721"/>
      <c r="BM123" s="721"/>
      <c r="BN123" s="721"/>
      <c r="BO123" s="721"/>
      <c r="BP123" s="721"/>
      <c r="BQ123" s="721"/>
      <c r="BR123" s="721"/>
      <c r="BS123" s="721"/>
      <c r="BT123" s="721"/>
      <c r="BU123" s="721"/>
      <c r="BV123" s="721"/>
      <c r="BW123" s="721"/>
      <c r="BX123" s="721"/>
      <c r="BY123" s="721"/>
      <c r="BZ123" s="721"/>
      <c r="CA123" s="721"/>
      <c r="CB123" s="721"/>
      <c r="CC123" s="721"/>
      <c r="CD123" s="721"/>
      <c r="CE123" s="721"/>
      <c r="CF123" s="721"/>
      <c r="CG123" s="721"/>
      <c r="CH123" s="721"/>
      <c r="CI123" s="721"/>
      <c r="CJ123" s="721"/>
      <c r="CK123" s="721"/>
      <c r="CL123" s="721"/>
      <c r="CM123" s="721"/>
      <c r="CN123" s="721"/>
      <c r="CO123" s="721"/>
      <c r="CP123" s="721"/>
      <c r="CQ123" s="721"/>
      <c r="CR123" s="721"/>
      <c r="CS123" s="721"/>
      <c r="CT123" s="721"/>
      <c r="CU123" s="721"/>
      <c r="CV123" s="721"/>
      <c r="CW123" s="721"/>
      <c r="CX123" s="721"/>
      <c r="CY123" s="721"/>
      <c r="CZ123" s="721"/>
      <c r="DA123" s="721"/>
      <c r="DB123" s="721"/>
      <c r="DC123" s="721"/>
      <c r="DD123" s="721"/>
      <c r="DE123" s="721"/>
      <c r="DF123" s="721"/>
      <c r="DG123" s="721"/>
      <c r="DH123" s="721"/>
      <c r="DI123" s="721"/>
      <c r="DJ123" s="721"/>
      <c r="DK123" s="721"/>
      <c r="DL123" s="721"/>
      <c r="DM123" s="721"/>
      <c r="DN123" s="721"/>
      <c r="DO123" s="721"/>
      <c r="DP123" s="721"/>
      <c r="DQ123" s="721"/>
      <c r="DR123" s="721"/>
      <c r="DS123" s="721"/>
      <c r="DT123" s="721" t="str">
        <f t="shared" si="242"/>
        <v>W79-W80</v>
      </c>
      <c r="DU123" s="721"/>
      <c r="DV123" s="721"/>
      <c r="DW123" s="8"/>
    </row>
    <row r="124" spans="1:127" ht="15.95" customHeight="1">
      <c r="A124" s="715" t="s">
        <v>738</v>
      </c>
      <c r="B124" s="715" t="s">
        <v>739</v>
      </c>
      <c r="C124" s="716"/>
      <c r="D124" s="724" t="str">
        <f t="shared" si="329"/>
        <v>W93</v>
      </c>
      <c r="E124" s="721">
        <v>83</v>
      </c>
      <c r="F124" s="721">
        <v>84</v>
      </c>
      <c r="G124" s="721"/>
      <c r="H124" s="721"/>
      <c r="I124" s="721"/>
      <c r="J124" s="715">
        <v>93</v>
      </c>
      <c r="K124" s="715">
        <v>46209.75</v>
      </c>
      <c r="L124" s="715" t="s">
        <v>705</v>
      </c>
      <c r="M124" s="721" t="str">
        <f t="shared" si="330"/>
        <v>W83</v>
      </c>
      <c r="N124" s="721" t="str">
        <f t="shared" si="330"/>
        <v>W84</v>
      </c>
      <c r="O124" s="721"/>
      <c r="P124" s="721"/>
      <c r="Q124" s="721"/>
      <c r="R124" s="721"/>
      <c r="S124" s="721"/>
      <c r="T124" s="721"/>
      <c r="U124" s="721"/>
      <c r="V124" s="162"/>
      <c r="W124" s="851"/>
      <c r="X124" s="179">
        <f ca="1">Horarios!C124</f>
        <v>46209.875</v>
      </c>
      <c r="Y124" s="180">
        <f ca="1">Horarios!C124</f>
        <v>46209.875</v>
      </c>
      <c r="Z124" s="266">
        <f t="shared" si="331"/>
        <v>93</v>
      </c>
      <c r="AA124" s="267" t="str">
        <f t="shared" si="332"/>
        <v>W83</v>
      </c>
      <c r="AB124" s="298"/>
      <c r="AC124" s="297"/>
      <c r="AD124" s="297"/>
      <c r="AE124" s="269"/>
      <c r="AF124" s="270" t="str">
        <f t="shared" si="333"/>
        <v>W84</v>
      </c>
      <c r="AG124" s="400">
        <f t="shared" si="334"/>
        <v>0</v>
      </c>
      <c r="AH124" s="186">
        <v>93</v>
      </c>
      <c r="AI124" s="207"/>
      <c r="AJ124" s="168"/>
      <c r="AK124" s="168"/>
      <c r="AL124" s="168"/>
      <c r="AM124" s="287"/>
      <c r="AN124" s="287"/>
      <c r="AO124" s="287"/>
      <c r="AP124" s="287"/>
      <c r="AQ124" s="287"/>
      <c r="AR124" s="287"/>
      <c r="AS124" s="287"/>
      <c r="AT124" s="287"/>
      <c r="AU124" s="15"/>
      <c r="AV124" s="15"/>
      <c r="AW124" s="287"/>
      <c r="AX124" s="287"/>
      <c r="AY124" s="232"/>
      <c r="AZ124" s="233"/>
      <c r="BA124" s="165"/>
      <c r="BB124" s="721"/>
      <c r="BC124" s="721"/>
      <c r="BD124" s="721"/>
      <c r="BE124" s="721"/>
      <c r="BF124" s="729" t="s">
        <v>682</v>
      </c>
      <c r="BG124" s="721" t="e">
        <f ca="1">+INDEX(Combinaciones3!$P$2:$W$496,MATCH(1,Combinaciones3!$B$2:$B$497,0),MATCH(WORLDCUP!BF124,Combinaciones3!$P$1:$W$1,0))</f>
        <v>#N/A</v>
      </c>
      <c r="BH124" s="721"/>
      <c r="BI124" s="721"/>
      <c r="BJ124" s="721"/>
      <c r="BK124" s="721"/>
      <c r="BL124" s="721"/>
      <c r="BM124" s="721"/>
      <c r="BN124" s="721"/>
      <c r="BO124" s="721"/>
      <c r="BP124" s="721"/>
      <c r="BQ124" s="721"/>
      <c r="BR124" s="721"/>
      <c r="BS124" s="721"/>
      <c r="BT124" s="721"/>
      <c r="BU124" s="721"/>
      <c r="BV124" s="721"/>
      <c r="BW124" s="721"/>
      <c r="BX124" s="721"/>
      <c r="BY124" s="721"/>
      <c r="BZ124" s="721"/>
      <c r="CA124" s="721"/>
      <c r="CB124" s="721"/>
      <c r="CC124" s="721"/>
      <c r="CD124" s="721"/>
      <c r="CE124" s="721"/>
      <c r="CF124" s="721"/>
      <c r="CG124" s="721"/>
      <c r="CH124" s="721"/>
      <c r="CI124" s="721"/>
      <c r="CJ124" s="721"/>
      <c r="CK124" s="721"/>
      <c r="CL124" s="721"/>
      <c r="CM124" s="721"/>
      <c r="CN124" s="721"/>
      <c r="CO124" s="721"/>
      <c r="CP124" s="721"/>
      <c r="CQ124" s="721"/>
      <c r="CR124" s="721"/>
      <c r="CS124" s="721"/>
      <c r="CT124" s="721"/>
      <c r="CU124" s="721"/>
      <c r="CV124" s="721"/>
      <c r="CW124" s="721"/>
      <c r="CX124" s="721"/>
      <c r="CY124" s="721"/>
      <c r="CZ124" s="721"/>
      <c r="DA124" s="721"/>
      <c r="DB124" s="721"/>
      <c r="DC124" s="721"/>
      <c r="DD124" s="721"/>
      <c r="DE124" s="721"/>
      <c r="DF124" s="721"/>
      <c r="DG124" s="721"/>
      <c r="DH124" s="721"/>
      <c r="DI124" s="721"/>
      <c r="DJ124" s="721"/>
      <c r="DK124" s="721"/>
      <c r="DL124" s="721"/>
      <c r="DM124" s="721"/>
      <c r="DN124" s="721"/>
      <c r="DO124" s="721"/>
      <c r="DP124" s="721"/>
      <c r="DQ124" s="721"/>
      <c r="DR124" s="721"/>
      <c r="DS124" s="721"/>
      <c r="DT124" s="721" t="str">
        <f t="shared" si="242"/>
        <v>W83-W84</v>
      </c>
      <c r="DU124" s="721"/>
      <c r="DV124" s="721"/>
      <c r="DW124" s="8"/>
    </row>
    <row r="125" spans="1:127" ht="15.95" customHeight="1">
      <c r="A125" s="715" t="s">
        <v>740</v>
      </c>
      <c r="B125" s="715" t="s">
        <v>741</v>
      </c>
      <c r="C125" s="716"/>
      <c r="D125" s="724" t="str">
        <f t="shared" si="329"/>
        <v>W94</v>
      </c>
      <c r="E125" s="721">
        <v>81</v>
      </c>
      <c r="F125" s="721">
        <v>82</v>
      </c>
      <c r="G125" s="721"/>
      <c r="H125" s="721"/>
      <c r="I125" s="721"/>
      <c r="J125" s="715">
        <v>94</v>
      </c>
      <c r="K125" s="715">
        <v>46209.875</v>
      </c>
      <c r="L125" s="715" t="s">
        <v>706</v>
      </c>
      <c r="M125" s="721" t="str">
        <f t="shared" si="330"/>
        <v>W81</v>
      </c>
      <c r="N125" s="721" t="str">
        <f t="shared" si="330"/>
        <v>W82</v>
      </c>
      <c r="O125" s="721"/>
      <c r="P125" s="721"/>
      <c r="Q125" s="721"/>
      <c r="R125" s="721"/>
      <c r="S125" s="721"/>
      <c r="T125" s="721"/>
      <c r="U125" s="721"/>
      <c r="V125" s="162"/>
      <c r="W125" s="851"/>
      <c r="X125" s="179">
        <f ca="1">Horarios!C125</f>
        <v>46210.083333333336</v>
      </c>
      <c r="Y125" s="180">
        <f ca="1">Horarios!C125</f>
        <v>46210.083333333336</v>
      </c>
      <c r="Z125" s="266">
        <f t="shared" si="331"/>
        <v>94</v>
      </c>
      <c r="AA125" s="267" t="str">
        <f t="shared" si="332"/>
        <v>W81</v>
      </c>
      <c r="AB125" s="268"/>
      <c r="AC125" s="299"/>
      <c r="AD125" s="299"/>
      <c r="AE125" s="268"/>
      <c r="AF125" s="270" t="str">
        <f t="shared" si="333"/>
        <v>W82</v>
      </c>
      <c r="AG125" s="400">
        <f t="shared" si="334"/>
        <v>0</v>
      </c>
      <c r="AH125" s="186">
        <v>94</v>
      </c>
      <c r="AI125" s="207"/>
      <c r="AJ125" s="168"/>
      <c r="AK125" s="168"/>
      <c r="AL125" s="168"/>
      <c r="AM125" s="287"/>
      <c r="AN125" s="287"/>
      <c r="AO125" s="287"/>
      <c r="AP125" s="287"/>
      <c r="AQ125" s="287"/>
      <c r="AR125" s="287"/>
      <c r="AS125" s="287"/>
      <c r="AT125" s="287"/>
      <c r="AU125" s="15"/>
      <c r="AV125" s="15"/>
      <c r="AW125" s="287"/>
      <c r="AX125" s="287"/>
      <c r="AY125" s="232"/>
      <c r="AZ125" s="233"/>
      <c r="BA125" s="165"/>
      <c r="BB125" s="721"/>
      <c r="BC125" s="721"/>
      <c r="BD125" s="721"/>
      <c r="BE125" s="721"/>
      <c r="BF125" s="721"/>
      <c r="BG125" s="721"/>
      <c r="BH125" s="721"/>
      <c r="BI125" s="721"/>
      <c r="BJ125" s="721"/>
      <c r="BK125" s="721"/>
      <c r="BL125" s="721"/>
      <c r="BM125" s="721"/>
      <c r="BN125" s="721"/>
      <c r="BO125" s="721"/>
      <c r="BP125" s="721"/>
      <c r="BQ125" s="721"/>
      <c r="BR125" s="721"/>
      <c r="BS125" s="721"/>
      <c r="BT125" s="721"/>
      <c r="BU125" s="721"/>
      <c r="BV125" s="721"/>
      <c r="BW125" s="721"/>
      <c r="BX125" s="721"/>
      <c r="BY125" s="721"/>
      <c r="BZ125" s="721"/>
      <c r="CA125" s="721"/>
      <c r="CB125" s="721"/>
      <c r="CC125" s="721"/>
      <c r="CD125" s="721"/>
      <c r="CE125" s="721"/>
      <c r="CF125" s="721"/>
      <c r="CG125" s="721"/>
      <c r="CH125" s="721"/>
      <c r="CI125" s="721"/>
      <c r="CJ125" s="721"/>
      <c r="CK125" s="721"/>
      <c r="CL125" s="721"/>
      <c r="CM125" s="721"/>
      <c r="CN125" s="721"/>
      <c r="CO125" s="721"/>
      <c r="CP125" s="721"/>
      <c r="CQ125" s="721"/>
      <c r="CR125" s="721"/>
      <c r="CS125" s="721"/>
      <c r="CT125" s="721"/>
      <c r="CU125" s="721"/>
      <c r="CV125" s="721"/>
      <c r="CW125" s="721"/>
      <c r="CX125" s="721"/>
      <c r="CY125" s="721"/>
      <c r="CZ125" s="721"/>
      <c r="DA125" s="721"/>
      <c r="DB125" s="721"/>
      <c r="DC125" s="721"/>
      <c r="DD125" s="721"/>
      <c r="DE125" s="721"/>
      <c r="DF125" s="721"/>
      <c r="DG125" s="721"/>
      <c r="DH125" s="721"/>
      <c r="DI125" s="721"/>
      <c r="DJ125" s="721"/>
      <c r="DK125" s="721"/>
      <c r="DL125" s="721"/>
      <c r="DM125" s="721"/>
      <c r="DN125" s="721"/>
      <c r="DO125" s="721"/>
      <c r="DP125" s="721"/>
      <c r="DQ125" s="721"/>
      <c r="DR125" s="721"/>
      <c r="DS125" s="721"/>
      <c r="DT125" s="721" t="str">
        <f t="shared" si="242"/>
        <v>W81-W82</v>
      </c>
      <c r="DU125" s="721"/>
      <c r="DV125" s="721"/>
      <c r="DW125" s="8"/>
    </row>
    <row r="126" spans="1:127" ht="15.95" customHeight="1">
      <c r="A126" s="715" t="s">
        <v>742</v>
      </c>
      <c r="B126" s="715" t="s">
        <v>743</v>
      </c>
      <c r="C126" s="716"/>
      <c r="D126" s="724" t="str">
        <f t="shared" si="329"/>
        <v>W95</v>
      </c>
      <c r="E126" s="721">
        <v>86</v>
      </c>
      <c r="F126" s="721">
        <v>88</v>
      </c>
      <c r="G126" s="721"/>
      <c r="H126" s="721"/>
      <c r="I126" s="721"/>
      <c r="J126" s="715">
        <v>95</v>
      </c>
      <c r="K126" s="715">
        <v>46210.75</v>
      </c>
      <c r="L126" s="715" t="s">
        <v>707</v>
      </c>
      <c r="M126" s="721" t="str">
        <f t="shared" si="330"/>
        <v>W86</v>
      </c>
      <c r="N126" s="721" t="str">
        <f t="shared" si="330"/>
        <v>W88</v>
      </c>
      <c r="O126" s="721"/>
      <c r="P126" s="721"/>
      <c r="Q126" s="721"/>
      <c r="R126" s="721"/>
      <c r="S126" s="721"/>
      <c r="T126" s="721"/>
      <c r="U126" s="721"/>
      <c r="V126" s="162"/>
      <c r="W126" s="851"/>
      <c r="X126" s="179">
        <f ca="1">Horarios!C126</f>
        <v>46210.75</v>
      </c>
      <c r="Y126" s="180">
        <f ca="1">Horarios!C126</f>
        <v>46210.75</v>
      </c>
      <c r="Z126" s="266">
        <f t="shared" si="331"/>
        <v>95</v>
      </c>
      <c r="AA126" s="267" t="str">
        <f t="shared" si="332"/>
        <v>W86</v>
      </c>
      <c r="AB126" s="268"/>
      <c r="AC126" s="299"/>
      <c r="AD126" s="299"/>
      <c r="AE126" s="268"/>
      <c r="AF126" s="270" t="str">
        <f t="shared" si="333"/>
        <v>W88</v>
      </c>
      <c r="AG126" s="400">
        <f t="shared" si="334"/>
        <v>0</v>
      </c>
      <c r="AH126" s="186">
        <v>95</v>
      </c>
      <c r="AI126" s="207"/>
      <c r="AJ126" s="168"/>
      <c r="AK126" s="168"/>
      <c r="AL126" s="168"/>
      <c r="AM126" s="287"/>
      <c r="AN126" s="287"/>
      <c r="AO126" s="287"/>
      <c r="AP126" s="287"/>
      <c r="AQ126" s="287"/>
      <c r="AR126" s="287"/>
      <c r="AS126" s="287"/>
      <c r="AT126" s="287"/>
      <c r="AU126" s="15"/>
      <c r="AV126" s="15"/>
      <c r="AW126" s="287"/>
      <c r="AX126" s="287"/>
      <c r="AY126" s="232"/>
      <c r="AZ126" s="233"/>
      <c r="BA126" s="165"/>
      <c r="BB126" s="721"/>
      <c r="BC126" s="721"/>
      <c r="BD126" s="721"/>
      <c r="BE126" s="721"/>
      <c r="BF126" s="721"/>
      <c r="BG126" s="721"/>
      <c r="BH126" s="721"/>
      <c r="BI126" s="721"/>
      <c r="BJ126" s="721"/>
      <c r="BK126" s="721"/>
      <c r="BL126" s="721"/>
      <c r="BM126" s="721"/>
      <c r="BN126" s="721"/>
      <c r="BO126" s="721"/>
      <c r="BP126" s="721"/>
      <c r="BQ126" s="721"/>
      <c r="BR126" s="721"/>
      <c r="BS126" s="721"/>
      <c r="BT126" s="721"/>
      <c r="BU126" s="721"/>
      <c r="BV126" s="721"/>
      <c r="BW126" s="721"/>
      <c r="BX126" s="721"/>
      <c r="BY126" s="721"/>
      <c r="BZ126" s="721"/>
      <c r="CA126" s="721"/>
      <c r="CB126" s="721"/>
      <c r="CC126" s="721"/>
      <c r="CD126" s="721"/>
      <c r="CE126" s="721"/>
      <c r="CF126" s="721"/>
      <c r="CG126" s="721"/>
      <c r="CH126" s="721"/>
      <c r="CI126" s="721"/>
      <c r="CJ126" s="721"/>
      <c r="CK126" s="721"/>
      <c r="CL126" s="721"/>
      <c r="CM126" s="721"/>
      <c r="CN126" s="721"/>
      <c r="CO126" s="721"/>
      <c r="CP126" s="721"/>
      <c r="CQ126" s="721"/>
      <c r="CR126" s="721"/>
      <c r="CS126" s="721"/>
      <c r="CT126" s="721"/>
      <c r="CU126" s="721"/>
      <c r="CV126" s="721"/>
      <c r="CW126" s="721"/>
      <c r="CX126" s="721"/>
      <c r="CY126" s="721"/>
      <c r="CZ126" s="721"/>
      <c r="DA126" s="721"/>
      <c r="DB126" s="721"/>
      <c r="DC126" s="721"/>
      <c r="DD126" s="721"/>
      <c r="DE126" s="721"/>
      <c r="DF126" s="721"/>
      <c r="DG126" s="721"/>
      <c r="DH126" s="721"/>
      <c r="DI126" s="721"/>
      <c r="DJ126" s="721"/>
      <c r="DK126" s="721"/>
      <c r="DL126" s="721"/>
      <c r="DM126" s="721"/>
      <c r="DN126" s="721"/>
      <c r="DO126" s="721"/>
      <c r="DP126" s="721"/>
      <c r="DQ126" s="721"/>
      <c r="DR126" s="721"/>
      <c r="DS126" s="721"/>
      <c r="DT126" s="721" t="str">
        <f t="shared" si="242"/>
        <v>W86-W88</v>
      </c>
      <c r="DU126" s="721"/>
      <c r="DV126" s="721"/>
      <c r="DW126" s="8"/>
    </row>
    <row r="127" spans="1:127" ht="15.95" customHeight="1" thickBot="1">
      <c r="A127" s="715" t="s">
        <v>744</v>
      </c>
      <c r="B127" s="715" t="s">
        <v>745</v>
      </c>
      <c r="C127" s="716"/>
      <c r="D127" s="724" t="str">
        <f t="shared" si="329"/>
        <v>W96</v>
      </c>
      <c r="E127" s="721">
        <v>85</v>
      </c>
      <c r="F127" s="721">
        <v>87</v>
      </c>
      <c r="G127" s="721"/>
      <c r="H127" s="721"/>
      <c r="I127" s="721"/>
      <c r="J127" s="715">
        <v>96</v>
      </c>
      <c r="K127" s="715">
        <v>46210.875</v>
      </c>
      <c r="L127" s="715" t="s">
        <v>708</v>
      </c>
      <c r="M127" s="721" t="str">
        <f t="shared" si="330"/>
        <v>W85</v>
      </c>
      <c r="N127" s="721" t="str">
        <f t="shared" si="330"/>
        <v>W87</v>
      </c>
      <c r="O127" s="721"/>
      <c r="P127" s="721"/>
      <c r="Q127" s="721"/>
      <c r="R127" s="721"/>
      <c r="S127" s="721"/>
      <c r="T127" s="721"/>
      <c r="U127" s="721"/>
      <c r="V127" s="162"/>
      <c r="W127" s="852"/>
      <c r="X127" s="218">
        <f ca="1">Horarios!C127</f>
        <v>46210.916666666664</v>
      </c>
      <c r="Y127" s="219">
        <f ca="1">Horarios!C127</f>
        <v>46210.916666666664</v>
      </c>
      <c r="Z127" s="289">
        <f t="shared" si="331"/>
        <v>96</v>
      </c>
      <c r="AA127" s="290" t="str">
        <f t="shared" si="332"/>
        <v>W85</v>
      </c>
      <c r="AB127" s="291"/>
      <c r="AC127" s="300"/>
      <c r="AD127" s="300"/>
      <c r="AE127" s="291"/>
      <c r="AF127" s="293" t="str">
        <f t="shared" si="333"/>
        <v>W87</v>
      </c>
      <c r="AG127" s="400">
        <f t="shared" si="334"/>
        <v>0</v>
      </c>
      <c r="AH127" s="186">
        <v>96</v>
      </c>
      <c r="AI127" s="207"/>
      <c r="AJ127" s="168"/>
      <c r="AK127" s="168"/>
      <c r="AL127" s="168"/>
      <c r="AM127" s="287"/>
      <c r="AN127" s="287"/>
      <c r="AO127" s="287"/>
      <c r="AP127" s="287"/>
      <c r="AQ127" s="287"/>
      <c r="AR127" s="287"/>
      <c r="AS127" s="287"/>
      <c r="AT127" s="287"/>
      <c r="AU127" s="15"/>
      <c r="AV127" s="15"/>
      <c r="AW127" s="287"/>
      <c r="AX127" s="287"/>
      <c r="AY127" s="232"/>
      <c r="AZ127" s="233"/>
      <c r="BA127" s="165"/>
      <c r="BB127" s="721"/>
      <c r="BC127" s="721"/>
      <c r="BD127" s="721"/>
      <c r="BE127" s="721"/>
      <c r="BF127" s="721"/>
      <c r="BG127" s="721"/>
      <c r="BH127" s="721"/>
      <c r="BI127" s="721"/>
      <c r="BJ127" s="721"/>
      <c r="BK127" s="721"/>
      <c r="BL127" s="721"/>
      <c r="BM127" s="721"/>
      <c r="BN127" s="721"/>
      <c r="BO127" s="721"/>
      <c r="BP127" s="721"/>
      <c r="BQ127" s="721"/>
      <c r="BR127" s="721"/>
      <c r="BS127" s="721"/>
      <c r="BT127" s="721"/>
      <c r="BU127" s="721"/>
      <c r="BV127" s="721"/>
      <c r="BW127" s="721"/>
      <c r="BX127" s="721"/>
      <c r="BY127" s="721"/>
      <c r="BZ127" s="721"/>
      <c r="CA127" s="721"/>
      <c r="CB127" s="721"/>
      <c r="CC127" s="721"/>
      <c r="CD127" s="721"/>
      <c r="CE127" s="721"/>
      <c r="CF127" s="721"/>
      <c r="CG127" s="721"/>
      <c r="CH127" s="721"/>
      <c r="CI127" s="721"/>
      <c r="CJ127" s="721"/>
      <c r="CK127" s="721"/>
      <c r="CL127" s="721"/>
      <c r="CM127" s="721"/>
      <c r="CN127" s="721"/>
      <c r="CO127" s="721"/>
      <c r="CP127" s="721"/>
      <c r="CQ127" s="721"/>
      <c r="CR127" s="721"/>
      <c r="CS127" s="721"/>
      <c r="CT127" s="721"/>
      <c r="CU127" s="721"/>
      <c r="CV127" s="721"/>
      <c r="CW127" s="721"/>
      <c r="CX127" s="721"/>
      <c r="CY127" s="721"/>
      <c r="CZ127" s="721"/>
      <c r="DA127" s="721"/>
      <c r="DB127" s="721"/>
      <c r="DC127" s="721"/>
      <c r="DD127" s="721"/>
      <c r="DE127" s="721"/>
      <c r="DF127" s="721"/>
      <c r="DG127" s="721"/>
      <c r="DH127" s="721"/>
      <c r="DI127" s="721"/>
      <c r="DJ127" s="721"/>
      <c r="DK127" s="721"/>
      <c r="DL127" s="721"/>
      <c r="DM127" s="721"/>
      <c r="DN127" s="721"/>
      <c r="DO127" s="721"/>
      <c r="DP127" s="721"/>
      <c r="DQ127" s="721"/>
      <c r="DR127" s="721"/>
      <c r="DS127" s="721"/>
      <c r="DT127" s="721" t="str">
        <f t="shared" si="242"/>
        <v>W85-W87</v>
      </c>
      <c r="DU127" s="721"/>
      <c r="DV127" s="721"/>
      <c r="DW127" s="8"/>
    </row>
    <row r="128" spans="1:127" ht="15.95" customHeight="1" thickBot="1">
      <c r="A128" s="716"/>
      <c r="B128" s="716"/>
      <c r="C128" s="716"/>
      <c r="D128" s="724"/>
      <c r="E128" s="721"/>
      <c r="F128" s="721"/>
      <c r="G128" s="721"/>
      <c r="H128" s="721"/>
      <c r="I128" s="721"/>
      <c r="J128" s="721"/>
      <c r="K128" s="721"/>
      <c r="L128" s="721"/>
      <c r="M128" s="721"/>
      <c r="N128" s="721"/>
      <c r="O128" s="721"/>
      <c r="P128" s="721"/>
      <c r="Q128" s="721"/>
      <c r="R128" s="721"/>
      <c r="S128" s="721"/>
      <c r="T128" s="721"/>
      <c r="U128" s="721"/>
      <c r="V128" s="162"/>
      <c r="W128" s="232"/>
      <c r="X128" s="233"/>
      <c r="Y128" s="232"/>
      <c r="Z128" s="234"/>
      <c r="AA128" s="235"/>
      <c r="AB128" s="236"/>
      <c r="AC128" s="237"/>
      <c r="AD128" s="237"/>
      <c r="AE128" s="236"/>
      <c r="AF128" s="238"/>
      <c r="AG128" s="399"/>
      <c r="AH128" s="186"/>
      <c r="AI128" s="207"/>
      <c r="AJ128" s="168"/>
      <c r="AK128" s="168"/>
      <c r="AL128" s="168"/>
      <c r="AM128" s="287"/>
      <c r="AN128" s="287"/>
      <c r="AO128" s="287"/>
      <c r="AP128" s="287"/>
      <c r="AQ128" s="287"/>
      <c r="AR128" s="287"/>
      <c r="AS128" s="287"/>
      <c r="AT128" s="287"/>
      <c r="AU128" s="15"/>
      <c r="AV128" s="15"/>
      <c r="AW128" s="287"/>
      <c r="AX128" s="287"/>
      <c r="AY128" s="232"/>
      <c r="AZ128" s="233"/>
      <c r="BA128" s="165"/>
      <c r="BB128" s="721"/>
      <c r="BC128" s="721"/>
      <c r="BD128" s="721"/>
      <c r="BE128" s="721"/>
      <c r="BF128" s="721"/>
      <c r="BG128" s="721"/>
      <c r="BH128" s="721"/>
      <c r="BI128" s="721"/>
      <c r="BJ128" s="721"/>
      <c r="BK128" s="721"/>
      <c r="BL128" s="721"/>
      <c r="BM128" s="721"/>
      <c r="BN128" s="721"/>
      <c r="BO128" s="721"/>
      <c r="BP128" s="721"/>
      <c r="BQ128" s="721"/>
      <c r="BR128" s="721"/>
      <c r="BS128" s="721"/>
      <c r="BT128" s="721"/>
      <c r="BU128" s="721"/>
      <c r="BV128" s="721"/>
      <c r="BW128" s="721"/>
      <c r="BX128" s="721"/>
      <c r="BY128" s="721"/>
      <c r="BZ128" s="721"/>
      <c r="CA128" s="721"/>
      <c r="CB128" s="721"/>
      <c r="CC128" s="721"/>
      <c r="CD128" s="721"/>
      <c r="CE128" s="721"/>
      <c r="CF128" s="721"/>
      <c r="CG128" s="721"/>
      <c r="CH128" s="721"/>
      <c r="CI128" s="721"/>
      <c r="CJ128" s="721"/>
      <c r="CK128" s="721"/>
      <c r="CL128" s="721"/>
      <c r="CM128" s="721"/>
      <c r="CN128" s="721"/>
      <c r="CO128" s="721"/>
      <c r="CP128" s="721"/>
      <c r="CQ128" s="721"/>
      <c r="CR128" s="721"/>
      <c r="CS128" s="721"/>
      <c r="CT128" s="721"/>
      <c r="CU128" s="721"/>
      <c r="CV128" s="721"/>
      <c r="CW128" s="721"/>
      <c r="CX128" s="721"/>
      <c r="CY128" s="721"/>
      <c r="CZ128" s="721"/>
      <c r="DA128" s="721"/>
      <c r="DB128" s="721"/>
      <c r="DC128" s="721"/>
      <c r="DD128" s="721"/>
      <c r="DE128" s="721"/>
      <c r="DF128" s="721"/>
      <c r="DG128" s="721"/>
      <c r="DH128" s="721"/>
      <c r="DI128" s="721"/>
      <c r="DJ128" s="721"/>
      <c r="DK128" s="721"/>
      <c r="DL128" s="721"/>
      <c r="DM128" s="721"/>
      <c r="DN128" s="721"/>
      <c r="DO128" s="721"/>
      <c r="DP128" s="721"/>
      <c r="DQ128" s="721"/>
      <c r="DR128" s="721"/>
      <c r="DS128" s="721"/>
      <c r="DT128" s="721" t="str">
        <f t="shared" si="242"/>
        <v>-</v>
      </c>
      <c r="DU128" s="721"/>
      <c r="DV128" s="721"/>
      <c r="DW128" s="8"/>
    </row>
    <row r="129" spans="1:127" ht="15.95" customHeight="1" thickBot="1">
      <c r="A129" s="716"/>
      <c r="B129" s="716"/>
      <c r="C129" s="716"/>
      <c r="D129" s="724"/>
      <c r="E129" s="721"/>
      <c r="F129" s="721"/>
      <c r="G129" s="721"/>
      <c r="H129" s="721"/>
      <c r="I129" s="721"/>
      <c r="J129" s="721"/>
      <c r="K129" s="721"/>
      <c r="L129" s="721"/>
      <c r="M129" s="721"/>
      <c r="N129" s="721"/>
      <c r="O129" s="721"/>
      <c r="P129" s="721"/>
      <c r="Q129" s="721"/>
      <c r="R129" s="721"/>
      <c r="S129" s="721"/>
      <c r="T129" s="721"/>
      <c r="U129" s="721"/>
      <c r="V129" s="162"/>
      <c r="W129" s="259" t="str">
        <f>Idiomas!D27</f>
        <v>Cuartos de final</v>
      </c>
      <c r="X129" s="260"/>
      <c r="Y129" s="261"/>
      <c r="Z129" s="261"/>
      <c r="AA129" s="261"/>
      <c r="AB129" s="261"/>
      <c r="AC129" s="261"/>
      <c r="AD129" s="261"/>
      <c r="AE129" s="261"/>
      <c r="AF129" s="262"/>
      <c r="AG129" s="397"/>
      <c r="AH129" s="15"/>
      <c r="AI129" s="207"/>
      <c r="AJ129" s="168"/>
      <c r="AK129" s="168"/>
      <c r="AL129" s="168"/>
      <c r="AM129" s="287"/>
      <c r="AN129" s="287"/>
      <c r="AO129" s="287"/>
      <c r="AP129" s="287"/>
      <c r="AQ129" s="287"/>
      <c r="AR129" s="287"/>
      <c r="AS129" s="287"/>
      <c r="AT129" s="287"/>
      <c r="AU129" s="15"/>
      <c r="AV129" s="15"/>
      <c r="AW129" s="287"/>
      <c r="AX129" s="287"/>
      <c r="AY129" s="232"/>
      <c r="AZ129" s="233"/>
      <c r="BA129" s="165"/>
      <c r="BB129" s="721"/>
      <c r="BC129" s="721"/>
      <c r="BD129" s="721"/>
      <c r="BE129" s="721"/>
      <c r="BF129" s="721"/>
      <c r="BG129" s="721"/>
      <c r="BH129" s="721"/>
      <c r="BI129" s="721"/>
      <c r="BJ129" s="721"/>
      <c r="BK129" s="721"/>
      <c r="BL129" s="721"/>
      <c r="BM129" s="721"/>
      <c r="BN129" s="721"/>
      <c r="BO129" s="721"/>
      <c r="BP129" s="721"/>
      <c r="BQ129" s="721"/>
      <c r="BR129" s="721"/>
      <c r="BS129" s="721"/>
      <c r="BT129" s="721"/>
      <c r="BU129" s="721"/>
      <c r="BV129" s="721"/>
      <c r="BW129" s="721"/>
      <c r="BX129" s="721"/>
      <c r="BY129" s="721"/>
      <c r="BZ129" s="721"/>
      <c r="CA129" s="721"/>
      <c r="CB129" s="721"/>
      <c r="CC129" s="721"/>
      <c r="CD129" s="721"/>
      <c r="CE129" s="721"/>
      <c r="CF129" s="721"/>
      <c r="CG129" s="721"/>
      <c r="CH129" s="721"/>
      <c r="CI129" s="721"/>
      <c r="CJ129" s="721"/>
      <c r="CK129" s="721"/>
      <c r="CL129" s="721"/>
      <c r="CM129" s="721"/>
      <c r="CN129" s="721"/>
      <c r="CO129" s="721"/>
      <c r="CP129" s="721"/>
      <c r="CQ129" s="721"/>
      <c r="CR129" s="721"/>
      <c r="CS129" s="721"/>
      <c r="CT129" s="721"/>
      <c r="CU129" s="721"/>
      <c r="CV129" s="721"/>
      <c r="CW129" s="721"/>
      <c r="CX129" s="721"/>
      <c r="CY129" s="721"/>
      <c r="CZ129" s="721"/>
      <c r="DA129" s="721"/>
      <c r="DB129" s="721"/>
      <c r="DC129" s="721"/>
      <c r="DD129" s="721"/>
      <c r="DE129" s="721"/>
      <c r="DF129" s="721"/>
      <c r="DG129" s="721"/>
      <c r="DH129" s="721"/>
      <c r="DI129" s="721"/>
      <c r="DJ129" s="721"/>
      <c r="DK129" s="721"/>
      <c r="DL129" s="721"/>
      <c r="DM129" s="721"/>
      <c r="DN129" s="721"/>
      <c r="DO129" s="721"/>
      <c r="DP129" s="721"/>
      <c r="DQ129" s="721"/>
      <c r="DR129" s="721"/>
      <c r="DS129" s="721"/>
      <c r="DT129" s="721" t="str">
        <f t="shared" si="242"/>
        <v>-</v>
      </c>
      <c r="DU129" s="721"/>
      <c r="DV129" s="721"/>
      <c r="DW129" s="8"/>
    </row>
    <row r="130" spans="1:127" ht="15.95" customHeight="1">
      <c r="A130" s="716"/>
      <c r="B130" s="716"/>
      <c r="C130" s="716"/>
      <c r="D130" s="724"/>
      <c r="E130" s="721"/>
      <c r="F130" s="721"/>
      <c r="G130" s="721"/>
      <c r="H130" s="721"/>
      <c r="I130" s="721"/>
      <c r="J130" s="721"/>
      <c r="K130" s="721"/>
      <c r="L130" s="721"/>
      <c r="M130" s="721"/>
      <c r="N130" s="721"/>
      <c r="O130" s="721"/>
      <c r="P130" s="721"/>
      <c r="Q130" s="721"/>
      <c r="R130" s="721"/>
      <c r="S130" s="721"/>
      <c r="T130" s="721"/>
      <c r="U130" s="721"/>
      <c r="V130" s="162"/>
      <c r="W130" s="169"/>
      <c r="X130" s="170" t="str">
        <f>X3</f>
        <v>Fecha</v>
      </c>
      <c r="Y130" s="170" t="str">
        <f>Y3</f>
        <v>Hora</v>
      </c>
      <c r="Z130" s="255"/>
      <c r="AA130" s="256" t="str">
        <f>AA3</f>
        <v>Casa</v>
      </c>
      <c r="AB130" s="255" t="s">
        <v>13</v>
      </c>
      <c r="AC130" s="170" t="str">
        <f>AC3</f>
        <v>Gol</v>
      </c>
      <c r="AD130" s="170" t="str">
        <f>AD3</f>
        <v>Gol</v>
      </c>
      <c r="AE130" s="255" t="s">
        <v>13</v>
      </c>
      <c r="AF130" s="257" t="str">
        <f>AF3</f>
        <v>Fuera</v>
      </c>
      <c r="AG130" s="397"/>
      <c r="AH130" s="15"/>
      <c r="AI130" s="207"/>
      <c r="AJ130" s="168"/>
      <c r="AK130" s="168"/>
      <c r="AL130" s="168"/>
      <c r="AM130" s="287"/>
      <c r="AN130" s="287"/>
      <c r="AO130" s="287"/>
      <c r="AP130" s="287"/>
      <c r="AQ130" s="287"/>
      <c r="AR130" s="287"/>
      <c r="AS130" s="287"/>
      <c r="AT130" s="287"/>
      <c r="AU130" s="15"/>
      <c r="AV130" s="15"/>
      <c r="AW130" s="287"/>
      <c r="AX130" s="287"/>
      <c r="AY130" s="232"/>
      <c r="AZ130" s="233"/>
      <c r="BA130" s="165"/>
      <c r="BB130" s="721"/>
      <c r="BC130" s="721"/>
      <c r="BD130" s="721"/>
      <c r="BE130" s="721"/>
      <c r="BF130" s="721"/>
      <c r="BG130" s="721"/>
      <c r="BH130" s="721"/>
      <c r="BI130" s="721"/>
      <c r="BJ130" s="721"/>
      <c r="BK130" s="721"/>
      <c r="BL130" s="721"/>
      <c r="BM130" s="721"/>
      <c r="BN130" s="721"/>
      <c r="BO130" s="721"/>
      <c r="BP130" s="721"/>
      <c r="BQ130" s="721"/>
      <c r="BR130" s="721"/>
      <c r="BS130" s="721"/>
      <c r="BT130" s="721"/>
      <c r="BU130" s="721"/>
      <c r="BV130" s="721"/>
      <c r="BW130" s="721"/>
      <c r="BX130" s="721"/>
      <c r="BY130" s="721"/>
      <c r="BZ130" s="721"/>
      <c r="CA130" s="721"/>
      <c r="CB130" s="721"/>
      <c r="CC130" s="721"/>
      <c r="CD130" s="721"/>
      <c r="CE130" s="721"/>
      <c r="CF130" s="721"/>
      <c r="CG130" s="721"/>
      <c r="CH130" s="721"/>
      <c r="CI130" s="721"/>
      <c r="CJ130" s="721"/>
      <c r="CK130" s="721"/>
      <c r="CL130" s="721"/>
      <c r="CM130" s="721"/>
      <c r="CN130" s="721"/>
      <c r="CO130" s="721"/>
      <c r="CP130" s="721"/>
      <c r="CQ130" s="721"/>
      <c r="CR130" s="721"/>
      <c r="CS130" s="721"/>
      <c r="CT130" s="721"/>
      <c r="CU130" s="721"/>
      <c r="CV130" s="721"/>
      <c r="CW130" s="721"/>
      <c r="CX130" s="721"/>
      <c r="CY130" s="721"/>
      <c r="CZ130" s="721"/>
      <c r="DA130" s="721"/>
      <c r="DB130" s="721"/>
      <c r="DC130" s="721"/>
      <c r="DD130" s="721"/>
      <c r="DE130" s="721"/>
      <c r="DF130" s="721"/>
      <c r="DG130" s="721"/>
      <c r="DH130" s="721"/>
      <c r="DI130" s="721"/>
      <c r="DJ130" s="721"/>
      <c r="DK130" s="721"/>
      <c r="DL130" s="721"/>
      <c r="DM130" s="721"/>
      <c r="DN130" s="721"/>
      <c r="DO130" s="721"/>
      <c r="DP130" s="721"/>
      <c r="DQ130" s="721"/>
      <c r="DR130" s="721"/>
      <c r="DS130" s="721"/>
      <c r="DT130" s="721" t="str">
        <f t="shared" si="242"/>
        <v>Casa-Fuera</v>
      </c>
      <c r="DU130" s="721"/>
      <c r="DV130" s="721"/>
      <c r="DW130" s="8"/>
    </row>
    <row r="131" spans="1:127" ht="15.95" customHeight="1">
      <c r="A131" s="715" t="s">
        <v>746</v>
      </c>
      <c r="B131" s="715" t="s">
        <v>747</v>
      </c>
      <c r="C131" s="716"/>
      <c r="D131" s="724" t="str">
        <f>IF(AND(OR(AC131="",AD131="")),"W"&amp;AH131,IF(AC131&gt;AD131,AA131,IF(AC131&lt;AD131,AF131,IF(AND(AC131=AD131,AB131=AE131),"W"&amp;AH131,IF(AND(AC131=AD131,OR(AB131="",AE131="")),"W"&amp;AH131,IF(AND(AC131=AD131,AB131&gt;AE131),AA131,AF131))))))</f>
        <v>W97</v>
      </c>
      <c r="E131" s="721">
        <v>89</v>
      </c>
      <c r="F131" s="721">
        <v>90</v>
      </c>
      <c r="G131" s="721"/>
      <c r="H131" s="721"/>
      <c r="I131" s="721"/>
      <c r="J131" s="715">
        <v>97</v>
      </c>
      <c r="K131" s="715">
        <v>46212.75</v>
      </c>
      <c r="L131" s="715" t="s">
        <v>709</v>
      </c>
      <c r="M131" s="721" t="str">
        <f t="shared" ref="M131:N134" si="335">+INDEX($D$101:$D$147,MATCH(E131,$AH$101:$AH$147,0))</f>
        <v>W89</v>
      </c>
      <c r="N131" s="721" t="str">
        <f t="shared" si="335"/>
        <v>W90</v>
      </c>
      <c r="O131" s="721"/>
      <c r="P131" s="721"/>
      <c r="Q131" s="721"/>
      <c r="R131" s="721"/>
      <c r="S131" s="721"/>
      <c r="T131" s="721"/>
      <c r="U131" s="721"/>
      <c r="V131" s="162"/>
      <c r="W131" s="853" t="s">
        <v>34</v>
      </c>
      <c r="X131" s="179">
        <f ca="1">Horarios!C131</f>
        <v>46212.916666666664</v>
      </c>
      <c r="Y131" s="180">
        <f ca="1">Horarios!C131</f>
        <v>46212.916666666664</v>
      </c>
      <c r="Z131" s="301">
        <f t="shared" ref="Z131:Z134" si="336">AH131</f>
        <v>97</v>
      </c>
      <c r="AA131" s="267" t="str">
        <f t="shared" ref="AA131:AA134" si="337">+INDEX($M$101:$M$147,MATCH(AH131,$J$101:$J$147,0))</f>
        <v>W89</v>
      </c>
      <c r="AB131" s="298"/>
      <c r="AC131" s="295"/>
      <c r="AD131" s="295"/>
      <c r="AE131" s="269"/>
      <c r="AF131" s="302" t="str">
        <f>+INDEX($N$101:$N$147,MATCH(AH131,$J$101:$J$147,0))</f>
        <v>W90</v>
      </c>
      <c r="AG131" s="400">
        <f>IF(D131="W"&amp;AH131,0,1)</f>
        <v>0</v>
      </c>
      <c r="AH131" s="303">
        <v>97</v>
      </c>
      <c r="AI131" s="207"/>
      <c r="AJ131" s="168"/>
      <c r="AK131" s="168"/>
      <c r="AL131" s="168"/>
      <c r="AM131" s="287"/>
      <c r="AN131" s="287"/>
      <c r="AO131" s="287"/>
      <c r="AP131" s="287"/>
      <c r="AQ131" s="287"/>
      <c r="AR131" s="287"/>
      <c r="AS131" s="287"/>
      <c r="AT131" s="287"/>
      <c r="AU131" s="15"/>
      <c r="AV131" s="15"/>
      <c r="AW131" s="287"/>
      <c r="AX131" s="287"/>
      <c r="AY131" s="232"/>
      <c r="AZ131" s="233"/>
      <c r="BA131" s="13"/>
      <c r="BB131" s="721"/>
      <c r="BC131" s="724"/>
      <c r="BD131" s="721"/>
      <c r="BE131" s="721"/>
      <c r="BF131" s="721"/>
      <c r="BG131" s="721"/>
      <c r="BH131" s="721"/>
      <c r="BI131" s="721"/>
      <c r="BJ131" s="721"/>
      <c r="BK131" s="721"/>
      <c r="BL131" s="721"/>
      <c r="BM131" s="721"/>
      <c r="BN131" s="721"/>
      <c r="BO131" s="721"/>
      <c r="BP131" s="721"/>
      <c r="BQ131" s="721"/>
      <c r="BR131" s="721"/>
      <c r="BS131" s="721"/>
      <c r="BT131" s="721"/>
      <c r="BU131" s="721"/>
      <c r="BV131" s="721"/>
      <c r="BW131" s="721"/>
      <c r="BX131" s="721"/>
      <c r="BY131" s="721"/>
      <c r="BZ131" s="721"/>
      <c r="CA131" s="721"/>
      <c r="CB131" s="721"/>
      <c r="CC131" s="721"/>
      <c r="CD131" s="721"/>
      <c r="CE131" s="721"/>
      <c r="CF131" s="721"/>
      <c r="CG131" s="721"/>
      <c r="CH131" s="721"/>
      <c r="CI131" s="721"/>
      <c r="CJ131" s="721"/>
      <c r="CK131" s="721"/>
      <c r="CL131" s="721"/>
      <c r="CM131" s="721"/>
      <c r="CN131" s="721"/>
      <c r="CO131" s="721"/>
      <c r="CP131" s="721"/>
      <c r="CQ131" s="721"/>
      <c r="CR131" s="721"/>
      <c r="CS131" s="721"/>
      <c r="CT131" s="721"/>
      <c r="CU131" s="721"/>
      <c r="CV131" s="721"/>
      <c r="CW131" s="721"/>
      <c r="CX131" s="721"/>
      <c r="CY131" s="721"/>
      <c r="CZ131" s="721"/>
      <c r="DA131" s="721"/>
      <c r="DB131" s="721"/>
      <c r="DC131" s="721"/>
      <c r="DD131" s="721"/>
      <c r="DE131" s="721"/>
      <c r="DF131" s="721"/>
      <c r="DG131" s="721"/>
      <c r="DH131" s="721"/>
      <c r="DI131" s="721"/>
      <c r="DJ131" s="721"/>
      <c r="DK131" s="721"/>
      <c r="DL131" s="721"/>
      <c r="DM131" s="721"/>
      <c r="DN131" s="721"/>
      <c r="DO131" s="721"/>
      <c r="DP131" s="721"/>
      <c r="DQ131" s="721"/>
      <c r="DR131" s="721"/>
      <c r="DS131" s="721"/>
      <c r="DT131" s="721" t="str">
        <f t="shared" si="242"/>
        <v>W89-W90</v>
      </c>
      <c r="DU131" s="721"/>
      <c r="DV131" s="721"/>
      <c r="DW131" s="8"/>
    </row>
    <row r="132" spans="1:127" ht="15.95" customHeight="1">
      <c r="A132" s="715" t="s">
        <v>748</v>
      </c>
      <c r="B132" s="715" t="s">
        <v>749</v>
      </c>
      <c r="C132" s="716"/>
      <c r="D132" s="724" t="str">
        <f>IF(AND(OR(AC132="",AD132="")),"W"&amp;AH132,IF(AC132&gt;AD132,AA132,IF(AC132&lt;AD132,AF132,IF(AND(AC132=AD132,AB132=AE132),"W"&amp;AH132,IF(AND(AC132=AD132,OR(AB132="",AE132="")),"W"&amp;AH132,IF(AND(AC132=AD132,AB132&gt;AE132),AA132,AF132))))))</f>
        <v>W98</v>
      </c>
      <c r="E132" s="721">
        <v>93</v>
      </c>
      <c r="F132" s="721">
        <v>94</v>
      </c>
      <c r="G132" s="721"/>
      <c r="H132" s="721"/>
      <c r="I132" s="721"/>
      <c r="J132" s="715">
        <v>98</v>
      </c>
      <c r="K132" s="715">
        <v>46213.875</v>
      </c>
      <c r="L132" s="715" t="s">
        <v>710</v>
      </c>
      <c r="M132" s="721" t="str">
        <f t="shared" si="335"/>
        <v>W93</v>
      </c>
      <c r="N132" s="721" t="str">
        <f t="shared" si="335"/>
        <v>W94</v>
      </c>
      <c r="O132" s="721"/>
      <c r="P132" s="721"/>
      <c r="Q132" s="721"/>
      <c r="R132" s="721"/>
      <c r="S132" s="721"/>
      <c r="T132" s="721"/>
      <c r="U132" s="721"/>
      <c r="V132" s="162"/>
      <c r="W132" s="853"/>
      <c r="X132" s="179">
        <f ca="1">Horarios!C132</f>
        <v>46213.875</v>
      </c>
      <c r="Y132" s="180">
        <f ca="1">Horarios!C132</f>
        <v>46213.875</v>
      </c>
      <c r="Z132" s="301">
        <f t="shared" si="336"/>
        <v>98</v>
      </c>
      <c r="AA132" s="267" t="str">
        <f t="shared" si="337"/>
        <v>W93</v>
      </c>
      <c r="AB132" s="268"/>
      <c r="AC132" s="299"/>
      <c r="AD132" s="299"/>
      <c r="AE132" s="268"/>
      <c r="AF132" s="302" t="str">
        <f>+INDEX($N$101:$N$147,MATCH(AH132,$J$101:$J$147,0))</f>
        <v>W94</v>
      </c>
      <c r="AG132" s="400">
        <f>IF(D132="W"&amp;AH132,0,1)</f>
        <v>0</v>
      </c>
      <c r="AH132" s="303">
        <v>98</v>
      </c>
      <c r="AI132" s="207"/>
      <c r="AJ132" s="168"/>
      <c r="AK132" s="168"/>
      <c r="AL132" s="168"/>
      <c r="AM132" s="287"/>
      <c r="AN132" s="287"/>
      <c r="AO132" s="287"/>
      <c r="AP132" s="287"/>
      <c r="AQ132" s="287"/>
      <c r="AR132" s="287"/>
      <c r="AS132" s="287"/>
      <c r="AT132" s="287"/>
      <c r="AU132" s="15"/>
      <c r="AV132" s="15"/>
      <c r="AW132" s="287"/>
      <c r="AX132" s="287"/>
      <c r="AY132" s="232"/>
      <c r="AZ132" s="233"/>
      <c r="BA132" s="13"/>
      <c r="BB132" s="721"/>
      <c r="BC132" s="724"/>
      <c r="BD132" s="721"/>
      <c r="BE132" s="721"/>
      <c r="BF132" s="721"/>
      <c r="BG132" s="721"/>
      <c r="BH132" s="721"/>
      <c r="BI132" s="721"/>
      <c r="BJ132" s="721"/>
      <c r="BK132" s="721"/>
      <c r="BL132" s="721"/>
      <c r="BM132" s="721"/>
      <c r="BN132" s="721"/>
      <c r="BO132" s="721"/>
      <c r="BP132" s="721"/>
      <c r="BQ132" s="721"/>
      <c r="BR132" s="721"/>
      <c r="BS132" s="721"/>
      <c r="BT132" s="721"/>
      <c r="BU132" s="721"/>
      <c r="BV132" s="721"/>
      <c r="BW132" s="721"/>
      <c r="BX132" s="721"/>
      <c r="BY132" s="721"/>
      <c r="BZ132" s="721"/>
      <c r="CA132" s="721"/>
      <c r="CB132" s="721"/>
      <c r="CC132" s="721"/>
      <c r="CD132" s="721"/>
      <c r="CE132" s="721"/>
      <c r="CF132" s="721"/>
      <c r="CG132" s="721"/>
      <c r="CH132" s="721"/>
      <c r="CI132" s="721"/>
      <c r="CJ132" s="721"/>
      <c r="CK132" s="721"/>
      <c r="CL132" s="721"/>
      <c r="CM132" s="721"/>
      <c r="CN132" s="721"/>
      <c r="CO132" s="721"/>
      <c r="CP132" s="721"/>
      <c r="CQ132" s="721"/>
      <c r="CR132" s="721"/>
      <c r="CS132" s="721"/>
      <c r="CT132" s="721"/>
      <c r="CU132" s="721"/>
      <c r="CV132" s="721"/>
      <c r="CW132" s="721"/>
      <c r="CX132" s="721"/>
      <c r="CY132" s="721"/>
      <c r="CZ132" s="721"/>
      <c r="DA132" s="721"/>
      <c r="DB132" s="721"/>
      <c r="DC132" s="721"/>
      <c r="DD132" s="721"/>
      <c r="DE132" s="721"/>
      <c r="DF132" s="721"/>
      <c r="DG132" s="721"/>
      <c r="DH132" s="721"/>
      <c r="DI132" s="721"/>
      <c r="DJ132" s="721"/>
      <c r="DK132" s="721"/>
      <c r="DL132" s="721"/>
      <c r="DM132" s="721"/>
      <c r="DN132" s="721"/>
      <c r="DO132" s="721"/>
      <c r="DP132" s="721"/>
      <c r="DQ132" s="721"/>
      <c r="DR132" s="721"/>
      <c r="DS132" s="721"/>
      <c r="DT132" s="721" t="str">
        <f t="shared" si="242"/>
        <v>W93-W94</v>
      </c>
      <c r="DU132" s="721"/>
      <c r="DV132" s="721"/>
      <c r="DW132" s="8"/>
    </row>
    <row r="133" spans="1:127" ht="15.95" customHeight="1">
      <c r="A133" s="715" t="s">
        <v>750</v>
      </c>
      <c r="B133" s="715" t="s">
        <v>751</v>
      </c>
      <c r="C133" s="716"/>
      <c r="D133" s="724" t="str">
        <f>IF(AND(OR(AC133="",AD133="")),"W"&amp;AH133,IF(AC133&gt;AD133,AA133,IF(AC133&lt;AD133,AF133,IF(AND(AC133=AD133,AB133=AE133),"W"&amp;AH133,IF(AND(AC133=AD133,OR(AB133="",AE133="")),"W"&amp;AH133,IF(AND(AC133=AD133,AB133&gt;AE133),AA133,AF133))))))</f>
        <v>W99</v>
      </c>
      <c r="E133" s="721">
        <v>91</v>
      </c>
      <c r="F133" s="721">
        <v>92</v>
      </c>
      <c r="G133" s="721"/>
      <c r="H133" s="721"/>
      <c r="I133" s="721"/>
      <c r="J133" s="715">
        <v>99</v>
      </c>
      <c r="K133" s="715">
        <v>46214.75</v>
      </c>
      <c r="L133" s="715" t="s">
        <v>711</v>
      </c>
      <c r="M133" s="721" t="str">
        <f t="shared" si="335"/>
        <v>W91</v>
      </c>
      <c r="N133" s="721" t="str">
        <f t="shared" si="335"/>
        <v>W92</v>
      </c>
      <c r="O133" s="721"/>
      <c r="P133" s="721"/>
      <c r="Q133" s="721"/>
      <c r="R133" s="721"/>
      <c r="S133" s="721"/>
      <c r="T133" s="721"/>
      <c r="U133" s="721"/>
      <c r="V133" s="162"/>
      <c r="W133" s="853"/>
      <c r="X133" s="179">
        <f ca="1">Horarios!C133</f>
        <v>46214.958333333336</v>
      </c>
      <c r="Y133" s="180">
        <f ca="1">Horarios!C133</f>
        <v>46214.958333333336</v>
      </c>
      <c r="Z133" s="301">
        <f t="shared" si="336"/>
        <v>99</v>
      </c>
      <c r="AA133" s="267" t="str">
        <f t="shared" si="337"/>
        <v>W91</v>
      </c>
      <c r="AB133" s="268"/>
      <c r="AC133" s="299"/>
      <c r="AD133" s="299"/>
      <c r="AE133" s="268"/>
      <c r="AF133" s="302" t="str">
        <f>+INDEX($N$101:$N$147,MATCH(AH133,$J$101:$J$147,0))</f>
        <v>W92</v>
      </c>
      <c r="AG133" s="400">
        <f>IF(D133="W"&amp;AH133,0,1)</f>
        <v>0</v>
      </c>
      <c r="AH133" s="303">
        <v>99</v>
      </c>
      <c r="AI133" s="207"/>
      <c r="AJ133" s="168"/>
      <c r="AK133" s="168"/>
      <c r="AL133" s="168"/>
      <c r="AM133" s="287"/>
      <c r="AN133" s="287"/>
      <c r="AO133" s="287"/>
      <c r="AP133" s="287"/>
      <c r="AQ133" s="287"/>
      <c r="AR133" s="287"/>
      <c r="AS133" s="287"/>
      <c r="AT133" s="287"/>
      <c r="AU133" s="15"/>
      <c r="AV133" s="15"/>
      <c r="AW133" s="287"/>
      <c r="AX133" s="287"/>
      <c r="AY133" s="232"/>
      <c r="AZ133" s="233"/>
      <c r="BA133" s="13"/>
      <c r="BB133" s="721"/>
      <c r="BC133" s="724"/>
      <c r="BD133" s="721"/>
      <c r="BE133" s="721"/>
      <c r="BF133" s="721"/>
      <c r="BG133" s="721"/>
      <c r="BH133" s="721"/>
      <c r="BI133" s="721"/>
      <c r="BJ133" s="721"/>
      <c r="BK133" s="721"/>
      <c r="BL133" s="721"/>
      <c r="BM133" s="721"/>
      <c r="BN133" s="721"/>
      <c r="BO133" s="721"/>
      <c r="BP133" s="721"/>
      <c r="BQ133" s="721"/>
      <c r="BR133" s="721"/>
      <c r="BS133" s="721"/>
      <c r="BT133" s="721"/>
      <c r="BU133" s="721"/>
      <c r="BV133" s="721"/>
      <c r="BW133" s="721"/>
      <c r="BX133" s="721"/>
      <c r="BY133" s="721"/>
      <c r="BZ133" s="721"/>
      <c r="CA133" s="721"/>
      <c r="CB133" s="721"/>
      <c r="CC133" s="721"/>
      <c r="CD133" s="721"/>
      <c r="CE133" s="721"/>
      <c r="CF133" s="721"/>
      <c r="CG133" s="721"/>
      <c r="CH133" s="721"/>
      <c r="CI133" s="721"/>
      <c r="CJ133" s="721"/>
      <c r="CK133" s="721"/>
      <c r="CL133" s="721"/>
      <c r="CM133" s="721"/>
      <c r="CN133" s="721"/>
      <c r="CO133" s="721"/>
      <c r="CP133" s="721"/>
      <c r="CQ133" s="721"/>
      <c r="CR133" s="721"/>
      <c r="CS133" s="721"/>
      <c r="CT133" s="721"/>
      <c r="CU133" s="721"/>
      <c r="CV133" s="721"/>
      <c r="CW133" s="721"/>
      <c r="CX133" s="721"/>
      <c r="CY133" s="721"/>
      <c r="CZ133" s="721"/>
      <c r="DA133" s="721"/>
      <c r="DB133" s="721"/>
      <c r="DC133" s="721"/>
      <c r="DD133" s="721"/>
      <c r="DE133" s="721"/>
      <c r="DF133" s="721"/>
      <c r="DG133" s="721"/>
      <c r="DH133" s="721"/>
      <c r="DI133" s="721"/>
      <c r="DJ133" s="721"/>
      <c r="DK133" s="721"/>
      <c r="DL133" s="721"/>
      <c r="DM133" s="721"/>
      <c r="DN133" s="721"/>
      <c r="DO133" s="721"/>
      <c r="DP133" s="721"/>
      <c r="DQ133" s="721"/>
      <c r="DR133" s="721"/>
      <c r="DS133" s="721"/>
      <c r="DT133" s="721" t="str">
        <f t="shared" ref="DT133:DT147" si="338">AA133&amp;"-"&amp;AF133</f>
        <v>W91-W92</v>
      </c>
      <c r="DU133" s="721"/>
      <c r="DV133" s="721"/>
      <c r="DW133" s="8"/>
    </row>
    <row r="134" spans="1:127" ht="15.95" customHeight="1" thickBot="1">
      <c r="A134" s="715" t="s">
        <v>752</v>
      </c>
      <c r="B134" s="715" t="s">
        <v>753</v>
      </c>
      <c r="C134" s="716"/>
      <c r="D134" s="724" t="str">
        <f>IF(AND(OR(AC134="",AD134="")),"W"&amp;AH134,IF(AC134&gt;AD134,AA134,IF(AC134&lt;AD134,AF134,IF(AND(AC134=AD134,AB134=AE134),"W"&amp;AH134,IF(AND(AC134=AD134,OR(AB134="",AE134="")),"W"&amp;AH134,IF(AND(AC134=AD134,AB134&gt;AE134),AA134,AF134))))))</f>
        <v>W100</v>
      </c>
      <c r="E134" s="721">
        <v>95</v>
      </c>
      <c r="F134" s="721">
        <v>96</v>
      </c>
      <c r="G134" s="721"/>
      <c r="H134" s="721"/>
      <c r="I134" s="721"/>
      <c r="J134" s="715">
        <v>100</v>
      </c>
      <c r="K134" s="715">
        <v>46214.875</v>
      </c>
      <c r="L134" s="715" t="s">
        <v>712</v>
      </c>
      <c r="M134" s="721" t="str">
        <f t="shared" si="335"/>
        <v>W95</v>
      </c>
      <c r="N134" s="721" t="str">
        <f t="shared" si="335"/>
        <v>W96</v>
      </c>
      <c r="O134" s="721"/>
      <c r="P134" s="721"/>
      <c r="Q134" s="721"/>
      <c r="R134" s="721"/>
      <c r="S134" s="721"/>
      <c r="T134" s="721"/>
      <c r="U134" s="721"/>
      <c r="V134" s="162"/>
      <c r="W134" s="854"/>
      <c r="X134" s="218">
        <f ca="1">Horarios!C134</f>
        <v>46215.125</v>
      </c>
      <c r="Y134" s="219">
        <f ca="1">Horarios!C134</f>
        <v>46215.125</v>
      </c>
      <c r="Z134" s="304">
        <f t="shared" si="336"/>
        <v>100</v>
      </c>
      <c r="AA134" s="290" t="str">
        <f t="shared" si="337"/>
        <v>W95</v>
      </c>
      <c r="AB134" s="291"/>
      <c r="AC134" s="300"/>
      <c r="AD134" s="300"/>
      <c r="AE134" s="291"/>
      <c r="AF134" s="305" t="str">
        <f>+INDEX($N$101:$N$147,MATCH(AH134,$J$101:$J$147,0))</f>
        <v>W96</v>
      </c>
      <c r="AG134" s="400">
        <f>IF(D134="W"&amp;AH134,0,1)</f>
        <v>0</v>
      </c>
      <c r="AH134" s="303">
        <v>100</v>
      </c>
      <c r="AI134" s="207"/>
      <c r="AJ134" s="168"/>
      <c r="AK134" s="168"/>
      <c r="AL134" s="168"/>
      <c r="AM134" s="287"/>
      <c r="AN134" s="287"/>
      <c r="AO134" s="287"/>
      <c r="AP134" s="287"/>
      <c r="AQ134" s="287"/>
      <c r="AR134" s="287"/>
      <c r="AS134" s="287"/>
      <c r="AT134" s="287"/>
      <c r="AU134" s="15"/>
      <c r="AV134" s="15"/>
      <c r="AW134" s="287"/>
      <c r="AX134" s="287"/>
      <c r="AY134" s="232"/>
      <c r="AZ134" s="233"/>
      <c r="BA134" s="13"/>
      <c r="BB134" s="721"/>
      <c r="BC134" s="724"/>
      <c r="BD134" s="721"/>
      <c r="BE134" s="721"/>
      <c r="BF134" s="721"/>
      <c r="BG134" s="721"/>
      <c r="BH134" s="721"/>
      <c r="BI134" s="721"/>
      <c r="BJ134" s="721"/>
      <c r="BK134" s="721"/>
      <c r="BL134" s="721"/>
      <c r="BM134" s="721"/>
      <c r="BN134" s="721"/>
      <c r="BO134" s="721"/>
      <c r="BP134" s="721"/>
      <c r="BQ134" s="721"/>
      <c r="BR134" s="721"/>
      <c r="BS134" s="721"/>
      <c r="BT134" s="721"/>
      <c r="BU134" s="721"/>
      <c r="BV134" s="721"/>
      <c r="BW134" s="721"/>
      <c r="BX134" s="721"/>
      <c r="BY134" s="721"/>
      <c r="BZ134" s="721"/>
      <c r="CA134" s="721"/>
      <c r="CB134" s="721"/>
      <c r="CC134" s="721"/>
      <c r="CD134" s="721"/>
      <c r="CE134" s="721"/>
      <c r="CF134" s="721"/>
      <c r="CG134" s="721"/>
      <c r="CH134" s="721"/>
      <c r="CI134" s="721"/>
      <c r="CJ134" s="721"/>
      <c r="CK134" s="721"/>
      <c r="CL134" s="721"/>
      <c r="CM134" s="721"/>
      <c r="CN134" s="721"/>
      <c r="CO134" s="721"/>
      <c r="CP134" s="721"/>
      <c r="CQ134" s="721"/>
      <c r="CR134" s="721"/>
      <c r="CS134" s="721"/>
      <c r="CT134" s="721"/>
      <c r="CU134" s="721"/>
      <c r="CV134" s="721"/>
      <c r="CW134" s="721"/>
      <c r="CX134" s="721"/>
      <c r="CY134" s="721"/>
      <c r="CZ134" s="721"/>
      <c r="DA134" s="721"/>
      <c r="DB134" s="721"/>
      <c r="DC134" s="721"/>
      <c r="DD134" s="721"/>
      <c r="DE134" s="721"/>
      <c r="DF134" s="721"/>
      <c r="DG134" s="721"/>
      <c r="DH134" s="721"/>
      <c r="DI134" s="721"/>
      <c r="DJ134" s="721"/>
      <c r="DK134" s="721"/>
      <c r="DL134" s="721"/>
      <c r="DM134" s="721"/>
      <c r="DN134" s="721"/>
      <c r="DO134" s="721"/>
      <c r="DP134" s="721"/>
      <c r="DQ134" s="721"/>
      <c r="DR134" s="721"/>
      <c r="DS134" s="721"/>
      <c r="DT134" s="721" t="str">
        <f t="shared" si="338"/>
        <v>W95-W96</v>
      </c>
      <c r="DU134" s="721"/>
      <c r="DV134" s="721"/>
      <c r="DW134" s="8"/>
    </row>
    <row r="135" spans="1:127" ht="15.95" customHeight="1" thickBot="1">
      <c r="A135" s="716"/>
      <c r="B135" s="716"/>
      <c r="C135" s="716"/>
      <c r="D135" s="724"/>
      <c r="E135" s="721"/>
      <c r="F135" s="721"/>
      <c r="G135" s="721"/>
      <c r="H135" s="721"/>
      <c r="I135" s="721"/>
      <c r="J135" s="721"/>
      <c r="K135" s="721"/>
      <c r="L135" s="721"/>
      <c r="M135" s="721"/>
      <c r="N135" s="721"/>
      <c r="O135" s="721"/>
      <c r="P135" s="721"/>
      <c r="Q135" s="721"/>
      <c r="R135" s="721"/>
      <c r="S135" s="721"/>
      <c r="T135" s="721"/>
      <c r="U135" s="721"/>
      <c r="V135" s="162"/>
      <c r="W135" s="232"/>
      <c r="X135" s="233"/>
      <c r="Y135" s="232"/>
      <c r="Z135" s="234"/>
      <c r="AA135" s="235"/>
      <c r="AB135" s="236"/>
      <c r="AC135" s="237"/>
      <c r="AD135" s="237"/>
      <c r="AE135" s="236"/>
      <c r="AF135" s="238"/>
      <c r="AG135" s="401"/>
      <c r="AH135" s="306"/>
      <c r="AI135" s="207"/>
      <c r="AJ135" s="168"/>
      <c r="AK135" s="168"/>
      <c r="AL135" s="168"/>
      <c r="AM135" s="287"/>
      <c r="AN135" s="287"/>
      <c r="AO135" s="287"/>
      <c r="AP135" s="287"/>
      <c r="AQ135" s="287"/>
      <c r="AR135" s="287"/>
      <c r="AS135" s="287"/>
      <c r="AT135" s="287"/>
      <c r="AU135" s="15"/>
      <c r="AV135" s="15"/>
      <c r="AW135" s="287"/>
      <c r="AX135" s="287"/>
      <c r="AY135" s="232"/>
      <c r="AZ135" s="233"/>
      <c r="BA135" s="13"/>
      <c r="BB135" s="721"/>
      <c r="BC135" s="724"/>
      <c r="BD135" s="721"/>
      <c r="BE135" s="721"/>
      <c r="BF135" s="721"/>
      <c r="BG135" s="721"/>
      <c r="BH135" s="721"/>
      <c r="BI135" s="721"/>
      <c r="BJ135" s="721"/>
      <c r="BK135" s="721"/>
      <c r="BL135" s="721"/>
      <c r="BM135" s="721"/>
      <c r="BN135" s="721"/>
      <c r="BO135" s="721"/>
      <c r="BP135" s="721"/>
      <c r="BQ135" s="721"/>
      <c r="BR135" s="721"/>
      <c r="BS135" s="721"/>
      <c r="BT135" s="721"/>
      <c r="BU135" s="721"/>
      <c r="BV135" s="721"/>
      <c r="BW135" s="721"/>
      <c r="BX135" s="721"/>
      <c r="BY135" s="721"/>
      <c r="BZ135" s="721"/>
      <c r="CA135" s="721"/>
      <c r="CB135" s="721"/>
      <c r="CC135" s="721"/>
      <c r="CD135" s="721"/>
      <c r="CE135" s="721"/>
      <c r="CF135" s="721"/>
      <c r="CG135" s="721"/>
      <c r="CH135" s="721"/>
      <c r="CI135" s="721"/>
      <c r="CJ135" s="721"/>
      <c r="CK135" s="721"/>
      <c r="CL135" s="721"/>
      <c r="CM135" s="721"/>
      <c r="CN135" s="721"/>
      <c r="CO135" s="721"/>
      <c r="CP135" s="721"/>
      <c r="CQ135" s="721"/>
      <c r="CR135" s="721"/>
      <c r="CS135" s="721"/>
      <c r="CT135" s="721"/>
      <c r="CU135" s="721"/>
      <c r="CV135" s="721"/>
      <c r="CW135" s="721"/>
      <c r="CX135" s="721"/>
      <c r="CY135" s="721"/>
      <c r="CZ135" s="721"/>
      <c r="DA135" s="721"/>
      <c r="DB135" s="721"/>
      <c r="DC135" s="721"/>
      <c r="DD135" s="721"/>
      <c r="DE135" s="721"/>
      <c r="DF135" s="721"/>
      <c r="DG135" s="721"/>
      <c r="DH135" s="721"/>
      <c r="DI135" s="721"/>
      <c r="DJ135" s="721"/>
      <c r="DK135" s="721"/>
      <c r="DL135" s="721"/>
      <c r="DM135" s="721"/>
      <c r="DN135" s="721"/>
      <c r="DO135" s="721"/>
      <c r="DP135" s="721"/>
      <c r="DQ135" s="721"/>
      <c r="DR135" s="721"/>
      <c r="DS135" s="721"/>
      <c r="DT135" s="721" t="str">
        <f t="shared" si="338"/>
        <v>-</v>
      </c>
      <c r="DU135" s="721"/>
      <c r="DV135" s="721"/>
      <c r="DW135" s="8"/>
    </row>
    <row r="136" spans="1:127" ht="15.95" customHeight="1" thickBot="1">
      <c r="A136" s="716"/>
      <c r="B136" s="716"/>
      <c r="C136" s="716"/>
      <c r="D136" s="724"/>
      <c r="E136" s="721"/>
      <c r="F136" s="721" t="s">
        <v>1194</v>
      </c>
      <c r="G136" s="721"/>
      <c r="H136" s="721"/>
      <c r="I136" s="721"/>
      <c r="J136" s="721"/>
      <c r="K136" s="721"/>
      <c r="L136" s="721"/>
      <c r="M136" s="721"/>
      <c r="N136" s="721"/>
      <c r="O136" s="721"/>
      <c r="P136" s="721"/>
      <c r="Q136" s="721"/>
      <c r="R136" s="721"/>
      <c r="S136" s="721"/>
      <c r="T136" s="721"/>
      <c r="U136" s="721"/>
      <c r="V136" s="162"/>
      <c r="W136" s="307" t="str">
        <f>Idiomas!D28</f>
        <v>Semifinales</v>
      </c>
      <c r="X136" s="308"/>
      <c r="Y136" s="309"/>
      <c r="Z136" s="309"/>
      <c r="AA136" s="309"/>
      <c r="AB136" s="309"/>
      <c r="AC136" s="309"/>
      <c r="AD136" s="309"/>
      <c r="AE136" s="309"/>
      <c r="AF136" s="310"/>
      <c r="AG136" s="401"/>
      <c r="AH136" s="306"/>
      <c r="AI136" s="207"/>
      <c r="AJ136" s="168"/>
      <c r="AK136" s="168"/>
      <c r="AL136" s="168"/>
      <c r="AM136" s="287"/>
      <c r="AN136" s="287"/>
      <c r="AO136" s="287"/>
      <c r="AP136" s="287"/>
      <c r="AQ136" s="287"/>
      <c r="AR136" s="287"/>
      <c r="AS136" s="287"/>
      <c r="AT136" s="287"/>
      <c r="AU136" s="15"/>
      <c r="AV136" s="15"/>
      <c r="AW136" s="287"/>
      <c r="AX136" s="287"/>
      <c r="AY136" s="232"/>
      <c r="AZ136" s="233"/>
      <c r="BA136" s="13"/>
      <c r="BB136" s="721"/>
      <c r="BC136" s="724"/>
      <c r="BD136" s="721"/>
      <c r="BE136" s="721"/>
      <c r="BF136" s="721"/>
      <c r="BG136" s="721"/>
      <c r="BH136" s="721"/>
      <c r="BI136" s="721"/>
      <c r="BJ136" s="721"/>
      <c r="BK136" s="721"/>
      <c r="BL136" s="721"/>
      <c r="BM136" s="721"/>
      <c r="BN136" s="721"/>
      <c r="BO136" s="721"/>
      <c r="BP136" s="721"/>
      <c r="BQ136" s="721"/>
      <c r="BR136" s="721"/>
      <c r="BS136" s="721"/>
      <c r="BT136" s="721"/>
      <c r="BU136" s="721"/>
      <c r="BV136" s="721"/>
      <c r="BW136" s="721"/>
      <c r="BX136" s="721"/>
      <c r="BY136" s="721"/>
      <c r="BZ136" s="721"/>
      <c r="CA136" s="721"/>
      <c r="CB136" s="721"/>
      <c r="CC136" s="721"/>
      <c r="CD136" s="721"/>
      <c r="CE136" s="721"/>
      <c r="CF136" s="721"/>
      <c r="CG136" s="721"/>
      <c r="CH136" s="721"/>
      <c r="CI136" s="721"/>
      <c r="CJ136" s="721"/>
      <c r="CK136" s="721"/>
      <c r="CL136" s="721"/>
      <c r="CM136" s="721"/>
      <c r="CN136" s="721"/>
      <c r="CO136" s="721"/>
      <c r="CP136" s="721"/>
      <c r="CQ136" s="721"/>
      <c r="CR136" s="721"/>
      <c r="CS136" s="721"/>
      <c r="CT136" s="721"/>
      <c r="CU136" s="721"/>
      <c r="CV136" s="721"/>
      <c r="CW136" s="721"/>
      <c r="CX136" s="721"/>
      <c r="CY136" s="721"/>
      <c r="CZ136" s="721"/>
      <c r="DA136" s="721"/>
      <c r="DB136" s="721"/>
      <c r="DC136" s="721"/>
      <c r="DD136" s="721"/>
      <c r="DE136" s="721"/>
      <c r="DF136" s="721"/>
      <c r="DG136" s="721"/>
      <c r="DH136" s="721"/>
      <c r="DI136" s="721"/>
      <c r="DJ136" s="721"/>
      <c r="DK136" s="721"/>
      <c r="DL136" s="721"/>
      <c r="DM136" s="721"/>
      <c r="DN136" s="721"/>
      <c r="DO136" s="721"/>
      <c r="DP136" s="721"/>
      <c r="DQ136" s="721"/>
      <c r="DR136" s="721"/>
      <c r="DS136" s="721"/>
      <c r="DT136" s="721" t="str">
        <f t="shared" si="338"/>
        <v>-</v>
      </c>
      <c r="DU136" s="721"/>
      <c r="DV136" s="721"/>
      <c r="DW136" s="8"/>
    </row>
    <row r="137" spans="1:127" ht="15.95" customHeight="1">
      <c r="A137" s="716"/>
      <c r="B137" s="716"/>
      <c r="C137" s="716"/>
      <c r="D137" s="724"/>
      <c r="E137" s="721"/>
      <c r="F137" s="721"/>
      <c r="G137" s="721"/>
      <c r="H137" s="721" t="s">
        <v>1366</v>
      </c>
      <c r="I137" s="721"/>
      <c r="J137" s="721"/>
      <c r="K137" s="721"/>
      <c r="L137" s="721"/>
      <c r="M137" s="721"/>
      <c r="N137" s="721"/>
      <c r="O137" s="721"/>
      <c r="P137" s="721"/>
      <c r="Q137" s="721"/>
      <c r="R137" s="721"/>
      <c r="S137" s="721"/>
      <c r="T137" s="721"/>
      <c r="U137" s="721"/>
      <c r="V137" s="162"/>
      <c r="W137" s="311"/>
      <c r="X137" s="170" t="str">
        <f>X3</f>
        <v>Fecha</v>
      </c>
      <c r="Y137" s="170" t="str">
        <f>Y3</f>
        <v>Hora</v>
      </c>
      <c r="Z137" s="255"/>
      <c r="AA137" s="256" t="str">
        <f>AA3</f>
        <v>Casa</v>
      </c>
      <c r="AB137" s="255" t="s">
        <v>13</v>
      </c>
      <c r="AC137" s="170" t="s">
        <v>17</v>
      </c>
      <c r="AD137" s="170" t="s">
        <v>17</v>
      </c>
      <c r="AE137" s="255" t="s">
        <v>13</v>
      </c>
      <c r="AF137" s="312" t="str">
        <f>AF3</f>
        <v>Fuera</v>
      </c>
      <c r="AG137" s="401"/>
      <c r="AH137" s="306"/>
      <c r="AI137" s="207"/>
      <c r="AJ137" s="168"/>
      <c r="AK137" s="168"/>
      <c r="AL137" s="168"/>
      <c r="AM137" s="287"/>
      <c r="AN137" s="287"/>
      <c r="AO137" s="287"/>
      <c r="AP137" s="287"/>
      <c r="AQ137" s="287"/>
      <c r="AR137" s="287"/>
      <c r="AS137" s="287"/>
      <c r="AT137" s="287"/>
      <c r="AU137" s="15"/>
      <c r="AV137" s="15"/>
      <c r="AW137" s="287"/>
      <c r="AX137" s="287"/>
      <c r="AY137" s="232"/>
      <c r="AZ137" s="233"/>
      <c r="BA137" s="13"/>
      <c r="BB137" s="721"/>
      <c r="BC137" s="724"/>
      <c r="BD137" s="721"/>
      <c r="BE137" s="721"/>
      <c r="BF137" s="721"/>
      <c r="BG137" s="721"/>
      <c r="BH137" s="721"/>
      <c r="BI137" s="721"/>
      <c r="BJ137" s="721"/>
      <c r="BK137" s="721"/>
      <c r="BL137" s="721"/>
      <c r="BM137" s="721"/>
      <c r="BN137" s="721"/>
      <c r="BO137" s="721"/>
      <c r="BP137" s="721"/>
      <c r="BQ137" s="721"/>
      <c r="BR137" s="721"/>
      <c r="BS137" s="721"/>
      <c r="BT137" s="721"/>
      <c r="BU137" s="721"/>
      <c r="BV137" s="721"/>
      <c r="BW137" s="721"/>
      <c r="BX137" s="721"/>
      <c r="BY137" s="721"/>
      <c r="BZ137" s="721"/>
      <c r="CA137" s="721"/>
      <c r="CB137" s="721"/>
      <c r="CC137" s="721"/>
      <c r="CD137" s="721"/>
      <c r="CE137" s="721"/>
      <c r="CF137" s="721"/>
      <c r="CG137" s="721"/>
      <c r="CH137" s="721"/>
      <c r="CI137" s="721"/>
      <c r="CJ137" s="721"/>
      <c r="CK137" s="721"/>
      <c r="CL137" s="721"/>
      <c r="CM137" s="721"/>
      <c r="CN137" s="721"/>
      <c r="CO137" s="721"/>
      <c r="CP137" s="721"/>
      <c r="CQ137" s="721"/>
      <c r="CR137" s="721"/>
      <c r="CS137" s="721"/>
      <c r="CT137" s="721"/>
      <c r="CU137" s="721"/>
      <c r="CV137" s="721"/>
      <c r="CW137" s="721"/>
      <c r="CX137" s="721"/>
      <c r="CY137" s="721"/>
      <c r="CZ137" s="721"/>
      <c r="DA137" s="721"/>
      <c r="DB137" s="721"/>
      <c r="DC137" s="721"/>
      <c r="DD137" s="721"/>
      <c r="DE137" s="721"/>
      <c r="DF137" s="721"/>
      <c r="DG137" s="721"/>
      <c r="DH137" s="721"/>
      <c r="DI137" s="721"/>
      <c r="DJ137" s="721"/>
      <c r="DK137" s="721"/>
      <c r="DL137" s="721"/>
      <c r="DM137" s="721"/>
      <c r="DN137" s="721"/>
      <c r="DO137" s="721"/>
      <c r="DP137" s="721"/>
      <c r="DQ137" s="721"/>
      <c r="DR137" s="721"/>
      <c r="DS137" s="721"/>
      <c r="DT137" s="721" t="str">
        <f t="shared" si="338"/>
        <v>Casa-Fuera</v>
      </c>
      <c r="DU137" s="721"/>
      <c r="DV137" s="721"/>
      <c r="DW137" s="8"/>
    </row>
    <row r="138" spans="1:127" ht="15.95" customHeight="1">
      <c r="A138" s="715" t="s">
        <v>754</v>
      </c>
      <c r="B138" s="715" t="s">
        <v>755</v>
      </c>
      <c r="C138" s="716"/>
      <c r="D138" s="724" t="str">
        <f>IF(AND(OR(AC138="",AD138="")),"W"&amp;AH138,IF(AC138&gt;AD138,AA138,IF(AC138&lt;AD138,AF138,IF(AND(AC138=AD138,AB138=AE138),"W"&amp;AH138,IF(AND(AC138=AD138,OR(AB138="",AE138="")),"W"&amp;AH138,IF(AND(AC138=AD138,AB138&gt;AE138),AA138,AF138))))))</f>
        <v>W101</v>
      </c>
      <c r="E138" s="721">
        <v>97</v>
      </c>
      <c r="F138" s="721">
        <v>98</v>
      </c>
      <c r="G138" s="721"/>
      <c r="H138" s="721" t="str">
        <f>IF(AND(OR(AC138="",AD138="")),"L101",IF(AC138&gt;AD138,AF138,IF(AC138&lt;AD138,AA138,IF(AND(AC138=AD138,AB138=AE138),"L101",IF(AND(AC138=AD138,OR(AB138="",AE138="")),"L101",IF(AND(AC138=AD138,AB138&gt;AE138),AF138,AA138))))))</f>
        <v>L101</v>
      </c>
      <c r="I138" s="721"/>
      <c r="J138" s="715">
        <v>101</v>
      </c>
      <c r="K138" s="715">
        <v>46217.875</v>
      </c>
      <c r="L138" s="715" t="s">
        <v>713</v>
      </c>
      <c r="M138" s="715" t="str">
        <f>+INDEX($D$101:$D$147,MATCH(E138,$AH$101:$AH$147,0))</f>
        <v>W97</v>
      </c>
      <c r="N138" s="715" t="str">
        <f>+INDEX($D$101:$D$147,MATCH(F138,$AH$101:$AH$147,0))</f>
        <v>W98</v>
      </c>
      <c r="O138" s="715"/>
      <c r="P138" s="715"/>
      <c r="Q138" s="715"/>
      <c r="R138" s="715"/>
      <c r="S138" s="715"/>
      <c r="T138" s="715"/>
      <c r="U138" s="715"/>
      <c r="V138" s="162"/>
      <c r="W138" s="855" t="s">
        <v>35</v>
      </c>
      <c r="X138" s="179">
        <f ca="1">Horarios!C138</f>
        <v>46217.875</v>
      </c>
      <c r="Y138" s="180">
        <f ca="1">Horarios!C138</f>
        <v>46217.875</v>
      </c>
      <c r="Z138" s="301">
        <f t="shared" ref="Z138:Z139" si="339">AH138</f>
        <v>101</v>
      </c>
      <c r="AA138" s="267" t="str">
        <f t="shared" ref="AA138:AA139" si="340">+INDEX($M$101:$M$147,MATCH(AH138,$J$101:$J$147,0))</f>
        <v>W97</v>
      </c>
      <c r="AB138" s="268"/>
      <c r="AC138" s="313"/>
      <c r="AD138" s="313"/>
      <c r="AE138" s="268"/>
      <c r="AF138" s="302" t="str">
        <f>+INDEX($N$101:$N$147,MATCH(AH138,$J$101:$J$147,0))</f>
        <v>W98</v>
      </c>
      <c r="AG138" s="400">
        <f>IF(D138="W"&amp;AH138,0,1)</f>
        <v>0</v>
      </c>
      <c r="AH138" s="303">
        <v>101</v>
      </c>
      <c r="AI138" s="207"/>
      <c r="AJ138" s="168"/>
      <c r="AK138" s="168"/>
      <c r="AL138" s="168"/>
      <c r="AM138" s="287"/>
      <c r="AN138" s="287"/>
      <c r="AO138" s="287"/>
      <c r="AP138" s="287"/>
      <c r="AQ138" s="287"/>
      <c r="AR138" s="287"/>
      <c r="AS138" s="287"/>
      <c r="AT138" s="287"/>
      <c r="AU138" s="15"/>
      <c r="AV138" s="15"/>
      <c r="AW138" s="287"/>
      <c r="AX138" s="287"/>
      <c r="AY138" s="232"/>
      <c r="AZ138" s="233"/>
      <c r="BA138" s="13"/>
      <c r="BB138" s="721"/>
      <c r="BC138" s="724"/>
      <c r="BD138" s="721"/>
      <c r="BE138" s="721"/>
      <c r="BF138" s="721"/>
      <c r="BG138" s="721"/>
      <c r="BH138" s="721"/>
      <c r="BI138" s="721"/>
      <c r="BJ138" s="721"/>
      <c r="BK138" s="721"/>
      <c r="BL138" s="721"/>
      <c r="BM138" s="721"/>
      <c r="BN138" s="721"/>
      <c r="BO138" s="721"/>
      <c r="BP138" s="721"/>
      <c r="BQ138" s="721"/>
      <c r="BR138" s="721"/>
      <c r="BS138" s="721"/>
      <c r="BT138" s="721"/>
      <c r="BU138" s="721"/>
      <c r="BV138" s="721"/>
      <c r="BW138" s="721"/>
      <c r="BX138" s="721"/>
      <c r="BY138" s="721"/>
      <c r="BZ138" s="721"/>
      <c r="CA138" s="721"/>
      <c r="CB138" s="721"/>
      <c r="CC138" s="721"/>
      <c r="CD138" s="721"/>
      <c r="CE138" s="721"/>
      <c r="CF138" s="721"/>
      <c r="CG138" s="721"/>
      <c r="CH138" s="721"/>
      <c r="CI138" s="721"/>
      <c r="CJ138" s="721"/>
      <c r="CK138" s="721"/>
      <c r="CL138" s="721"/>
      <c r="CM138" s="721"/>
      <c r="CN138" s="721"/>
      <c r="CO138" s="721"/>
      <c r="CP138" s="721"/>
      <c r="CQ138" s="721"/>
      <c r="CR138" s="721"/>
      <c r="CS138" s="721"/>
      <c r="CT138" s="721"/>
      <c r="CU138" s="721"/>
      <c r="CV138" s="721"/>
      <c r="CW138" s="721"/>
      <c r="CX138" s="721"/>
      <c r="CY138" s="721"/>
      <c r="CZ138" s="721"/>
      <c r="DA138" s="721"/>
      <c r="DB138" s="721"/>
      <c r="DC138" s="721"/>
      <c r="DD138" s="721"/>
      <c r="DE138" s="721"/>
      <c r="DF138" s="721"/>
      <c r="DG138" s="721"/>
      <c r="DH138" s="721"/>
      <c r="DI138" s="721"/>
      <c r="DJ138" s="721"/>
      <c r="DK138" s="721"/>
      <c r="DL138" s="721"/>
      <c r="DM138" s="721"/>
      <c r="DN138" s="721"/>
      <c r="DO138" s="721"/>
      <c r="DP138" s="721"/>
      <c r="DQ138" s="721"/>
      <c r="DR138" s="721"/>
      <c r="DS138" s="721"/>
      <c r="DT138" s="721" t="str">
        <f t="shared" si="338"/>
        <v>W97-W98</v>
      </c>
      <c r="DU138" s="721"/>
      <c r="DV138" s="721"/>
      <c r="DW138" s="8"/>
    </row>
    <row r="139" spans="1:127" ht="15.95" customHeight="1" thickBot="1">
      <c r="A139" s="715" t="s">
        <v>756</v>
      </c>
      <c r="B139" s="715" t="s">
        <v>757</v>
      </c>
      <c r="C139" s="716"/>
      <c r="D139" s="724" t="str">
        <f>IF(AND(OR(AC139="",AD139="")),"W"&amp;AH139,IF(AC139&gt;AD139,AA139,IF(AC139&lt;AD139,AF139,IF(AND(AC139=AD139,AB139=AE139),"W"&amp;AH139,IF(AND(AC139=AD139,OR(AB139="",AE139="")),"W"&amp;AH139,IF(AND(AC139=AD139,AB139&gt;AE139),AA139,AF139))))))</f>
        <v>W102</v>
      </c>
      <c r="E139" s="721">
        <v>99</v>
      </c>
      <c r="F139" s="721">
        <v>100</v>
      </c>
      <c r="G139" s="721"/>
      <c r="H139" s="721" t="str">
        <f>IF(AND(OR(AC139="",AD139="")),"L102",IF(AC139&gt;AD139,AF139,IF(AC139&lt;AD139,AA139,IF(AND(AC139=AD139,AB139=AE139),"W102",IF(AND(AC139=AD139,OR(AB139="",AE139="")),"L102",IF(AND(AC139=AD139,AB139&gt;AE139),AF139,AA139))))))</f>
        <v>L102</v>
      </c>
      <c r="I139" s="721"/>
      <c r="J139" s="715">
        <v>102</v>
      </c>
      <c r="K139" s="715">
        <v>46218.875</v>
      </c>
      <c r="L139" s="715" t="s">
        <v>714</v>
      </c>
      <c r="M139" s="715" t="str">
        <f>+INDEX($D$101:$D$147,MATCH(E139,$AH$101:$AH$147,0))</f>
        <v>W99</v>
      </c>
      <c r="N139" s="715" t="str">
        <f>+INDEX($D$101:$D$147,MATCH(F139,$AH$101:$AH$147,0))</f>
        <v>W100</v>
      </c>
      <c r="O139" s="715"/>
      <c r="P139" s="715"/>
      <c r="Q139" s="715"/>
      <c r="R139" s="715"/>
      <c r="S139" s="715"/>
      <c r="T139" s="715"/>
      <c r="U139" s="715"/>
      <c r="V139" s="162"/>
      <c r="W139" s="856"/>
      <c r="X139" s="314">
        <f ca="1">Horarios!C139</f>
        <v>46218.875</v>
      </c>
      <c r="Y139" s="315">
        <f ca="1">Horarios!C139</f>
        <v>46218.875</v>
      </c>
      <c r="Z139" s="316">
        <f t="shared" si="339"/>
        <v>102</v>
      </c>
      <c r="AA139" s="317" t="str">
        <f t="shared" si="340"/>
        <v>W99</v>
      </c>
      <c r="AB139" s="318"/>
      <c r="AC139" s="300"/>
      <c r="AD139" s="300"/>
      <c r="AE139" s="318"/>
      <c r="AF139" s="319" t="str">
        <f>+INDEX($N$101:$N$147,MATCH(AH139,$J$101:$J$147,0))</f>
        <v>W100</v>
      </c>
      <c r="AG139" s="400">
        <f>IF(D139="W"&amp;AH139,0,1)</f>
        <v>0</v>
      </c>
      <c r="AH139" s="303">
        <v>102</v>
      </c>
      <c r="AI139" s="207"/>
      <c r="AJ139" s="168"/>
      <c r="AK139" s="168"/>
      <c r="AL139" s="168"/>
      <c r="AM139" s="287"/>
      <c r="AN139" s="287"/>
      <c r="AO139" s="287"/>
      <c r="AP139" s="287"/>
      <c r="AQ139" s="287"/>
      <c r="AR139" s="287"/>
      <c r="AS139" s="287"/>
      <c r="AT139" s="287"/>
      <c r="AU139" s="15"/>
      <c r="AV139" s="15"/>
      <c r="AW139" s="287"/>
      <c r="AX139" s="287"/>
      <c r="AY139" s="232"/>
      <c r="AZ139" s="233"/>
      <c r="BA139" s="13"/>
      <c r="BB139" s="721"/>
      <c r="BC139" s="724"/>
      <c r="BD139" s="721"/>
      <c r="BE139" s="721"/>
      <c r="BF139" s="721"/>
      <c r="BG139" s="721"/>
      <c r="BH139" s="721"/>
      <c r="BI139" s="721"/>
      <c r="BJ139" s="721"/>
      <c r="BK139" s="721"/>
      <c r="BL139" s="721"/>
      <c r="BM139" s="721"/>
      <c r="BN139" s="721"/>
      <c r="BO139" s="721"/>
      <c r="BP139" s="721"/>
      <c r="BQ139" s="721"/>
      <c r="BR139" s="721"/>
      <c r="BS139" s="721"/>
      <c r="BT139" s="721"/>
      <c r="BU139" s="721"/>
      <c r="BV139" s="721"/>
      <c r="BW139" s="721"/>
      <c r="BX139" s="721"/>
      <c r="BY139" s="721"/>
      <c r="BZ139" s="721"/>
      <c r="CA139" s="721"/>
      <c r="CB139" s="721"/>
      <c r="CC139" s="721"/>
      <c r="CD139" s="721"/>
      <c r="CE139" s="721"/>
      <c r="CF139" s="721"/>
      <c r="CG139" s="721"/>
      <c r="CH139" s="721"/>
      <c r="CI139" s="721"/>
      <c r="CJ139" s="721"/>
      <c r="CK139" s="721"/>
      <c r="CL139" s="721"/>
      <c r="CM139" s="721"/>
      <c r="CN139" s="721"/>
      <c r="CO139" s="721"/>
      <c r="CP139" s="721"/>
      <c r="CQ139" s="721"/>
      <c r="CR139" s="721"/>
      <c r="CS139" s="721"/>
      <c r="CT139" s="721"/>
      <c r="CU139" s="721"/>
      <c r="CV139" s="721"/>
      <c r="CW139" s="721"/>
      <c r="CX139" s="721"/>
      <c r="CY139" s="721"/>
      <c r="CZ139" s="721"/>
      <c r="DA139" s="721"/>
      <c r="DB139" s="721"/>
      <c r="DC139" s="721"/>
      <c r="DD139" s="721"/>
      <c r="DE139" s="721"/>
      <c r="DF139" s="721"/>
      <c r="DG139" s="721"/>
      <c r="DH139" s="721"/>
      <c r="DI139" s="721"/>
      <c r="DJ139" s="721"/>
      <c r="DK139" s="721"/>
      <c r="DL139" s="721"/>
      <c r="DM139" s="721"/>
      <c r="DN139" s="721"/>
      <c r="DO139" s="721"/>
      <c r="DP139" s="721"/>
      <c r="DQ139" s="721"/>
      <c r="DR139" s="721"/>
      <c r="DS139" s="721"/>
      <c r="DT139" s="721" t="str">
        <f t="shared" si="338"/>
        <v>W99-W100</v>
      </c>
      <c r="DU139" s="721"/>
      <c r="DV139" s="721"/>
      <c r="DW139" s="8"/>
    </row>
    <row r="140" spans="1:127" ht="15.95" customHeight="1" thickBot="1">
      <c r="A140" s="716"/>
      <c r="B140" s="716"/>
      <c r="C140" s="716"/>
      <c r="D140" s="724"/>
      <c r="E140" s="721"/>
      <c r="F140" s="721"/>
      <c r="G140" s="721"/>
      <c r="H140" s="721"/>
      <c r="I140" s="721"/>
      <c r="J140" s="721"/>
      <c r="K140" s="721"/>
      <c r="L140" s="721"/>
      <c r="M140" s="721"/>
      <c r="N140" s="721"/>
      <c r="O140" s="721"/>
      <c r="P140" s="721"/>
      <c r="Q140" s="721"/>
      <c r="R140" s="721"/>
      <c r="S140" s="721"/>
      <c r="T140" s="721"/>
      <c r="U140" s="721"/>
      <c r="V140" s="162"/>
      <c r="W140" s="232"/>
      <c r="X140" s="233"/>
      <c r="Y140" s="232"/>
      <c r="Z140" s="234"/>
      <c r="AA140" s="235"/>
      <c r="AB140" s="236"/>
      <c r="AC140" s="237"/>
      <c r="AD140" s="237"/>
      <c r="AE140" s="236"/>
      <c r="AF140" s="238"/>
      <c r="AG140" s="401"/>
      <c r="AH140" s="306"/>
      <c r="AI140" s="207"/>
      <c r="AJ140" s="168"/>
      <c r="AK140" s="168"/>
      <c r="AL140" s="168"/>
      <c r="AM140" s="287"/>
      <c r="AN140" s="287"/>
      <c r="AO140" s="287"/>
      <c r="AP140" s="287"/>
      <c r="AQ140" s="287"/>
      <c r="AR140" s="287"/>
      <c r="AS140" s="287"/>
      <c r="AT140" s="287"/>
      <c r="AU140" s="15"/>
      <c r="AV140" s="15"/>
      <c r="AW140" s="287"/>
      <c r="AX140" s="287"/>
      <c r="AY140" s="232"/>
      <c r="AZ140" s="233"/>
      <c r="BA140" s="13"/>
      <c r="BB140" s="721"/>
      <c r="BC140" s="724"/>
      <c r="BD140" s="721"/>
      <c r="BE140" s="721"/>
      <c r="BF140" s="721"/>
      <c r="BG140" s="721"/>
      <c r="BH140" s="721"/>
      <c r="BI140" s="721"/>
      <c r="BJ140" s="721"/>
      <c r="BK140" s="721"/>
      <c r="BL140" s="721"/>
      <c r="BM140" s="721"/>
      <c r="BN140" s="721"/>
      <c r="BO140" s="721"/>
      <c r="BP140" s="721"/>
      <c r="BQ140" s="721"/>
      <c r="BR140" s="721"/>
      <c r="BS140" s="721"/>
      <c r="BT140" s="721"/>
      <c r="BU140" s="721"/>
      <c r="BV140" s="721"/>
      <c r="BW140" s="721"/>
      <c r="BX140" s="721"/>
      <c r="BY140" s="721"/>
      <c r="BZ140" s="721"/>
      <c r="CA140" s="721"/>
      <c r="CB140" s="721"/>
      <c r="CC140" s="721"/>
      <c r="CD140" s="721"/>
      <c r="CE140" s="721"/>
      <c r="CF140" s="721"/>
      <c r="CG140" s="721"/>
      <c r="CH140" s="721"/>
      <c r="CI140" s="721"/>
      <c r="CJ140" s="721"/>
      <c r="CK140" s="721"/>
      <c r="CL140" s="721"/>
      <c r="CM140" s="721"/>
      <c r="CN140" s="721"/>
      <c r="CO140" s="721"/>
      <c r="CP140" s="721"/>
      <c r="CQ140" s="721"/>
      <c r="CR140" s="721"/>
      <c r="CS140" s="721"/>
      <c r="CT140" s="721"/>
      <c r="CU140" s="721"/>
      <c r="CV140" s="721"/>
      <c r="CW140" s="721"/>
      <c r="CX140" s="721"/>
      <c r="CY140" s="721"/>
      <c r="CZ140" s="721"/>
      <c r="DA140" s="721"/>
      <c r="DB140" s="721"/>
      <c r="DC140" s="721"/>
      <c r="DD140" s="721"/>
      <c r="DE140" s="721"/>
      <c r="DF140" s="721"/>
      <c r="DG140" s="721"/>
      <c r="DH140" s="721"/>
      <c r="DI140" s="721"/>
      <c r="DJ140" s="721"/>
      <c r="DK140" s="721"/>
      <c r="DL140" s="721"/>
      <c r="DM140" s="721"/>
      <c r="DN140" s="721"/>
      <c r="DO140" s="721"/>
      <c r="DP140" s="721"/>
      <c r="DQ140" s="721"/>
      <c r="DR140" s="721"/>
      <c r="DS140" s="721"/>
      <c r="DT140" s="721" t="str">
        <f t="shared" si="338"/>
        <v>-</v>
      </c>
      <c r="DU140" s="721"/>
      <c r="DV140" s="721"/>
      <c r="DW140" s="8"/>
    </row>
    <row r="141" spans="1:127" ht="15.95" customHeight="1" thickBot="1">
      <c r="A141" s="716"/>
      <c r="B141" s="716"/>
      <c r="C141" s="716"/>
      <c r="D141" s="724"/>
      <c r="E141" s="721"/>
      <c r="F141" s="721"/>
      <c r="G141" s="721"/>
      <c r="H141" s="721"/>
      <c r="I141" s="721"/>
      <c r="J141" s="721"/>
      <c r="K141" s="721"/>
      <c r="L141" s="721"/>
      <c r="M141" s="721"/>
      <c r="N141" s="721"/>
      <c r="O141" s="721"/>
      <c r="P141" s="721"/>
      <c r="Q141" s="721"/>
      <c r="R141" s="721"/>
      <c r="S141" s="721"/>
      <c r="T141" s="721"/>
      <c r="U141" s="721"/>
      <c r="V141" s="162"/>
      <c r="W141" s="307" t="str">
        <f>Idiomas!D29</f>
        <v>3º y 4º puesto</v>
      </c>
      <c r="X141" s="308"/>
      <c r="Y141" s="309"/>
      <c r="Z141" s="309"/>
      <c r="AA141" s="309"/>
      <c r="AB141" s="309"/>
      <c r="AC141" s="309"/>
      <c r="AD141" s="309"/>
      <c r="AE141" s="309"/>
      <c r="AF141" s="310"/>
      <c r="AG141" s="401"/>
      <c r="AH141" s="306"/>
      <c r="AI141" s="207"/>
      <c r="AJ141" s="168"/>
      <c r="AK141" s="168"/>
      <c r="AL141" s="168"/>
      <c r="AM141" s="287"/>
      <c r="AN141" s="287"/>
      <c r="AO141" s="287"/>
      <c r="AP141" s="287"/>
      <c r="AQ141" s="13"/>
      <c r="AR141" s="287"/>
      <c r="AS141" s="287"/>
      <c r="AT141" s="287"/>
      <c r="AU141" s="15"/>
      <c r="AV141" s="15"/>
      <c r="AW141" s="287"/>
      <c r="AX141" s="287"/>
      <c r="AY141" s="232"/>
      <c r="AZ141" s="233"/>
      <c r="BA141" s="13"/>
      <c r="BB141" s="721"/>
      <c r="BC141" s="724"/>
      <c r="BD141" s="721"/>
      <c r="BE141" s="721"/>
      <c r="BF141" s="721"/>
      <c r="BG141" s="721"/>
      <c r="BH141" s="721"/>
      <c r="BI141" s="721"/>
      <c r="BJ141" s="721"/>
      <c r="BK141" s="721"/>
      <c r="BL141" s="721"/>
      <c r="BM141" s="721"/>
      <c r="BN141" s="721"/>
      <c r="BO141" s="721"/>
      <c r="BP141" s="721"/>
      <c r="BQ141" s="721"/>
      <c r="BR141" s="721"/>
      <c r="BS141" s="721"/>
      <c r="BT141" s="721"/>
      <c r="BU141" s="721"/>
      <c r="BV141" s="721"/>
      <c r="BW141" s="721"/>
      <c r="BX141" s="721"/>
      <c r="BY141" s="721"/>
      <c r="BZ141" s="721"/>
      <c r="CA141" s="721"/>
      <c r="CB141" s="721"/>
      <c r="CC141" s="721"/>
      <c r="CD141" s="721"/>
      <c r="CE141" s="721"/>
      <c r="CF141" s="721"/>
      <c r="CG141" s="721"/>
      <c r="CH141" s="721"/>
      <c r="CI141" s="721"/>
      <c r="CJ141" s="721"/>
      <c r="CK141" s="721"/>
      <c r="CL141" s="721"/>
      <c r="CM141" s="721"/>
      <c r="CN141" s="721"/>
      <c r="CO141" s="721"/>
      <c r="CP141" s="721"/>
      <c r="CQ141" s="721"/>
      <c r="CR141" s="721"/>
      <c r="CS141" s="721"/>
      <c r="CT141" s="721"/>
      <c r="CU141" s="721"/>
      <c r="CV141" s="721"/>
      <c r="CW141" s="721"/>
      <c r="CX141" s="721"/>
      <c r="CY141" s="721"/>
      <c r="CZ141" s="721"/>
      <c r="DA141" s="721"/>
      <c r="DB141" s="721"/>
      <c r="DC141" s="721"/>
      <c r="DD141" s="721"/>
      <c r="DE141" s="721"/>
      <c r="DF141" s="721"/>
      <c r="DG141" s="721"/>
      <c r="DH141" s="721"/>
      <c r="DI141" s="721"/>
      <c r="DJ141" s="721"/>
      <c r="DK141" s="721"/>
      <c r="DL141" s="721"/>
      <c r="DM141" s="721"/>
      <c r="DN141" s="721"/>
      <c r="DO141" s="721"/>
      <c r="DP141" s="721"/>
      <c r="DQ141" s="721"/>
      <c r="DR141" s="721"/>
      <c r="DS141" s="721"/>
      <c r="DT141" s="721" t="str">
        <f t="shared" si="338"/>
        <v>-</v>
      </c>
      <c r="DU141" s="721"/>
      <c r="DV141" s="721"/>
      <c r="DW141" s="8"/>
    </row>
    <row r="142" spans="1:127" ht="15.95" customHeight="1">
      <c r="A142" s="716"/>
      <c r="B142" s="716"/>
      <c r="C142" s="716"/>
      <c r="D142" s="724"/>
      <c r="E142" s="721"/>
      <c r="F142" s="721"/>
      <c r="G142" s="721"/>
      <c r="H142" s="721"/>
      <c r="I142" s="721"/>
      <c r="J142" s="721"/>
      <c r="K142" s="721"/>
      <c r="L142" s="721"/>
      <c r="M142" s="721"/>
      <c r="N142" s="721"/>
      <c r="O142" s="721"/>
      <c r="P142" s="721"/>
      <c r="Q142" s="721"/>
      <c r="R142" s="721"/>
      <c r="S142" s="721"/>
      <c r="T142" s="721"/>
      <c r="U142" s="721"/>
      <c r="V142" s="162"/>
      <c r="W142" s="320"/>
      <c r="X142" s="170" t="str">
        <f>X3</f>
        <v>Fecha</v>
      </c>
      <c r="Y142" s="170" t="str">
        <f>Y3</f>
        <v>Hora</v>
      </c>
      <c r="Z142" s="255"/>
      <c r="AA142" s="256" t="str">
        <f>AA3</f>
        <v>Casa</v>
      </c>
      <c r="AB142" s="255" t="s">
        <v>13</v>
      </c>
      <c r="AC142" s="170" t="str">
        <f>AC3</f>
        <v>Gol</v>
      </c>
      <c r="AD142" s="170" t="str">
        <f>AD3</f>
        <v>Gol</v>
      </c>
      <c r="AE142" s="255" t="s">
        <v>13</v>
      </c>
      <c r="AF142" s="312" t="str">
        <f>AF3</f>
        <v>Fuera</v>
      </c>
      <c r="AG142" s="401"/>
      <c r="AH142" s="306"/>
      <c r="AI142" s="207"/>
      <c r="AJ142" s="168"/>
      <c r="AK142" s="168"/>
      <c r="AL142" s="168"/>
      <c r="AM142" s="287"/>
      <c r="AN142" s="287"/>
      <c r="AO142" s="287"/>
      <c r="AP142" s="287"/>
      <c r="AQ142" s="287"/>
      <c r="AR142" s="287"/>
      <c r="AS142" s="287"/>
      <c r="AT142" s="287"/>
      <c r="AU142" s="15"/>
      <c r="AV142" s="15"/>
      <c r="AW142" s="287"/>
      <c r="AX142" s="287"/>
      <c r="AY142" s="232"/>
      <c r="AZ142" s="233"/>
      <c r="BA142" s="165"/>
      <c r="BB142" s="721"/>
      <c r="BC142" s="721"/>
      <c r="BD142" s="721"/>
      <c r="BE142" s="721"/>
      <c r="BF142" s="721"/>
      <c r="BG142" s="721"/>
      <c r="BH142" s="721"/>
      <c r="BI142" s="721"/>
      <c r="BJ142" s="721"/>
      <c r="BK142" s="721"/>
      <c r="BL142" s="721"/>
      <c r="BM142" s="721"/>
      <c r="BN142" s="721"/>
      <c r="BO142" s="721"/>
      <c r="BP142" s="721"/>
      <c r="BQ142" s="721"/>
      <c r="BR142" s="721"/>
      <c r="BS142" s="721"/>
      <c r="BT142" s="721"/>
      <c r="BU142" s="721"/>
      <c r="BV142" s="721"/>
      <c r="BW142" s="721"/>
      <c r="BX142" s="721"/>
      <c r="BY142" s="721"/>
      <c r="BZ142" s="721"/>
      <c r="CA142" s="721"/>
      <c r="CB142" s="721"/>
      <c r="CC142" s="721"/>
      <c r="CD142" s="721"/>
      <c r="CE142" s="721"/>
      <c r="CF142" s="721"/>
      <c r="CG142" s="721"/>
      <c r="CH142" s="721"/>
      <c r="CI142" s="721"/>
      <c r="CJ142" s="721"/>
      <c r="CK142" s="721"/>
      <c r="CL142" s="721"/>
      <c r="CM142" s="721"/>
      <c r="CN142" s="721"/>
      <c r="CO142" s="721"/>
      <c r="CP142" s="721"/>
      <c r="CQ142" s="721"/>
      <c r="CR142" s="721"/>
      <c r="CS142" s="721"/>
      <c r="CT142" s="721"/>
      <c r="CU142" s="721"/>
      <c r="CV142" s="721"/>
      <c r="CW142" s="721"/>
      <c r="CX142" s="721"/>
      <c r="CY142" s="721"/>
      <c r="CZ142" s="721"/>
      <c r="DA142" s="721"/>
      <c r="DB142" s="721"/>
      <c r="DC142" s="721"/>
      <c r="DD142" s="721"/>
      <c r="DE142" s="721"/>
      <c r="DF142" s="721"/>
      <c r="DG142" s="721"/>
      <c r="DH142" s="721"/>
      <c r="DI142" s="721"/>
      <c r="DJ142" s="721"/>
      <c r="DK142" s="721"/>
      <c r="DL142" s="721"/>
      <c r="DM142" s="721"/>
      <c r="DN142" s="721"/>
      <c r="DO142" s="721"/>
      <c r="DP142" s="721"/>
      <c r="DQ142" s="721"/>
      <c r="DR142" s="721"/>
      <c r="DS142" s="721"/>
      <c r="DT142" s="721" t="str">
        <f t="shared" si="338"/>
        <v>Casa-Fuera</v>
      </c>
      <c r="DU142" s="721"/>
      <c r="DV142" s="721"/>
      <c r="DW142" s="8"/>
    </row>
    <row r="143" spans="1:127" ht="15.95" customHeight="1" thickBot="1">
      <c r="A143" s="715" t="s">
        <v>758</v>
      </c>
      <c r="B143" s="715" t="s">
        <v>759</v>
      </c>
      <c r="C143" s="716"/>
      <c r="D143" s="724" t="str">
        <f>IF(AND(OR(AC143="",AD143="")),"W"&amp;AH143,IF(AC143&gt;AD143,AA143,IF(AC143&lt;AD143,AF143,IF(AND(AC143=AD143,AB143=AE143),"W"&amp;AH143,IF(AND(AC143=AD143,OR(AB143="",AE143="")),"W"&amp;AH143,IF(AND(AC143=AD143,AB143&gt;AE143),AA143,AF143))))))</f>
        <v>W103</v>
      </c>
      <c r="E143" s="721">
        <v>101</v>
      </c>
      <c r="F143" s="721">
        <v>102</v>
      </c>
      <c r="G143" s="721"/>
      <c r="H143" s="721"/>
      <c r="I143" s="721"/>
      <c r="J143" s="715">
        <v>103</v>
      </c>
      <c r="K143" s="715">
        <v>46221.875</v>
      </c>
      <c r="L143" s="715" t="s">
        <v>715</v>
      </c>
      <c r="M143" s="715" t="str">
        <f>+INDEX($D$101:$D$147,MATCH(E143,$AH$101:$AH$147,0))</f>
        <v>W101</v>
      </c>
      <c r="N143" s="715" t="str">
        <f>+INDEX($D$101:$D$147,MATCH(F143,$AH$101:$AH$147,0))</f>
        <v>W102</v>
      </c>
      <c r="O143" s="715"/>
      <c r="P143" s="715"/>
      <c r="Q143" s="715"/>
      <c r="R143" s="715"/>
      <c r="S143" s="715"/>
      <c r="T143" s="715"/>
      <c r="U143" s="715"/>
      <c r="V143" s="162"/>
      <c r="W143" s="321" t="s">
        <v>493</v>
      </c>
      <c r="X143" s="314">
        <f ca="1">Horarios!C143</f>
        <v>46221.958333333336</v>
      </c>
      <c r="Y143" s="315">
        <f ca="1">Horarios!C143</f>
        <v>46221.958333333336</v>
      </c>
      <c r="Z143" s="322">
        <f>AH143</f>
        <v>103</v>
      </c>
      <c r="AA143" s="323" t="str">
        <f>IF(AND(OR(AC138="",AD138="")),"L101",IF(AC138&gt;AD138,AF138,IF(AC138&lt;AD138,AA138,IF(AND(AC138=AD138,AB138=AE138),"L101",IF(AND(AC138=AD138,OR(AB138="",AE138="")),"L101",IF(AND(AC138=AD138,AB138&gt;AE138),AF138,AA138))))))</f>
        <v>L101</v>
      </c>
      <c r="AB143" s="324"/>
      <c r="AC143" s="325"/>
      <c r="AD143" s="325"/>
      <c r="AE143" s="324"/>
      <c r="AF143" s="326" t="str">
        <f>IF(AND(OR(AC139="",AD139="")),"L102",IF(AC139&gt;AD139,AF139,IF(AC139&lt;AD139,AA139,IF(AND(AC139=AD139,AB139=AE139),"L102",IF(AND(AC139=AD139,OR(AB139="",AE139="")),"L102",IF(AND(AC139=AD139,AB139&gt;AE139),AF139,AA139))))))</f>
        <v>L102</v>
      </c>
      <c r="AG143" s="400">
        <f>IF(D143="W"&amp;AH143,0,1)</f>
        <v>0</v>
      </c>
      <c r="AH143" s="303">
        <v>103</v>
      </c>
      <c r="AI143" s="207"/>
      <c r="AJ143" s="168"/>
      <c r="AK143" s="168"/>
      <c r="AL143" s="168"/>
      <c r="AM143" s="287"/>
      <c r="AN143" s="287"/>
      <c r="AO143" s="287"/>
      <c r="AP143" s="287"/>
      <c r="AQ143" s="287"/>
      <c r="AR143" s="287"/>
      <c r="AS143" s="287"/>
      <c r="AT143" s="287"/>
      <c r="AU143" s="15"/>
      <c r="AV143" s="15"/>
      <c r="AW143" s="287"/>
      <c r="AX143" s="287"/>
      <c r="AY143" s="232"/>
      <c r="AZ143" s="233"/>
      <c r="BA143" s="165"/>
      <c r="BB143" s="721"/>
      <c r="BC143" s="721"/>
      <c r="BD143" s="721"/>
      <c r="BE143" s="721"/>
      <c r="BF143" s="721"/>
      <c r="BG143" s="721"/>
      <c r="BH143" s="721"/>
      <c r="BI143" s="721"/>
      <c r="BJ143" s="721"/>
      <c r="BK143" s="721"/>
      <c r="BL143" s="721"/>
      <c r="BM143" s="721"/>
      <c r="BN143" s="721"/>
      <c r="BO143" s="721"/>
      <c r="BP143" s="721"/>
      <c r="BQ143" s="721"/>
      <c r="BR143" s="721"/>
      <c r="BS143" s="721"/>
      <c r="BT143" s="721"/>
      <c r="BU143" s="721"/>
      <c r="BV143" s="721"/>
      <c r="BW143" s="721"/>
      <c r="BX143" s="721"/>
      <c r="BY143" s="721"/>
      <c r="BZ143" s="721"/>
      <c r="CA143" s="721"/>
      <c r="CB143" s="721"/>
      <c r="CC143" s="721"/>
      <c r="CD143" s="721"/>
      <c r="CE143" s="721"/>
      <c r="CF143" s="721"/>
      <c r="CG143" s="721"/>
      <c r="CH143" s="721"/>
      <c r="CI143" s="721"/>
      <c r="CJ143" s="721"/>
      <c r="CK143" s="721"/>
      <c r="CL143" s="721"/>
      <c r="CM143" s="721"/>
      <c r="CN143" s="721"/>
      <c r="CO143" s="721"/>
      <c r="CP143" s="721"/>
      <c r="CQ143" s="721"/>
      <c r="CR143" s="721"/>
      <c r="CS143" s="721"/>
      <c r="CT143" s="721"/>
      <c r="CU143" s="721"/>
      <c r="CV143" s="721"/>
      <c r="CW143" s="721"/>
      <c r="CX143" s="721"/>
      <c r="CY143" s="721"/>
      <c r="CZ143" s="721"/>
      <c r="DA143" s="721"/>
      <c r="DB143" s="721"/>
      <c r="DC143" s="721"/>
      <c r="DD143" s="721"/>
      <c r="DE143" s="721"/>
      <c r="DF143" s="721"/>
      <c r="DG143" s="721"/>
      <c r="DH143" s="721"/>
      <c r="DI143" s="721"/>
      <c r="DJ143" s="721"/>
      <c r="DK143" s="721"/>
      <c r="DL143" s="721"/>
      <c r="DM143" s="721"/>
      <c r="DN143" s="721"/>
      <c r="DO143" s="721"/>
      <c r="DP143" s="721"/>
      <c r="DQ143" s="721"/>
      <c r="DR143" s="721"/>
      <c r="DS143" s="721"/>
      <c r="DT143" s="721" t="str">
        <f t="shared" si="338"/>
        <v>L101-L102</v>
      </c>
      <c r="DU143" s="721"/>
      <c r="DV143" s="721"/>
      <c r="DW143" s="8"/>
    </row>
    <row r="144" spans="1:127" ht="15.95" customHeight="1" thickBot="1">
      <c r="A144" s="716"/>
      <c r="B144" s="716"/>
      <c r="C144" s="716"/>
      <c r="D144" s="724"/>
      <c r="E144" s="721"/>
      <c r="F144" s="721"/>
      <c r="G144" s="721"/>
      <c r="H144" s="721"/>
      <c r="I144" s="721"/>
      <c r="J144" s="721"/>
      <c r="K144" s="721"/>
      <c r="L144" s="721"/>
      <c r="M144" s="721"/>
      <c r="N144" s="721"/>
      <c r="O144" s="721"/>
      <c r="P144" s="721"/>
      <c r="Q144" s="721"/>
      <c r="R144" s="721"/>
      <c r="S144" s="721"/>
      <c r="T144" s="721"/>
      <c r="U144" s="721"/>
      <c r="V144" s="162"/>
      <c r="W144" s="232"/>
      <c r="X144" s="233"/>
      <c r="Y144" s="232"/>
      <c r="Z144" s="234"/>
      <c r="AA144" s="235"/>
      <c r="AB144" s="236"/>
      <c r="AC144" s="237"/>
      <c r="AD144" s="237"/>
      <c r="AE144" s="236"/>
      <c r="AF144" s="238"/>
      <c r="AG144" s="401"/>
      <c r="AH144" s="303"/>
      <c r="AI144" s="207"/>
      <c r="AJ144" s="168"/>
      <c r="AK144" s="168"/>
      <c r="AL144" s="168"/>
      <c r="AM144" s="287"/>
      <c r="AN144" s="287"/>
      <c r="AO144" s="287"/>
      <c r="AP144" s="287"/>
      <c r="AQ144" s="287"/>
      <c r="AR144" s="287"/>
      <c r="AS144" s="287"/>
      <c r="AT144" s="287"/>
      <c r="AU144" s="15"/>
      <c r="AV144" s="15"/>
      <c r="AW144" s="287"/>
      <c r="AX144" s="287"/>
      <c r="AY144" s="232"/>
      <c r="AZ144" s="233"/>
      <c r="BA144" s="165"/>
      <c r="BB144" s="721"/>
      <c r="BC144" s="721"/>
      <c r="BD144" s="721"/>
      <c r="BE144" s="721"/>
      <c r="BF144" s="721"/>
      <c r="BG144" s="721"/>
      <c r="BH144" s="721"/>
      <c r="BI144" s="721"/>
      <c r="BJ144" s="721"/>
      <c r="BK144" s="721"/>
      <c r="BL144" s="721"/>
      <c r="BM144" s="721"/>
      <c r="BN144" s="721"/>
      <c r="BO144" s="721"/>
      <c r="BP144" s="721"/>
      <c r="BQ144" s="721"/>
      <c r="BR144" s="721"/>
      <c r="BS144" s="721"/>
      <c r="BT144" s="721"/>
      <c r="BU144" s="721"/>
      <c r="BV144" s="721"/>
      <c r="BW144" s="721"/>
      <c r="BX144" s="721"/>
      <c r="BY144" s="721"/>
      <c r="BZ144" s="721"/>
      <c r="CA144" s="721"/>
      <c r="CB144" s="721"/>
      <c r="CC144" s="721"/>
      <c r="CD144" s="721"/>
      <c r="CE144" s="721"/>
      <c r="CF144" s="721"/>
      <c r="CG144" s="721"/>
      <c r="CH144" s="721"/>
      <c r="CI144" s="721"/>
      <c r="CJ144" s="721"/>
      <c r="CK144" s="721"/>
      <c r="CL144" s="721"/>
      <c r="CM144" s="721"/>
      <c r="CN144" s="721"/>
      <c r="CO144" s="721"/>
      <c r="CP144" s="721"/>
      <c r="CQ144" s="721"/>
      <c r="CR144" s="721"/>
      <c r="CS144" s="721"/>
      <c r="CT144" s="721"/>
      <c r="CU144" s="721"/>
      <c r="CV144" s="721"/>
      <c r="CW144" s="721"/>
      <c r="CX144" s="721"/>
      <c r="CY144" s="721"/>
      <c r="CZ144" s="721"/>
      <c r="DA144" s="721"/>
      <c r="DB144" s="721"/>
      <c r="DC144" s="721"/>
      <c r="DD144" s="721"/>
      <c r="DE144" s="721"/>
      <c r="DF144" s="721"/>
      <c r="DG144" s="721"/>
      <c r="DH144" s="721"/>
      <c r="DI144" s="721"/>
      <c r="DJ144" s="721"/>
      <c r="DK144" s="721"/>
      <c r="DL144" s="721"/>
      <c r="DM144" s="721"/>
      <c r="DN144" s="721"/>
      <c r="DO144" s="721"/>
      <c r="DP144" s="721"/>
      <c r="DQ144" s="721"/>
      <c r="DR144" s="721"/>
      <c r="DS144" s="721"/>
      <c r="DT144" s="721" t="str">
        <f t="shared" si="338"/>
        <v>-</v>
      </c>
      <c r="DU144" s="721"/>
      <c r="DV144" s="721"/>
      <c r="DW144" s="8"/>
    </row>
    <row r="145" spans="1:127" ht="15.95" customHeight="1" thickBot="1">
      <c r="A145" s="716"/>
      <c r="B145" s="716"/>
      <c r="C145" s="716"/>
      <c r="D145" s="724"/>
      <c r="E145" s="721"/>
      <c r="F145" s="721"/>
      <c r="G145" s="721"/>
      <c r="H145" s="721"/>
      <c r="I145" s="721"/>
      <c r="J145" s="721"/>
      <c r="K145" s="721"/>
      <c r="L145" s="721"/>
      <c r="M145" s="721"/>
      <c r="N145" s="721"/>
      <c r="O145" s="721"/>
      <c r="P145" s="721"/>
      <c r="Q145" s="721"/>
      <c r="R145" s="721"/>
      <c r="S145" s="721"/>
      <c r="T145" s="721"/>
      <c r="U145" s="721"/>
      <c r="V145" s="162"/>
      <c r="W145" s="307" t="str">
        <f>Idiomas!D30</f>
        <v>Final</v>
      </c>
      <c r="X145" s="308"/>
      <c r="Y145" s="309"/>
      <c r="Z145" s="309"/>
      <c r="AA145" s="327"/>
      <c r="AB145" s="309"/>
      <c r="AC145" s="309"/>
      <c r="AD145" s="309"/>
      <c r="AE145" s="309"/>
      <c r="AF145" s="310"/>
      <c r="AG145" s="401"/>
      <c r="AH145" s="303"/>
      <c r="AI145" s="207"/>
      <c r="AJ145" s="168"/>
      <c r="AK145" s="168"/>
      <c r="AL145" s="168"/>
      <c r="AM145" s="287"/>
      <c r="AN145" s="287"/>
      <c r="AO145" s="287"/>
      <c r="AP145" s="287"/>
      <c r="AQ145" s="287"/>
      <c r="AR145" s="287"/>
      <c r="AS145" s="287"/>
      <c r="AT145" s="287"/>
      <c r="AU145" s="15"/>
      <c r="AV145" s="15"/>
      <c r="AW145" s="287"/>
      <c r="AX145" s="287"/>
      <c r="AY145" s="232"/>
      <c r="AZ145" s="233"/>
      <c r="BA145" s="165"/>
      <c r="BB145" s="721"/>
      <c r="BC145" s="721"/>
      <c r="BD145" s="721"/>
      <c r="BE145" s="721"/>
      <c r="BF145" s="721"/>
      <c r="BG145" s="721"/>
      <c r="BH145" s="721"/>
      <c r="BI145" s="721"/>
      <c r="BJ145" s="721"/>
      <c r="BK145" s="721"/>
      <c r="BL145" s="721"/>
      <c r="BM145" s="721"/>
      <c r="BN145" s="721"/>
      <c r="BO145" s="721"/>
      <c r="BP145" s="721"/>
      <c r="BQ145" s="721"/>
      <c r="BR145" s="721"/>
      <c r="BS145" s="721"/>
      <c r="BT145" s="721"/>
      <c r="BU145" s="721"/>
      <c r="BV145" s="721"/>
      <c r="BW145" s="721"/>
      <c r="BX145" s="721"/>
      <c r="BY145" s="721"/>
      <c r="BZ145" s="721"/>
      <c r="CA145" s="721"/>
      <c r="CB145" s="721"/>
      <c r="CC145" s="721"/>
      <c r="CD145" s="721"/>
      <c r="CE145" s="721"/>
      <c r="CF145" s="721"/>
      <c r="CG145" s="721"/>
      <c r="CH145" s="721"/>
      <c r="CI145" s="721"/>
      <c r="CJ145" s="721"/>
      <c r="CK145" s="721"/>
      <c r="CL145" s="721"/>
      <c r="CM145" s="721"/>
      <c r="CN145" s="721"/>
      <c r="CO145" s="721"/>
      <c r="CP145" s="721"/>
      <c r="CQ145" s="721"/>
      <c r="CR145" s="721"/>
      <c r="CS145" s="721"/>
      <c r="CT145" s="721"/>
      <c r="CU145" s="721"/>
      <c r="CV145" s="721"/>
      <c r="CW145" s="721"/>
      <c r="CX145" s="721"/>
      <c r="CY145" s="721"/>
      <c r="CZ145" s="721"/>
      <c r="DA145" s="721"/>
      <c r="DB145" s="721"/>
      <c r="DC145" s="721"/>
      <c r="DD145" s="721"/>
      <c r="DE145" s="721"/>
      <c r="DF145" s="721"/>
      <c r="DG145" s="721"/>
      <c r="DH145" s="721"/>
      <c r="DI145" s="721"/>
      <c r="DJ145" s="721"/>
      <c r="DK145" s="721"/>
      <c r="DL145" s="721"/>
      <c r="DM145" s="721"/>
      <c r="DN145" s="721"/>
      <c r="DO145" s="721"/>
      <c r="DP145" s="721"/>
      <c r="DQ145" s="721"/>
      <c r="DR145" s="721"/>
      <c r="DS145" s="721"/>
      <c r="DT145" s="721" t="str">
        <f t="shared" si="338"/>
        <v>-</v>
      </c>
      <c r="DU145" s="721"/>
      <c r="DV145" s="721"/>
      <c r="DW145" s="8"/>
    </row>
    <row r="146" spans="1:127" ht="15.95" customHeight="1">
      <c r="A146" s="716"/>
      <c r="B146" s="716"/>
      <c r="C146" s="716"/>
      <c r="D146" s="724"/>
      <c r="E146" s="721"/>
      <c r="F146" s="721"/>
      <c r="G146" s="721"/>
      <c r="H146" s="721"/>
      <c r="I146" s="721"/>
      <c r="J146" s="721"/>
      <c r="K146" s="721"/>
      <c r="L146" s="721"/>
      <c r="M146" s="721"/>
      <c r="N146" s="721"/>
      <c r="O146" s="721"/>
      <c r="P146" s="721"/>
      <c r="Q146" s="721"/>
      <c r="R146" s="721"/>
      <c r="S146" s="721"/>
      <c r="T146" s="721"/>
      <c r="U146" s="721"/>
      <c r="V146" s="162"/>
      <c r="W146" s="311"/>
      <c r="X146" s="170" t="str">
        <f>X3</f>
        <v>Fecha</v>
      </c>
      <c r="Y146" s="170" t="str">
        <f>Y3</f>
        <v>Hora</v>
      </c>
      <c r="Z146" s="255"/>
      <c r="AA146" s="256" t="str">
        <f>AA3</f>
        <v>Casa</v>
      </c>
      <c r="AB146" s="255" t="s">
        <v>13</v>
      </c>
      <c r="AC146" s="170" t="s">
        <v>17</v>
      </c>
      <c r="AD146" s="170" t="s">
        <v>17</v>
      </c>
      <c r="AE146" s="255" t="s">
        <v>13</v>
      </c>
      <c r="AF146" s="312" t="str">
        <f>AF3</f>
        <v>Fuera</v>
      </c>
      <c r="AG146" s="401"/>
      <c r="AH146" s="303"/>
      <c r="AI146" s="14"/>
      <c r="AJ146" s="163"/>
      <c r="AK146" s="163"/>
      <c r="AL146" s="168"/>
      <c r="AM146" s="287"/>
      <c r="AN146" s="287"/>
      <c r="AO146" s="287"/>
      <c r="AP146" s="287"/>
      <c r="AQ146" s="287"/>
      <c r="AR146" s="287"/>
      <c r="AS146" s="287"/>
      <c r="AT146" s="287"/>
      <c r="AU146" s="15"/>
      <c r="AV146" s="15"/>
      <c r="AW146" s="287"/>
      <c r="AX146" s="287"/>
      <c r="AY146" s="232"/>
      <c r="AZ146" s="233"/>
      <c r="BA146" s="165"/>
      <c r="BB146" s="721"/>
      <c r="BC146" s="721"/>
      <c r="BD146" s="721"/>
      <c r="BE146" s="721"/>
      <c r="BF146" s="721"/>
      <c r="BG146" s="721"/>
      <c r="BH146" s="721"/>
      <c r="BI146" s="721"/>
      <c r="BJ146" s="721"/>
      <c r="BK146" s="721"/>
      <c r="BL146" s="721"/>
      <c r="BM146" s="721"/>
      <c r="BN146" s="721"/>
      <c r="BO146" s="721"/>
      <c r="BP146" s="721"/>
      <c r="BQ146" s="721"/>
      <c r="BR146" s="721"/>
      <c r="BS146" s="721"/>
      <c r="BT146" s="721"/>
      <c r="BU146" s="721"/>
      <c r="BV146" s="721"/>
      <c r="BW146" s="721"/>
      <c r="BX146" s="721"/>
      <c r="BY146" s="721"/>
      <c r="BZ146" s="721"/>
      <c r="CA146" s="721"/>
      <c r="CB146" s="721"/>
      <c r="CC146" s="721"/>
      <c r="CD146" s="721"/>
      <c r="CE146" s="721"/>
      <c r="CF146" s="721"/>
      <c r="CG146" s="721"/>
      <c r="CH146" s="721"/>
      <c r="CI146" s="721"/>
      <c r="CJ146" s="721"/>
      <c r="CK146" s="721"/>
      <c r="CL146" s="721"/>
      <c r="CM146" s="721"/>
      <c r="CN146" s="721"/>
      <c r="CO146" s="721"/>
      <c r="CP146" s="721"/>
      <c r="CQ146" s="721"/>
      <c r="CR146" s="721"/>
      <c r="CS146" s="721"/>
      <c r="CT146" s="721"/>
      <c r="CU146" s="721"/>
      <c r="CV146" s="721"/>
      <c r="CW146" s="721"/>
      <c r="CX146" s="721"/>
      <c r="CY146" s="721"/>
      <c r="CZ146" s="721"/>
      <c r="DA146" s="721"/>
      <c r="DB146" s="721"/>
      <c r="DC146" s="721"/>
      <c r="DD146" s="721"/>
      <c r="DE146" s="721"/>
      <c r="DF146" s="721"/>
      <c r="DG146" s="721"/>
      <c r="DH146" s="721"/>
      <c r="DI146" s="721"/>
      <c r="DJ146" s="721"/>
      <c r="DK146" s="721"/>
      <c r="DL146" s="721"/>
      <c r="DM146" s="721"/>
      <c r="DN146" s="721"/>
      <c r="DO146" s="721"/>
      <c r="DP146" s="721"/>
      <c r="DQ146" s="721"/>
      <c r="DR146" s="721"/>
      <c r="DS146" s="721"/>
      <c r="DT146" s="721" t="str">
        <f t="shared" si="338"/>
        <v>Casa-Fuera</v>
      </c>
      <c r="DU146" s="721"/>
      <c r="DV146" s="721"/>
      <c r="DW146" s="8"/>
    </row>
    <row r="147" spans="1:127" ht="15.95" customHeight="1" thickBot="1">
      <c r="A147" s="715" t="s">
        <v>760</v>
      </c>
      <c r="B147" s="715" t="s">
        <v>761</v>
      </c>
      <c r="C147" s="716"/>
      <c r="D147" s="724" t="str">
        <f>IF(AND(OR(AC147="",AD147="")),"W"&amp;AH147,IF(AC147&gt;AD147,AA147,IF(AC147&lt;AD147,AF147,IF(AND(AC147=AD147,AB147=AE147),"W"&amp;AH147,IF(AND(AC147=AD147,OR(AB147="",AE147="")),"W"&amp;AH147,IF(AND(AC147=AD147,AB147&gt;AE147),AA147,AF147))))))</f>
        <v>W104</v>
      </c>
      <c r="E147" s="721">
        <v>101</v>
      </c>
      <c r="F147" s="721">
        <v>102</v>
      </c>
      <c r="G147" s="721"/>
      <c r="H147" s="721" t="str">
        <f>IF(AND(OR(AC147="",AD147="")),"LF",IF(AC147&gt;AD147,AF147,IF(AC147&lt;AD147,AA147,IF(AND(AC147=AD147,AB147=AE147),"LF",IF(AND(AC147=AD147,OR(AB147="",AE147="")),"LF",IF(AND(AC147=AD147,AB147&gt;AE147),AF147,AA147))))))</f>
        <v>LF</v>
      </c>
      <c r="I147" s="721"/>
      <c r="J147" s="715">
        <v>104</v>
      </c>
      <c r="K147" s="715">
        <v>46222.875</v>
      </c>
      <c r="L147" s="715" t="s">
        <v>716</v>
      </c>
      <c r="M147" s="715" t="str">
        <f>+INDEX($D$101:$D$147,MATCH(E147,$AH$101:$AH$147,0))</f>
        <v>W101</v>
      </c>
      <c r="N147" s="715" t="str">
        <f>+INDEX($D$101:$D$147,MATCH(F147,$AH$101:$AH$147,0))</f>
        <v>W102</v>
      </c>
      <c r="O147" s="715"/>
      <c r="P147" s="715"/>
      <c r="Q147" s="715"/>
      <c r="R147" s="715"/>
      <c r="S147" s="715"/>
      <c r="T147" s="715"/>
      <c r="U147" s="715"/>
      <c r="V147" s="162"/>
      <c r="W147" s="328" t="s">
        <v>4</v>
      </c>
      <c r="X147" s="314">
        <f ca="1">Horarios!C147</f>
        <v>46222.875</v>
      </c>
      <c r="Y147" s="315">
        <f ca="1">Horarios!C147</f>
        <v>46222.875</v>
      </c>
      <c r="Z147" s="322">
        <f>AH147</f>
        <v>104</v>
      </c>
      <c r="AA147" s="323" t="str">
        <f>IF(AND(OR(AC138="",AD138="")),"W"&amp;AH138,IF(AC138&gt;AD138,AA138,IF(AC138&lt;AD138,AF138,IF(AND(AC138=AD138,AB138=AE138),"W"&amp;AH138,IF(AND(AC138=AD138,OR(AB138="",AE138="")),"W"&amp;AH138,IF(AND(AC138=AD138,AB138&gt;AE138),AA138,AF138))))))</f>
        <v>W101</v>
      </c>
      <c r="AB147" s="324"/>
      <c r="AC147" s="325"/>
      <c r="AD147" s="325"/>
      <c r="AE147" s="324"/>
      <c r="AF147" s="326" t="str">
        <f>IF(AND(OR(AC139="",AD139="")),"W"&amp;AH139,IF(AC139&gt;AD139,AA139,IF(AC139&lt;AD139,AF139,IF(AND(AC139=AD139,AB139=AE139),"W"&amp;AH139,IF(AND(AC139=AD139,OR(AB139="",AE139="")),"W"&amp;AH139,IF(AND(AC139=AD139,AB139&gt;AE139),AA139,AF139))))))</f>
        <v>W102</v>
      </c>
      <c r="AG147" s="400">
        <f>IF(D147="W"&amp;AH147,0,1)</f>
        <v>0</v>
      </c>
      <c r="AH147" s="303">
        <v>104</v>
      </c>
      <c r="AI147" s="14"/>
      <c r="AJ147" s="163"/>
      <c r="AK147" s="163"/>
      <c r="AL147" s="168"/>
      <c r="AM147" s="163"/>
      <c r="AN147" s="163"/>
      <c r="AO147" s="163"/>
      <c r="AP147" s="164"/>
      <c r="AQ147" s="164"/>
      <c r="AR147" s="164"/>
      <c r="AS147" s="164"/>
      <c r="AT147" s="164"/>
      <c r="AU147" s="18"/>
      <c r="AV147" s="18"/>
      <c r="AW147" s="168"/>
      <c r="AX147" s="168"/>
      <c r="AY147" s="232"/>
      <c r="AZ147" s="233"/>
      <c r="BA147" s="165"/>
      <c r="BB147" s="721"/>
      <c r="BC147" s="721"/>
      <c r="BD147" s="721"/>
      <c r="BE147" s="721"/>
      <c r="BF147" s="721"/>
      <c r="BG147" s="721"/>
      <c r="BH147" s="721"/>
      <c r="BI147" s="721"/>
      <c r="BJ147" s="721"/>
      <c r="BK147" s="721"/>
      <c r="BL147" s="721"/>
      <c r="BM147" s="721"/>
      <c r="BN147" s="721"/>
      <c r="BO147" s="721"/>
      <c r="BP147" s="721"/>
      <c r="BQ147" s="721"/>
      <c r="BR147" s="721"/>
      <c r="BS147" s="721"/>
      <c r="BT147" s="721"/>
      <c r="BU147" s="721"/>
      <c r="BV147" s="721"/>
      <c r="BW147" s="721"/>
      <c r="BX147" s="721"/>
      <c r="BY147" s="721"/>
      <c r="BZ147" s="721"/>
      <c r="CA147" s="721"/>
      <c r="CB147" s="721"/>
      <c r="CC147" s="721"/>
      <c r="CD147" s="721"/>
      <c r="CE147" s="721"/>
      <c r="CF147" s="721"/>
      <c r="CG147" s="721"/>
      <c r="CH147" s="721"/>
      <c r="CI147" s="721"/>
      <c r="CJ147" s="721"/>
      <c r="CK147" s="721"/>
      <c r="CL147" s="721"/>
      <c r="CM147" s="721"/>
      <c r="CN147" s="721"/>
      <c r="CO147" s="721"/>
      <c r="CP147" s="721"/>
      <c r="CQ147" s="721"/>
      <c r="CR147" s="721"/>
      <c r="CS147" s="721"/>
      <c r="CT147" s="721"/>
      <c r="CU147" s="721"/>
      <c r="CV147" s="721"/>
      <c r="CW147" s="721"/>
      <c r="CX147" s="721"/>
      <c r="CY147" s="721"/>
      <c r="CZ147" s="721"/>
      <c r="DA147" s="721"/>
      <c r="DB147" s="721"/>
      <c r="DC147" s="721"/>
      <c r="DD147" s="721"/>
      <c r="DE147" s="721"/>
      <c r="DF147" s="721"/>
      <c r="DG147" s="721"/>
      <c r="DH147" s="721"/>
      <c r="DI147" s="721"/>
      <c r="DJ147" s="721"/>
      <c r="DK147" s="721"/>
      <c r="DL147" s="721"/>
      <c r="DM147" s="721"/>
      <c r="DN147" s="721"/>
      <c r="DO147" s="721"/>
      <c r="DP147" s="721"/>
      <c r="DQ147" s="721"/>
      <c r="DR147" s="721"/>
      <c r="DS147" s="721"/>
      <c r="DT147" s="721" t="str">
        <f t="shared" si="338"/>
        <v>W101-W102</v>
      </c>
      <c r="DU147" s="721"/>
      <c r="DV147" s="721"/>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62"/>
      <c r="W148" s="232"/>
      <c r="X148" s="233"/>
      <c r="Y148" s="232"/>
      <c r="Z148" s="234"/>
      <c r="AA148" s="235"/>
      <c r="AB148" s="236"/>
      <c r="AC148" s="237"/>
      <c r="AD148" s="237"/>
      <c r="AE148" s="236"/>
      <c r="AF148" s="238"/>
      <c r="AG148" s="401"/>
      <c r="AH148" s="329"/>
      <c r="AI148" s="329"/>
      <c r="AJ148" s="287"/>
      <c r="AK148" s="287"/>
      <c r="AL148" s="15" t="str">
        <f>Idiomas!D49</f>
        <v>MUNDIAL EN CURSO</v>
      </c>
      <c r="AM148" s="15" t="str">
        <f>Idiomas!D50</f>
        <v>Todavía hay emoción</v>
      </c>
      <c r="AN148" s="287"/>
      <c r="AO148" s="287"/>
      <c r="AP148" s="287"/>
      <c r="AQ148" s="287"/>
      <c r="AR148" s="287"/>
      <c r="AS148" s="287"/>
      <c r="AT148" s="287"/>
      <c r="AU148" s="15"/>
      <c r="AV148" s="15"/>
      <c r="AW148" s="287"/>
      <c r="AX148" s="287"/>
      <c r="AY148" s="232"/>
      <c r="AZ148" s="233"/>
      <c r="BA148" s="165"/>
      <c r="BB148" s="721"/>
      <c r="BC148" s="721"/>
      <c r="BD148" s="721"/>
      <c r="BE148" s="721"/>
      <c r="BF148" s="721"/>
      <c r="BG148" s="721"/>
      <c r="BH148" s="721"/>
      <c r="BI148" s="721"/>
      <c r="BJ148" s="721"/>
      <c r="BK148" s="721"/>
      <c r="BL148" s="721"/>
      <c r="BM148" s="721"/>
      <c r="BN148" s="721"/>
      <c r="BO148" s="721"/>
      <c r="BP148" s="721"/>
      <c r="BQ148" s="721"/>
      <c r="BR148" s="721"/>
      <c r="BS148" s="721"/>
      <c r="BT148" s="721"/>
      <c r="BU148" s="721"/>
      <c r="BV148" s="721"/>
      <c r="BW148" s="721"/>
      <c r="BX148" s="721"/>
      <c r="BY148" s="721"/>
      <c r="BZ148" s="721"/>
      <c r="CA148" s="721"/>
      <c r="CB148" s="721"/>
      <c r="CC148" s="721"/>
      <c r="CD148" s="721"/>
      <c r="CE148" s="721"/>
      <c r="CF148" s="721"/>
      <c r="CG148" s="721"/>
      <c r="CH148" s="721"/>
      <c r="CI148" s="721"/>
      <c r="CJ148" s="721"/>
      <c r="CK148" s="721"/>
      <c r="CL148" s="721"/>
      <c r="CM148" s="721"/>
      <c r="CN148" s="721"/>
      <c r="CO148" s="721"/>
      <c r="CP148" s="721"/>
      <c r="CQ148" s="721"/>
      <c r="CR148" s="721"/>
      <c r="CS148" s="721"/>
      <c r="CT148" s="721"/>
      <c r="CU148" s="721"/>
      <c r="CV148" s="721"/>
      <c r="CW148" s="721"/>
      <c r="CX148" s="721"/>
      <c r="CY148" s="721"/>
      <c r="CZ148" s="721"/>
      <c r="DA148" s="721"/>
      <c r="DB148" s="721"/>
      <c r="DC148" s="721"/>
      <c r="DD148" s="721"/>
      <c r="DE148" s="721"/>
      <c r="DF148" s="721"/>
      <c r="DG148" s="721"/>
      <c r="DH148" s="721"/>
      <c r="DI148" s="721"/>
      <c r="DJ148" s="721"/>
      <c r="DK148" s="721"/>
      <c r="DL148" s="721"/>
      <c r="DM148" s="721"/>
      <c r="DN148" s="721"/>
      <c r="DO148" s="721"/>
      <c r="DP148" s="721"/>
      <c r="DQ148" s="721"/>
      <c r="DR148" s="721"/>
      <c r="DS148" s="721"/>
      <c r="DT148" s="721"/>
      <c r="DU148" s="721"/>
      <c r="DV148" s="721"/>
      <c r="DW148" s="8"/>
    </row>
    <row r="149" spans="1:127" ht="15.95" customHeight="1" thickBot="1">
      <c r="A149" s="710"/>
      <c r="B149" s="710"/>
      <c r="C149" s="710"/>
      <c r="D149" s="710"/>
      <c r="E149" s="710"/>
      <c r="F149" s="710"/>
      <c r="G149" s="710"/>
      <c r="H149" s="710"/>
      <c r="I149" s="710"/>
      <c r="J149" s="710"/>
      <c r="K149" s="710"/>
      <c r="L149" s="710"/>
      <c r="M149" s="710"/>
      <c r="N149" s="710"/>
      <c r="O149" s="710"/>
      <c r="P149" s="710"/>
      <c r="Q149" s="710"/>
      <c r="R149" s="710"/>
      <c r="S149" s="710"/>
      <c r="T149" s="710"/>
      <c r="U149" s="710"/>
      <c r="V149" s="162"/>
      <c r="W149" s="330"/>
      <c r="X149" s="331"/>
      <c r="Y149" s="332"/>
      <c r="Z149" s="332"/>
      <c r="AA149" s="333" t="str">
        <f>Idiomas!D31</f>
        <v>Cuadro de honor</v>
      </c>
      <c r="AB149" s="332"/>
      <c r="AC149" s="331"/>
      <c r="AD149" s="331"/>
      <c r="AE149" s="332"/>
      <c r="AF149" s="334"/>
      <c r="AG149" s="402"/>
      <c r="AH149" s="335"/>
      <c r="AI149" s="329"/>
      <c r="AJ149" s="287"/>
      <c r="AK149" s="287"/>
      <c r="AL149" s="15" t="str">
        <f>Idiomas!D51</f>
        <v>MUNDIAL FINALIZADO</v>
      </c>
      <c r="AM149" s="15" t="str">
        <f>Idiomas!D52</f>
        <v>¿Quién habrá ganado?</v>
      </c>
      <c r="AN149" s="287"/>
      <c r="AO149" s="287"/>
      <c r="AP149" s="287"/>
      <c r="AQ149" s="287"/>
      <c r="AR149" s="287"/>
      <c r="AS149" s="287"/>
      <c r="AT149" s="287"/>
      <c r="AU149" s="15"/>
      <c r="AV149" s="15"/>
      <c r="AW149" s="287"/>
      <c r="AX149" s="287"/>
      <c r="AY149" s="232"/>
      <c r="AZ149" s="233"/>
      <c r="BA149" s="165"/>
      <c r="BB149" s="721"/>
      <c r="BC149" s="721"/>
      <c r="BD149" s="721"/>
      <c r="BE149" s="721"/>
      <c r="BF149" s="721"/>
      <c r="BG149" s="721"/>
      <c r="BH149" s="721"/>
      <c r="BI149" s="721"/>
      <c r="BJ149" s="721"/>
      <c r="BK149" s="721"/>
      <c r="BL149" s="721"/>
      <c r="BM149" s="721"/>
      <c r="BN149" s="721"/>
      <c r="BO149" s="721"/>
      <c r="BP149" s="721"/>
      <c r="BQ149" s="721"/>
      <c r="BR149" s="721"/>
      <c r="BS149" s="721"/>
      <c r="BT149" s="721"/>
      <c r="BU149" s="721"/>
      <c r="BV149" s="721"/>
      <c r="BW149" s="721"/>
      <c r="BX149" s="721"/>
      <c r="BY149" s="721"/>
      <c r="BZ149" s="721"/>
      <c r="CA149" s="721"/>
      <c r="CB149" s="721"/>
      <c r="CC149" s="721"/>
      <c r="CD149" s="721"/>
      <c r="CE149" s="721"/>
      <c r="CF149" s="721"/>
      <c r="CG149" s="721"/>
      <c r="CH149" s="721"/>
      <c r="CI149" s="721"/>
      <c r="CJ149" s="721"/>
      <c r="CK149" s="721"/>
      <c r="CL149" s="721"/>
      <c r="CM149" s="721"/>
      <c r="CN149" s="721"/>
      <c r="CO149" s="721"/>
      <c r="CP149" s="721"/>
      <c r="CQ149" s="721"/>
      <c r="CR149" s="721"/>
      <c r="CS149" s="721"/>
      <c r="CT149" s="721"/>
      <c r="CU149" s="721"/>
      <c r="CV149" s="721"/>
      <c r="CW149" s="721"/>
      <c r="CX149" s="721"/>
      <c r="CY149" s="721"/>
      <c r="CZ149" s="721"/>
      <c r="DA149" s="721"/>
      <c r="DB149" s="721"/>
      <c r="DC149" s="721"/>
      <c r="DD149" s="721"/>
      <c r="DE149" s="721"/>
      <c r="DF149" s="721"/>
      <c r="DG149" s="721"/>
      <c r="DH149" s="721"/>
      <c r="DI149" s="721"/>
      <c r="DJ149" s="721"/>
      <c r="DK149" s="721"/>
      <c r="DL149" s="721"/>
      <c r="DM149" s="721"/>
      <c r="DN149" s="721"/>
      <c r="DO149" s="721"/>
      <c r="DP149" s="721"/>
      <c r="DQ149" s="721"/>
      <c r="DR149" s="721"/>
      <c r="DS149" s="721"/>
      <c r="DT149" s="721"/>
      <c r="DU149" s="721"/>
      <c r="DV149" s="721"/>
      <c r="DW149" s="8"/>
    </row>
    <row r="150" spans="1:127" ht="15.95" customHeight="1" thickBot="1">
      <c r="A150" s="710"/>
      <c r="B150" s="710"/>
      <c r="C150" s="710"/>
      <c r="D150" s="710"/>
      <c r="E150" s="710"/>
      <c r="F150" s="710"/>
      <c r="G150" s="710"/>
      <c r="H150" s="710"/>
      <c r="I150" s="710"/>
      <c r="J150" s="710"/>
      <c r="K150" s="710"/>
      <c r="L150" s="710"/>
      <c r="M150" s="710"/>
      <c r="N150" s="710"/>
      <c r="O150" s="710"/>
      <c r="P150" s="710"/>
      <c r="Q150" s="710"/>
      <c r="R150" s="710"/>
      <c r="S150" s="710"/>
      <c r="T150" s="710"/>
      <c r="U150" s="710"/>
      <c r="V150" s="162"/>
      <c r="W150" s="336" t="str">
        <f>"🥇"&amp;Idiomas!D32</f>
        <v>🥇Campeón</v>
      </c>
      <c r="X150" s="337"/>
      <c r="Y150" s="338"/>
      <c r="Z150" s="338"/>
      <c r="AA150" s="339" t="str">
        <f>IF(AND(OR(AC147="",AD147="")),"WF",IF(AC147&gt;AD147,AA147,IF(AC147&lt;AD147,AF147,IF(AND(AC147=AD147,AB147=AE147),"WF",IF(AND(AC147=AD147,OR(AB147="",AE147="")),"WF",IF(AND(AC147=AD147,AB147&gt;AE147),AA147,AF147))))))</f>
        <v>WF</v>
      </c>
      <c r="AB150" s="340"/>
      <c r="AC150" s="340"/>
      <c r="AD150" s="340"/>
      <c r="AE150" s="340"/>
      <c r="AF150" s="341"/>
      <c r="AG150" s="400">
        <f>IF(AA150="WF",0,1)</f>
        <v>0</v>
      </c>
      <c r="AH150" s="335"/>
      <c r="AI150" s="335"/>
      <c r="AJ150" s="163"/>
      <c r="AK150" s="163"/>
      <c r="AL150" s="163"/>
      <c r="AM150" s="163"/>
      <c r="AN150" s="163"/>
      <c r="AO150" s="163"/>
      <c r="AP150" s="163"/>
      <c r="AQ150" s="163"/>
      <c r="AR150" s="163"/>
      <c r="AS150" s="163"/>
      <c r="AT150" s="163"/>
      <c r="AU150" s="335"/>
      <c r="AV150" s="335"/>
      <c r="AW150" s="163"/>
      <c r="AX150" s="163"/>
      <c r="AY150" s="232"/>
      <c r="AZ150" s="233"/>
      <c r="BA150" s="165"/>
      <c r="BB150" s="721"/>
      <c r="BC150" s="721"/>
      <c r="BD150" s="721"/>
      <c r="BE150" s="721"/>
      <c r="BF150" s="721"/>
      <c r="BG150" s="721"/>
      <c r="BH150" s="721"/>
      <c r="BI150" s="721"/>
      <c r="BJ150" s="721"/>
      <c r="BK150" s="721"/>
      <c r="BL150" s="721"/>
      <c r="BM150" s="721"/>
      <c r="BN150" s="721"/>
      <c r="BO150" s="721"/>
      <c r="BP150" s="721"/>
      <c r="BQ150" s="721"/>
      <c r="BR150" s="721"/>
      <c r="BS150" s="721"/>
      <c r="BT150" s="721"/>
      <c r="BU150" s="721"/>
      <c r="BV150" s="721"/>
      <c r="BW150" s="721"/>
      <c r="BX150" s="721"/>
      <c r="BY150" s="721"/>
      <c r="BZ150" s="721"/>
      <c r="CA150" s="721"/>
      <c r="CB150" s="721"/>
      <c r="CC150" s="721"/>
      <c r="CD150" s="721"/>
      <c r="CE150" s="721"/>
      <c r="CF150" s="721"/>
      <c r="CG150" s="721"/>
      <c r="CH150" s="721"/>
      <c r="CI150" s="721"/>
      <c r="CJ150" s="721"/>
      <c r="CK150" s="721"/>
      <c r="CL150" s="721"/>
      <c r="CM150" s="721"/>
      <c r="CN150" s="721"/>
      <c r="CO150" s="721"/>
      <c r="CP150" s="721"/>
      <c r="CQ150" s="721"/>
      <c r="CR150" s="721"/>
      <c r="CS150" s="721"/>
      <c r="CT150" s="721"/>
      <c r="CU150" s="721"/>
      <c r="CV150" s="721"/>
      <c r="CW150" s="721"/>
      <c r="CX150" s="721"/>
      <c r="CY150" s="721"/>
      <c r="CZ150" s="721"/>
      <c r="DA150" s="721"/>
      <c r="DB150" s="721"/>
      <c r="DC150" s="721"/>
      <c r="DD150" s="721"/>
      <c r="DE150" s="721"/>
      <c r="DF150" s="721"/>
      <c r="DG150" s="721"/>
      <c r="DH150" s="721"/>
      <c r="DI150" s="721"/>
      <c r="DJ150" s="721"/>
      <c r="DK150" s="721"/>
      <c r="DL150" s="721"/>
      <c r="DM150" s="721"/>
      <c r="DN150" s="721"/>
      <c r="DO150" s="721"/>
      <c r="DP150" s="721"/>
      <c r="DQ150" s="721"/>
      <c r="DR150" s="721"/>
      <c r="DS150" s="721"/>
      <c r="DT150" s="721"/>
      <c r="DU150" s="721"/>
      <c r="DV150" s="721"/>
      <c r="DW150" s="8"/>
    </row>
    <row r="151" spans="1:127" ht="15.95" customHeight="1">
      <c r="A151" s="710"/>
      <c r="B151" s="710"/>
      <c r="C151" s="710"/>
      <c r="D151" s="710"/>
      <c r="E151" s="710"/>
      <c r="F151" s="710"/>
      <c r="G151" s="710"/>
      <c r="H151" s="710"/>
      <c r="I151" s="710"/>
      <c r="J151" s="710"/>
      <c r="K151" s="710"/>
      <c r="L151" s="710"/>
      <c r="M151" s="710"/>
      <c r="N151" s="710"/>
      <c r="O151" s="710"/>
      <c r="P151" s="710"/>
      <c r="Q151" s="710"/>
      <c r="R151" s="710"/>
      <c r="S151" s="710"/>
      <c r="T151" s="710"/>
      <c r="U151" s="710"/>
      <c r="V151" s="162"/>
      <c r="W151" s="336" t="str">
        <f>"🥈"&amp;Idiomas!D33</f>
        <v>🥈Subcampeón</v>
      </c>
      <c r="X151" s="337"/>
      <c r="Y151" s="338"/>
      <c r="Z151" s="338"/>
      <c r="AA151" s="342" t="str">
        <f>IF(AND(OR(AC147="",AD147="")),"LF",IF(AC147&gt;AD147,AF147,IF(AC147&lt;AD147,AA147,IF(AND(AC147=AD147,AB147=AE147),"LF",IF(AND(AC147=AD147,OR(AB147="",AE147="")),"LF",IF(AND(AC147=AD147,AB147&gt;AE147),AF147,AA147))))))</f>
        <v>LF</v>
      </c>
      <c r="AB151" s="343"/>
      <c r="AC151" s="343"/>
      <c r="AD151" s="343"/>
      <c r="AE151" s="343"/>
      <c r="AF151" s="344"/>
      <c r="AG151" s="400">
        <f>IF(AA151="LF",0,1)</f>
        <v>0</v>
      </c>
      <c r="AH151" s="335"/>
      <c r="AI151" s="335"/>
      <c r="AJ151" s="819" t="str">
        <f>IF(SUM(COUNTIF(AG4:AG97,0),COUNTIF(AG101:AG160,0)&gt;0),AL148,AL149)</f>
        <v>MUNDIAL EN CURSO</v>
      </c>
      <c r="AK151" s="820"/>
      <c r="AL151" s="820"/>
      <c r="AM151" s="820"/>
      <c r="AN151" s="820"/>
      <c r="AO151" s="820"/>
      <c r="AP151" s="820"/>
      <c r="AQ151" s="820"/>
      <c r="AR151" s="820"/>
      <c r="AS151" s="820"/>
      <c r="AT151" s="820"/>
      <c r="AU151" s="821"/>
      <c r="AV151" s="345"/>
      <c r="AW151" s="233"/>
      <c r="AX151" s="232"/>
      <c r="AY151" s="234"/>
      <c r="AZ151" s="235"/>
      <c r="BA151" s="165"/>
      <c r="DW151" s="8"/>
    </row>
    <row r="152" spans="1:127" ht="15.95" customHeight="1" thickBot="1">
      <c r="A152" s="710"/>
      <c r="B152" s="710"/>
      <c r="C152" s="710"/>
      <c r="D152" s="710"/>
      <c r="E152" s="710"/>
      <c r="F152" s="710"/>
      <c r="G152" s="710"/>
      <c r="H152" s="710"/>
      <c r="I152" s="710"/>
      <c r="J152" s="710"/>
      <c r="K152" s="710"/>
      <c r="L152" s="710"/>
      <c r="M152" s="710"/>
      <c r="N152" s="710"/>
      <c r="O152" s="710"/>
      <c r="P152" s="710"/>
      <c r="Q152" s="710"/>
      <c r="R152" s="710"/>
      <c r="S152" s="710"/>
      <c r="T152" s="710"/>
      <c r="U152" s="710"/>
      <c r="V152" s="162"/>
      <c r="W152" s="346" t="str">
        <f>"🥉"&amp;Idiomas!D34</f>
        <v>🥉3º puesto</v>
      </c>
      <c r="X152" s="347"/>
      <c r="Y152" s="348"/>
      <c r="Z152" s="348"/>
      <c r="AA152" s="349" t="str">
        <f>IF(AND(OR(AC143="",AD143="")),"W34",IF(AC143&gt;AD143,AA143,IF(AC143&lt;AD143,AF143,IF(AND(AC143=AD143,AB143=AE143),"W34",IF(AND(AC143=AD143,OR(AB143="",AE143="")),"W34",IF(AND(AC143=AD143,AB143&gt;AE143),AA143,AF143))))))</f>
        <v>W34</v>
      </c>
      <c r="AB152" s="350"/>
      <c r="AC152" s="350"/>
      <c r="AD152" s="350"/>
      <c r="AE152" s="350"/>
      <c r="AF152" s="351"/>
      <c r="AG152" s="400">
        <f>IF(AA152="W34",0,1)</f>
        <v>0</v>
      </c>
      <c r="AH152" s="335"/>
      <c r="AI152" s="335"/>
      <c r="AJ152" s="822"/>
      <c r="AK152" s="823"/>
      <c r="AL152" s="823"/>
      <c r="AM152" s="823"/>
      <c r="AN152" s="823"/>
      <c r="AO152" s="823"/>
      <c r="AP152" s="823"/>
      <c r="AQ152" s="823"/>
      <c r="AR152" s="823"/>
      <c r="AS152" s="823"/>
      <c r="AT152" s="823"/>
      <c r="AU152" s="824"/>
      <c r="AV152" s="345"/>
      <c r="AW152" s="233"/>
      <c r="AX152" s="232"/>
      <c r="AY152" s="234"/>
      <c r="AZ152" s="235"/>
      <c r="BA152" s="165"/>
      <c r="DW152" s="8"/>
    </row>
    <row r="153" spans="1:127" ht="15.95" customHeight="1" thickBot="1">
      <c r="A153" s="710"/>
      <c r="B153" s="710"/>
      <c r="C153" s="710"/>
      <c r="D153" s="710"/>
      <c r="E153" s="710"/>
      <c r="F153" s="710"/>
      <c r="G153" s="710"/>
      <c r="H153" s="710"/>
      <c r="I153" s="710"/>
      <c r="J153" s="710"/>
      <c r="K153" s="710"/>
      <c r="L153" s="710"/>
      <c r="M153" s="710"/>
      <c r="N153" s="710"/>
      <c r="O153" s="710"/>
      <c r="P153" s="710"/>
      <c r="Q153" s="710"/>
      <c r="R153" s="710"/>
      <c r="S153" s="710"/>
      <c r="T153" s="710"/>
      <c r="U153" s="710"/>
      <c r="V153" s="162"/>
      <c r="W153" s="232"/>
      <c r="X153" s="233"/>
      <c r="Y153" s="232"/>
      <c r="Z153" s="234"/>
      <c r="AA153" s="235"/>
      <c r="AB153" s="236"/>
      <c r="AC153" s="237"/>
      <c r="AD153" s="237"/>
      <c r="AE153" s="236"/>
      <c r="AF153" s="238"/>
      <c r="AG153" s="398"/>
      <c r="AH153" s="335"/>
      <c r="AI153" s="335"/>
      <c r="AJ153" s="822"/>
      <c r="AK153" s="823"/>
      <c r="AL153" s="823"/>
      <c r="AM153" s="823"/>
      <c r="AN153" s="823"/>
      <c r="AO153" s="823"/>
      <c r="AP153" s="823"/>
      <c r="AQ153" s="823"/>
      <c r="AR153" s="823"/>
      <c r="AS153" s="823"/>
      <c r="AT153" s="823"/>
      <c r="AU153" s="824"/>
      <c r="AV153" s="345"/>
      <c r="AW153" s="233"/>
      <c r="AX153" s="232"/>
      <c r="AY153" s="234"/>
      <c r="AZ153" s="235"/>
      <c r="BA153" s="165"/>
      <c r="DW153" s="8"/>
    </row>
    <row r="154" spans="1:127" ht="15.95" customHeight="1">
      <c r="A154" s="710"/>
      <c r="B154" s="710"/>
      <c r="C154" s="710"/>
      <c r="D154" s="710"/>
      <c r="E154" s="710"/>
      <c r="F154" s="710"/>
      <c r="G154" s="710"/>
      <c r="H154" s="710"/>
      <c r="I154" s="710"/>
      <c r="J154" s="710"/>
      <c r="K154" s="710"/>
      <c r="L154" s="710"/>
      <c r="M154" s="710"/>
      <c r="N154" s="710"/>
      <c r="O154" s="710"/>
      <c r="P154" s="710"/>
      <c r="Q154" s="710"/>
      <c r="R154" s="710"/>
      <c r="S154" s="710"/>
      <c r="T154" s="710"/>
      <c r="U154" s="710"/>
      <c r="V154" s="162"/>
      <c r="W154" s="352" t="str">
        <f>Idiomas!D35</f>
        <v>Bota de Oro  (máximo goleador)</v>
      </c>
      <c r="X154" s="353"/>
      <c r="Y154" s="353"/>
      <c r="Z154" s="354"/>
      <c r="AA154" s="355" t="str">
        <f>+Idiomas!D41</f>
        <v>Escribe el jugador Bota de Oro</v>
      </c>
      <c r="AB154" s="356"/>
      <c r="AC154" s="356"/>
      <c r="AD154" s="356"/>
      <c r="AE154" s="356"/>
      <c r="AF154" s="357"/>
      <c r="AG154" s="400">
        <f>IF(AA154=AH154,0,IF(AA154="",0,1))</f>
        <v>0</v>
      </c>
      <c r="AH154" s="358" t="str">
        <f>+Idiomas!D41</f>
        <v>Escribe el jugador Bota de Oro</v>
      </c>
      <c r="AI154" s="335"/>
      <c r="AJ154" s="822"/>
      <c r="AK154" s="823"/>
      <c r="AL154" s="823"/>
      <c r="AM154" s="823"/>
      <c r="AN154" s="823"/>
      <c r="AO154" s="823"/>
      <c r="AP154" s="823"/>
      <c r="AQ154" s="823"/>
      <c r="AR154" s="823"/>
      <c r="AS154" s="823"/>
      <c r="AT154" s="823"/>
      <c r="AU154" s="824"/>
      <c r="AV154" s="345"/>
      <c r="AW154" s="233"/>
      <c r="AX154" s="232"/>
      <c r="AY154" s="234"/>
      <c r="AZ154" s="235"/>
      <c r="BA154" s="165"/>
      <c r="DW154" s="8"/>
    </row>
    <row r="155" spans="1:127" ht="15.95" customHeight="1">
      <c r="A155" s="710"/>
      <c r="B155" s="710"/>
      <c r="C155" s="710"/>
      <c r="D155" s="710"/>
      <c r="E155" s="710"/>
      <c r="F155" s="710"/>
      <c r="G155" s="710"/>
      <c r="H155" s="710"/>
      <c r="I155" s="710"/>
      <c r="J155" s="710"/>
      <c r="K155" s="710"/>
      <c r="L155" s="710"/>
      <c r="M155" s="710"/>
      <c r="N155" s="710"/>
      <c r="O155" s="710"/>
      <c r="P155" s="710"/>
      <c r="Q155" s="710"/>
      <c r="R155" s="710"/>
      <c r="S155" s="710"/>
      <c r="T155" s="710"/>
      <c r="U155" s="710"/>
      <c r="V155" s="162"/>
      <c r="W155" s="336" t="str">
        <f>Idiomas!D35</f>
        <v>Bota de Oro  (máximo goleador)</v>
      </c>
      <c r="X155" s="338"/>
      <c r="Y155" s="338"/>
      <c r="Z155" s="359"/>
      <c r="AA155" s="360" t="str">
        <f>+Idiomas!D41</f>
        <v>Escribe el jugador Bota de Oro</v>
      </c>
      <c r="AB155" s="361"/>
      <c r="AC155" s="361"/>
      <c r="AD155" s="361"/>
      <c r="AE155" s="361"/>
      <c r="AF155" s="362"/>
      <c r="AG155" s="400">
        <f t="shared" ref="AG155:AG156" si="341">IF(AA155=AH155,0,IF(AA155="",0,1))</f>
        <v>1</v>
      </c>
      <c r="AH155" s="335" t="str">
        <f>+Idiomas!D42</f>
        <v>Escribe el jugador Bota de Plata</v>
      </c>
      <c r="AI155" s="335"/>
      <c r="AJ155" s="831" t="str">
        <f>IF(SUM(COUNTIF(AG4:AG97,0),COUNTIF(AG101:AG160,0)&gt;0),AM148,AM149)</f>
        <v>Todavía hay emoción</v>
      </c>
      <c r="AK155" s="832"/>
      <c r="AL155" s="832"/>
      <c r="AM155" s="832"/>
      <c r="AN155" s="832"/>
      <c r="AO155" s="832"/>
      <c r="AP155" s="832"/>
      <c r="AQ155" s="832"/>
      <c r="AR155" s="832"/>
      <c r="AS155" s="832"/>
      <c r="AT155" s="832"/>
      <c r="AU155" s="833"/>
      <c r="AV155" s="345"/>
      <c r="AW155" s="233"/>
      <c r="AX155" s="232"/>
      <c r="AY155" s="234"/>
      <c r="AZ155" s="235"/>
      <c r="BA155" s="363"/>
      <c r="DW155" s="8"/>
    </row>
    <row r="156" spans="1:127" ht="15.95" customHeight="1" thickBot="1">
      <c r="A156" s="710"/>
      <c r="B156" s="710"/>
      <c r="C156" s="710"/>
      <c r="D156" s="710"/>
      <c r="E156" s="710"/>
      <c r="F156" s="710"/>
      <c r="G156" s="710"/>
      <c r="H156" s="710"/>
      <c r="I156" s="710"/>
      <c r="J156" s="710"/>
      <c r="K156" s="710"/>
      <c r="L156" s="710"/>
      <c r="M156" s="710"/>
      <c r="N156" s="710"/>
      <c r="O156" s="710"/>
      <c r="P156" s="710"/>
      <c r="Q156" s="710"/>
      <c r="R156" s="710"/>
      <c r="S156" s="710"/>
      <c r="T156" s="710"/>
      <c r="U156" s="710"/>
      <c r="V156" s="162"/>
      <c r="W156" s="346" t="str">
        <f>Idiomas!D35</f>
        <v>Bota de Oro  (máximo goleador)</v>
      </c>
      <c r="X156" s="348"/>
      <c r="Y156" s="348"/>
      <c r="Z156" s="364"/>
      <c r="AA156" s="365" t="str">
        <f>+Idiomas!D41</f>
        <v>Escribe el jugador Bota de Oro</v>
      </c>
      <c r="AB156" s="366"/>
      <c r="AC156" s="366"/>
      <c r="AD156" s="366"/>
      <c r="AE156" s="366"/>
      <c r="AF156" s="367"/>
      <c r="AG156" s="400">
        <f t="shared" si="341"/>
        <v>1</v>
      </c>
      <c r="AH156" s="335" t="str">
        <f>+Idiomas!D43</f>
        <v>Escribe el jugador Bota de Bronce</v>
      </c>
      <c r="AI156" s="335"/>
      <c r="AJ156" s="831"/>
      <c r="AK156" s="832"/>
      <c r="AL156" s="832"/>
      <c r="AM156" s="832"/>
      <c r="AN156" s="832"/>
      <c r="AO156" s="832"/>
      <c r="AP156" s="832"/>
      <c r="AQ156" s="832"/>
      <c r="AR156" s="832"/>
      <c r="AS156" s="832"/>
      <c r="AT156" s="832"/>
      <c r="AU156" s="833"/>
      <c r="AV156" s="345"/>
      <c r="AW156" s="233"/>
      <c r="AX156" s="232"/>
      <c r="AY156" s="234"/>
      <c r="AZ156" s="235"/>
      <c r="BA156" s="363"/>
      <c r="DW156" s="8"/>
    </row>
    <row r="157" spans="1:127" ht="15.95" customHeight="1" thickBot="1">
      <c r="A157" s="710"/>
      <c r="B157" s="710"/>
      <c r="C157" s="710"/>
      <c r="D157" s="710"/>
      <c r="E157" s="710"/>
      <c r="F157" s="710"/>
      <c r="G157" s="710"/>
      <c r="H157" s="710"/>
      <c r="I157" s="710"/>
      <c r="J157" s="710"/>
      <c r="K157" s="710"/>
      <c r="L157" s="710"/>
      <c r="M157" s="710"/>
      <c r="N157" s="710"/>
      <c r="O157" s="710"/>
      <c r="P157" s="710"/>
      <c r="Q157" s="710"/>
      <c r="R157" s="710"/>
      <c r="S157" s="710"/>
      <c r="T157" s="710"/>
      <c r="U157" s="710"/>
      <c r="V157" s="162"/>
      <c r="W157" s="232"/>
      <c r="X157" s="233"/>
      <c r="Y157" s="232"/>
      <c r="Z157" s="234"/>
      <c r="AA157" s="235"/>
      <c r="AB157" s="236"/>
      <c r="AC157" s="237"/>
      <c r="AD157" s="237"/>
      <c r="AE157" s="236"/>
      <c r="AF157" s="238"/>
      <c r="AG157" s="398"/>
      <c r="AH157" s="335"/>
      <c r="AI157" s="335"/>
      <c r="AJ157" s="834"/>
      <c r="AK157" s="835"/>
      <c r="AL157" s="835"/>
      <c r="AM157" s="835"/>
      <c r="AN157" s="835"/>
      <c r="AO157" s="835"/>
      <c r="AP157" s="835"/>
      <c r="AQ157" s="835"/>
      <c r="AR157" s="835"/>
      <c r="AS157" s="835"/>
      <c r="AT157" s="835"/>
      <c r="AU157" s="836"/>
      <c r="AV157" s="345"/>
      <c r="AW157" s="233"/>
      <c r="AX157" s="232"/>
      <c r="AY157" s="234"/>
      <c r="AZ157" s="235"/>
      <c r="BA157" s="363"/>
      <c r="DW157" s="8"/>
    </row>
    <row r="158" spans="1:127" ht="15.95" customHeight="1">
      <c r="A158" s="710"/>
      <c r="B158" s="710"/>
      <c r="C158" s="710"/>
      <c r="D158" s="710"/>
      <c r="E158" s="710"/>
      <c r="F158" s="710"/>
      <c r="G158" s="710"/>
      <c r="H158" s="710"/>
      <c r="I158" s="710"/>
      <c r="J158" s="710"/>
      <c r="K158" s="710"/>
      <c r="L158" s="710"/>
      <c r="M158" s="710"/>
      <c r="N158" s="710"/>
      <c r="O158" s="710"/>
      <c r="P158" s="710"/>
      <c r="Q158" s="710"/>
      <c r="R158" s="710"/>
      <c r="S158" s="710"/>
      <c r="T158" s="710"/>
      <c r="U158" s="710"/>
      <c r="V158" s="162"/>
      <c r="W158" s="352" t="str">
        <f>Idiomas!D341</f>
        <v>Equipo máximo goleador</v>
      </c>
      <c r="X158" s="353"/>
      <c r="Y158" s="353"/>
      <c r="Z158" s="354"/>
      <c r="AA158" s="355" t="str">
        <f>+Idiomas!D44</f>
        <v>Escribe el equipo máximo goleador</v>
      </c>
      <c r="AB158" s="356"/>
      <c r="AC158" s="356"/>
      <c r="AD158" s="356"/>
      <c r="AE158" s="356"/>
      <c r="AF158" s="357"/>
      <c r="AG158" s="400">
        <f t="shared" ref="AG158:AG160" si="342">IF(AA158=AH158,0,IF(AA158="",0,1))</f>
        <v>0</v>
      </c>
      <c r="AH158" s="21" t="str">
        <f>+Idiomas!D44</f>
        <v>Escribe el equipo máximo goleador</v>
      </c>
      <c r="AI158" s="335"/>
      <c r="AJ158" s="163"/>
      <c r="AK158" s="163"/>
      <c r="AL158" s="163"/>
      <c r="AM158" s="163"/>
      <c r="AN158" s="163"/>
      <c r="AO158" s="163"/>
      <c r="AP158" s="163"/>
      <c r="AQ158" s="163"/>
      <c r="AR158" s="163"/>
      <c r="AS158" s="163"/>
      <c r="AT158" s="163"/>
      <c r="AU158" s="335"/>
      <c r="AV158" s="345"/>
      <c r="AW158" s="233"/>
      <c r="AX158" s="232"/>
      <c r="AY158" s="234"/>
      <c r="AZ158" s="235"/>
      <c r="BA158" s="363"/>
      <c r="DW158" s="8"/>
    </row>
    <row r="159" spans="1:127" ht="15.95" customHeight="1">
      <c r="A159" s="710"/>
      <c r="B159" s="710"/>
      <c r="C159" s="710"/>
      <c r="D159" s="710"/>
      <c r="E159" s="710"/>
      <c r="F159" s="710"/>
      <c r="G159" s="710"/>
      <c r="H159" s="710"/>
      <c r="I159" s="710"/>
      <c r="J159" s="710"/>
      <c r="K159" s="710"/>
      <c r="L159" s="710"/>
      <c r="M159" s="710"/>
      <c r="N159" s="710"/>
      <c r="O159" s="710"/>
      <c r="P159" s="710"/>
      <c r="Q159" s="710"/>
      <c r="R159" s="710"/>
      <c r="S159" s="710"/>
      <c r="T159" s="710"/>
      <c r="U159" s="710"/>
      <c r="V159" s="162"/>
      <c r="W159" s="336" t="str">
        <f>Idiomas!D341</f>
        <v>Equipo máximo goleador</v>
      </c>
      <c r="X159" s="338"/>
      <c r="Y159" s="338"/>
      <c r="Z159" s="359"/>
      <c r="AA159" s="360" t="str">
        <f>+Idiomas!D44</f>
        <v>Escribe el equipo máximo goleador</v>
      </c>
      <c r="AB159" s="361"/>
      <c r="AC159" s="361"/>
      <c r="AD159" s="361"/>
      <c r="AE159" s="361"/>
      <c r="AF159" s="362"/>
      <c r="AG159" s="400">
        <f t="shared" si="342"/>
        <v>1</v>
      </c>
      <c r="AH159" s="335" t="str">
        <f>+Idiomas!D45</f>
        <v>Escribe el jugador Balón de Plata</v>
      </c>
      <c r="AI159" s="368"/>
      <c r="AJ159" s="163"/>
      <c r="AK159" s="163"/>
      <c r="AL159" s="163"/>
      <c r="AM159" s="163"/>
      <c r="AN159" s="163"/>
      <c r="AO159" s="163"/>
      <c r="AP159" s="163"/>
      <c r="AQ159" s="163"/>
      <c r="AR159" s="163"/>
      <c r="AS159" s="163"/>
      <c r="AT159" s="163"/>
      <c r="AU159" s="335"/>
      <c r="AV159" s="345"/>
      <c r="AW159" s="233"/>
      <c r="AX159" s="232"/>
      <c r="AY159" s="234"/>
      <c r="AZ159" s="235"/>
      <c r="BA159" s="363"/>
      <c r="DW159" s="8"/>
    </row>
    <row r="160" spans="1:127" ht="15.95" customHeight="1" thickBot="1">
      <c r="A160" s="710"/>
      <c r="B160" s="710"/>
      <c r="C160" s="710"/>
      <c r="D160" s="710"/>
      <c r="E160" s="710"/>
      <c r="F160" s="710"/>
      <c r="G160" s="710"/>
      <c r="H160" s="710"/>
      <c r="I160" s="710"/>
      <c r="J160" s="710"/>
      <c r="K160" s="710"/>
      <c r="L160" s="710"/>
      <c r="M160" s="710"/>
      <c r="N160" s="710"/>
      <c r="O160" s="710"/>
      <c r="P160" s="710"/>
      <c r="Q160" s="710"/>
      <c r="R160" s="710"/>
      <c r="S160" s="710"/>
      <c r="T160" s="710"/>
      <c r="U160" s="710"/>
      <c r="V160" s="162"/>
      <c r="W160" s="346" t="str">
        <f>Idiomas!D341</f>
        <v>Equipo máximo goleador</v>
      </c>
      <c r="X160" s="348"/>
      <c r="Y160" s="348"/>
      <c r="Z160" s="364"/>
      <c r="AA160" s="365" t="str">
        <f>+Idiomas!D44</f>
        <v>Escribe el equipo máximo goleador</v>
      </c>
      <c r="AB160" s="366"/>
      <c r="AC160" s="366"/>
      <c r="AD160" s="366"/>
      <c r="AE160" s="366"/>
      <c r="AF160" s="367"/>
      <c r="AG160" s="400">
        <f t="shared" si="342"/>
        <v>1</v>
      </c>
      <c r="AH160" s="335" t="str">
        <f>+Idiomas!D46</f>
        <v>Escribe el jugador Balón de Bronce</v>
      </c>
      <c r="AI160" s="335"/>
      <c r="AJ160" s="163"/>
      <c r="AK160" s="163"/>
      <c r="AL160" s="163"/>
      <c r="AM160" s="163"/>
      <c r="AN160" s="163"/>
      <c r="AO160" s="163"/>
      <c r="AP160" s="163"/>
      <c r="AQ160" s="163"/>
      <c r="AR160" s="163"/>
      <c r="AS160" s="163"/>
      <c r="AT160" s="163"/>
      <c r="AU160" s="335"/>
      <c r="AV160" s="345"/>
      <c r="AW160" s="233"/>
      <c r="AX160" s="232"/>
      <c r="AY160" s="234"/>
      <c r="AZ160" s="235"/>
      <c r="BA160" s="363"/>
      <c r="DW160" s="8"/>
    </row>
    <row r="161" spans="1:127" ht="20.100000000000001" customHeight="1" thickBot="1">
      <c r="A161" s="710"/>
      <c r="B161" s="710"/>
      <c r="C161" s="710"/>
      <c r="D161" s="710"/>
      <c r="E161" s="710"/>
      <c r="F161" s="710"/>
      <c r="G161" s="710"/>
      <c r="H161" s="710"/>
      <c r="I161" s="710"/>
      <c r="J161" s="710"/>
      <c r="K161" s="710"/>
      <c r="L161" s="710"/>
      <c r="M161" s="710"/>
      <c r="N161" s="710"/>
      <c r="O161" s="710"/>
      <c r="P161" s="710"/>
      <c r="Q161" s="710"/>
      <c r="R161" s="710"/>
      <c r="S161" s="710"/>
      <c r="T161" s="710"/>
      <c r="U161" s="710"/>
      <c r="V161" s="162"/>
      <c r="W161" s="232"/>
      <c r="X161" s="232"/>
      <c r="Y161" s="233"/>
      <c r="Z161" s="232"/>
      <c r="AA161" s="234"/>
      <c r="AB161" s="235"/>
      <c r="AC161" s="236"/>
      <c r="AD161" s="237"/>
      <c r="AE161" s="237"/>
      <c r="AF161" s="236"/>
      <c r="AG161" s="163"/>
      <c r="AH161" s="335"/>
      <c r="AI161" s="335"/>
      <c r="AJ161" s="163"/>
      <c r="AK161" s="163"/>
      <c r="AL161" s="163"/>
      <c r="AM161" s="163"/>
      <c r="AN161" s="163"/>
      <c r="AO161" s="163"/>
      <c r="AP161" s="163"/>
      <c r="AQ161" s="163"/>
      <c r="AR161" s="163"/>
      <c r="AS161" s="163"/>
      <c r="AT161" s="163"/>
      <c r="AU161" s="335"/>
      <c r="AV161" s="345"/>
      <c r="AW161" s="233"/>
      <c r="AX161" s="232"/>
      <c r="AY161" s="234"/>
      <c r="AZ161" s="235"/>
      <c r="BA161" s="363"/>
      <c r="DW161" s="8"/>
    </row>
    <row r="162" spans="1:127" ht="15.95" customHeight="1" thickBot="1">
      <c r="A162" s="710"/>
      <c r="B162" s="710"/>
      <c r="C162" s="710"/>
      <c r="D162" s="710"/>
      <c r="E162" s="710"/>
      <c r="F162" s="710"/>
      <c r="G162" s="710"/>
      <c r="H162" s="710"/>
      <c r="I162" s="710"/>
      <c r="J162" s="710"/>
      <c r="K162" s="710"/>
      <c r="L162" s="710"/>
      <c r="M162" s="710"/>
      <c r="N162" s="710"/>
      <c r="O162" s="710"/>
      <c r="P162" s="710"/>
      <c r="Q162" s="710"/>
      <c r="R162" s="710"/>
      <c r="S162" s="710"/>
      <c r="T162" s="710"/>
      <c r="U162" s="710"/>
      <c r="V162" s="162"/>
      <c r="W162" s="232"/>
      <c r="X162" s="232"/>
      <c r="Y162" s="233"/>
      <c r="Z162" s="232"/>
      <c r="AA162" s="232"/>
      <c r="AB162" s="235"/>
      <c r="AC162" s="236"/>
      <c r="AD162" s="237"/>
      <c r="AE162" s="237"/>
      <c r="AF162" s="688" t="s">
        <v>1301</v>
      </c>
      <c r="AG162" s="369"/>
      <c r="AH162" s="335"/>
      <c r="AI162" s="335"/>
      <c r="AJ162" s="163"/>
      <c r="AK162" s="163"/>
      <c r="AL162" s="163"/>
      <c r="AM162" s="163"/>
      <c r="AN162" s="163"/>
      <c r="AO162" s="163"/>
      <c r="AP162" s="163"/>
      <c r="AQ162" s="163"/>
      <c r="AR162" s="163"/>
      <c r="AS162" s="163"/>
      <c r="AT162" s="163"/>
      <c r="AU162" s="335"/>
      <c r="AV162" s="345"/>
      <c r="AW162" s="233"/>
      <c r="AX162" s="232"/>
      <c r="AY162" s="234"/>
      <c r="AZ162" s="235"/>
      <c r="BA162" s="363"/>
      <c r="DW162" s="8"/>
    </row>
    <row r="163" spans="1:127" ht="15.95" customHeight="1">
      <c r="A163" s="710"/>
      <c r="B163" s="710"/>
      <c r="C163" s="710"/>
      <c r="D163" s="710"/>
      <c r="E163" s="710"/>
      <c r="F163" s="710"/>
      <c r="G163" s="710"/>
      <c r="H163" s="710"/>
      <c r="I163" s="710"/>
      <c r="J163" s="710"/>
      <c r="K163" s="710"/>
      <c r="L163" s="710"/>
      <c r="M163" s="710"/>
      <c r="N163" s="710"/>
      <c r="O163" s="710"/>
      <c r="P163" s="710"/>
      <c r="Q163" s="710"/>
      <c r="R163" s="710"/>
      <c r="S163" s="710"/>
      <c r="T163" s="710"/>
      <c r="U163" s="710"/>
      <c r="V163" s="162"/>
      <c r="W163" s="232"/>
      <c r="X163" s="232"/>
      <c r="Y163" s="233"/>
      <c r="Z163" s="232"/>
      <c r="AA163" s="234"/>
      <c r="AB163" s="235"/>
      <c r="AC163" s="236"/>
      <c r="AD163" s="237"/>
      <c r="AE163" s="237"/>
      <c r="AF163" s="236"/>
      <c r="AG163" s="369"/>
      <c r="AH163" s="370"/>
      <c r="AI163" s="335"/>
      <c r="AJ163" s="163"/>
      <c r="AK163" s="163"/>
      <c r="AL163" s="163"/>
      <c r="AM163" s="163"/>
      <c r="AN163" s="163"/>
      <c r="AO163" s="163"/>
      <c r="AP163" s="163"/>
      <c r="AQ163" s="163"/>
      <c r="AR163" s="163"/>
      <c r="AS163" s="163"/>
      <c r="AT163" s="163"/>
      <c r="AU163" s="335"/>
      <c r="AV163" s="345"/>
      <c r="AW163" s="233"/>
      <c r="AX163" s="232"/>
      <c r="AY163" s="234"/>
      <c r="AZ163" s="235"/>
      <c r="BA163" s="363"/>
      <c r="DW163" s="8"/>
    </row>
    <row r="164" spans="1:127" ht="15.95" customHeight="1">
      <c r="A164" s="710"/>
      <c r="B164" s="710"/>
      <c r="C164" s="710"/>
      <c r="D164" s="710"/>
      <c r="E164" s="710"/>
      <c r="F164" s="710"/>
      <c r="G164" s="710"/>
      <c r="H164" s="710"/>
      <c r="I164" s="710"/>
      <c r="J164" s="710"/>
      <c r="K164" s="710"/>
      <c r="L164" s="710"/>
      <c r="M164" s="710"/>
      <c r="N164" s="710"/>
      <c r="O164" s="710"/>
      <c r="P164" s="710"/>
      <c r="Q164" s="710"/>
      <c r="R164" s="710"/>
      <c r="S164" s="710"/>
      <c r="T164" s="710"/>
      <c r="U164" s="710"/>
      <c r="V164" s="162"/>
      <c r="W164" s="232"/>
      <c r="X164" s="232"/>
      <c r="Y164" s="233"/>
      <c r="Z164" s="232"/>
      <c r="AA164" s="234"/>
      <c r="AB164" s="235"/>
      <c r="AC164" s="236"/>
      <c r="AD164" s="237"/>
      <c r="AE164" s="237"/>
      <c r="AF164" s="236"/>
      <c r="AG164" s="163"/>
      <c r="AH164" s="335"/>
      <c r="AI164" s="335"/>
      <c r="AJ164" s="163"/>
      <c r="AK164" s="163"/>
      <c r="AL164" s="163"/>
      <c r="AM164" s="163"/>
      <c r="AN164" s="163"/>
      <c r="AO164" s="163"/>
      <c r="AP164" s="163"/>
      <c r="AQ164" s="163"/>
      <c r="AR164" s="163"/>
      <c r="AS164" s="163"/>
      <c r="AT164" s="163"/>
      <c r="AU164" s="335"/>
      <c r="AV164" s="345"/>
      <c r="AW164" s="233"/>
      <c r="AX164" s="232"/>
      <c r="AY164" s="234"/>
      <c r="AZ164" s="235"/>
      <c r="BA164" s="165"/>
      <c r="CA164" s="5" t="str">
        <f>+D170&amp;E170&amp;F170&amp;G170&amp;H170&amp;I170&amp;J170&amp;K170</f>
        <v>matejero</v>
      </c>
      <c r="DW164" s="8"/>
    </row>
    <row r="165" spans="1:127" ht="15.95" customHeight="1">
      <c r="V165" s="162"/>
      <c r="W165" s="232"/>
      <c r="X165" s="232"/>
      <c r="Y165" s="233"/>
      <c r="Z165" s="232"/>
      <c r="AA165" s="234"/>
      <c r="AB165" s="235"/>
      <c r="AC165" s="236"/>
      <c r="AD165" s="237"/>
      <c r="AE165" s="237"/>
      <c r="AF165" s="236"/>
      <c r="AG165" s="287"/>
      <c r="AH165" s="15"/>
      <c r="AI165" s="15"/>
      <c r="AJ165" s="287"/>
      <c r="AK165" s="287"/>
      <c r="AL165" s="287"/>
      <c r="AM165" s="287"/>
      <c r="AN165" s="287"/>
      <c r="AO165" s="287"/>
      <c r="AP165" s="287"/>
      <c r="AQ165" s="287"/>
      <c r="AR165" s="287"/>
      <c r="AS165" s="287"/>
      <c r="AT165" s="287"/>
      <c r="AU165" s="15"/>
      <c r="AV165" s="345"/>
      <c r="AW165" s="233"/>
      <c r="AX165" s="232"/>
      <c r="AY165" s="234"/>
      <c r="AZ165" s="235"/>
      <c r="BA165" s="287"/>
      <c r="DW165" s="8"/>
    </row>
    <row r="166" spans="1:127">
      <c r="V166" s="162"/>
      <c r="W166" s="232"/>
      <c r="X166" s="232"/>
      <c r="Y166" s="233"/>
      <c r="Z166" s="232"/>
      <c r="AA166" s="234"/>
      <c r="AB166" s="235"/>
      <c r="AC166" s="236"/>
      <c r="AD166" s="237"/>
      <c r="AE166" s="237"/>
      <c r="AF166" s="236"/>
      <c r="AG166" s="287"/>
      <c r="AH166" s="15"/>
      <c r="AI166" s="15"/>
      <c r="AJ166" s="287"/>
      <c r="AK166" s="287"/>
      <c r="AL166" s="287"/>
      <c r="AM166" s="287"/>
      <c r="AN166" s="287"/>
      <c r="AO166" s="287"/>
      <c r="AP166" s="287"/>
      <c r="AQ166" s="287"/>
      <c r="AR166" s="287"/>
      <c r="AS166" s="287"/>
      <c r="AT166" s="287"/>
      <c r="AU166" s="15"/>
      <c r="AV166" s="345"/>
      <c r="AW166" s="233"/>
      <c r="AX166" s="232"/>
      <c r="AY166" s="234"/>
      <c r="AZ166" s="235"/>
      <c r="BA166" s="13"/>
      <c r="DW166" s="8"/>
    </row>
    <row r="167" spans="1:127">
      <c r="V167" s="162"/>
      <c r="W167" s="232"/>
      <c r="X167" s="232"/>
      <c r="Y167" s="233"/>
      <c r="Z167" s="232"/>
      <c r="AA167" s="234"/>
      <c r="AB167" s="235"/>
      <c r="AC167" s="236"/>
      <c r="AD167" s="237"/>
      <c r="AE167" s="237"/>
      <c r="AF167" s="236"/>
      <c r="AG167" s="287"/>
      <c r="AH167" s="15"/>
      <c r="AI167" s="15"/>
      <c r="AJ167" s="287"/>
      <c r="AK167" s="287"/>
      <c r="AL167" s="287"/>
      <c r="AM167" s="287"/>
      <c r="AN167" s="287"/>
      <c r="AO167" s="287"/>
      <c r="AP167" s="287"/>
      <c r="AQ167" s="287"/>
      <c r="AR167" s="287"/>
      <c r="AS167" s="287"/>
      <c r="AT167" s="287"/>
      <c r="AU167" s="15"/>
      <c r="AV167" s="345"/>
      <c r="AW167" s="233"/>
      <c r="AX167" s="232"/>
      <c r="AY167" s="234"/>
      <c r="AZ167" s="235"/>
      <c r="BA167" s="287"/>
      <c r="DW167" s="8"/>
    </row>
    <row r="168" spans="1:127">
      <c r="V168" s="162"/>
      <c r="W168" s="232"/>
      <c r="X168" s="232"/>
      <c r="Y168" s="233"/>
      <c r="Z168" s="232"/>
      <c r="AA168" s="234"/>
      <c r="AB168" s="235"/>
      <c r="AC168" s="236"/>
      <c r="AD168" s="237"/>
      <c r="AE168" s="237"/>
      <c r="AF168" s="236"/>
      <c r="AG168" s="287"/>
      <c r="AH168" s="15"/>
      <c r="AI168" s="15"/>
      <c r="AJ168" s="287"/>
      <c r="AK168" s="287"/>
      <c r="AL168" s="287"/>
      <c r="AM168" s="287"/>
      <c r="AN168" s="287"/>
      <c r="AO168" s="287"/>
      <c r="AP168" s="287"/>
      <c r="AQ168" s="287"/>
      <c r="AR168" s="287"/>
      <c r="AS168" s="287"/>
      <c r="AT168" s="287"/>
      <c r="AU168" s="15"/>
      <c r="AV168" s="345"/>
      <c r="AW168" s="233"/>
      <c r="AX168" s="232"/>
      <c r="AY168" s="234"/>
      <c r="AZ168" s="235"/>
      <c r="BA168" s="13"/>
      <c r="DW168" s="8"/>
    </row>
    <row r="169" spans="1:127">
      <c r="V169" s="1"/>
      <c r="W169" s="1"/>
      <c r="X169" s="1"/>
      <c r="Y169" s="1"/>
      <c r="Z169" s="1"/>
      <c r="AA169" s="1"/>
      <c r="AB169" s="1"/>
      <c r="AC169" s="1"/>
      <c r="AD169" s="1"/>
      <c r="AE169" s="1"/>
      <c r="AF169" s="1"/>
      <c r="AG169" s="1"/>
      <c r="AH169" s="16"/>
      <c r="AI169" s="16"/>
      <c r="AJ169" s="1"/>
      <c r="AK169" s="1"/>
      <c r="AL169" s="1"/>
      <c r="AM169" s="1"/>
      <c r="AN169" s="1"/>
      <c r="AO169" s="1"/>
      <c r="AP169" s="1"/>
      <c r="AQ169" s="1"/>
      <c r="AR169" s="1"/>
      <c r="AS169" s="1"/>
      <c r="AT169" s="1"/>
      <c r="AU169" s="16"/>
      <c r="AV169" s="16"/>
      <c r="AW169" s="1"/>
      <c r="AX169" s="1"/>
      <c r="AY169" s="5"/>
      <c r="AZ169" s="1"/>
      <c r="BA169" s="1"/>
      <c r="DW169" s="8"/>
    </row>
    <row r="170" spans="1:127">
      <c r="D170" s="9" t="s">
        <v>1812</v>
      </c>
      <c r="E170" s="9" t="s">
        <v>1813</v>
      </c>
      <c r="F170" s="9" t="s">
        <v>1814</v>
      </c>
      <c r="G170" s="9" t="s">
        <v>1815</v>
      </c>
      <c r="H170" s="9" t="s">
        <v>1816</v>
      </c>
      <c r="I170" s="9" t="s">
        <v>1815</v>
      </c>
      <c r="J170" s="9" t="s">
        <v>1817</v>
      </c>
      <c r="K170" s="9" t="s">
        <v>1818</v>
      </c>
      <c r="V170" s="1"/>
      <c r="W170" s="1"/>
      <c r="X170" s="1"/>
      <c r="Y170" s="1"/>
      <c r="Z170" s="1"/>
      <c r="AA170" s="1"/>
      <c r="AB170" s="1"/>
      <c r="AC170" s="1"/>
      <c r="AD170" s="1"/>
      <c r="AE170" s="1"/>
      <c r="AF170" s="1"/>
      <c r="AG170" s="1"/>
      <c r="AH170" s="16"/>
      <c r="AI170" s="16"/>
      <c r="AJ170" s="1"/>
      <c r="AK170" s="1"/>
      <c r="AL170" s="1"/>
      <c r="AM170" s="1"/>
      <c r="AN170" s="1"/>
      <c r="AO170" s="1"/>
      <c r="AP170" s="1"/>
      <c r="AQ170" s="1"/>
      <c r="AR170" s="1"/>
      <c r="AS170" s="1"/>
      <c r="AT170" s="1"/>
      <c r="AU170" s="16"/>
      <c r="AV170" s="16"/>
      <c r="AW170" s="1"/>
      <c r="AX170" s="1"/>
      <c r="AY170" s="5"/>
      <c r="AZ170" s="1"/>
      <c r="DW170" s="8"/>
    </row>
    <row r="171" spans="1:127">
      <c r="V171" s="1"/>
      <c r="W171" s="1"/>
      <c r="X171" s="1"/>
      <c r="Y171" s="1"/>
      <c r="Z171" s="1"/>
      <c r="AA171" s="1"/>
      <c r="AB171" s="1"/>
      <c r="AC171" s="1"/>
      <c r="AD171" s="1"/>
      <c r="AE171" s="1"/>
      <c r="AF171" s="1"/>
      <c r="AG171" s="1"/>
      <c r="AH171" s="16"/>
      <c r="AI171" s="16"/>
      <c r="AJ171" s="1"/>
      <c r="AK171" s="1"/>
      <c r="AL171" s="1"/>
      <c r="AM171" s="1"/>
      <c r="AN171" s="1"/>
      <c r="AO171" s="1"/>
      <c r="AP171" s="1"/>
      <c r="AQ171" s="1"/>
      <c r="AR171" s="1"/>
      <c r="AS171" s="1"/>
      <c r="AT171" s="1"/>
      <c r="AU171" s="16"/>
      <c r="AV171" s="16"/>
      <c r="AW171" s="1"/>
      <c r="AX171" s="1"/>
      <c r="AY171" s="5"/>
      <c r="AZ171" s="1"/>
      <c r="BA171" s="1"/>
      <c r="DW171" s="8"/>
    </row>
    <row r="172" spans="1:127">
      <c r="V172" s="1"/>
      <c r="W172" s="1"/>
      <c r="X172" s="1"/>
      <c r="Y172" s="1"/>
      <c r="Z172" s="1"/>
      <c r="AA172" s="1"/>
      <c r="AB172" s="1"/>
      <c r="AC172" s="1"/>
      <c r="AD172" s="1"/>
      <c r="AE172" s="1"/>
      <c r="AF172" s="1"/>
      <c r="AG172" s="1"/>
      <c r="AH172" s="16"/>
      <c r="AI172" s="16"/>
      <c r="AJ172" s="1"/>
      <c r="AK172" s="1"/>
      <c r="AL172" s="1"/>
      <c r="AM172" s="1"/>
      <c r="AN172" s="1"/>
      <c r="AO172" s="1"/>
      <c r="AP172" s="1"/>
      <c r="AQ172" s="1"/>
      <c r="AR172" s="1"/>
      <c r="AS172" s="1"/>
      <c r="AT172" s="1"/>
      <c r="AU172" s="16"/>
      <c r="AV172" s="16"/>
      <c r="AW172" s="1"/>
      <c r="AX172" s="1"/>
      <c r="AY172" s="5"/>
      <c r="AZ172" s="1"/>
      <c r="DW172" s="8"/>
    </row>
    <row r="173" spans="1:127">
      <c r="V173" s="1"/>
      <c r="W173" s="1"/>
      <c r="X173" s="1"/>
      <c r="Y173" s="1"/>
      <c r="Z173" s="1"/>
      <c r="AA173" s="1"/>
      <c r="AB173" s="1"/>
      <c r="AC173" s="1"/>
      <c r="AD173" s="1"/>
      <c r="AE173" s="1"/>
      <c r="AF173" s="1"/>
      <c r="AG173" s="1"/>
      <c r="AH173" s="16"/>
      <c r="AI173" s="16"/>
      <c r="AJ173" s="1"/>
      <c r="AK173" s="1"/>
      <c r="AL173" s="1"/>
      <c r="AM173" s="1"/>
      <c r="AN173" s="1"/>
      <c r="AO173" s="1"/>
      <c r="AP173" s="1"/>
      <c r="AQ173" s="1"/>
      <c r="AR173" s="1"/>
      <c r="AS173" s="1"/>
      <c r="AT173" s="1"/>
      <c r="AU173" s="16"/>
      <c r="AV173" s="16"/>
      <c r="AW173" s="1"/>
      <c r="AX173" s="1"/>
      <c r="AY173" s="5"/>
      <c r="AZ173" s="1"/>
      <c r="BA173" s="1"/>
      <c r="DW173" s="8"/>
    </row>
    <row r="174" spans="1:127">
      <c r="V174" s="1"/>
      <c r="W174" s="1"/>
      <c r="X174" s="1"/>
      <c r="Y174" s="1"/>
      <c r="Z174" s="1"/>
      <c r="AA174" s="1"/>
      <c r="AB174" s="1"/>
      <c r="AC174" s="1"/>
      <c r="AD174" s="1"/>
      <c r="AE174" s="1"/>
      <c r="AF174" s="1"/>
      <c r="AG174" s="1"/>
      <c r="AH174" s="16"/>
      <c r="AI174" s="16"/>
      <c r="AJ174" s="1"/>
      <c r="AK174" s="1"/>
      <c r="AL174" s="1"/>
      <c r="AM174" s="1"/>
      <c r="AN174" s="1"/>
      <c r="AO174" s="1"/>
      <c r="AP174" s="1"/>
      <c r="AQ174" s="1"/>
      <c r="AR174" s="1"/>
      <c r="AS174" s="1"/>
      <c r="AT174" s="1"/>
      <c r="AU174" s="16"/>
      <c r="AV174" s="16"/>
      <c r="AW174" s="1"/>
      <c r="AX174" s="1"/>
      <c r="AY174" s="5"/>
      <c r="AZ174" s="1"/>
      <c r="DW174" s="8"/>
    </row>
    <row r="175" spans="1:127">
      <c r="V175" s="1"/>
      <c r="W175" s="1"/>
      <c r="X175" s="1"/>
      <c r="Y175" s="1"/>
      <c r="Z175" s="1"/>
      <c r="AA175" s="1"/>
      <c r="AB175" s="1"/>
      <c r="AC175" s="1"/>
      <c r="AD175" s="1"/>
      <c r="AE175" s="1"/>
      <c r="AF175" s="1"/>
      <c r="AG175" s="1"/>
      <c r="AH175" s="16"/>
      <c r="AI175" s="16"/>
      <c r="AJ175" s="1"/>
      <c r="AK175" s="1"/>
      <c r="AL175" s="1"/>
      <c r="AM175" s="1"/>
      <c r="AN175" s="1"/>
      <c r="AO175" s="1"/>
      <c r="AP175" s="1"/>
      <c r="AQ175" s="1"/>
      <c r="AR175" s="1"/>
      <c r="AS175" s="1"/>
      <c r="AT175" s="1"/>
      <c r="AU175" s="16"/>
      <c r="AV175" s="16"/>
      <c r="AW175" s="1"/>
      <c r="AX175" s="1"/>
      <c r="AY175" s="5"/>
      <c r="AZ175" s="1"/>
      <c r="BA175" s="1"/>
      <c r="DW175" s="8"/>
    </row>
    <row r="176" spans="1:127">
      <c r="V176" s="1"/>
      <c r="W176" s="1"/>
      <c r="X176" s="1"/>
      <c r="Y176" s="1"/>
      <c r="Z176" s="1"/>
      <c r="AA176" s="1"/>
      <c r="AB176" s="1"/>
      <c r="AC176" s="1"/>
      <c r="AD176" s="1"/>
      <c r="AE176" s="1"/>
      <c r="AF176" s="1"/>
      <c r="AG176" s="1"/>
      <c r="AH176" s="16"/>
      <c r="AI176" s="16"/>
      <c r="AJ176" s="1"/>
      <c r="AK176" s="1"/>
      <c r="AL176" s="1"/>
      <c r="AM176" s="1"/>
      <c r="AN176" s="1"/>
      <c r="AO176" s="1"/>
      <c r="AP176" s="1"/>
      <c r="AQ176" s="1"/>
      <c r="AR176" s="1"/>
      <c r="AS176" s="1"/>
      <c r="AT176" s="1"/>
      <c r="AU176" s="16"/>
      <c r="AV176" s="16"/>
      <c r="AW176" s="1"/>
      <c r="AX176" s="1"/>
      <c r="AY176" s="5"/>
      <c r="AZ176" s="1"/>
      <c r="DW176" s="8"/>
    </row>
    <row r="177" spans="4:127">
      <c r="V177" s="1"/>
      <c r="W177" s="1"/>
      <c r="X177" s="1"/>
      <c r="Y177" s="1"/>
      <c r="Z177" s="1"/>
      <c r="AA177" s="1"/>
      <c r="AB177" s="1"/>
      <c r="AC177" s="1"/>
      <c r="AD177" s="1"/>
      <c r="AE177" s="1"/>
      <c r="AF177" s="1"/>
      <c r="AG177" s="1"/>
      <c r="AH177" s="16"/>
      <c r="AI177" s="16"/>
      <c r="AJ177" s="1"/>
      <c r="AK177" s="1"/>
      <c r="AL177" s="1"/>
      <c r="AM177" s="1"/>
      <c r="AN177" s="1"/>
      <c r="AO177" s="1"/>
      <c r="AP177" s="1"/>
      <c r="AQ177" s="1"/>
      <c r="AR177" s="1"/>
      <c r="AS177" s="1"/>
      <c r="AT177" s="1"/>
      <c r="AU177" s="16"/>
      <c r="AV177" s="16"/>
      <c r="AW177" s="1"/>
      <c r="AX177" s="1"/>
      <c r="AY177" s="5"/>
      <c r="AZ177" s="1"/>
      <c r="BA177" s="1"/>
      <c r="DW177" s="8"/>
    </row>
    <row r="178" spans="4:127">
      <c r="V178" s="1"/>
      <c r="W178" s="1"/>
      <c r="X178" s="1"/>
      <c r="Y178" s="1"/>
      <c r="Z178" s="1"/>
      <c r="AA178" s="1"/>
      <c r="AB178" s="1"/>
      <c r="AC178" s="1"/>
      <c r="AD178" s="1"/>
      <c r="AE178" s="1"/>
      <c r="AF178" s="1"/>
      <c r="AG178" s="1"/>
      <c r="AH178" s="16"/>
      <c r="AI178" s="16"/>
      <c r="AJ178" s="1"/>
      <c r="AK178" s="1"/>
      <c r="AL178" s="1"/>
      <c r="AM178" s="1"/>
      <c r="AN178" s="1"/>
      <c r="AO178" s="1"/>
      <c r="AP178" s="1"/>
      <c r="AQ178" s="1"/>
      <c r="AR178" s="1"/>
      <c r="AS178" s="1"/>
      <c r="AT178" s="1"/>
      <c r="AU178" s="16"/>
      <c r="AV178" s="16"/>
      <c r="AW178" s="1"/>
      <c r="AX178" s="1"/>
      <c r="AY178" s="5"/>
      <c r="AZ178" s="1"/>
      <c r="DW178" s="8"/>
    </row>
    <row r="179" spans="4:127">
      <c r="V179" s="1"/>
      <c r="W179" s="1"/>
      <c r="X179" s="1"/>
      <c r="Y179" s="1"/>
      <c r="Z179" s="1"/>
      <c r="AA179" s="1"/>
      <c r="AB179" s="1"/>
      <c r="AC179" s="1"/>
      <c r="AD179" s="1"/>
      <c r="AE179" s="1"/>
      <c r="AF179" s="1"/>
      <c r="AG179" s="1"/>
      <c r="AH179" s="16"/>
      <c r="AI179" s="16"/>
      <c r="AJ179" s="1"/>
      <c r="AK179" s="1"/>
      <c r="AL179" s="1"/>
      <c r="AM179" s="1"/>
      <c r="AN179" s="1"/>
      <c r="AO179" s="1"/>
      <c r="AP179" s="1"/>
      <c r="AQ179" s="1"/>
      <c r="AR179" s="1"/>
      <c r="AS179" s="1"/>
      <c r="AT179" s="1"/>
      <c r="AU179" s="16"/>
      <c r="AV179" s="16"/>
      <c r="AW179" s="1"/>
      <c r="AX179" s="1"/>
      <c r="AY179" s="5"/>
      <c r="AZ179" s="1"/>
      <c r="BA179" s="1"/>
      <c r="DW179" s="8"/>
    </row>
    <row r="180" spans="4:127">
      <c r="V180" s="1"/>
      <c r="W180" s="1"/>
      <c r="X180" s="1"/>
      <c r="Y180" s="1"/>
      <c r="Z180" s="1"/>
      <c r="AA180" s="1"/>
      <c r="AB180" s="1"/>
      <c r="AC180" s="1"/>
      <c r="AD180" s="1"/>
      <c r="AE180" s="1"/>
      <c r="AF180" s="1"/>
      <c r="AG180" s="1"/>
      <c r="AH180" s="16"/>
      <c r="AI180" s="16"/>
      <c r="AJ180" s="1"/>
      <c r="AK180" s="1"/>
      <c r="AL180" s="1"/>
      <c r="AM180" s="1"/>
      <c r="AN180" s="1"/>
      <c r="AO180" s="1"/>
      <c r="AP180" s="1"/>
      <c r="AQ180" s="1"/>
      <c r="AR180" s="1"/>
      <c r="AS180" s="1"/>
      <c r="AT180" s="1"/>
      <c r="AU180" s="16"/>
      <c r="AV180" s="16"/>
      <c r="AW180" s="1"/>
      <c r="AX180" s="1"/>
      <c r="AY180" s="5"/>
      <c r="AZ180" s="1"/>
      <c r="DW180" s="8"/>
    </row>
    <row r="181" spans="4:127">
      <c r="V181" s="1"/>
      <c r="W181" s="1"/>
      <c r="X181" s="1"/>
      <c r="Y181" s="1"/>
      <c r="Z181" s="1"/>
      <c r="AA181" s="1"/>
      <c r="AB181" s="1"/>
      <c r="AC181" s="1"/>
      <c r="AD181" s="1"/>
      <c r="AE181" s="1"/>
      <c r="AF181" s="1"/>
      <c r="AG181" s="1"/>
      <c r="AH181" s="16"/>
      <c r="AI181" s="16"/>
      <c r="AJ181" s="1"/>
      <c r="AK181" s="1"/>
      <c r="AL181" s="1"/>
      <c r="AM181" s="1"/>
      <c r="AN181" s="1"/>
      <c r="AO181" s="1"/>
      <c r="AP181" s="1"/>
      <c r="AQ181" s="1"/>
      <c r="AR181" s="1"/>
      <c r="AS181" s="1"/>
      <c r="AT181" s="1"/>
      <c r="AU181" s="16"/>
      <c r="AV181" s="16"/>
      <c r="AW181" s="1"/>
      <c r="AX181" s="1"/>
      <c r="AY181" s="5"/>
      <c r="AZ181" s="1"/>
      <c r="BA181" s="1"/>
      <c r="DW181" s="8"/>
    </row>
    <row r="182" spans="4:127">
      <c r="V182" s="1"/>
      <c r="W182" s="1"/>
      <c r="X182" s="1"/>
      <c r="Y182" s="1"/>
      <c r="Z182" s="1"/>
      <c r="AA182" s="1"/>
      <c r="AB182" s="1"/>
      <c r="AC182" s="1"/>
      <c r="AD182" s="1"/>
      <c r="AE182" s="1"/>
      <c r="AF182" s="1"/>
      <c r="AG182" s="1"/>
      <c r="AH182" s="16"/>
      <c r="AI182" s="16"/>
      <c r="AJ182" s="1"/>
      <c r="AK182" s="1"/>
      <c r="AL182" s="1"/>
      <c r="AM182" s="1"/>
      <c r="AN182" s="1"/>
      <c r="AO182" s="1"/>
      <c r="AP182" s="1"/>
      <c r="AQ182" s="1"/>
      <c r="AR182" s="1"/>
      <c r="AS182" s="1"/>
      <c r="AT182" s="1"/>
      <c r="AU182" s="16"/>
      <c r="AV182" s="16"/>
      <c r="AW182" s="1"/>
      <c r="AX182" s="1"/>
      <c r="AY182" s="5"/>
      <c r="AZ182" s="1"/>
      <c r="DW182" s="8"/>
    </row>
    <row r="183" spans="4:127">
      <c r="V183" s="1"/>
      <c r="W183" s="1"/>
      <c r="X183" s="1"/>
      <c r="Y183" s="1"/>
      <c r="Z183" s="1"/>
      <c r="AA183" s="1"/>
      <c r="AB183" s="1"/>
      <c r="AC183" s="1"/>
      <c r="AD183" s="1"/>
      <c r="AE183" s="1"/>
      <c r="AF183" s="1"/>
      <c r="AG183" s="1"/>
      <c r="AH183" s="16"/>
      <c r="AI183" s="16"/>
      <c r="AJ183" s="1"/>
      <c r="AK183" s="1"/>
      <c r="AL183" s="1"/>
      <c r="AM183" s="1"/>
      <c r="AN183" s="1"/>
      <c r="AO183" s="1"/>
      <c r="AP183" s="1"/>
      <c r="AQ183" s="1"/>
      <c r="AR183" s="1"/>
      <c r="AS183" s="1"/>
      <c r="AT183" s="1"/>
      <c r="AU183" s="16"/>
      <c r="AV183" s="16"/>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16"/>
      <c r="AI184" s="16"/>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16"/>
      <c r="AI185" s="16"/>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16"/>
      <c r="AI186" s="16"/>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16"/>
      <c r="AI187" s="16"/>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16"/>
      <c r="AI188" s="16"/>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16"/>
      <c r="AI189" s="16"/>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16"/>
      <c r="AI190" s="16"/>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16"/>
      <c r="AI191" s="16"/>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16"/>
      <c r="AI192" s="16"/>
      <c r="AJ192" s="1"/>
      <c r="AK192" s="1"/>
      <c r="AL192" s="1"/>
      <c r="AM192" s="1"/>
      <c r="AN192" s="1"/>
      <c r="AO192" s="1"/>
      <c r="AP192" s="1"/>
      <c r="AQ192" s="1"/>
      <c r="AR192" s="1"/>
      <c r="AS192" s="1"/>
      <c r="AT192" s="1"/>
      <c r="BA192" s="1"/>
      <c r="DW192" s="8"/>
    </row>
  </sheetData>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43"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42" priority="6" stopIfTrue="1">
      <formula>AC4=""</formula>
    </cfRule>
  </conditionalFormatting>
  <conditionalFormatting sqref="AJ8:AT8 AJ16:AT16 AJ24:AT24 AJ32:AT32 AJ40:AT40 AJ48:AT48 AJ56:AT56 AJ64:AT64 AJ72:AT72 AJ80:AT80 AJ88:AT88 AJ96:AT96 AJ110:AT113">
    <cfRule type="expression" dxfId="41" priority="3">
      <formula>AND(OR(SUM($AN$102:$AN$113)=36,$AJ$99=144),COUNTIF($AL$110:$AL$113,$AL8))</formula>
    </cfRule>
  </conditionalFormatting>
  <conditionalFormatting sqref="AJ9:AT9 AJ17:AT17 AJ25:AT25 AJ33:AT33 AJ41:AT41 AJ49:AT49 AJ57:AT57 AJ65:AT65 AJ73:AT73 AJ81:AT81 AJ89:AT89 AJ97:AT97">
    <cfRule type="expression" dxfId="40" priority="10" stopIfTrue="1">
      <formula>OR(SUM($AN6:$AN9)=12,$AJ$99=144)</formula>
    </cfRule>
  </conditionalFormatting>
  <conditionalFormatting sqref="AJ151:AU157">
    <cfRule type="expression" dxfId="39" priority="9">
      <formula>IF($AJ$151=$AL$149,1,0)</formula>
    </cfRule>
  </conditionalFormatting>
  <conditionalFormatting sqref="AL115">
    <cfRule type="expression" dxfId="38" priority="2">
      <formula>IF($AJ$99=144,1,0)</formula>
    </cfRule>
  </conditionalFormatting>
  <conditionalFormatting sqref="AL116">
    <cfRule type="expression" dxfId="37" priority="1">
      <formula>IF($AJ$99=144,1,0)</formula>
    </cfRule>
  </conditionalFormatting>
  <conditionalFormatting sqref="AM102:AM113 AR102:AT113">
    <cfRule type="expression" dxfId="36" priority="12" stopIfTrue="1">
      <formula>$BB$57=3</formula>
    </cfRule>
  </conditionalFormatting>
  <conditionalFormatting sqref="AV6:AV9 AV14:AV17 AV22:AV25 AV30:AV33 AV38:AV41 AV46:AV49 AV54:AV57 AV62:AV65 AV70:AV73 AV78:AV81 AV86:AV89 AV94:AV97">
    <cfRule type="expression" dxfId="35" priority="13" stopIfTrue="1">
      <formula>INDEX($DL$6:$DL$53,MATCH($AL6,$DQ$6:$DQ$53,0))&gt;1</formula>
    </cfRule>
  </conditionalFormatting>
  <conditionalFormatting sqref="AV102:AV113">
    <cfRule type="expression" dxfId="34" priority="14" stopIfTrue="1">
      <formula>AND(INDEX($DL$58:$DL$69,MATCH($AL102,$DQ$58:$DQ$69,0))&gt;1,$H$113=144)</formula>
    </cfRule>
  </conditionalFormatting>
  <conditionalFormatting sqref="AW6:AW9 AW14:AW17 AW22:AW25 AW30:AW33 AW38:AW41 AW46:AW49 AW54:AW57 AW62:AW65 AW70:AW73 AW78:AW81 AW86:AW89 AW94:AW97">
    <cfRule type="expression" dxfId="33" priority="15" stopIfTrue="1">
      <formula>INDEX($DL$6:$DL$53,MATCH($AL6,$DQ$6:$DQ$53,0))&gt;1</formula>
    </cfRule>
  </conditionalFormatting>
  <conditionalFormatting sqref="AW102:AW113">
    <cfRule type="expression" dxfId="32" priority="16">
      <formula>AND(INDEX($DL$58:$DL$69,MATCH($AL102,$DQ$58:$DQ$69,0))&gt;1,$H$113=144)</formula>
    </cfRule>
  </conditionalFormatting>
  <conditionalFormatting sqref="AY5:AZ97">
    <cfRule type="expression" dxfId="31" priority="4">
      <formula>IF($AZ$3="No",1,0)</formula>
    </cfRule>
  </conditionalFormatting>
  <conditionalFormatting sqref="AY101:AZ101">
    <cfRule type="expression" dxfId="30"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formula1>0</formula1>
      <formula2>500</formula2>
    </dataValidation>
  </dataValidations>
  <hyperlinks>
    <hyperlink ref="AF162" location="Fixture!A1" display="Fixture"/>
  </hyperlink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14:formula1>
            <xm:f>Equipos!$F$2:$F$13</xm:f>
          </x14:formula1>
          <xm:sqref>B4 B12 B20 B28 B36 B44 B52 B60 B68 B76 B84 B92</xm:sqref>
        </x14:dataValidation>
        <x14:dataValidation type="list" allowBlank="1" showInputMessage="1" showErrorMessage="1">
          <x14:formula1>
            <xm:f>OFFSET(Horarios!$P$3,DJ50-1,0,DL50,1)</xm:f>
          </x14:formula1>
          <xm:sqref>AW102:AW113 AW94:AW97</xm:sqref>
        </x14:dataValidation>
        <x14:dataValidation type="list" allowBlank="1" showInputMessage="1" showErrorMessage="1" error="Introduce un puesto que corresponda_x000a_">
          <x14:formula1>
            <xm:f>OFFSET(Horarios!$P$3,DJ6-1,0,DL6,1)</xm:f>
          </x14:formula1>
          <xm:sqref>AW6:AW9</xm:sqref>
        </x14:dataValidation>
        <x14:dataValidation type="list" allowBlank="1" showInputMessage="1" showErrorMessage="1" error="Introduce un puesto que corresponda_x000a_">
          <x14:formula1>
            <xm:f>OFFSET(Horarios!$P$3,DJ10-1,0,DL10,1)</xm:f>
          </x14:formula1>
          <xm:sqref>AW14:AW17</xm:sqref>
        </x14:dataValidation>
        <x14:dataValidation type="list" allowBlank="1" showInputMessage="1" showErrorMessage="1" error="Introduce un puesto que corresponda_x000a_">
          <x14:formula1>
            <xm:f>OFFSET(Horarios!$P$3,DJ14-1,0,DL14,1)</xm:f>
          </x14:formula1>
          <xm:sqref>AW22:AW25</xm:sqref>
        </x14:dataValidation>
        <x14:dataValidation type="list" allowBlank="1" showInputMessage="1" showErrorMessage="1">
          <x14:formula1>
            <xm:f>OFFSET(Horarios!$P$3,DJ18-1,0,DL18,1)</xm:f>
          </x14:formula1>
          <xm:sqref>AW30:AW33</xm:sqref>
        </x14:dataValidation>
        <x14:dataValidation type="list" allowBlank="1" showInputMessage="1" showErrorMessage="1">
          <x14:formula1>
            <xm:f>OFFSET(Horarios!$P$3,DJ22-1,0,DL22,1)</xm:f>
          </x14:formula1>
          <xm:sqref>AW38:AW41</xm:sqref>
        </x14:dataValidation>
        <x14:dataValidation type="list" allowBlank="1" showInputMessage="1" showErrorMessage="1">
          <x14:formula1>
            <xm:f>OFFSET(Horarios!$P$3,DJ26-1,0,DL26,1)</xm:f>
          </x14:formula1>
          <xm:sqref>AW46:AW49</xm:sqref>
        </x14:dataValidation>
        <x14:dataValidation type="list" allowBlank="1" showInputMessage="1" showErrorMessage="1">
          <x14:formula1>
            <xm:f>OFFSET(Horarios!$P$3,DJ30-1,0,DL30,1)</xm:f>
          </x14:formula1>
          <xm:sqref>AW54:AW57</xm:sqref>
        </x14:dataValidation>
        <x14:dataValidation type="list" allowBlank="1" showInputMessage="1" showErrorMessage="1">
          <x14:formula1>
            <xm:f>OFFSET(Horarios!$P$3,DJ34-1,0,DL34,1)</xm:f>
          </x14:formula1>
          <xm:sqref>AW62:AW65</xm:sqref>
        </x14:dataValidation>
        <x14:dataValidation type="list" allowBlank="1" showInputMessage="1" showErrorMessage="1">
          <x14:formula1>
            <xm:f>OFFSET(Horarios!$P$3,DJ38-1,0,DL38,1)</xm:f>
          </x14:formula1>
          <xm:sqref>AW70:AW73</xm:sqref>
        </x14:dataValidation>
        <x14:dataValidation type="list" allowBlank="1" showInputMessage="1" showErrorMessage="1">
          <x14:formula1>
            <xm:f>OFFSET(Horarios!$P$3,DJ42-1,0,DL42,1)</xm:f>
          </x14:formula1>
          <xm:sqref>AW78:AW81</xm:sqref>
        </x14:dataValidation>
        <x14:dataValidation type="list" allowBlank="1" showInputMessage="1" showErrorMessage="1">
          <x14:formula1>
            <xm:f>OFFSET(Horarios!$P$3,DJ46-1,0,DL46,1)</xm:f>
          </x14:formula1>
          <xm:sqref>AW86:AW89</xm:sqref>
        </x14:dataValidation>
        <x14:dataValidation type="list" allowBlank="1" showInputMessage="1" showErrorMessage="1">
          <x14:formula1>
            <xm:f>Idiomas!$D$72:$D$73</xm:f>
          </x14:formula1>
          <xm:sqref>AZ3</xm:sqref>
        </x14:dataValidation>
        <x14:dataValidation type="list" allowBlank="1" showInputMessage="1" showErrorMessage="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dimension ref="A1:BJK269"/>
  <sheetViews>
    <sheetView topLeftCell="A4" zoomScaleNormal="100" workbookViewId="0">
      <pane xSplit="17" ySplit="2" topLeftCell="BG6" activePane="bottomRight" state="frozen"/>
      <selection activeCell="A4" sqref="A4"/>
      <selection pane="topRight" activeCell="R4" sqref="R4"/>
      <selection pane="bottomLeft" activeCell="A6" sqref="A6"/>
      <selection pane="bottomRight" activeCell="BS259" sqref="BS259"/>
      <extLst>
        <ext xmlns:xlsdti="http://schemas.microsoft.com/office/spreadsheetml/2023/showDataTypeIcons" uri="{77bfe23e-c014-4d31-8a63-9c772dbf06b6}">
          <xlsdti:showDataTypeIcons visible="0"/>
        </ext>
      </extLst>
    </sheetView>
  </sheetViews>
  <sheetFormatPr baseColWidth="10" defaultColWidth="0" defaultRowHeight="15"/>
  <cols>
    <col min="1" max="1" width="3" style="5" customWidth="1"/>
    <col min="2" max="2" width="8.85546875" style="1" hidden="1" customWidth="1"/>
    <col min="3" max="3" width="56.85546875" style="1" hidden="1" customWidth="1"/>
    <col min="4" max="4" width="8.42578125" style="1" hidden="1" customWidth="1"/>
    <col min="5" max="5" width="12.140625" style="7" hidden="1" customWidth="1"/>
    <col min="6" max="6" width="18.28515625" style="700" hidden="1" customWidth="1"/>
    <col min="7" max="7" width="9.28515625" style="5" hidden="1" customWidth="1"/>
    <col min="8" max="8" width="33" style="5" hidden="1" customWidth="1"/>
    <col min="9" max="9" width="7.5703125" style="54" bestFit="1" customWidth="1"/>
    <col min="10" max="10" width="10.42578125" style="96" bestFit="1" customWidth="1"/>
    <col min="11" max="11" width="30.7109375" style="78" bestFit="1" customWidth="1"/>
    <col min="12" max="12" width="2.85546875" style="54" customWidth="1"/>
    <col min="13" max="13" width="30" style="78" customWidth="1"/>
    <col min="14" max="14" width="1" style="773" customWidth="1"/>
    <col min="15" max="15" width="2" style="773" hidden="1" customWidth="1"/>
    <col min="16" max="16" width="1.140625" style="773" customWidth="1"/>
    <col min="17" max="17" width="0.42578125" style="773" customWidth="1"/>
    <col min="18" max="18" width="0.85546875" style="5" customWidth="1"/>
    <col min="19" max="19" width="29.7109375" style="78" bestFit="1" customWidth="1"/>
    <col min="20" max="20" width="5.140625" style="78" customWidth="1"/>
    <col min="21" max="21" width="2.85546875" style="16" customWidth="1"/>
    <col min="22" max="22" width="29.7109375" style="78" bestFit="1" customWidth="1"/>
    <col min="23" max="23" width="5.140625" style="78" customWidth="1"/>
    <col min="24" max="24" width="2.85546875" style="16" customWidth="1"/>
    <col min="25" max="25" width="29.7109375" style="78" bestFit="1" customWidth="1"/>
    <col min="26" max="26" width="5.140625" style="78" customWidth="1"/>
    <col min="27" max="27" width="2.85546875" style="16" customWidth="1"/>
    <col min="28" max="28" width="29.7109375" style="78" bestFit="1" customWidth="1"/>
    <col min="29" max="29" width="5.140625" style="78" customWidth="1"/>
    <col min="30" max="30" width="2.85546875" style="16" customWidth="1"/>
    <col min="31" max="31" width="29.7109375" style="78" bestFit="1" customWidth="1"/>
    <col min="32" max="32" width="5.140625" style="78" customWidth="1"/>
    <col min="33" max="33" width="2.85546875" style="16" customWidth="1"/>
    <col min="34" max="34" width="29.7109375" style="78" bestFit="1" customWidth="1"/>
    <col min="35" max="35" width="5.140625" style="78" customWidth="1"/>
    <col min="36" max="36" width="2.85546875" style="16" customWidth="1"/>
    <col min="37" max="37" width="29.7109375" style="78" bestFit="1" customWidth="1"/>
    <col min="38" max="38" width="5.140625" style="78" customWidth="1"/>
    <col min="39" max="39" width="2.85546875" style="16" customWidth="1"/>
    <col min="40" max="40" width="29.7109375" style="78" bestFit="1" customWidth="1"/>
    <col min="41" max="41" width="5.140625" style="78" customWidth="1"/>
    <col min="42" max="42" width="2.85546875" style="16" customWidth="1"/>
    <col min="43" max="43" width="29.7109375" style="78" bestFit="1" customWidth="1"/>
    <col min="44" max="44" width="5.140625" style="78" customWidth="1"/>
    <col min="45" max="45" width="2.85546875" style="16" customWidth="1"/>
    <col min="46" max="46" width="29.7109375" style="78" bestFit="1" customWidth="1"/>
    <col min="47" max="47" width="5.140625" style="78" customWidth="1"/>
    <col min="48" max="48" width="2.85546875" style="16" customWidth="1"/>
    <col min="49" max="49" width="29.7109375" style="78" bestFit="1" customWidth="1"/>
    <col min="50" max="50" width="5.140625" style="78" customWidth="1"/>
    <col min="51" max="51" width="2.85546875" style="16" customWidth="1"/>
    <col min="52" max="52" width="29.7109375" style="78" bestFit="1" customWidth="1"/>
    <col min="53" max="53" width="5.140625" style="78" customWidth="1"/>
    <col min="54" max="54" width="2.85546875" style="16" customWidth="1"/>
    <col min="55" max="55" width="29.7109375" style="78" bestFit="1" customWidth="1"/>
    <col min="56" max="56" width="5.140625" style="78" customWidth="1"/>
    <col min="57" max="57" width="2.85546875" style="16" customWidth="1"/>
    <col min="58" max="58" width="29.7109375" style="78" bestFit="1" customWidth="1"/>
    <col min="59" max="59" width="5.140625" style="78" customWidth="1"/>
    <col min="60" max="60" width="2.85546875" style="16" customWidth="1"/>
    <col min="61" max="61" width="29.7109375" style="78" bestFit="1" customWidth="1"/>
    <col min="62" max="62" width="5.140625" style="78" customWidth="1"/>
    <col min="63" max="63" width="2.85546875" style="16" customWidth="1"/>
    <col min="64" max="64" width="29.7109375" style="78" bestFit="1" customWidth="1"/>
    <col min="65" max="65" width="5.140625" style="78" customWidth="1"/>
    <col min="66" max="66" width="2.85546875" style="16" customWidth="1"/>
    <col min="67" max="67" width="29.7109375" style="78" bestFit="1" customWidth="1"/>
    <col min="68" max="68" width="5.140625" style="78" customWidth="1"/>
    <col min="69" max="69" width="2.85546875" style="16" customWidth="1"/>
    <col min="70" max="70" width="29.7109375" style="78" bestFit="1" customWidth="1"/>
    <col min="71" max="71" width="5.140625" style="78" customWidth="1"/>
    <col min="72" max="72" width="2.85546875" style="16" customWidth="1"/>
    <col min="73" max="73" width="29.7109375" style="78" bestFit="1" customWidth="1"/>
    <col min="74" max="74" width="5.140625" style="78" customWidth="1"/>
    <col min="75" max="75" width="2.85546875" style="16" customWidth="1"/>
    <col min="76" max="76" width="29.7109375" style="78" bestFit="1" customWidth="1"/>
    <col min="77" max="77" width="5.140625" style="78" customWidth="1"/>
    <col min="78" max="78" width="2.85546875" style="16" customWidth="1"/>
    <col min="79" max="79" width="29.7109375" style="78" bestFit="1" customWidth="1"/>
    <col min="80" max="80" width="5.140625" style="78" customWidth="1"/>
    <col min="81" max="81" width="2.85546875" style="16" customWidth="1"/>
    <col min="82" max="82" width="29.7109375" style="78" bestFit="1" customWidth="1"/>
    <col min="83" max="83" width="5.140625" style="78" customWidth="1"/>
    <col min="84" max="84" width="2.85546875" style="16" customWidth="1"/>
    <col min="85" max="85" width="29.7109375" style="78" bestFit="1" customWidth="1"/>
    <col min="86" max="86" width="5.140625" style="78" customWidth="1"/>
    <col min="87" max="87" width="2.85546875" style="16" customWidth="1"/>
    <col min="88" max="88" width="29.7109375" style="78" bestFit="1" customWidth="1"/>
    <col min="89" max="89" width="5.140625" style="78" customWidth="1"/>
    <col min="90" max="90" width="2.85546875" style="16" customWidth="1"/>
    <col min="91" max="91" width="29.7109375" style="78" bestFit="1" customWidth="1"/>
    <col min="92" max="92" width="5.140625" style="78" customWidth="1"/>
    <col min="93" max="93" width="2.85546875" style="16" customWidth="1"/>
    <col min="94" max="94" width="29.7109375" style="78" bestFit="1" customWidth="1"/>
    <col min="95" max="95" width="5.140625" style="78" customWidth="1"/>
    <col min="96" max="96" width="2.85546875" style="16" customWidth="1"/>
    <col min="97" max="97" width="29.7109375" style="78" bestFit="1" customWidth="1"/>
    <col min="98" max="98" width="5.140625" style="78" customWidth="1"/>
    <col min="99" max="99" width="2.85546875" style="16" customWidth="1"/>
    <col min="100" max="100" width="29.7109375" style="78" bestFit="1" customWidth="1"/>
    <col min="101" max="101" width="5.140625" style="78" customWidth="1"/>
    <col min="102" max="102" width="2.85546875" style="16" customWidth="1"/>
    <col min="103" max="103" width="29.7109375" style="78" bestFit="1" customWidth="1"/>
    <col min="104" max="104" width="5.140625" style="78" customWidth="1"/>
    <col min="105" max="105" width="2.85546875" style="16" customWidth="1"/>
    <col min="106" max="106" width="29.7109375" style="78" bestFit="1" customWidth="1"/>
    <col min="107" max="107" width="5.140625" style="78" customWidth="1"/>
    <col min="108" max="108" width="2.85546875" style="16" customWidth="1"/>
    <col min="109" max="109" width="29.7109375" style="78" bestFit="1" customWidth="1"/>
    <col min="110" max="110" width="5.140625" style="78" customWidth="1"/>
    <col min="111" max="111" width="2.85546875" style="16" customWidth="1"/>
    <col min="112" max="112" width="29.7109375" style="78" bestFit="1" customWidth="1"/>
    <col min="113" max="113" width="5.140625" style="78" customWidth="1"/>
    <col min="114" max="114" width="2.85546875" style="16" customWidth="1"/>
    <col min="115" max="115" width="29.7109375" style="78" bestFit="1" customWidth="1"/>
    <col min="116" max="116" width="5.140625" style="78" customWidth="1"/>
    <col min="117" max="117" width="2.85546875" style="16" customWidth="1"/>
    <col min="118" max="118" width="29.7109375" style="78" bestFit="1" customWidth="1"/>
    <col min="119" max="119" width="5.140625" style="78" customWidth="1"/>
    <col min="120" max="120" width="2.85546875" style="16" customWidth="1"/>
    <col min="121" max="121" width="29.7109375" style="78" bestFit="1" customWidth="1"/>
    <col min="122" max="122" width="5.140625" style="78" customWidth="1"/>
    <col min="123" max="123" width="2.85546875" style="16" customWidth="1"/>
    <col min="124" max="124" width="29.7109375" style="78" bestFit="1" customWidth="1"/>
    <col min="125" max="125" width="5.140625" style="78" customWidth="1"/>
    <col min="126" max="126" width="2.85546875" style="16" customWidth="1"/>
    <col min="127" max="127" width="29.7109375" style="78" bestFit="1" customWidth="1"/>
    <col min="128" max="128" width="5.140625" style="78" customWidth="1"/>
    <col min="129" max="129" width="2.85546875" style="16" customWidth="1"/>
    <col min="130" max="130" width="29.7109375" style="78" bestFit="1" customWidth="1"/>
    <col min="131" max="131" width="5.140625" style="78" customWidth="1"/>
    <col min="132" max="132" width="2.85546875" style="16" customWidth="1"/>
    <col min="133" max="133" width="29.7109375" style="78" bestFit="1" customWidth="1"/>
    <col min="134" max="134" width="5.140625" style="78" customWidth="1"/>
    <col min="135" max="135" width="2.85546875" style="16" customWidth="1"/>
    <col min="136" max="136" width="29.7109375" style="78" bestFit="1" customWidth="1"/>
    <col min="137" max="137" width="5.140625" style="78" customWidth="1"/>
    <col min="138" max="139" width="2.85546875" style="16" customWidth="1"/>
    <col min="140" max="1623" width="0" style="1" hidden="1" customWidth="1"/>
    <col min="1624" max="16384" width="10.85546875" style="1" hidden="1"/>
  </cols>
  <sheetData>
    <row r="1" spans="1:139" s="5" customFormat="1" hidden="1">
      <c r="A1" s="43"/>
      <c r="B1" s="43"/>
      <c r="C1" s="43"/>
      <c r="D1" s="43"/>
      <c r="E1" s="43"/>
      <c r="F1" s="712"/>
      <c r="G1" s="43"/>
      <c r="H1" s="43"/>
      <c r="I1" s="43"/>
      <c r="J1" s="769"/>
      <c r="K1" s="770"/>
      <c r="L1" s="43"/>
      <c r="M1" s="771"/>
      <c r="N1" s="711"/>
      <c r="O1" s="711"/>
      <c r="P1" s="711"/>
      <c r="Q1" s="711"/>
      <c r="R1" s="43"/>
      <c r="S1" s="771">
        <f ca="1">+IFERROR(RANK(S2,OFFSET($S$2,0,0,1,$D$5*3),0),"-")</f>
        <v>11</v>
      </c>
      <c r="T1" s="771"/>
      <c r="U1" s="43"/>
      <c r="V1" s="771">
        <f ca="1">+IFERROR(RANK(V2,OFFSET($S$2,0,0,1,$D$5*3),0),"-")</f>
        <v>12</v>
      </c>
      <c r="W1" s="771"/>
      <c r="X1" s="43"/>
      <c r="Y1" s="771">
        <f ca="1">+IFERROR(RANK(Y2,OFFSET($S$2,0,0,1,$D$5*3),0),"-")</f>
        <v>13</v>
      </c>
      <c r="Z1" s="771"/>
      <c r="AA1" s="43"/>
      <c r="AB1" s="771">
        <f ca="1">+IFERROR(RANK(AB2,OFFSET($S$2,0,0,1,$D$5*3),0),"-")</f>
        <v>14</v>
      </c>
      <c r="AC1" s="771"/>
      <c r="AD1" s="43"/>
      <c r="AE1" s="771">
        <f ca="1">+IFERROR(RANK(AE2,OFFSET($S$2,0,0,1,$D$5*3),0),"-")</f>
        <v>1</v>
      </c>
      <c r="AF1" s="771"/>
      <c r="AG1" s="43"/>
      <c r="AH1" s="771">
        <f ca="1">+IFERROR(RANK(AH2,OFFSET($S$2,0,0,1,$D$5*3),0),"-")</f>
        <v>4</v>
      </c>
      <c r="AI1" s="771"/>
      <c r="AJ1" s="43"/>
      <c r="AK1" s="771">
        <f ca="1">+IFERROR(RANK(AK2,OFFSET($S$2,0,0,1,$D$5*3),0),"-")</f>
        <v>5</v>
      </c>
      <c r="AL1" s="771"/>
      <c r="AM1" s="43"/>
      <c r="AN1" s="771">
        <f ca="1">+IFERROR(RANK(AN2,OFFSET($S$2,0,0,1,$D$5*3),0),"-")</f>
        <v>6</v>
      </c>
      <c r="AO1" s="771"/>
      <c r="AP1" s="43"/>
      <c r="AQ1" s="771">
        <f ca="1">+IFERROR(RANK(AQ2,OFFSET($S$2,0,0,1,$D$5*3),0),"-")</f>
        <v>2</v>
      </c>
      <c r="AR1" s="771"/>
      <c r="AS1" s="43"/>
      <c r="AT1" s="771">
        <f ca="1">+IFERROR(RANK(AT2,OFFSET($S$2,0,0,1,$D$5*3),0),"-")</f>
        <v>7</v>
      </c>
      <c r="AU1" s="771"/>
      <c r="AV1" s="43"/>
      <c r="AW1" s="771">
        <f ca="1">+IFERROR(RANK(AW2,OFFSET($S$2,0,0,1,$D$5*3),0),"-")</f>
        <v>15</v>
      </c>
      <c r="AX1" s="771"/>
      <c r="AY1" s="43"/>
      <c r="AZ1" s="771">
        <f ca="1">+IFERROR(RANK(AZ2,OFFSET($S$2,0,0,1,$D$5*3),0),"-")</f>
        <v>16</v>
      </c>
      <c r="BA1" s="771"/>
      <c r="BB1" s="43"/>
      <c r="BC1" s="771">
        <f ca="1">+IFERROR(RANK(BC2,OFFSET($S$2,0,0,1,$D$5*3),0),"-")</f>
        <v>17</v>
      </c>
      <c r="BD1" s="771"/>
      <c r="BE1" s="43"/>
      <c r="BF1" s="771">
        <f ca="1">+IFERROR(RANK(BF2,OFFSET($S$2,0,0,1,$D$5*3),0),"-")</f>
        <v>10</v>
      </c>
      <c r="BG1" s="771"/>
      <c r="BH1" s="43"/>
      <c r="BI1" s="771">
        <f ca="1">+IFERROR(RANK(BI2,OFFSET($S$2,0,0,1,$D$5*3),0),"-")</f>
        <v>3</v>
      </c>
      <c r="BJ1" s="771"/>
      <c r="BK1" s="43"/>
      <c r="BL1" s="771">
        <f ca="1">+IFERROR(RANK(BL2,OFFSET($S$2,0,0,1,$D$5*3),0),"-")</f>
        <v>8</v>
      </c>
      <c r="BM1" s="771"/>
      <c r="BN1" s="43"/>
      <c r="BO1" s="771">
        <f ca="1">+IFERROR(RANK(BO2,OFFSET($S$2,0,0,1,$D$5*3),0),"-")</f>
        <v>9</v>
      </c>
      <c r="BP1" s="771"/>
      <c r="BQ1" s="43"/>
      <c r="BR1" s="771">
        <f ca="1">+IFERROR(RANK(BR2,OFFSET($S$2,0,0,1,$D$5*3),0),"-")</f>
        <v>18</v>
      </c>
      <c r="BS1" s="771"/>
      <c r="BT1" s="43"/>
      <c r="BU1" s="771">
        <f ca="1">+IFERROR(RANK(BU2,OFFSET($S$2,0,0,1,$D$5*3),0),"-")</f>
        <v>19</v>
      </c>
      <c r="BV1" s="771"/>
      <c r="BW1" s="43"/>
      <c r="BX1" s="771">
        <f ca="1">+IFERROR(RANK(BX2,OFFSET($S$2,0,0,1,$D$5*3),0),"-")</f>
        <v>20</v>
      </c>
      <c r="BY1" s="771"/>
      <c r="BZ1" s="43"/>
      <c r="CA1" s="771">
        <f ca="1">+IFERROR(RANK(CA2,OFFSET($S$2,0,0,1,$D$5*3),0),"-")</f>
        <v>21</v>
      </c>
      <c r="CB1" s="771"/>
      <c r="CC1" s="43"/>
      <c r="CD1" s="771">
        <f ca="1">+IFERROR(RANK(CD2,OFFSET($S$2,0,0,1,$D$5*3),0),"-")</f>
        <v>22</v>
      </c>
      <c r="CE1" s="771"/>
      <c r="CF1" s="43"/>
      <c r="CG1" s="771">
        <f ca="1">+IFERROR(RANK(CG2,OFFSET($S$2,0,0,1,$D$5*3),0),"-")</f>
        <v>23</v>
      </c>
      <c r="CH1" s="771"/>
      <c r="CI1" s="43"/>
      <c r="CJ1" s="771">
        <f ca="1">+IFERROR(RANK(CJ2,OFFSET($S$2,0,0,1,$D$5*3),0),"-")</f>
        <v>24</v>
      </c>
      <c r="CK1" s="771"/>
      <c r="CL1" s="43"/>
      <c r="CM1" s="771">
        <f ca="1">+IFERROR(RANK(CM2,OFFSET($S$2,0,0,1,$D$5*3),0),"-")</f>
        <v>25</v>
      </c>
      <c r="CN1" s="771"/>
      <c r="CO1" s="43"/>
      <c r="CP1" s="771">
        <f ca="1">+IFERROR(RANK(CP2,OFFSET($S$2,0,0,1,$D$5*3),0),"-")</f>
        <v>26</v>
      </c>
      <c r="CQ1" s="771"/>
      <c r="CR1" s="43"/>
      <c r="CS1" s="771">
        <f ca="1">+IFERROR(RANK(CS2,OFFSET($S$2,0,0,1,$D$5*3),0),"-")</f>
        <v>27</v>
      </c>
      <c r="CT1" s="771"/>
      <c r="CU1" s="43"/>
      <c r="CV1" s="771">
        <f ca="1">+IFERROR(RANK(CV2,OFFSET($S$2,0,0,1,$D$5*3),0),"-")</f>
        <v>28</v>
      </c>
      <c r="CW1" s="771"/>
      <c r="CX1" s="43"/>
      <c r="CY1" s="771">
        <f ca="1">+IFERROR(RANK(CY2,OFFSET($S$2,0,0,1,$D$5*3),0),"-")</f>
        <v>29</v>
      </c>
      <c r="CZ1" s="771"/>
      <c r="DA1" s="43"/>
      <c r="DB1" s="771">
        <f ca="1">+IFERROR(RANK(DB2,OFFSET($S$2,0,0,1,$D$5*3),0),"-")</f>
        <v>30</v>
      </c>
      <c r="DC1" s="771"/>
      <c r="DD1" s="43"/>
      <c r="DE1" s="771">
        <f ca="1">+IFERROR(RANK(DE2,OFFSET($S$2,0,0,1,$D$5*3),0),"-")</f>
        <v>31</v>
      </c>
      <c r="DF1" s="771"/>
      <c r="DG1" s="43"/>
      <c r="DH1" s="771">
        <f ca="1">+IFERROR(RANK(DH2,OFFSET($S$2,0,0,1,$D$5*3),0),"-")</f>
        <v>32</v>
      </c>
      <c r="DI1" s="771"/>
      <c r="DJ1" s="43"/>
      <c r="DK1" s="771">
        <f ca="1">+IFERROR(RANK(DK2,OFFSET($S$2,0,0,1,$D$5*3),0),"-")</f>
        <v>33</v>
      </c>
      <c r="DL1" s="771"/>
      <c r="DM1" s="43"/>
      <c r="DN1" s="771">
        <f ca="1">+IFERROR(RANK(DN2,OFFSET($S$2,0,0,1,$D$5*3),0),"-")</f>
        <v>34</v>
      </c>
      <c r="DO1" s="771"/>
      <c r="DP1" s="43"/>
      <c r="DQ1" s="771">
        <f ca="1">+IFERROR(RANK(DQ2,OFFSET($S$2,0,0,1,$D$5*3),0),"-")</f>
        <v>35</v>
      </c>
      <c r="DR1" s="771"/>
      <c r="DS1" s="43"/>
      <c r="DT1" s="771">
        <f ca="1">+IFERROR(RANK(DT2,OFFSET($S$2,0,0,1,$D$5*3),0),"-")</f>
        <v>36</v>
      </c>
      <c r="DU1" s="771"/>
      <c r="DV1" s="43"/>
      <c r="DW1" s="771">
        <f ca="1">+IFERROR(RANK(DW2,OFFSET($S$2,0,0,1,$D$5*3),0),"-")</f>
        <v>37</v>
      </c>
      <c r="DX1" s="771"/>
      <c r="DY1" s="43"/>
      <c r="DZ1" s="771">
        <f ca="1">+IFERROR(RANK(DZ2,OFFSET($S$2,0,0,1,$D$5*3),0),"-")</f>
        <v>38</v>
      </c>
      <c r="EA1" s="771"/>
      <c r="EB1" s="43"/>
      <c r="EC1" s="771">
        <f ca="1">+IFERROR(RANK(EC2,OFFSET($S$2,0,0,1,$D$5*3),0),"-")</f>
        <v>39</v>
      </c>
      <c r="ED1" s="771"/>
      <c r="EE1" s="43"/>
      <c r="EF1" s="771">
        <f ca="1">+IFERROR(RANK(EF2,OFFSET($S$2,0,0,1,$D$5*3),0),"-")</f>
        <v>40</v>
      </c>
      <c r="EG1" s="771"/>
      <c r="EH1" s="43"/>
      <c r="EI1" s="43"/>
    </row>
    <row r="2" spans="1:139" s="5" customFormat="1" ht="21.95" hidden="1" customHeight="1">
      <c r="A2" s="43"/>
      <c r="B2" s="43"/>
      <c r="C2" s="43"/>
      <c r="D2" s="43"/>
      <c r="E2" s="43"/>
      <c r="F2" s="712"/>
      <c r="G2" s="43"/>
      <c r="H2" s="43"/>
      <c r="I2" s="43"/>
      <c r="J2" s="769"/>
      <c r="K2" s="711"/>
      <c r="L2" s="43"/>
      <c r="M2" s="771"/>
      <c r="N2" s="711"/>
      <c r="O2" s="711"/>
      <c r="P2" s="711"/>
      <c r="Q2" s="711"/>
      <c r="R2" s="43"/>
      <c r="S2" s="771">
        <f ca="1">S4-(COLUMN()/10000)</f>
        <v>4.9981</v>
      </c>
      <c r="T2" s="771"/>
      <c r="U2" s="43"/>
      <c r="V2" s="771">
        <f t="shared" ref="V2" ca="1" si="0">V4-(COLUMN()/10000)</f>
        <v>4.9977999999999998</v>
      </c>
      <c r="W2" s="771"/>
      <c r="X2" s="43"/>
      <c r="Y2" s="771">
        <f t="shared" ref="Y2" ca="1" si="1">Y4-(COLUMN()/10000)</f>
        <v>4.9974999999999996</v>
      </c>
      <c r="Z2" s="771"/>
      <c r="AA2" s="43"/>
      <c r="AB2" s="771">
        <f t="shared" ref="AB2" ca="1" si="2">AB4-(COLUMN()/10000)</f>
        <v>4.9972000000000003</v>
      </c>
      <c r="AC2" s="771"/>
      <c r="AD2" s="43"/>
      <c r="AE2" s="771">
        <f t="shared" ref="AE2" ca="1" si="3">AE4-(COLUMN()/10000)</f>
        <v>33.996899999999997</v>
      </c>
      <c r="AF2" s="771"/>
      <c r="AG2" s="43"/>
      <c r="AH2" s="771">
        <f ca="1">AH4-(COLUMN()/10000)</f>
        <v>16.996600000000001</v>
      </c>
      <c r="AI2" s="771"/>
      <c r="AJ2" s="43"/>
      <c r="AK2" s="771">
        <f t="shared" ref="AK2" ca="1" si="4">AK4-(COLUMN()/10000)</f>
        <v>16.996300000000002</v>
      </c>
      <c r="AL2" s="771"/>
      <c r="AM2" s="43"/>
      <c r="AN2" s="771">
        <f t="shared" ref="AN2" ca="1" si="5">AN4-(COLUMN()/10000)</f>
        <v>16.995999999999999</v>
      </c>
      <c r="AO2" s="771"/>
      <c r="AP2" s="43"/>
      <c r="AQ2" s="771">
        <f t="shared" ref="AQ2" ca="1" si="6">AQ4-(COLUMN()/10000)</f>
        <v>33.995699999999999</v>
      </c>
      <c r="AR2" s="771"/>
      <c r="AS2" s="43"/>
      <c r="AT2" s="771">
        <f t="shared" ref="AT2" ca="1" si="7">AT4-(COLUMN()/10000)</f>
        <v>16.9954</v>
      </c>
      <c r="AU2" s="771"/>
      <c r="AV2" s="43"/>
      <c r="AW2" s="771">
        <f ca="1">AW4-(COLUMN()/10000)</f>
        <v>4.9950999999999999</v>
      </c>
      <c r="AX2" s="771"/>
      <c r="AY2" s="43"/>
      <c r="AZ2" s="771">
        <f t="shared" ref="AZ2" ca="1" si="8">AZ4-(COLUMN()/10000)</f>
        <v>4.9947999999999997</v>
      </c>
      <c r="BA2" s="771"/>
      <c r="BB2" s="43"/>
      <c r="BC2" s="771">
        <f t="shared" ref="BC2" ca="1" si="9">BC4-(COLUMN()/10000)</f>
        <v>4.9945000000000004</v>
      </c>
      <c r="BD2" s="771"/>
      <c r="BE2" s="43"/>
      <c r="BF2" s="771">
        <f t="shared" ref="BF2" ca="1" si="10">BF4-(COLUMN()/10000)</f>
        <v>11.994199999999999</v>
      </c>
      <c r="BG2" s="771"/>
      <c r="BH2" s="43"/>
      <c r="BI2" s="771">
        <f t="shared" ref="BI2" ca="1" si="11">BI4-(COLUMN()/10000)</f>
        <v>21.9939</v>
      </c>
      <c r="BJ2" s="771"/>
      <c r="BK2" s="43"/>
      <c r="BL2" s="771">
        <f ca="1">BL4-(COLUMN()/10000)</f>
        <v>16.993600000000001</v>
      </c>
      <c r="BM2" s="771"/>
      <c r="BN2" s="43"/>
      <c r="BO2" s="771">
        <f t="shared" ref="BO2" ca="1" si="12">BO4-(COLUMN()/10000)</f>
        <v>16.993300000000001</v>
      </c>
      <c r="BP2" s="771"/>
      <c r="BQ2" s="43"/>
      <c r="BR2" s="771">
        <f t="shared" ref="BR2" ca="1" si="13">BR4-(COLUMN()/10000)</f>
        <v>4.9930000000000003</v>
      </c>
      <c r="BS2" s="771"/>
      <c r="BT2" s="43"/>
      <c r="BU2" s="771">
        <f t="shared" ref="BU2" ca="1" si="14">BU4-(COLUMN()/10000)</f>
        <v>-7.3000000000000001E-3</v>
      </c>
      <c r="BV2" s="771"/>
      <c r="BW2" s="43"/>
      <c r="BX2" s="771">
        <f t="shared" ref="BX2" ca="1" si="15">BX4-(COLUMN()/10000)</f>
        <v>-7.6E-3</v>
      </c>
      <c r="BY2" s="771"/>
      <c r="BZ2" s="43"/>
      <c r="CA2" s="771">
        <f ca="1">CA4-(COLUMN()/10000)</f>
        <v>-7.9000000000000008E-3</v>
      </c>
      <c r="CB2" s="771"/>
      <c r="CC2" s="43"/>
      <c r="CD2" s="771">
        <f t="shared" ref="CD2" ca="1" si="16">CD4-(COLUMN()/10000)</f>
        <v>-8.2000000000000007E-3</v>
      </c>
      <c r="CE2" s="771"/>
      <c r="CF2" s="43"/>
      <c r="CG2" s="771">
        <f t="shared" ref="CG2" ca="1" si="17">CG4-(COLUMN()/10000)</f>
        <v>-8.5000000000000006E-3</v>
      </c>
      <c r="CH2" s="771"/>
      <c r="CI2" s="43"/>
      <c r="CJ2" s="771">
        <f t="shared" ref="CJ2" ca="1" si="18">CJ4-(COLUMN()/10000)</f>
        <v>-8.8000000000000005E-3</v>
      </c>
      <c r="CK2" s="771"/>
      <c r="CL2" s="43"/>
      <c r="CM2" s="771">
        <f t="shared" ref="CM2" ca="1" si="19">CM4-(COLUMN()/10000)</f>
        <v>-9.1000000000000004E-3</v>
      </c>
      <c r="CN2" s="771"/>
      <c r="CO2" s="43"/>
      <c r="CP2" s="771">
        <f ca="1">CP4-(COLUMN()/10000)</f>
        <v>-9.4000000000000004E-3</v>
      </c>
      <c r="CQ2" s="771"/>
      <c r="CR2" s="43"/>
      <c r="CS2" s="771">
        <f t="shared" ref="CS2" ca="1" si="20">CS4-(COLUMN()/10000)</f>
        <v>-9.7000000000000003E-3</v>
      </c>
      <c r="CT2" s="771"/>
      <c r="CU2" s="43"/>
      <c r="CV2" s="771">
        <f t="shared" ref="CV2" ca="1" si="21">CV4-(COLUMN()/10000)</f>
        <v>-0.01</v>
      </c>
      <c r="CW2" s="771"/>
      <c r="CX2" s="43"/>
      <c r="CY2" s="771">
        <f t="shared" ref="CY2" ca="1" si="22">CY4-(COLUMN()/10000)</f>
        <v>-1.03E-2</v>
      </c>
      <c r="CZ2" s="771"/>
      <c r="DA2" s="43"/>
      <c r="DB2" s="771">
        <f t="shared" ref="DB2" ca="1" si="23">DB4-(COLUMN()/10000)</f>
        <v>-1.06E-2</v>
      </c>
      <c r="DC2" s="771"/>
      <c r="DD2" s="43"/>
      <c r="DE2" s="771">
        <f ca="1">DE4-(COLUMN()/10000)</f>
        <v>-1.09E-2</v>
      </c>
      <c r="DF2" s="771"/>
      <c r="DG2" s="43"/>
      <c r="DH2" s="771">
        <f t="shared" ref="DH2" ca="1" si="24">DH4-(COLUMN()/10000)</f>
        <v>-1.12E-2</v>
      </c>
      <c r="DI2" s="771"/>
      <c r="DJ2" s="43"/>
      <c r="DK2" s="771">
        <f t="shared" ref="DK2" ca="1" si="25">DK4-(COLUMN()/10000)</f>
        <v>-1.15E-2</v>
      </c>
      <c r="DL2" s="771"/>
      <c r="DM2" s="43"/>
      <c r="DN2" s="771">
        <f t="shared" ref="DN2" ca="1" si="26">DN4-(COLUMN()/10000)</f>
        <v>-1.18E-2</v>
      </c>
      <c r="DO2" s="771"/>
      <c r="DP2" s="43"/>
      <c r="DQ2" s="771">
        <f t="shared" ref="DQ2" ca="1" si="27">DQ4-(COLUMN()/10000)</f>
        <v>-1.21E-2</v>
      </c>
      <c r="DR2" s="771"/>
      <c r="DS2" s="43"/>
      <c r="DT2" s="771">
        <f ca="1">DT4-(COLUMN()/10000)</f>
        <v>-1.24E-2</v>
      </c>
      <c r="DU2" s="771"/>
      <c r="DV2" s="43"/>
      <c r="DW2" s="771">
        <f t="shared" ref="DW2" ca="1" si="28">DW4-(COLUMN()/10000)</f>
        <v>-1.2699999999999999E-2</v>
      </c>
      <c r="DX2" s="771"/>
      <c r="DY2" s="43"/>
      <c r="DZ2" s="771">
        <f t="shared" ref="DZ2" ca="1" si="29">DZ4-(COLUMN()/10000)</f>
        <v>-1.2999999999999999E-2</v>
      </c>
      <c r="EA2" s="771"/>
      <c r="EB2" s="43"/>
      <c r="EC2" s="771">
        <f t="shared" ref="EC2" ca="1" si="30">EC4-(COLUMN()/10000)</f>
        <v>-1.3299999999999999E-2</v>
      </c>
      <c r="ED2" s="771"/>
      <c r="EE2" s="43"/>
      <c r="EF2" s="771">
        <f t="shared" ref="EF2" ca="1" si="31">EF4-(COLUMN()/10000)</f>
        <v>-1.3599999999999999E-2</v>
      </c>
      <c r="EG2" s="771"/>
      <c r="EH2" s="43"/>
      <c r="EI2" s="43"/>
    </row>
    <row r="3" spans="1:139" s="5" customFormat="1" hidden="1">
      <c r="A3" s="43"/>
      <c r="B3" s="43"/>
      <c r="C3" s="43"/>
      <c r="D3" s="43"/>
      <c r="E3" s="43"/>
      <c r="F3" s="712"/>
      <c r="G3" s="43"/>
      <c r="H3" s="43"/>
      <c r="I3" s="43"/>
      <c r="J3" s="769"/>
      <c r="K3" s="771"/>
      <c r="L3" s="43"/>
      <c r="M3" s="771"/>
      <c r="N3" s="711"/>
      <c r="O3" s="711"/>
      <c r="P3" s="711"/>
      <c r="Q3" s="711"/>
      <c r="R3" s="43"/>
      <c r="S3" s="771">
        <f ca="1">RANK(S4,OFFSET($S$4,0,0,1,$D$5*3),0)</f>
        <v>11</v>
      </c>
      <c r="T3" s="771"/>
      <c r="U3" s="43"/>
      <c r="V3" s="771">
        <f ca="1">RANK(V4,OFFSET($S$4,0,0,1,$D$5*3),0)</f>
        <v>11</v>
      </c>
      <c r="W3" s="771"/>
      <c r="X3" s="43"/>
      <c r="Y3" s="771">
        <f ca="1">RANK(Y4,OFFSET($S$4,0,0,1,$D$5*3),0)</f>
        <v>11</v>
      </c>
      <c r="Z3" s="771"/>
      <c r="AA3" s="43"/>
      <c r="AB3" s="771">
        <f ca="1">RANK(AB4,OFFSET($S$4,0,0,1,$D$5*3),0)</f>
        <v>11</v>
      </c>
      <c r="AC3" s="771"/>
      <c r="AD3" s="43"/>
      <c r="AE3" s="771">
        <f ca="1">RANK(AE4,OFFSET($S$4,0,0,1,$D$5*3),0)</f>
        <v>1</v>
      </c>
      <c r="AF3" s="771"/>
      <c r="AG3" s="43"/>
      <c r="AH3" s="771">
        <f ca="1">RANK(AH4,OFFSET($S$4,0,0,1,$D$5*3),0)</f>
        <v>4</v>
      </c>
      <c r="AI3" s="771"/>
      <c r="AJ3" s="43"/>
      <c r="AK3" s="771">
        <f ca="1">RANK(AK4,OFFSET($S$4,0,0,1,$D$5*3),0)</f>
        <v>4</v>
      </c>
      <c r="AL3" s="771"/>
      <c r="AM3" s="43"/>
      <c r="AN3" s="771">
        <f ca="1">RANK(AN4,OFFSET($S$4,0,0,1,$D$5*3),0)</f>
        <v>4</v>
      </c>
      <c r="AO3" s="771"/>
      <c r="AP3" s="43"/>
      <c r="AQ3" s="771">
        <f ca="1">RANK(AQ4,OFFSET($S$4,0,0,1,$D$5*3),0)</f>
        <v>1</v>
      </c>
      <c r="AR3" s="771"/>
      <c r="AS3" s="43"/>
      <c r="AT3" s="771">
        <f ca="1">RANK(AT4,OFFSET($S$4,0,0,1,$D$5*3),0)</f>
        <v>4</v>
      </c>
      <c r="AU3" s="771"/>
      <c r="AV3" s="43"/>
      <c r="AW3" s="771">
        <f ca="1">RANK(AW4,OFFSET($S$4,0,0,1,$D$5*3),0)</f>
        <v>11</v>
      </c>
      <c r="AX3" s="771"/>
      <c r="AY3" s="43"/>
      <c r="AZ3" s="771">
        <f ca="1">RANK(AZ4,OFFSET($S$4,0,0,1,$D$5*3),0)</f>
        <v>11</v>
      </c>
      <c r="BA3" s="771"/>
      <c r="BB3" s="43"/>
      <c r="BC3" s="771">
        <f ca="1">RANK(BC4,OFFSET($S$4,0,0,1,$D$5*3),0)</f>
        <v>11</v>
      </c>
      <c r="BD3" s="771"/>
      <c r="BE3" s="43"/>
      <c r="BF3" s="771">
        <f ca="1">RANK(BF4,OFFSET($S$4,0,0,1,$D$5*3),0)</f>
        <v>10</v>
      </c>
      <c r="BG3" s="771"/>
      <c r="BH3" s="43"/>
      <c r="BI3" s="771">
        <f ca="1">RANK(BI4,OFFSET($S$4,0,0,1,$D$5*3),0)</f>
        <v>3</v>
      </c>
      <c r="BJ3" s="771"/>
      <c r="BK3" s="43"/>
      <c r="BL3" s="771">
        <f ca="1">RANK(BL4,OFFSET($S$4,0,0,1,$D$5*3),0)</f>
        <v>4</v>
      </c>
      <c r="BM3" s="771"/>
      <c r="BN3" s="43"/>
      <c r="BO3" s="771">
        <f ca="1">RANK(BO4,OFFSET($S$4,0,0,1,$D$5*3),0)</f>
        <v>4</v>
      </c>
      <c r="BP3" s="771"/>
      <c r="BQ3" s="43"/>
      <c r="BR3" s="771">
        <f ca="1">RANK(BR4,OFFSET($S$4,0,0,1,$D$5*3),0)</f>
        <v>11</v>
      </c>
      <c r="BS3" s="771"/>
      <c r="BT3" s="43"/>
      <c r="BU3" s="771">
        <f ca="1">RANK(BU4,OFFSET($S$4,0,0,1,$D$5*3),0)</f>
        <v>19</v>
      </c>
      <c r="BV3" s="771"/>
      <c r="BW3" s="43"/>
      <c r="BX3" s="771">
        <f ca="1">RANK(BX4,OFFSET($S$4,0,0,1,$D$5*3),0)</f>
        <v>19</v>
      </c>
      <c r="BY3" s="771"/>
      <c r="BZ3" s="43"/>
      <c r="CA3" s="771">
        <f ca="1">RANK(CA4,OFFSET($S$4,0,0,1,$D$5*3),0)</f>
        <v>19</v>
      </c>
      <c r="CB3" s="771"/>
      <c r="CC3" s="43"/>
      <c r="CD3" s="771">
        <f ca="1">RANK(CD4,OFFSET($S$4,0,0,1,$D$5*3),0)</f>
        <v>19</v>
      </c>
      <c r="CE3" s="771"/>
      <c r="CF3" s="43"/>
      <c r="CG3" s="771">
        <f ca="1">RANK(CG4,OFFSET($S$4,0,0,1,$D$5*3),0)</f>
        <v>19</v>
      </c>
      <c r="CH3" s="771"/>
      <c r="CI3" s="43"/>
      <c r="CJ3" s="771">
        <f ca="1">RANK(CJ4,OFFSET($S$4,0,0,1,$D$5*3),0)</f>
        <v>19</v>
      </c>
      <c r="CK3" s="771"/>
      <c r="CL3" s="43"/>
      <c r="CM3" s="771">
        <f ca="1">RANK(CM4,OFFSET($S$4,0,0,1,$D$5*3),0)</f>
        <v>19</v>
      </c>
      <c r="CN3" s="771"/>
      <c r="CO3" s="43"/>
      <c r="CP3" s="771">
        <f ca="1">RANK(CP4,OFFSET($S$4,0,0,1,$D$5*3),0)</f>
        <v>19</v>
      </c>
      <c r="CQ3" s="771"/>
      <c r="CR3" s="43"/>
      <c r="CS3" s="771">
        <f ca="1">RANK(CS4,OFFSET($S$4,0,0,1,$D$5*3),0)</f>
        <v>19</v>
      </c>
      <c r="CT3" s="771"/>
      <c r="CU3" s="43"/>
      <c r="CV3" s="771">
        <f ca="1">RANK(CV4,OFFSET($S$4,0,0,1,$D$5*3),0)</f>
        <v>19</v>
      </c>
      <c r="CW3" s="771"/>
      <c r="CX3" s="43"/>
      <c r="CY3" s="771">
        <f ca="1">RANK(CY4,OFFSET($S$4,0,0,1,$D$5*3),0)</f>
        <v>19</v>
      </c>
      <c r="CZ3" s="771"/>
      <c r="DA3" s="43"/>
      <c r="DB3" s="771">
        <f ca="1">RANK(DB4,OFFSET($S$4,0,0,1,$D$5*3),0)</f>
        <v>19</v>
      </c>
      <c r="DC3" s="771"/>
      <c r="DD3" s="43"/>
      <c r="DE3" s="771">
        <f ca="1">RANK(DE4,OFFSET($S$4,0,0,1,$D$5*3),0)</f>
        <v>19</v>
      </c>
      <c r="DF3" s="771"/>
      <c r="DG3" s="43"/>
      <c r="DH3" s="771">
        <f ca="1">RANK(DH4,OFFSET($S$4,0,0,1,$D$5*3),0)</f>
        <v>19</v>
      </c>
      <c r="DI3" s="771"/>
      <c r="DJ3" s="43"/>
      <c r="DK3" s="771">
        <f ca="1">RANK(DK4,OFFSET($S$4,0,0,1,$D$5*3),0)</f>
        <v>19</v>
      </c>
      <c r="DL3" s="771"/>
      <c r="DM3" s="43"/>
      <c r="DN3" s="771">
        <f ca="1">RANK(DN4,OFFSET($S$4,0,0,1,$D$5*3),0)</f>
        <v>19</v>
      </c>
      <c r="DO3" s="771"/>
      <c r="DP3" s="43"/>
      <c r="DQ3" s="771">
        <f ca="1">RANK(DQ4,OFFSET($S$4,0,0,1,$D$5*3),0)</f>
        <v>19</v>
      </c>
      <c r="DR3" s="771"/>
      <c r="DS3" s="43"/>
      <c r="DT3" s="771">
        <f ca="1">RANK(DT4,OFFSET($S$4,0,0,1,$D$5*3),0)</f>
        <v>19</v>
      </c>
      <c r="DU3" s="771"/>
      <c r="DV3" s="43"/>
      <c r="DW3" s="771">
        <f ca="1">RANK(DW4,OFFSET($S$4,0,0,1,$D$5*3),0)</f>
        <v>19</v>
      </c>
      <c r="DX3" s="771"/>
      <c r="DY3" s="43"/>
      <c r="DZ3" s="771">
        <f ca="1">RANK(DZ4,OFFSET($S$4,0,0,1,$D$5*3),0)</f>
        <v>19</v>
      </c>
      <c r="EA3" s="771"/>
      <c r="EB3" s="43"/>
      <c r="EC3" s="771">
        <f ca="1">RANK(EC4,OFFSET($S$4,0,0,1,$D$5*3),0)</f>
        <v>19</v>
      </c>
      <c r="ED3" s="771"/>
      <c r="EE3" s="43"/>
      <c r="EF3" s="771">
        <f ca="1">RANK(EF4,OFFSET($S$4,0,0,1,$D$5*3),0)</f>
        <v>19</v>
      </c>
      <c r="EG3" s="771"/>
      <c r="EH3" s="43"/>
      <c r="EI3" s="43"/>
    </row>
    <row r="4" spans="1:139" ht="15" customHeight="1" thickBot="1">
      <c r="A4" s="43"/>
      <c r="B4" s="43"/>
      <c r="C4" s="44"/>
      <c r="D4" s="43"/>
      <c r="E4" s="103"/>
      <c r="F4" s="712"/>
      <c r="G4" s="43"/>
      <c r="H4" s="43"/>
      <c r="I4" s="644"/>
      <c r="J4" s="85"/>
      <c r="K4" s="79"/>
      <c r="L4" s="58"/>
      <c r="M4" s="79"/>
      <c r="N4" s="711"/>
      <c r="O4" s="711"/>
      <c r="P4" s="711"/>
      <c r="Q4" s="711"/>
      <c r="R4" s="43"/>
      <c r="S4" s="60">
        <f ca="1">SUM(T6:T259)/2</f>
        <v>5</v>
      </c>
      <c r="T4" s="61"/>
      <c r="U4" s="58"/>
      <c r="V4" s="60">
        <f ca="1">SUM(W6:W259)/2</f>
        <v>5</v>
      </c>
      <c r="W4" s="61"/>
      <c r="X4" s="58"/>
      <c r="Y4" s="60">
        <f ca="1">SUM(Z6:Z259)/2</f>
        <v>5</v>
      </c>
      <c r="Z4" s="61"/>
      <c r="AA4" s="58"/>
      <c r="AB4" s="60">
        <f ca="1">SUM(AC6:AC259)/2</f>
        <v>5</v>
      </c>
      <c r="AC4" s="61"/>
      <c r="AD4" s="58"/>
      <c r="AE4" s="60">
        <f ca="1">SUM(AF6:AF259)/2</f>
        <v>34</v>
      </c>
      <c r="AF4" s="61"/>
      <c r="AG4" s="58"/>
      <c r="AH4" s="60">
        <f ca="1">SUM(AI6:AI259)/2</f>
        <v>17</v>
      </c>
      <c r="AI4" s="61"/>
      <c r="AJ4" s="58"/>
      <c r="AK4" s="60">
        <f ca="1">SUM(AL6:AL259)/2</f>
        <v>17</v>
      </c>
      <c r="AL4" s="61"/>
      <c r="AM4" s="58"/>
      <c r="AN4" s="60">
        <f ca="1">SUM(AO6:AO259)/2</f>
        <v>17</v>
      </c>
      <c r="AO4" s="61"/>
      <c r="AP4" s="58"/>
      <c r="AQ4" s="60">
        <f ca="1">SUM(AR6:AR259)/2</f>
        <v>34</v>
      </c>
      <c r="AR4" s="61"/>
      <c r="AS4" s="58"/>
      <c r="AT4" s="60">
        <f ca="1">SUM(AU6:AU259)/2</f>
        <v>17</v>
      </c>
      <c r="AU4" s="61"/>
      <c r="AV4" s="58"/>
      <c r="AW4" s="60">
        <f ca="1">SUM(AX6:AX259)/2</f>
        <v>5</v>
      </c>
      <c r="AX4" s="61"/>
      <c r="AY4" s="58"/>
      <c r="AZ4" s="60">
        <f ca="1">SUM(BA6:BA259)/2</f>
        <v>5</v>
      </c>
      <c r="BA4" s="61"/>
      <c r="BB4" s="58"/>
      <c r="BC4" s="60">
        <f ca="1">SUM(BD6:BD259)/2</f>
        <v>5</v>
      </c>
      <c r="BD4" s="61"/>
      <c r="BE4" s="58"/>
      <c r="BF4" s="60">
        <f ca="1">SUM(BG6:BG259)/2</f>
        <v>12</v>
      </c>
      <c r="BG4" s="61"/>
      <c r="BH4" s="58"/>
      <c r="BI4" s="60">
        <f ca="1">SUM(BJ6:BJ259)/2</f>
        <v>22</v>
      </c>
      <c r="BJ4" s="61"/>
      <c r="BK4" s="58"/>
      <c r="BL4" s="60">
        <f ca="1">SUM(BM6:BM259)/2</f>
        <v>17</v>
      </c>
      <c r="BM4" s="61"/>
      <c r="BN4" s="58"/>
      <c r="BO4" s="60">
        <f ca="1">SUM(BP6:BP259)/2</f>
        <v>17</v>
      </c>
      <c r="BP4" s="61"/>
      <c r="BQ4" s="58"/>
      <c r="BR4" s="60">
        <f ca="1">SUM(BS6:BS259)/2</f>
        <v>5</v>
      </c>
      <c r="BS4" s="61"/>
      <c r="BT4" s="58"/>
      <c r="BU4" s="60">
        <f ca="1">SUM(BV6:BV259)/2</f>
        <v>0</v>
      </c>
      <c r="BV4" s="61"/>
      <c r="BW4" s="58"/>
      <c r="BX4" s="60">
        <f ca="1">SUM(BY6:BY259)/2</f>
        <v>0</v>
      </c>
      <c r="BY4" s="61"/>
      <c r="BZ4" s="58"/>
      <c r="CA4" s="60">
        <f ca="1">SUM(CB6:CB259)/2</f>
        <v>0</v>
      </c>
      <c r="CB4" s="61"/>
      <c r="CC4" s="58"/>
      <c r="CD4" s="60">
        <f ca="1">SUM(CE6:CE259)/2</f>
        <v>0</v>
      </c>
      <c r="CE4" s="61"/>
      <c r="CF4" s="58"/>
      <c r="CG4" s="60">
        <f ca="1">SUM(CH6:CH259)/2</f>
        <v>0</v>
      </c>
      <c r="CH4" s="61"/>
      <c r="CI4" s="58"/>
      <c r="CJ4" s="60">
        <f ca="1">SUM(CK6:CK259)/2</f>
        <v>0</v>
      </c>
      <c r="CK4" s="61"/>
      <c r="CL4" s="58"/>
      <c r="CM4" s="60">
        <f ca="1">SUM(CN6:CN259)/2</f>
        <v>0</v>
      </c>
      <c r="CN4" s="61"/>
      <c r="CO4" s="58"/>
      <c r="CP4" s="60">
        <f ca="1">SUM(CQ6:CQ259)/2</f>
        <v>0</v>
      </c>
      <c r="CQ4" s="61"/>
      <c r="CR4" s="58"/>
      <c r="CS4" s="60">
        <f ca="1">SUM(CT6:CT259)/2</f>
        <v>0</v>
      </c>
      <c r="CT4" s="61"/>
      <c r="CU4" s="58"/>
      <c r="CV4" s="60">
        <f ca="1">SUM(CW6:CW259)/2</f>
        <v>0</v>
      </c>
      <c r="CW4" s="61"/>
      <c r="CX4" s="58"/>
      <c r="CY4" s="60">
        <f ca="1">SUM(CZ6:CZ259)/2</f>
        <v>0</v>
      </c>
      <c r="CZ4" s="61"/>
      <c r="DA4" s="58"/>
      <c r="DB4" s="60">
        <f ca="1">SUM(DC6:DC259)/2</f>
        <v>0</v>
      </c>
      <c r="DC4" s="61"/>
      <c r="DD4" s="58"/>
      <c r="DE4" s="60">
        <f ca="1">SUM(DF6:DF259)/2</f>
        <v>0</v>
      </c>
      <c r="DF4" s="61"/>
      <c r="DG4" s="58"/>
      <c r="DH4" s="60">
        <f ca="1">SUM(DI6:DI259)/2</f>
        <v>0</v>
      </c>
      <c r="DI4" s="61"/>
      <c r="DJ4" s="58"/>
      <c r="DK4" s="60">
        <f ca="1">SUM(DL6:DL259)/2</f>
        <v>0</v>
      </c>
      <c r="DL4" s="61"/>
      <c r="DM4" s="58"/>
      <c r="DN4" s="60">
        <f ca="1">SUM(DO6:DO259)/2</f>
        <v>0</v>
      </c>
      <c r="DO4" s="61"/>
      <c r="DP4" s="58"/>
      <c r="DQ4" s="60">
        <f ca="1">SUM(DR6:DR259)/2</f>
        <v>0</v>
      </c>
      <c r="DR4" s="61"/>
      <c r="DS4" s="58"/>
      <c r="DT4" s="60">
        <f ca="1">SUM(DU6:DU259)/2</f>
        <v>0</v>
      </c>
      <c r="DU4" s="61"/>
      <c r="DV4" s="58"/>
      <c r="DW4" s="60">
        <f ca="1">SUM(DX6:DX259)/2</f>
        <v>0</v>
      </c>
      <c r="DX4" s="61"/>
      <c r="DY4" s="58"/>
      <c r="DZ4" s="60">
        <f ca="1">SUM(EA6:EA259)/2</f>
        <v>0</v>
      </c>
      <c r="EA4" s="61"/>
      <c r="EB4" s="58"/>
      <c r="EC4" s="60">
        <f ca="1">SUM(ED6:ED259)/2</f>
        <v>0</v>
      </c>
      <c r="ED4" s="61"/>
      <c r="EE4" s="58"/>
      <c r="EF4" s="60">
        <f ca="1">SUM(EG6:EG259)/2</f>
        <v>0</v>
      </c>
      <c r="EG4" s="61"/>
      <c r="EH4" s="58"/>
      <c r="EI4" s="58"/>
    </row>
    <row r="5" spans="1:139" ht="21.75" thickBot="1">
      <c r="A5" s="43"/>
      <c r="B5" s="43"/>
      <c r="C5" s="45" t="str">
        <f>Idiomas!D299&amp;" -&gt;"</f>
        <v>Selecciona el Nº de Jugadores -&gt;</v>
      </c>
      <c r="D5" s="431">
        <v>40</v>
      </c>
      <c r="E5" s="103"/>
      <c r="F5" s="426" t="s">
        <v>1572</v>
      </c>
      <c r="G5" s="426" t="s">
        <v>1644</v>
      </c>
      <c r="H5" s="426" t="s">
        <v>10</v>
      </c>
      <c r="I5" s="109" t="s">
        <v>1573</v>
      </c>
      <c r="J5" s="648" t="str">
        <f>HYPERLINK(Idiomas!D446,Idiomas!D445)</f>
        <v>?</v>
      </c>
      <c r="K5" s="105" t="str">
        <f>Idiomas!D135</f>
        <v>FASE DE GRUPOS</v>
      </c>
      <c r="L5" s="44"/>
      <c r="M5" s="64"/>
      <c r="N5" s="711"/>
      <c r="O5" s="711"/>
      <c r="P5" s="711"/>
      <c r="Q5" s="711"/>
      <c r="R5" s="43">
        <v>0</v>
      </c>
      <c r="S5" s="62" t="s">
        <v>1946</v>
      </c>
      <c r="T5" s="63"/>
      <c r="U5" s="58">
        <v>1</v>
      </c>
      <c r="V5" s="62" t="s">
        <v>1967</v>
      </c>
      <c r="W5" s="63"/>
      <c r="X5" s="58">
        <v>2</v>
      </c>
      <c r="Y5" s="62" t="s">
        <v>1973</v>
      </c>
      <c r="Z5" s="63"/>
      <c r="AA5" s="58">
        <v>3</v>
      </c>
      <c r="AB5" s="62" t="s">
        <v>1976</v>
      </c>
      <c r="AC5" s="63"/>
      <c r="AD5" s="58">
        <v>4</v>
      </c>
      <c r="AE5" s="62" t="s">
        <v>1980</v>
      </c>
      <c r="AF5" s="63"/>
      <c r="AG5" s="58">
        <v>5</v>
      </c>
      <c r="AH5" s="62" t="s">
        <v>1982</v>
      </c>
      <c r="AI5" s="63"/>
      <c r="AJ5" s="58">
        <v>6</v>
      </c>
      <c r="AK5" s="62" t="s">
        <v>1985</v>
      </c>
      <c r="AL5" s="63"/>
      <c r="AM5" s="58">
        <v>7</v>
      </c>
      <c r="AN5" s="62" t="s">
        <v>1986</v>
      </c>
      <c r="AO5" s="63"/>
      <c r="AP5" s="58">
        <v>8</v>
      </c>
      <c r="AQ5" s="62" t="s">
        <v>1987</v>
      </c>
      <c r="AR5" s="63"/>
      <c r="AS5" s="58">
        <v>9</v>
      </c>
      <c r="AT5" s="62" t="s">
        <v>1993</v>
      </c>
      <c r="AU5" s="63"/>
      <c r="AV5" s="58">
        <v>10</v>
      </c>
      <c r="AW5" s="62" t="s">
        <v>1995</v>
      </c>
      <c r="AX5" s="63"/>
      <c r="AY5" s="58">
        <v>11</v>
      </c>
      <c r="AZ5" s="62" t="s">
        <v>1996</v>
      </c>
      <c r="BA5" s="63"/>
      <c r="BB5" s="58">
        <v>12</v>
      </c>
      <c r="BC5" s="62" t="s">
        <v>2000</v>
      </c>
      <c r="BD5" s="63"/>
      <c r="BE5" s="58">
        <v>13</v>
      </c>
      <c r="BF5" s="62" t="s">
        <v>2006</v>
      </c>
      <c r="BG5" s="63"/>
      <c r="BH5" s="58">
        <v>14</v>
      </c>
      <c r="BI5" s="62" t="s">
        <v>2005</v>
      </c>
      <c r="BJ5" s="63"/>
      <c r="BK5" s="58">
        <v>15</v>
      </c>
      <c r="BL5" s="62" t="s">
        <v>2007</v>
      </c>
      <c r="BM5" s="63"/>
      <c r="BN5" s="58">
        <v>16</v>
      </c>
      <c r="BO5" s="62" t="s">
        <v>2009</v>
      </c>
      <c r="BP5" s="63"/>
      <c r="BQ5" s="58">
        <v>17</v>
      </c>
      <c r="BR5" s="62" t="s">
        <v>2013</v>
      </c>
      <c r="BS5" s="63"/>
      <c r="BT5" s="58">
        <v>18</v>
      </c>
      <c r="BU5" s="62" t="str">
        <f>Idiomas!$G$363&amp;ADMIN!BW5</f>
        <v>Pegar Valores Nombre J19</v>
      </c>
      <c r="BV5" s="63"/>
      <c r="BW5" s="58">
        <v>19</v>
      </c>
      <c r="BX5" s="62" t="str">
        <f>Idiomas!$G$363&amp;ADMIN!BZ5</f>
        <v>Pegar Valores Nombre J20</v>
      </c>
      <c r="BY5" s="63"/>
      <c r="BZ5" s="58">
        <v>20</v>
      </c>
      <c r="CA5" s="62" t="str">
        <f>Idiomas!$G$363&amp;ADMIN!CC5</f>
        <v>Pegar Valores Nombre J21</v>
      </c>
      <c r="CB5" s="63"/>
      <c r="CC5" s="58">
        <v>21</v>
      </c>
      <c r="CD5" s="62" t="str">
        <f>Idiomas!$G$363&amp;ADMIN!CF5</f>
        <v>Pegar Valores Nombre J22</v>
      </c>
      <c r="CE5" s="63"/>
      <c r="CF5" s="58">
        <v>22</v>
      </c>
      <c r="CG5" s="62" t="str">
        <f>Idiomas!$G$363&amp;ADMIN!CI5</f>
        <v>Pegar Valores Nombre J23</v>
      </c>
      <c r="CH5" s="63"/>
      <c r="CI5" s="58">
        <v>23</v>
      </c>
      <c r="CJ5" s="62" t="str">
        <f>Idiomas!$G$363&amp;ADMIN!CL5</f>
        <v>Pegar Valores Nombre J24</v>
      </c>
      <c r="CK5" s="63"/>
      <c r="CL5" s="58">
        <v>24</v>
      </c>
      <c r="CM5" s="62" t="str">
        <f>Idiomas!$G$363&amp;ADMIN!CO5</f>
        <v>Pegar Valores Nombre J25</v>
      </c>
      <c r="CN5" s="63"/>
      <c r="CO5" s="58">
        <v>25</v>
      </c>
      <c r="CP5" s="62" t="str">
        <f>Idiomas!$G$363&amp;ADMIN!CR5</f>
        <v>Pegar Valores Nombre J26</v>
      </c>
      <c r="CQ5" s="63"/>
      <c r="CR5" s="58">
        <v>26</v>
      </c>
      <c r="CS5" s="62" t="str">
        <f>Idiomas!$G$363&amp;ADMIN!CU5</f>
        <v>Pegar Valores Nombre J27</v>
      </c>
      <c r="CT5" s="63"/>
      <c r="CU5" s="58">
        <v>27</v>
      </c>
      <c r="CV5" s="62" t="str">
        <f>Idiomas!$G$363&amp;ADMIN!CX5</f>
        <v>Pegar Valores Nombre J28</v>
      </c>
      <c r="CW5" s="63"/>
      <c r="CX5" s="58">
        <v>28</v>
      </c>
      <c r="CY5" s="62" t="str">
        <f>Idiomas!$G$363&amp;ADMIN!DA5</f>
        <v>Pegar Valores Nombre J29</v>
      </c>
      <c r="CZ5" s="63"/>
      <c r="DA5" s="58">
        <v>29</v>
      </c>
      <c r="DB5" s="62" t="str">
        <f>Idiomas!$G$363&amp;ADMIN!DD5</f>
        <v>Pegar Valores Nombre J30</v>
      </c>
      <c r="DC5" s="63"/>
      <c r="DD5" s="58">
        <v>30</v>
      </c>
      <c r="DE5" s="62" t="str">
        <f>Idiomas!$G$363&amp;ADMIN!DG5</f>
        <v>Pegar Valores Nombre J31</v>
      </c>
      <c r="DF5" s="63"/>
      <c r="DG5" s="58">
        <v>31</v>
      </c>
      <c r="DH5" s="62" t="str">
        <f>Idiomas!$G$363&amp;ADMIN!DJ5</f>
        <v>Pegar Valores Nombre J32</v>
      </c>
      <c r="DI5" s="63"/>
      <c r="DJ5" s="58">
        <v>32</v>
      </c>
      <c r="DK5" s="62" t="str">
        <f>Idiomas!$G$363&amp;ADMIN!DM5</f>
        <v>Pegar Valores Nombre J33</v>
      </c>
      <c r="DL5" s="63"/>
      <c r="DM5" s="58">
        <v>33</v>
      </c>
      <c r="DN5" s="62" t="str">
        <f>Idiomas!$G$363&amp;ADMIN!DP5</f>
        <v>Pegar Valores Nombre J34</v>
      </c>
      <c r="DO5" s="63"/>
      <c r="DP5" s="58">
        <v>34</v>
      </c>
      <c r="DQ5" s="62" t="str">
        <f>Idiomas!$G$363&amp;ADMIN!DS5</f>
        <v>Pegar Valores Nombre J35</v>
      </c>
      <c r="DR5" s="63"/>
      <c r="DS5" s="58">
        <v>35</v>
      </c>
      <c r="DT5" s="62" t="str">
        <f>Idiomas!$G$363&amp;ADMIN!DV5</f>
        <v>Pegar Valores Nombre J36</v>
      </c>
      <c r="DU5" s="63"/>
      <c r="DV5" s="58">
        <v>36</v>
      </c>
      <c r="DW5" s="62" t="str">
        <f>Idiomas!$G$363&amp;ADMIN!DY5</f>
        <v>Pegar Valores Nombre J37</v>
      </c>
      <c r="DX5" s="63"/>
      <c r="DY5" s="58">
        <v>37</v>
      </c>
      <c r="DZ5" s="62" t="str">
        <f>Idiomas!$G$363&amp;ADMIN!EB5</f>
        <v>Pegar Valores Nombre J38</v>
      </c>
      <c r="EA5" s="63"/>
      <c r="EB5" s="58">
        <v>38</v>
      </c>
      <c r="EC5" s="62" t="str">
        <f>Idiomas!$G$363&amp;ADMIN!EE5</f>
        <v>Pegar Valores Nombre J39</v>
      </c>
      <c r="ED5" s="63"/>
      <c r="EE5" s="58">
        <v>39</v>
      </c>
      <c r="EF5" s="62" t="str">
        <f>Idiomas!$G$363&amp;ADMIN!EH5</f>
        <v>Pegar Valores Nombre J40</v>
      </c>
      <c r="EG5" s="63"/>
      <c r="EH5" s="58">
        <v>40</v>
      </c>
      <c r="EI5" s="58"/>
    </row>
    <row r="6" spans="1:139" ht="15.75" thickBot="1">
      <c r="A6" s="43"/>
      <c r="B6" s="43"/>
      <c r="C6" s="647"/>
      <c r="D6" s="43"/>
      <c r="E6" s="103"/>
      <c r="F6" s="426">
        <f>SUM($D$8:$D$10)*I6</f>
        <v>17</v>
      </c>
      <c r="G6" s="426">
        <f ca="1">VLOOKUP(H6,Equipos!$Q$1:$R$25,2,0)</f>
        <v>1</v>
      </c>
      <c r="H6" s="427">
        <f ca="1">TRUNC(INDEX(WORLDCUP!$X$4:$X$147,MATCH(ADMIN!K6,WORLDCUP!$DT$4:$DT$147,0))+INDEX(Horarios!$R$3:$R$86,MATCH(Horarios!$C$3,Horarios!$P$3:$P$86,0))/24)</f>
        <v>46184</v>
      </c>
      <c r="I6" s="42">
        <v>1</v>
      </c>
      <c r="J6" s="87" t="s">
        <v>112</v>
      </c>
      <c r="K6" s="46" t="str">
        <f ca="1">CONCATENATE(WORLDCUP!AA4,"-",WORLDCUP!AF4)</f>
        <v>México-Sudáfrica</v>
      </c>
      <c r="L6" s="46"/>
      <c r="M6" s="46" t="str">
        <f>IF(OR(WORLDCUP!AC4="",WORLDCUP!AD4=""),"-",N6&amp;"|"&amp;O6&amp;"-"&amp;P6)</f>
        <v>1|2-0</v>
      </c>
      <c r="N6" s="711" t="str">
        <f>IF(OR(WORLDCUP!AC4="",WORLDCUP!AD4=""),"",IF(WORLDCUP!AC4&gt;WORLDCUP!AD4,"1",IF(WORLDCUP!AC4&lt;WORLDCUP!AD4,"2","X")))</f>
        <v>1</v>
      </c>
      <c r="O6" s="711">
        <f>WORLDCUP!AC4</f>
        <v>2</v>
      </c>
      <c r="P6" s="711">
        <f>WORLDCUP!AD4</f>
        <v>0</v>
      </c>
      <c r="Q6" s="711">
        <f>ABS(O6-P6)</f>
        <v>2</v>
      </c>
      <c r="R6" s="43"/>
      <c r="S6" s="65" t="s">
        <v>1947</v>
      </c>
      <c r="T6" s="66">
        <f>IFERROR(IF($M6=S6,($D$8+$D$9+$D$10)*$I6,IF($N6=LEFT(S6,1),($D$8+MAX(0,IF($D$50=1,$D$9*(1-(ABS($Q6-ABS(VALUE(MID(S6,FIND("|",S6)+1,FIND("-",S6)-FIND("|",S6)-1))-VALUE(MID(S6,FIND("-",S6)+1,10)))))*$D$50),$D$9*(1-(IF($N6="X",ABS($O6-VALUE(MID(S6,FIND("|",S6)+1,FIND("-",S6)-FIND("|",S6)-1))),ABS($Q6-ABS(VALUE(MID(S6,FIND("|",S6)+1,FIND("-",S6)-FIND("|",S6)-1))-VALUE(MID(S6,FIND("-",S6)+1,10)))))*$D$50)))))*$I6,0)),0)</f>
        <v>5</v>
      </c>
      <c r="U6" s="103"/>
      <c r="V6" s="65" t="s">
        <v>1947</v>
      </c>
      <c r="W6" s="66">
        <f>IFERROR(IF($M6=V6,($D$8+$D$9+$D$10)*$I6,IF($N6=LEFT(V6,1),($D$8+MAX(0,IF($D$50=1,$D$9*(1-(ABS($Q6-ABS(VALUE(MID(V6,FIND("|",V6)+1,FIND("-",V6)-FIND("|",V6)-1))-VALUE(MID(V6,FIND("-",V6)+1,10)))))*$D$50),$D$9*(1-(IF($N6="X",ABS($O6-VALUE(MID(V6,FIND("|",V6)+1,FIND("-",V6)-FIND("|",V6)-1))),ABS($Q6-ABS(VALUE(MID(V6,FIND("|",V6)+1,FIND("-",V6)-FIND("|",V6)-1))-VALUE(MID(V6,FIND("-",V6)+1,10)))))*$D$50)))))*$I6,0)),0)</f>
        <v>5</v>
      </c>
      <c r="X6" s="103"/>
      <c r="Y6" s="65" t="s">
        <v>1947</v>
      </c>
      <c r="Z6" s="66">
        <f>IFERROR(IF($M6=Y6,($D$8+$D$9+$D$10)*$I6,IF($N6=LEFT(Y6,1),($D$8+MAX(0,IF($D$50=1,$D$9*(1-(ABS($Q6-ABS(VALUE(MID(Y6,FIND("|",Y6)+1,FIND("-",Y6)-FIND("|",Y6)-1))-VALUE(MID(Y6,FIND("-",Y6)+1,10)))))*$D$50),$D$9*(1-(IF($N6="X",ABS($O6-VALUE(MID(Y6,FIND("|",Y6)+1,FIND("-",Y6)-FIND("|",Y6)-1))),ABS($Q6-ABS(VALUE(MID(Y6,FIND("|",Y6)+1,FIND("-",Y6)-FIND("|",Y6)-1))-VALUE(MID(Y6,FIND("-",Y6)+1,10)))))*$D$50)))))*$I6,0)),0)</f>
        <v>5</v>
      </c>
      <c r="AA6" s="103"/>
      <c r="AB6" s="65" t="s">
        <v>1956</v>
      </c>
      <c r="AC6" s="66">
        <f>IFERROR(IF($M6=AB6,($D$8+$D$9+$D$10)*$I6,IF($N6=LEFT(AB6,1),($D$8+MAX(0,IF($D$50=1,$D$9*(1-(ABS($Q6-ABS(VALUE(MID(AB6,FIND("|",AB6)+1,FIND("-",AB6)-FIND("|",AB6)-1))-VALUE(MID(AB6,FIND("-",AB6)+1,10)))))*$D$50),$D$9*(1-(IF($N6="X",ABS($O6-VALUE(MID(AB6,FIND("|",AB6)+1,FIND("-",AB6)-FIND("|",AB6)-1))),ABS($Q6-ABS(VALUE(MID(AB6,FIND("|",AB6)+1,FIND("-",AB6)-FIND("|",AB6)-1))-VALUE(MID(AB6,FIND("-",AB6)+1,10)))))*$D$50)))))*$I6,0)),0)</f>
        <v>5</v>
      </c>
      <c r="AD6" s="103"/>
      <c r="AE6" s="65" t="s">
        <v>1953</v>
      </c>
      <c r="AF6" s="66">
        <f>IFERROR(IF($M6=AE6,($D$8+$D$9+$D$10)*$I6,IF($N6=LEFT(AE6,1),($D$8+MAX(0,IF($D$50=1,$D$9*(1-(ABS($Q6-ABS(VALUE(MID(AE6,FIND("|",AE6)+1,FIND("-",AE6)-FIND("|",AE6)-1))-VALUE(MID(AE6,FIND("-",AE6)+1,10)))))*$D$50),$D$9*(1-(IF($N6="X",ABS($O6-VALUE(MID(AE6,FIND("|",AE6)+1,FIND("-",AE6)-FIND("|",AE6)-1))),ABS($Q6-ABS(VALUE(MID(AE6,FIND("|",AE6)+1,FIND("-",AE6)-FIND("|",AE6)-1))-VALUE(MID(AE6,FIND("-",AE6)+1,10)))))*$D$50)))))*$I6,0)),0)</f>
        <v>17</v>
      </c>
      <c r="AG6" s="103"/>
      <c r="AH6" s="65" t="s">
        <v>1953</v>
      </c>
      <c r="AI6" s="66">
        <f>IFERROR(IF($M6=AH6,($D$8+$D$9+$D$10)*$I6,IF($N6=LEFT(AH6,1),($D$8+MAX(0,IF($D$50=1,$D$9*(1-(ABS($Q6-ABS(VALUE(MID(AH6,FIND("|",AH6)+1,FIND("-",AH6)-FIND("|",AH6)-1))-VALUE(MID(AH6,FIND("-",AH6)+1,10)))))*$D$50),$D$9*(1-(IF($N6="X",ABS($O6-VALUE(MID(AH6,FIND("|",AH6)+1,FIND("-",AH6)-FIND("|",AH6)-1))),ABS($Q6-ABS(VALUE(MID(AH6,FIND("|",AH6)+1,FIND("-",AH6)-FIND("|",AH6)-1))-VALUE(MID(AH6,FIND("-",AH6)+1,10)))))*$D$50)))))*$I6,0)),0)</f>
        <v>17</v>
      </c>
      <c r="AJ6" s="103"/>
      <c r="AK6" s="65" t="s">
        <v>1953</v>
      </c>
      <c r="AL6" s="66">
        <f>IFERROR(IF($M6=AK6,($D$8+$D$9+$D$10)*$I6,IF($N6=LEFT(AK6,1),($D$8+MAX(0,IF($D$50=1,$D$9*(1-(ABS($Q6-ABS(VALUE(MID(AK6,FIND("|",AK6)+1,FIND("-",AK6)-FIND("|",AK6)-1))-VALUE(MID(AK6,FIND("-",AK6)+1,10)))))*$D$50),$D$9*(1-(IF($N6="X",ABS($O6-VALUE(MID(AK6,FIND("|",AK6)+1,FIND("-",AK6)-FIND("|",AK6)-1))),ABS($Q6-ABS(VALUE(MID(AK6,FIND("|",AK6)+1,FIND("-",AK6)-FIND("|",AK6)-1))-VALUE(MID(AK6,FIND("-",AK6)+1,10)))))*$D$50)))))*$I6,0)),0)</f>
        <v>17</v>
      </c>
      <c r="AM6" s="103"/>
      <c r="AN6" s="65" t="s">
        <v>1953</v>
      </c>
      <c r="AO6" s="66">
        <f>IFERROR(IF($M6=AN6,($D$8+$D$9+$D$10)*$I6,IF($N6=LEFT(AN6,1),($D$8+MAX(0,IF($D$50=1,$D$9*(1-(ABS($Q6-ABS(VALUE(MID(AN6,FIND("|",AN6)+1,FIND("-",AN6)-FIND("|",AN6)-1))-VALUE(MID(AN6,FIND("-",AN6)+1,10)))))*$D$50),$D$9*(1-(IF($N6="X",ABS($O6-VALUE(MID(AN6,FIND("|",AN6)+1,FIND("-",AN6)-FIND("|",AN6)-1))),ABS($Q6-ABS(VALUE(MID(AN6,FIND("|",AN6)+1,FIND("-",AN6)-FIND("|",AN6)-1))-VALUE(MID(AN6,FIND("-",AN6)+1,10)))))*$D$50)))))*$I6,0)),0)</f>
        <v>17</v>
      </c>
      <c r="AP6" s="103"/>
      <c r="AQ6" s="65" t="s">
        <v>1953</v>
      </c>
      <c r="AR6" s="66">
        <f>IFERROR(IF($M6=AQ6,($D$8+$D$9+$D$10)*$I6,IF($N6=LEFT(AQ6,1),($D$8+MAX(0,IF($D$50=1,$D$9*(1-(ABS($Q6-ABS(VALUE(MID(AQ6,FIND("|",AQ6)+1,FIND("-",AQ6)-FIND("|",AQ6)-1))-VALUE(MID(AQ6,FIND("-",AQ6)+1,10)))))*$D$50),$D$9*(1-(IF($N6="X",ABS($O6-VALUE(MID(AQ6,FIND("|",AQ6)+1,FIND("-",AQ6)-FIND("|",AQ6)-1))),ABS($Q6-ABS(VALUE(MID(AQ6,FIND("|",AQ6)+1,FIND("-",AQ6)-FIND("|",AQ6)-1))-VALUE(MID(AQ6,FIND("-",AQ6)+1,10)))))*$D$50)))))*$I6,0)),0)</f>
        <v>17</v>
      </c>
      <c r="AS6" s="103"/>
      <c r="AT6" s="65" t="s">
        <v>1953</v>
      </c>
      <c r="AU6" s="66">
        <f>IFERROR(IF($M6=AT6,($D$8+$D$9+$D$10)*$I6,IF($N6=LEFT(AT6,1),($D$8+MAX(0,IF($D$50=1,$D$9*(1-(ABS($Q6-ABS(VALUE(MID(AT6,FIND("|",AT6)+1,FIND("-",AT6)-FIND("|",AT6)-1))-VALUE(MID(AT6,FIND("-",AT6)+1,10)))))*$D$50),$D$9*(1-(IF($N6="X",ABS($O6-VALUE(MID(AT6,FIND("|",AT6)+1,FIND("-",AT6)-FIND("|",AT6)-1))),ABS($Q6-ABS(VALUE(MID(AT6,FIND("|",AT6)+1,FIND("-",AT6)-FIND("|",AT6)-1))-VALUE(MID(AT6,FIND("-",AT6)+1,10)))))*$D$50)))))*$I6,0)),0)</f>
        <v>17</v>
      </c>
      <c r="AV6" s="103"/>
      <c r="AW6" s="65" t="s">
        <v>1956</v>
      </c>
      <c r="AX6" s="66">
        <f>IFERROR(IF($M6=AW6,($D$8+$D$9+$D$10)*$I6,IF($N6=LEFT(AW6,1),($D$8+MAX(0,IF($D$50=1,$D$9*(1-(ABS($Q6-ABS(VALUE(MID(AW6,FIND("|",AW6)+1,FIND("-",AW6)-FIND("|",AW6)-1))-VALUE(MID(AW6,FIND("-",AW6)+1,10)))))*$D$50),$D$9*(1-(IF($N6="X",ABS($O6-VALUE(MID(AW6,FIND("|",AW6)+1,FIND("-",AW6)-FIND("|",AW6)-1))),ABS($Q6-ABS(VALUE(MID(AW6,FIND("|",AW6)+1,FIND("-",AW6)-FIND("|",AW6)-1))-VALUE(MID(AW6,FIND("-",AW6)+1,10)))))*$D$50)))))*$I6,0)),0)</f>
        <v>5</v>
      </c>
      <c r="AY6" s="103"/>
      <c r="AZ6" s="65" t="s">
        <v>1947</v>
      </c>
      <c r="BA6" s="66">
        <f>IFERROR(IF($M6=AZ6,($D$8+$D$9+$D$10)*$I6,IF($N6=LEFT(AZ6,1),($D$8+MAX(0,IF($D$50=1,$D$9*(1-(ABS($Q6-ABS(VALUE(MID(AZ6,FIND("|",AZ6)+1,FIND("-",AZ6)-FIND("|",AZ6)-1))-VALUE(MID(AZ6,FIND("-",AZ6)+1,10)))))*$D$50),$D$9*(1-(IF($N6="X",ABS($O6-VALUE(MID(AZ6,FIND("|",AZ6)+1,FIND("-",AZ6)-FIND("|",AZ6)-1))),ABS($Q6-ABS(VALUE(MID(AZ6,FIND("|",AZ6)+1,FIND("-",AZ6)-FIND("|",AZ6)-1))-VALUE(MID(AZ6,FIND("-",AZ6)+1,10)))))*$D$50)))))*$I6,0)),0)</f>
        <v>5</v>
      </c>
      <c r="BB6" s="103"/>
      <c r="BC6" s="65" t="s">
        <v>1947</v>
      </c>
      <c r="BD6" s="66">
        <f>IFERROR(IF($M6=BC6,($D$8+$D$9+$D$10)*$I6,IF($N6=LEFT(BC6,1),($D$8+MAX(0,IF($D$50=1,$D$9*(1-(ABS($Q6-ABS(VALUE(MID(BC6,FIND("|",BC6)+1,FIND("-",BC6)-FIND("|",BC6)-1))-VALUE(MID(BC6,FIND("-",BC6)+1,10)))))*$D$50),$D$9*(1-(IF($N6="X",ABS($O6-VALUE(MID(BC6,FIND("|",BC6)+1,FIND("-",BC6)-FIND("|",BC6)-1))),ABS($Q6-ABS(VALUE(MID(BC6,FIND("|",BC6)+1,FIND("-",BC6)-FIND("|",BC6)-1))-VALUE(MID(BC6,FIND("-",BC6)+1,10)))))*$D$50)))))*$I6,0)),0)</f>
        <v>5</v>
      </c>
      <c r="BE6" s="103"/>
      <c r="BF6" s="65" t="s">
        <v>1956</v>
      </c>
      <c r="BG6" s="66">
        <f>IFERROR(IF($M6=BF6,($D$8+$D$9+$D$10)*$I6,IF($N6=LEFT(BF6,1),($D$8+MAX(0,IF($D$50=1,$D$9*(1-(ABS($Q6-ABS(VALUE(MID(BF6,FIND("|",BF6)+1,FIND("-",BF6)-FIND("|",BF6)-1))-VALUE(MID(BF6,FIND("-",BF6)+1,10)))))*$D$50),$D$9*(1-(IF($N6="X",ABS($O6-VALUE(MID(BF6,FIND("|",BF6)+1,FIND("-",BF6)-FIND("|",BF6)-1))),ABS($Q6-ABS(VALUE(MID(BF6,FIND("|",BF6)+1,FIND("-",BF6)-FIND("|",BF6)-1))-VALUE(MID(BF6,FIND("-",BF6)+1,10)))))*$D$50)))))*$I6,0)),0)</f>
        <v>5</v>
      </c>
      <c r="BH6" s="103"/>
      <c r="BI6" s="65" t="s">
        <v>1947</v>
      </c>
      <c r="BJ6" s="66">
        <f>IFERROR(IF($M6=BI6,($D$8+$D$9+$D$10)*$I6,IF($N6=LEFT(BI6,1),($D$8+MAX(0,IF($D$50=1,$D$9*(1-(ABS($Q6-ABS(VALUE(MID(BI6,FIND("|",BI6)+1,FIND("-",BI6)-FIND("|",BI6)-1))-VALUE(MID(BI6,FIND("-",BI6)+1,10)))))*$D$50),$D$9*(1-(IF($N6="X",ABS($O6-VALUE(MID(BI6,FIND("|",BI6)+1,FIND("-",BI6)-FIND("|",BI6)-1))),ABS($Q6-ABS(VALUE(MID(BI6,FIND("|",BI6)+1,FIND("-",BI6)-FIND("|",BI6)-1))-VALUE(MID(BI6,FIND("-",BI6)+1,10)))))*$D$50)))))*$I6,0)),0)</f>
        <v>5</v>
      </c>
      <c r="BK6" s="103"/>
      <c r="BL6" s="65" t="s">
        <v>1953</v>
      </c>
      <c r="BM6" s="66">
        <f>IFERROR(IF($M6=BL6,($D$8+$D$9+$D$10)*$I6,IF($N6=LEFT(BL6,1),($D$8+MAX(0,IF($D$50=1,$D$9*(1-(ABS($Q6-ABS(VALUE(MID(BL6,FIND("|",BL6)+1,FIND("-",BL6)-FIND("|",BL6)-1))-VALUE(MID(BL6,FIND("-",BL6)+1,10)))))*$D$50),$D$9*(1-(IF($N6="X",ABS($O6-VALUE(MID(BL6,FIND("|",BL6)+1,FIND("-",BL6)-FIND("|",BL6)-1))),ABS($Q6-ABS(VALUE(MID(BL6,FIND("|",BL6)+1,FIND("-",BL6)-FIND("|",BL6)-1))-VALUE(MID(BL6,FIND("-",BL6)+1,10)))))*$D$50)))))*$I6,0)),0)</f>
        <v>17</v>
      </c>
      <c r="BN6" s="103"/>
      <c r="BO6" s="65" t="s">
        <v>1953</v>
      </c>
      <c r="BP6" s="66">
        <f>IFERROR(IF($M6=BO6,($D$8+$D$9+$D$10)*$I6,IF($N6=LEFT(BO6,1),($D$8+MAX(0,IF($D$50=1,$D$9*(1-(ABS($Q6-ABS(VALUE(MID(BO6,FIND("|",BO6)+1,FIND("-",BO6)-FIND("|",BO6)-1))-VALUE(MID(BO6,FIND("-",BO6)+1,10)))))*$D$50),$D$9*(1-(IF($N6="X",ABS($O6-VALUE(MID(BO6,FIND("|",BO6)+1,FIND("-",BO6)-FIND("|",BO6)-1))),ABS($Q6-ABS(VALUE(MID(BO6,FIND("|",BO6)+1,FIND("-",BO6)-FIND("|",BO6)-1))-VALUE(MID(BO6,FIND("-",BO6)+1,10)))))*$D$50)))))*$I6,0)),0)</f>
        <v>17</v>
      </c>
      <c r="BQ6" s="103"/>
      <c r="BR6" s="65" t="s">
        <v>1956</v>
      </c>
      <c r="BS6" s="66">
        <f>IFERROR(IF($M6=BR6,($D$8+$D$9+$D$10)*$I6,IF($N6=LEFT(BR6,1),($D$8+MAX(0,IF($D$50=1,$D$9*(1-(ABS($Q6-ABS(VALUE(MID(BR6,FIND("|",BR6)+1,FIND("-",BR6)-FIND("|",BR6)-1))-VALUE(MID(BR6,FIND("-",BR6)+1,10)))))*$D$50),$D$9*(1-(IF($N6="X",ABS($O6-VALUE(MID(BR6,FIND("|",BR6)+1,FIND("-",BR6)-FIND("|",BR6)-1))),ABS($Q6-ABS(VALUE(MID(BR6,FIND("|",BR6)+1,FIND("-",BR6)-FIND("|",BR6)-1))-VALUE(MID(BR6,FIND("-",BR6)+1,10)))))*$D$50)))))*$I6,0)),0)</f>
        <v>5</v>
      </c>
      <c r="BT6" s="103"/>
      <c r="BU6" s="65" t="str">
        <f>Idiomas!$D$364</f>
        <v>Pegar Valores (J1)</v>
      </c>
      <c r="BV6" s="66">
        <f>IFERROR(IF($M6=BU6,($D$8+$D$9+$D$10)*$I6,IF($N6=LEFT(BU6,1),($D$8+MAX(0,IF($D$50=1,$D$9*(1-(ABS($Q6-ABS(VALUE(MID(BU6,FIND("|",BU6)+1,FIND("-",BU6)-FIND("|",BU6)-1))-VALUE(MID(BU6,FIND("-",BU6)+1,10)))))*$D$50),$D$9*(1-(IF($N6="X",ABS($O6-VALUE(MID(BU6,FIND("|",BU6)+1,FIND("-",BU6)-FIND("|",BU6)-1))),ABS($Q6-ABS(VALUE(MID(BU6,FIND("|",BU6)+1,FIND("-",BU6)-FIND("|",BU6)-1))-VALUE(MID(BU6,FIND("-",BU6)+1,10)))))*$D$50)))))*$I6,0)),0)</f>
        <v>0</v>
      </c>
      <c r="BW6" s="103"/>
      <c r="BX6" s="65" t="str">
        <f>Idiomas!$D$364</f>
        <v>Pegar Valores (J1)</v>
      </c>
      <c r="BY6" s="66">
        <f>IFERROR(IF($M6=BX6,($D$8+$D$9+$D$10)*$I6,IF($N6=LEFT(BX6,1),($D$8+MAX(0,IF($D$50=1,$D$9*(1-(ABS($Q6-ABS(VALUE(MID(BX6,FIND("|",BX6)+1,FIND("-",BX6)-FIND("|",BX6)-1))-VALUE(MID(BX6,FIND("-",BX6)+1,10)))))*$D$50),$D$9*(1-(IF($N6="X",ABS($O6-VALUE(MID(BX6,FIND("|",BX6)+1,FIND("-",BX6)-FIND("|",BX6)-1))),ABS($Q6-ABS(VALUE(MID(BX6,FIND("|",BX6)+1,FIND("-",BX6)-FIND("|",BX6)-1))-VALUE(MID(BX6,FIND("-",BX6)+1,10)))))*$D$50)))))*$I6,0)),0)</f>
        <v>0</v>
      </c>
      <c r="BZ6" s="103"/>
      <c r="CA6" s="65" t="str">
        <f>Idiomas!$D$364</f>
        <v>Pegar Valores (J1)</v>
      </c>
      <c r="CB6" s="66">
        <f>IFERROR(IF($M6=CA6,($D$8+$D$9+$D$10)*$I6,IF($N6=LEFT(CA6,1),($D$8+MAX(0,IF($D$50=1,$D$9*(1-(ABS($Q6-ABS(VALUE(MID(CA6,FIND("|",CA6)+1,FIND("-",CA6)-FIND("|",CA6)-1))-VALUE(MID(CA6,FIND("-",CA6)+1,10)))))*$D$50),$D$9*(1-(IF($N6="X",ABS($O6-VALUE(MID(CA6,FIND("|",CA6)+1,FIND("-",CA6)-FIND("|",CA6)-1))),ABS($Q6-ABS(VALUE(MID(CA6,FIND("|",CA6)+1,FIND("-",CA6)-FIND("|",CA6)-1))-VALUE(MID(CA6,FIND("-",CA6)+1,10)))))*$D$50)))))*$I6,0)),0)</f>
        <v>0</v>
      </c>
      <c r="CC6" s="103"/>
      <c r="CD6" s="65" t="str">
        <f>Idiomas!$D$364</f>
        <v>Pegar Valores (J1)</v>
      </c>
      <c r="CE6" s="66">
        <f>IFERROR(IF($M6=CD6,($D$8+$D$9+$D$10)*$I6,IF($N6=LEFT(CD6,1),($D$8+MAX(0,IF($D$50=1,$D$9*(1-(ABS($Q6-ABS(VALUE(MID(CD6,FIND("|",CD6)+1,FIND("-",CD6)-FIND("|",CD6)-1))-VALUE(MID(CD6,FIND("-",CD6)+1,10)))))*$D$50),$D$9*(1-(IF($N6="X",ABS($O6-VALUE(MID(CD6,FIND("|",CD6)+1,FIND("-",CD6)-FIND("|",CD6)-1))),ABS($Q6-ABS(VALUE(MID(CD6,FIND("|",CD6)+1,FIND("-",CD6)-FIND("|",CD6)-1))-VALUE(MID(CD6,FIND("-",CD6)+1,10)))))*$D$50)))))*$I6,0)),0)</f>
        <v>0</v>
      </c>
      <c r="CF6" s="103"/>
      <c r="CG6" s="65" t="str">
        <f>Idiomas!$D$364</f>
        <v>Pegar Valores (J1)</v>
      </c>
      <c r="CH6" s="66">
        <f>IFERROR(IF($M6=CG6,($D$8+$D$9+$D$10)*$I6,IF($N6=LEFT(CG6,1),($D$8+MAX(0,IF($D$50=1,$D$9*(1-(ABS($Q6-ABS(VALUE(MID(CG6,FIND("|",CG6)+1,FIND("-",CG6)-FIND("|",CG6)-1))-VALUE(MID(CG6,FIND("-",CG6)+1,10)))))*$D$50),$D$9*(1-(IF($N6="X",ABS($O6-VALUE(MID(CG6,FIND("|",CG6)+1,FIND("-",CG6)-FIND("|",CG6)-1))),ABS($Q6-ABS(VALUE(MID(CG6,FIND("|",CG6)+1,FIND("-",CG6)-FIND("|",CG6)-1))-VALUE(MID(CG6,FIND("-",CG6)+1,10)))))*$D$50)))))*$I6,0)),0)</f>
        <v>0</v>
      </c>
      <c r="CI6" s="103"/>
      <c r="CJ6" s="65" t="str">
        <f>Idiomas!$D$364</f>
        <v>Pegar Valores (J1)</v>
      </c>
      <c r="CK6" s="66">
        <f>IFERROR(IF($M6=CJ6,($D$8+$D$9+$D$10)*$I6,IF($N6=LEFT(CJ6,1),($D$8+MAX(0,IF($D$50=1,$D$9*(1-(ABS($Q6-ABS(VALUE(MID(CJ6,FIND("|",CJ6)+1,FIND("-",CJ6)-FIND("|",CJ6)-1))-VALUE(MID(CJ6,FIND("-",CJ6)+1,10)))))*$D$50),$D$9*(1-(IF($N6="X",ABS($O6-VALUE(MID(CJ6,FIND("|",CJ6)+1,FIND("-",CJ6)-FIND("|",CJ6)-1))),ABS($Q6-ABS(VALUE(MID(CJ6,FIND("|",CJ6)+1,FIND("-",CJ6)-FIND("|",CJ6)-1))-VALUE(MID(CJ6,FIND("-",CJ6)+1,10)))))*$D$50)))))*$I6,0)),0)</f>
        <v>0</v>
      </c>
      <c r="CL6" s="103"/>
      <c r="CM6" s="65" t="str">
        <f>Idiomas!$D$364</f>
        <v>Pegar Valores (J1)</v>
      </c>
      <c r="CN6" s="66">
        <f>IFERROR(IF($M6=CM6,($D$8+$D$9+$D$10)*$I6,IF($N6=LEFT(CM6,1),($D$8+MAX(0,IF($D$50=1,$D$9*(1-(ABS($Q6-ABS(VALUE(MID(CM6,FIND("|",CM6)+1,FIND("-",CM6)-FIND("|",CM6)-1))-VALUE(MID(CM6,FIND("-",CM6)+1,10)))))*$D$50),$D$9*(1-(IF($N6="X",ABS($O6-VALUE(MID(CM6,FIND("|",CM6)+1,FIND("-",CM6)-FIND("|",CM6)-1))),ABS($Q6-ABS(VALUE(MID(CM6,FIND("|",CM6)+1,FIND("-",CM6)-FIND("|",CM6)-1))-VALUE(MID(CM6,FIND("-",CM6)+1,10)))))*$D$50)))))*$I6,0)),0)</f>
        <v>0</v>
      </c>
      <c r="CO6" s="103"/>
      <c r="CP6" s="65" t="str">
        <f>Idiomas!$D$364</f>
        <v>Pegar Valores (J1)</v>
      </c>
      <c r="CQ6" s="66">
        <f>IFERROR(IF($M6=CP6,($D$8+$D$9+$D$10)*$I6,IF($N6=LEFT(CP6,1),($D$8+MAX(0,IF($D$50=1,$D$9*(1-(ABS($Q6-ABS(VALUE(MID(CP6,FIND("|",CP6)+1,FIND("-",CP6)-FIND("|",CP6)-1))-VALUE(MID(CP6,FIND("-",CP6)+1,10)))))*$D$50),$D$9*(1-(IF($N6="X",ABS($O6-VALUE(MID(CP6,FIND("|",CP6)+1,FIND("-",CP6)-FIND("|",CP6)-1))),ABS($Q6-ABS(VALUE(MID(CP6,FIND("|",CP6)+1,FIND("-",CP6)-FIND("|",CP6)-1))-VALUE(MID(CP6,FIND("-",CP6)+1,10)))))*$D$50)))))*$I6,0)),0)</f>
        <v>0</v>
      </c>
      <c r="CR6" s="103"/>
      <c r="CS6" s="65" t="str">
        <f>Idiomas!$D$364</f>
        <v>Pegar Valores (J1)</v>
      </c>
      <c r="CT6" s="66">
        <f>IFERROR(IF($M6=CS6,($D$8+$D$9+$D$10)*$I6,IF($N6=LEFT(CS6,1),($D$8+MAX(0,IF($D$50=1,$D$9*(1-(ABS($Q6-ABS(VALUE(MID(CS6,FIND("|",CS6)+1,FIND("-",CS6)-FIND("|",CS6)-1))-VALUE(MID(CS6,FIND("-",CS6)+1,10)))))*$D$50),$D$9*(1-(IF($N6="X",ABS($O6-VALUE(MID(CS6,FIND("|",CS6)+1,FIND("-",CS6)-FIND("|",CS6)-1))),ABS($Q6-ABS(VALUE(MID(CS6,FIND("|",CS6)+1,FIND("-",CS6)-FIND("|",CS6)-1))-VALUE(MID(CS6,FIND("-",CS6)+1,10)))))*$D$50)))))*$I6,0)),0)</f>
        <v>0</v>
      </c>
      <c r="CU6" s="103"/>
      <c r="CV6" s="65" t="str">
        <f>Idiomas!$D$364</f>
        <v>Pegar Valores (J1)</v>
      </c>
      <c r="CW6" s="66">
        <f>IFERROR(IF($M6=CV6,($D$8+$D$9+$D$10)*$I6,IF($N6=LEFT(CV6,1),($D$8+MAX(0,IF($D$50=1,$D$9*(1-(ABS($Q6-ABS(VALUE(MID(CV6,FIND("|",CV6)+1,FIND("-",CV6)-FIND("|",CV6)-1))-VALUE(MID(CV6,FIND("-",CV6)+1,10)))))*$D$50),$D$9*(1-(IF($N6="X",ABS($O6-VALUE(MID(CV6,FIND("|",CV6)+1,FIND("-",CV6)-FIND("|",CV6)-1))),ABS($Q6-ABS(VALUE(MID(CV6,FIND("|",CV6)+1,FIND("-",CV6)-FIND("|",CV6)-1))-VALUE(MID(CV6,FIND("-",CV6)+1,10)))))*$D$50)))))*$I6,0)),0)</f>
        <v>0</v>
      </c>
      <c r="CX6" s="103"/>
      <c r="CY6" s="65" t="str">
        <f>Idiomas!$D$364</f>
        <v>Pegar Valores (J1)</v>
      </c>
      <c r="CZ6" s="66">
        <f>IFERROR(IF($M6=CY6,($D$8+$D$9+$D$10)*$I6,IF($N6=LEFT(CY6,1),($D$8+MAX(0,IF($D$50=1,$D$9*(1-(ABS($Q6-ABS(VALUE(MID(CY6,FIND("|",CY6)+1,FIND("-",CY6)-FIND("|",CY6)-1))-VALUE(MID(CY6,FIND("-",CY6)+1,10)))))*$D$50),$D$9*(1-(IF($N6="X",ABS($O6-VALUE(MID(CY6,FIND("|",CY6)+1,FIND("-",CY6)-FIND("|",CY6)-1))),ABS($Q6-ABS(VALUE(MID(CY6,FIND("|",CY6)+1,FIND("-",CY6)-FIND("|",CY6)-1))-VALUE(MID(CY6,FIND("-",CY6)+1,10)))))*$D$50)))))*$I6,0)),0)</f>
        <v>0</v>
      </c>
      <c r="DA6" s="103"/>
      <c r="DB6" s="65" t="str">
        <f>Idiomas!$D$364</f>
        <v>Pegar Valores (J1)</v>
      </c>
      <c r="DC6" s="66">
        <f>IFERROR(IF($M6=DB6,($D$8+$D$9+$D$10)*$I6,IF($N6=LEFT(DB6,1),($D$8+MAX(0,IF($D$50=1,$D$9*(1-(ABS($Q6-ABS(VALUE(MID(DB6,FIND("|",DB6)+1,FIND("-",DB6)-FIND("|",DB6)-1))-VALUE(MID(DB6,FIND("-",DB6)+1,10)))))*$D$50),$D$9*(1-(IF($N6="X",ABS($O6-VALUE(MID(DB6,FIND("|",DB6)+1,FIND("-",DB6)-FIND("|",DB6)-1))),ABS($Q6-ABS(VALUE(MID(DB6,FIND("|",DB6)+1,FIND("-",DB6)-FIND("|",DB6)-1))-VALUE(MID(DB6,FIND("-",DB6)+1,10)))))*$D$50)))))*$I6,0)),0)</f>
        <v>0</v>
      </c>
      <c r="DD6" s="103"/>
      <c r="DE6" s="65" t="str">
        <f>Idiomas!$D$364</f>
        <v>Pegar Valores (J1)</v>
      </c>
      <c r="DF6" s="66">
        <f>IFERROR(IF($M6=DE6,($D$8+$D$9+$D$10)*$I6,IF($N6=LEFT(DE6,1),($D$8+MAX(0,IF($D$50=1,$D$9*(1-(ABS($Q6-ABS(VALUE(MID(DE6,FIND("|",DE6)+1,FIND("-",DE6)-FIND("|",DE6)-1))-VALUE(MID(DE6,FIND("-",DE6)+1,10)))))*$D$50),$D$9*(1-(IF($N6="X",ABS($O6-VALUE(MID(DE6,FIND("|",DE6)+1,FIND("-",DE6)-FIND("|",DE6)-1))),ABS($Q6-ABS(VALUE(MID(DE6,FIND("|",DE6)+1,FIND("-",DE6)-FIND("|",DE6)-1))-VALUE(MID(DE6,FIND("-",DE6)+1,10)))))*$D$50)))))*$I6,0)),0)</f>
        <v>0</v>
      </c>
      <c r="DG6" s="103"/>
      <c r="DH6" s="65" t="str">
        <f>Idiomas!$D$364</f>
        <v>Pegar Valores (J1)</v>
      </c>
      <c r="DI6" s="66">
        <f>IFERROR(IF($M6=DH6,($D$8+$D$9+$D$10)*$I6,IF($N6=LEFT(DH6,1),($D$8+MAX(0,IF($D$50=1,$D$9*(1-(ABS($Q6-ABS(VALUE(MID(DH6,FIND("|",DH6)+1,FIND("-",DH6)-FIND("|",DH6)-1))-VALUE(MID(DH6,FIND("-",DH6)+1,10)))))*$D$50),$D$9*(1-(IF($N6="X",ABS($O6-VALUE(MID(DH6,FIND("|",DH6)+1,FIND("-",DH6)-FIND("|",DH6)-1))),ABS($Q6-ABS(VALUE(MID(DH6,FIND("|",DH6)+1,FIND("-",DH6)-FIND("|",DH6)-1))-VALUE(MID(DH6,FIND("-",DH6)+1,10)))))*$D$50)))))*$I6,0)),0)</f>
        <v>0</v>
      </c>
      <c r="DJ6" s="103"/>
      <c r="DK6" s="65" t="str">
        <f>Idiomas!$D$364</f>
        <v>Pegar Valores (J1)</v>
      </c>
      <c r="DL6" s="66">
        <f>IFERROR(IF($M6=DK6,($D$8+$D$9+$D$10)*$I6,IF($N6=LEFT(DK6,1),($D$8+MAX(0,IF($D$50=1,$D$9*(1-(ABS($Q6-ABS(VALUE(MID(DK6,FIND("|",DK6)+1,FIND("-",DK6)-FIND("|",DK6)-1))-VALUE(MID(DK6,FIND("-",DK6)+1,10)))))*$D$50),$D$9*(1-(IF($N6="X",ABS($O6-VALUE(MID(DK6,FIND("|",DK6)+1,FIND("-",DK6)-FIND("|",DK6)-1))),ABS($Q6-ABS(VALUE(MID(DK6,FIND("|",DK6)+1,FIND("-",DK6)-FIND("|",DK6)-1))-VALUE(MID(DK6,FIND("-",DK6)+1,10)))))*$D$50)))))*$I6,0)),0)</f>
        <v>0</v>
      </c>
      <c r="DM6" s="103"/>
      <c r="DN6" s="65" t="str">
        <f>Idiomas!$D$364</f>
        <v>Pegar Valores (J1)</v>
      </c>
      <c r="DO6" s="66">
        <f>IFERROR(IF($M6=DN6,($D$8+$D$9+$D$10)*$I6,IF($N6=LEFT(DN6,1),($D$8+MAX(0,IF($D$50=1,$D$9*(1-(ABS($Q6-ABS(VALUE(MID(DN6,FIND("|",DN6)+1,FIND("-",DN6)-FIND("|",DN6)-1))-VALUE(MID(DN6,FIND("-",DN6)+1,10)))))*$D$50),$D$9*(1-(IF($N6="X",ABS($O6-VALUE(MID(DN6,FIND("|",DN6)+1,FIND("-",DN6)-FIND("|",DN6)-1))),ABS($Q6-ABS(VALUE(MID(DN6,FIND("|",DN6)+1,FIND("-",DN6)-FIND("|",DN6)-1))-VALUE(MID(DN6,FIND("-",DN6)+1,10)))))*$D$50)))))*$I6,0)),0)</f>
        <v>0</v>
      </c>
      <c r="DP6" s="103"/>
      <c r="DQ6" s="65" t="str">
        <f>Idiomas!$D$364</f>
        <v>Pegar Valores (J1)</v>
      </c>
      <c r="DR6" s="66">
        <f>IFERROR(IF($M6=DQ6,($D$8+$D$9+$D$10)*$I6,IF($N6=LEFT(DQ6,1),($D$8+MAX(0,IF($D$50=1,$D$9*(1-(ABS($Q6-ABS(VALUE(MID(DQ6,FIND("|",DQ6)+1,FIND("-",DQ6)-FIND("|",DQ6)-1))-VALUE(MID(DQ6,FIND("-",DQ6)+1,10)))))*$D$50),$D$9*(1-(IF($N6="X",ABS($O6-VALUE(MID(DQ6,FIND("|",DQ6)+1,FIND("-",DQ6)-FIND("|",DQ6)-1))),ABS($Q6-ABS(VALUE(MID(DQ6,FIND("|",DQ6)+1,FIND("-",DQ6)-FIND("|",DQ6)-1))-VALUE(MID(DQ6,FIND("-",DQ6)+1,10)))))*$D$50)))))*$I6,0)),0)</f>
        <v>0</v>
      </c>
      <c r="DS6" s="103"/>
      <c r="DT6" s="65" t="str">
        <f>Idiomas!$D$364</f>
        <v>Pegar Valores (J1)</v>
      </c>
      <c r="DU6" s="66">
        <f>IFERROR(IF($M6=DT6,($D$8+$D$9+$D$10)*$I6,IF($N6=LEFT(DT6,1),($D$8+MAX(0,IF($D$50=1,$D$9*(1-(ABS($Q6-ABS(VALUE(MID(DT6,FIND("|",DT6)+1,FIND("-",DT6)-FIND("|",DT6)-1))-VALUE(MID(DT6,FIND("-",DT6)+1,10)))))*$D$50),$D$9*(1-(IF($N6="X",ABS($O6-VALUE(MID(DT6,FIND("|",DT6)+1,FIND("-",DT6)-FIND("|",DT6)-1))),ABS($Q6-ABS(VALUE(MID(DT6,FIND("|",DT6)+1,FIND("-",DT6)-FIND("|",DT6)-1))-VALUE(MID(DT6,FIND("-",DT6)+1,10)))))*$D$50)))))*$I6,0)),0)</f>
        <v>0</v>
      </c>
      <c r="DV6" s="103"/>
      <c r="DW6" s="65" t="str">
        <f>Idiomas!$D$364</f>
        <v>Pegar Valores (J1)</v>
      </c>
      <c r="DX6" s="66">
        <f>IFERROR(IF($M6=DW6,($D$8+$D$9+$D$10)*$I6,IF($N6=LEFT(DW6,1),($D$8+MAX(0,IF($D$50=1,$D$9*(1-(ABS($Q6-ABS(VALUE(MID(DW6,FIND("|",DW6)+1,FIND("-",DW6)-FIND("|",DW6)-1))-VALUE(MID(DW6,FIND("-",DW6)+1,10)))))*$D$50),$D$9*(1-(IF($N6="X",ABS($O6-VALUE(MID(DW6,FIND("|",DW6)+1,FIND("-",DW6)-FIND("|",DW6)-1))),ABS($Q6-ABS(VALUE(MID(DW6,FIND("|",DW6)+1,FIND("-",DW6)-FIND("|",DW6)-1))-VALUE(MID(DW6,FIND("-",DW6)+1,10)))))*$D$50)))))*$I6,0)),0)</f>
        <v>0</v>
      </c>
      <c r="DY6" s="103"/>
      <c r="DZ6" s="65" t="str">
        <f>Idiomas!$D$364</f>
        <v>Pegar Valores (J1)</v>
      </c>
      <c r="EA6" s="66">
        <f>IFERROR(IF($M6=DZ6,($D$8+$D$9+$D$10)*$I6,IF($N6=LEFT(DZ6,1),($D$8+MAX(0,IF($D$50=1,$D$9*(1-(ABS($Q6-ABS(VALUE(MID(DZ6,FIND("|",DZ6)+1,FIND("-",DZ6)-FIND("|",DZ6)-1))-VALUE(MID(DZ6,FIND("-",DZ6)+1,10)))))*$D$50),$D$9*(1-(IF($N6="X",ABS($O6-VALUE(MID(DZ6,FIND("|",DZ6)+1,FIND("-",DZ6)-FIND("|",DZ6)-1))),ABS($Q6-ABS(VALUE(MID(DZ6,FIND("|",DZ6)+1,FIND("-",DZ6)-FIND("|",DZ6)-1))-VALUE(MID(DZ6,FIND("-",DZ6)+1,10)))))*$D$50)))))*$I6,0)),0)</f>
        <v>0</v>
      </c>
      <c r="EB6" s="103"/>
      <c r="EC6" s="65"/>
      <c r="ED6" s="66">
        <f>IFERROR(IF($M6=EC6,($D$8+$D$9+$D$10)*$I6,IF($N6=LEFT(EC6,1),($D$8+MAX(0,IF($D$50=1,$D$9*(1-(ABS($Q6-ABS(VALUE(MID(EC6,FIND("|",EC6)+1,FIND("-",EC6)-FIND("|",EC6)-1))-VALUE(MID(EC6,FIND("-",EC6)+1,10)))))*$D$50),$D$9*(1-(IF($N6="X",ABS($O6-VALUE(MID(EC6,FIND("|",EC6)+1,FIND("-",EC6)-FIND("|",EC6)-1))),ABS($Q6-ABS(VALUE(MID(EC6,FIND("|",EC6)+1,FIND("-",EC6)-FIND("|",EC6)-1))-VALUE(MID(EC6,FIND("-",EC6)+1,10)))))*$D$50)))))*$I6,0)),0)</f>
        <v>0</v>
      </c>
      <c r="EE6" s="103"/>
      <c r="EF6" s="65" t="str">
        <f>Idiomas!$D$364</f>
        <v>Pegar Valores (J1)</v>
      </c>
      <c r="EG6" s="66">
        <f>IFERROR(IF($M6=EF6,($D$8+$D$9+$D$10)*$I6,IF($N6=LEFT(EF6,1),($D$8+MAX(0,IF($D$50=1,$D$9*(1-(ABS($Q6-ABS(VALUE(MID(EF6,FIND("|",EF6)+1,FIND("-",EF6)-FIND("|",EF6)-1))-VALUE(MID(EF6,FIND("-",EF6)+1,10)))))*$D$50),$D$9*(1-(IF($N6="X",ABS($O6-VALUE(MID(EF6,FIND("|",EF6)+1,FIND("-",EF6)-FIND("|",EF6)-1))),ABS($Q6-ABS(VALUE(MID(EF6,FIND("|",EF6)+1,FIND("-",EF6)-FIND("|",EF6)-1))-VALUE(MID(EF6,FIND("-",EF6)+1,10)))))*$D$50)))))*$I6,0)),0)</f>
        <v>0</v>
      </c>
      <c r="EH6" s="103"/>
      <c r="EI6" s="103"/>
    </row>
    <row r="7" spans="1:139">
      <c r="A7" s="43"/>
      <c r="B7" s="43"/>
      <c r="C7" s="746" t="str">
        <f>HYPERLINK(Idiomas!D302,Idiomas!D301)</f>
        <v>Regla* (Click para ver la explicación)</v>
      </c>
      <c r="D7" s="47" t="str">
        <f>Idiomas!D303</f>
        <v>Puntos</v>
      </c>
      <c r="E7" s="103"/>
      <c r="F7" s="426">
        <f t="shared" ref="F7:F70" si="32">SUM($D$8:$D$10)*I7</f>
        <v>17</v>
      </c>
      <c r="G7" s="426">
        <f ca="1">VLOOKUP(H7,Equipos!$Q$1:$R$25,2,0)</f>
        <v>2</v>
      </c>
      <c r="H7" s="427">
        <f ca="1">TRUNC(INDEX(WORLDCUP!$X$4:$X$147,MATCH(ADMIN!K7,WORLDCUP!$DT$4:$DT$147,0))+INDEX(Horarios!$R$3:$R$86,MATCH(Horarios!$C$3,Horarios!$P$3:$P$86,0))/24)</f>
        <v>46185</v>
      </c>
      <c r="I7" s="42">
        <v>1</v>
      </c>
      <c r="J7" s="87" t="s">
        <v>112</v>
      </c>
      <c r="K7" s="46" t="str">
        <f ca="1">CONCATENATE(WORLDCUP!AA5,"-",WORLDCUP!AF5)</f>
        <v>Corea del Sur-República Checa</v>
      </c>
      <c r="L7" s="46"/>
      <c r="M7" s="48" t="str">
        <f>IF(OR(WORLDCUP!AC5="",WORLDCUP!AD5=""),"-",N7&amp;"|"&amp;O7&amp;"-"&amp;P7)</f>
        <v>1|2-1</v>
      </c>
      <c r="N7" s="711" t="str">
        <f>IF(OR(WORLDCUP!AC5="",WORLDCUP!AD5=""),"",IF(WORLDCUP!AC5&gt;WORLDCUP!AD5,"1",IF(WORLDCUP!AC5&lt;WORLDCUP!AD5,"2","X")))</f>
        <v>1</v>
      </c>
      <c r="O7" s="711">
        <f>WORLDCUP!AC5</f>
        <v>2</v>
      </c>
      <c r="P7" s="711">
        <f>WORLDCUP!AD5</f>
        <v>1</v>
      </c>
      <c r="Q7" s="711">
        <f>ABS(O7-P7)</f>
        <v>1</v>
      </c>
      <c r="R7" s="43"/>
      <c r="S7" s="65" t="s">
        <v>1948</v>
      </c>
      <c r="T7" s="66">
        <f>IFERROR(IF($M7=S7,($D$8+$D$9+$D$10)*$I7,IF($N7=LEFT(S7,1),($D$8+MAX(0,IF($D$50=1,$D$9*(1-(ABS($Q7-ABS(VALUE(MID(S7,FIND("|",S7)+1,FIND("-",S7)-FIND("|",S7)-1))-VALUE(MID(S7,FIND("-",S7)+1,10)))))*$D$50),$D$9*(1-(IF($N7="X",ABS($O7-VALUE(MID(S7,FIND("|",S7)+1,FIND("-",S7)-FIND("|",S7)-1))),ABS($Q7-ABS(VALUE(MID(S7,FIND("|",S7)+1,FIND("-",S7)-FIND("|",S7)-1))-VALUE(MID(S7,FIND("-",S7)+1,10)))))*$D$50)))))*$I7,0)),0)</f>
        <v>0</v>
      </c>
      <c r="U7" s="103"/>
      <c r="V7" s="65" t="s">
        <v>1948</v>
      </c>
      <c r="W7" s="66">
        <f>IFERROR(IF($M7=V7,($D$8+$D$9+$D$10)*$I7,IF($N7=LEFT(V7,1),($D$8+MAX(0,IF($D$50=1,$D$9*(1-(ABS($Q7-ABS(VALUE(MID(V7,FIND("|",V7)+1,FIND("-",V7)-FIND("|",V7)-1))-VALUE(MID(V7,FIND("-",V7)+1,10)))))*$D$50),$D$9*(1-(IF($N7="X",ABS($O7-VALUE(MID(V7,FIND("|",V7)+1,FIND("-",V7)-FIND("|",V7)-1))),ABS($Q7-ABS(VALUE(MID(V7,FIND("|",V7)+1,FIND("-",V7)-FIND("|",V7)-1))-VALUE(MID(V7,FIND("-",V7)+1,10)))))*$D$50)))))*$I7,0)),0)</f>
        <v>0</v>
      </c>
      <c r="X7" s="103"/>
      <c r="Y7" s="65" t="s">
        <v>1948</v>
      </c>
      <c r="Z7" s="66">
        <f>IFERROR(IF($M7=Y7,($D$8+$D$9+$D$10)*$I7,IF($N7=LEFT(Y7,1),($D$8+MAX(0,IF($D$50=1,$D$9*(1-(ABS($Q7-ABS(VALUE(MID(Y7,FIND("|",Y7)+1,FIND("-",Y7)-FIND("|",Y7)-1))-VALUE(MID(Y7,FIND("-",Y7)+1,10)))))*$D$50),$D$9*(1-(IF($N7="X",ABS($O7-VALUE(MID(Y7,FIND("|",Y7)+1,FIND("-",Y7)-FIND("|",Y7)-1))),ABS($Q7-ABS(VALUE(MID(Y7,FIND("|",Y7)+1,FIND("-",Y7)-FIND("|",Y7)-1))-VALUE(MID(Y7,FIND("-",Y7)+1,10)))))*$D$50)))))*$I7,0)),0)</f>
        <v>0</v>
      </c>
      <c r="AA7" s="103"/>
      <c r="AB7" s="65" t="s">
        <v>1955</v>
      </c>
      <c r="AC7" s="66">
        <f>IFERROR(IF($M7=AB7,($D$8+$D$9+$D$10)*$I7,IF($N7=LEFT(AB7,1),($D$8+MAX(0,IF($D$50=1,$D$9*(1-(ABS($Q7-ABS(VALUE(MID(AB7,FIND("|",AB7)+1,FIND("-",AB7)-FIND("|",AB7)-1))-VALUE(MID(AB7,FIND("-",AB7)+1,10)))))*$D$50),$D$9*(1-(IF($N7="X",ABS($O7-VALUE(MID(AB7,FIND("|",AB7)+1,FIND("-",AB7)-FIND("|",AB7)-1))),ABS($Q7-ABS(VALUE(MID(AB7,FIND("|",AB7)+1,FIND("-",AB7)-FIND("|",AB7)-1))-VALUE(MID(AB7,FIND("-",AB7)+1,10)))))*$D$50)))))*$I7,0)),0)</f>
        <v>0</v>
      </c>
      <c r="AD7" s="103"/>
      <c r="AE7" s="65" t="s">
        <v>1947</v>
      </c>
      <c r="AF7" s="66">
        <f>IFERROR(IF($M7=AE7,($D$8+$D$9+$D$10)*$I7,IF($N7=LEFT(AE7,1),($D$8+MAX(0,IF($D$50=1,$D$9*(1-(ABS($Q7-ABS(VALUE(MID(AE7,FIND("|",AE7)+1,FIND("-",AE7)-FIND("|",AE7)-1))-VALUE(MID(AE7,FIND("-",AE7)+1,10)))))*$D$50),$D$9*(1-(IF($N7="X",ABS($O7-VALUE(MID(AE7,FIND("|",AE7)+1,FIND("-",AE7)-FIND("|",AE7)-1))),ABS($Q7-ABS(VALUE(MID(AE7,FIND("|",AE7)+1,FIND("-",AE7)-FIND("|",AE7)-1))-VALUE(MID(AE7,FIND("-",AE7)+1,10)))))*$D$50)))))*$I7,0)),0)</f>
        <v>17</v>
      </c>
      <c r="AG7" s="103"/>
      <c r="AH7" s="65" t="s">
        <v>1948</v>
      </c>
      <c r="AI7" s="66">
        <f>IFERROR(IF($M7=AH7,($D$8+$D$9+$D$10)*$I7,IF($N7=LEFT(AH7,1),($D$8+MAX(0,IF($D$50=1,$D$9*(1-(ABS($Q7-ABS(VALUE(MID(AH7,FIND("|",AH7)+1,FIND("-",AH7)-FIND("|",AH7)-1))-VALUE(MID(AH7,FIND("-",AH7)+1,10)))))*$D$50),$D$9*(1-(IF($N7="X",ABS($O7-VALUE(MID(AH7,FIND("|",AH7)+1,FIND("-",AH7)-FIND("|",AH7)-1))),ABS($Q7-ABS(VALUE(MID(AH7,FIND("|",AH7)+1,FIND("-",AH7)-FIND("|",AH7)-1))-VALUE(MID(AH7,FIND("-",AH7)+1,10)))))*$D$50)))))*$I7,0)),0)</f>
        <v>0</v>
      </c>
      <c r="AJ7" s="103"/>
      <c r="AK7" s="65" t="s">
        <v>1948</v>
      </c>
      <c r="AL7" s="66">
        <f>IFERROR(IF($M7=AK7,($D$8+$D$9+$D$10)*$I7,IF($N7=LEFT(AK7,1),($D$8+MAX(0,IF($D$50=1,$D$9*(1-(ABS($Q7-ABS(VALUE(MID(AK7,FIND("|",AK7)+1,FIND("-",AK7)-FIND("|",AK7)-1))-VALUE(MID(AK7,FIND("-",AK7)+1,10)))))*$D$50),$D$9*(1-(IF($N7="X",ABS($O7-VALUE(MID(AK7,FIND("|",AK7)+1,FIND("-",AK7)-FIND("|",AK7)-1))),ABS($Q7-ABS(VALUE(MID(AK7,FIND("|",AK7)+1,FIND("-",AK7)-FIND("|",AK7)-1))-VALUE(MID(AK7,FIND("-",AK7)+1,10)))))*$D$50)))))*$I7,0)),0)</f>
        <v>0</v>
      </c>
      <c r="AM7" s="103"/>
      <c r="AN7" s="65" t="s">
        <v>1948</v>
      </c>
      <c r="AO7" s="66">
        <f>IFERROR(IF($M7=AN7,($D$8+$D$9+$D$10)*$I7,IF($N7=LEFT(AN7,1),($D$8+MAX(0,IF($D$50=1,$D$9*(1-(ABS($Q7-ABS(VALUE(MID(AN7,FIND("|",AN7)+1,FIND("-",AN7)-FIND("|",AN7)-1))-VALUE(MID(AN7,FIND("-",AN7)+1,10)))))*$D$50),$D$9*(1-(IF($N7="X",ABS($O7-VALUE(MID(AN7,FIND("|",AN7)+1,FIND("-",AN7)-FIND("|",AN7)-1))),ABS($Q7-ABS(VALUE(MID(AN7,FIND("|",AN7)+1,FIND("-",AN7)-FIND("|",AN7)-1))-VALUE(MID(AN7,FIND("-",AN7)+1,10)))))*$D$50)))))*$I7,0)),0)</f>
        <v>0</v>
      </c>
      <c r="AP7" s="103"/>
      <c r="AQ7" s="65" t="s">
        <v>1947</v>
      </c>
      <c r="AR7" s="66">
        <f>IFERROR(IF($M7=AQ7,($D$8+$D$9+$D$10)*$I7,IF($N7=LEFT(AQ7,1),($D$8+MAX(0,IF($D$50=1,$D$9*(1-(ABS($Q7-ABS(VALUE(MID(AQ7,FIND("|",AQ7)+1,FIND("-",AQ7)-FIND("|",AQ7)-1))-VALUE(MID(AQ7,FIND("-",AQ7)+1,10)))))*$D$50),$D$9*(1-(IF($N7="X",ABS($O7-VALUE(MID(AQ7,FIND("|",AQ7)+1,FIND("-",AQ7)-FIND("|",AQ7)-1))),ABS($Q7-ABS(VALUE(MID(AQ7,FIND("|",AQ7)+1,FIND("-",AQ7)-FIND("|",AQ7)-1))-VALUE(MID(AQ7,FIND("-",AQ7)+1,10)))))*$D$50)))))*$I7,0)),0)</f>
        <v>17</v>
      </c>
      <c r="AS7" s="103"/>
      <c r="AT7" s="65" t="s">
        <v>1955</v>
      </c>
      <c r="AU7" s="66">
        <f>IFERROR(IF($M7=AT7,($D$8+$D$9+$D$10)*$I7,IF($N7=LEFT(AT7,1),($D$8+MAX(0,IF($D$50=1,$D$9*(1-(ABS($Q7-ABS(VALUE(MID(AT7,FIND("|",AT7)+1,FIND("-",AT7)-FIND("|",AT7)-1))-VALUE(MID(AT7,FIND("-",AT7)+1,10)))))*$D$50),$D$9*(1-(IF($N7="X",ABS($O7-VALUE(MID(AT7,FIND("|",AT7)+1,FIND("-",AT7)-FIND("|",AT7)-1))),ABS($Q7-ABS(VALUE(MID(AT7,FIND("|",AT7)+1,FIND("-",AT7)-FIND("|",AT7)-1))-VALUE(MID(AT7,FIND("-",AT7)+1,10)))))*$D$50)))))*$I7,0)),0)</f>
        <v>0</v>
      </c>
      <c r="AV7" s="103"/>
      <c r="AW7" s="65" t="s">
        <v>1963</v>
      </c>
      <c r="AX7" s="66">
        <f>IFERROR(IF($M7=AW7,($D$8+$D$9+$D$10)*$I7,IF($N7=LEFT(AW7,1),($D$8+MAX(0,IF($D$50=1,$D$9*(1-(ABS($Q7-ABS(VALUE(MID(AW7,FIND("|",AW7)+1,FIND("-",AW7)-FIND("|",AW7)-1))-VALUE(MID(AW7,FIND("-",AW7)+1,10)))))*$D$50),$D$9*(1-(IF($N7="X",ABS($O7-VALUE(MID(AW7,FIND("|",AW7)+1,FIND("-",AW7)-FIND("|",AW7)-1))),ABS($Q7-ABS(VALUE(MID(AW7,FIND("|",AW7)+1,FIND("-",AW7)-FIND("|",AW7)-1))-VALUE(MID(AW7,FIND("-",AW7)+1,10)))))*$D$50)))))*$I7,0)),0)</f>
        <v>0</v>
      </c>
      <c r="AY7" s="103"/>
      <c r="AZ7" s="65" t="s">
        <v>1955</v>
      </c>
      <c r="BA7" s="66">
        <f>IFERROR(IF($M7=AZ7,($D$8+$D$9+$D$10)*$I7,IF($N7=LEFT(AZ7,1),($D$8+MAX(0,IF($D$50=1,$D$9*(1-(ABS($Q7-ABS(VALUE(MID(AZ7,FIND("|",AZ7)+1,FIND("-",AZ7)-FIND("|",AZ7)-1))-VALUE(MID(AZ7,FIND("-",AZ7)+1,10)))))*$D$50),$D$9*(1-(IF($N7="X",ABS($O7-VALUE(MID(AZ7,FIND("|",AZ7)+1,FIND("-",AZ7)-FIND("|",AZ7)-1))),ABS($Q7-ABS(VALUE(MID(AZ7,FIND("|",AZ7)+1,FIND("-",AZ7)-FIND("|",AZ7)-1))-VALUE(MID(AZ7,FIND("-",AZ7)+1,10)))))*$D$50)))))*$I7,0)),0)</f>
        <v>0</v>
      </c>
      <c r="BB7" s="103"/>
      <c r="BC7" s="65" t="s">
        <v>1948</v>
      </c>
      <c r="BD7" s="66">
        <f>IFERROR(IF($M7=BC7,($D$8+$D$9+$D$10)*$I7,IF($N7=LEFT(BC7,1),($D$8+MAX(0,IF($D$50=1,$D$9*(1-(ABS($Q7-ABS(VALUE(MID(BC7,FIND("|",BC7)+1,FIND("-",BC7)-FIND("|",BC7)-1))-VALUE(MID(BC7,FIND("-",BC7)+1,10)))))*$D$50),$D$9*(1-(IF($N7="X",ABS($O7-VALUE(MID(BC7,FIND("|",BC7)+1,FIND("-",BC7)-FIND("|",BC7)-1))),ABS($Q7-ABS(VALUE(MID(BC7,FIND("|",BC7)+1,FIND("-",BC7)-FIND("|",BC7)-1))-VALUE(MID(BC7,FIND("-",BC7)+1,10)))))*$D$50)))))*$I7,0)),0)</f>
        <v>0</v>
      </c>
      <c r="BE7" s="103"/>
      <c r="BF7" s="65" t="s">
        <v>1956</v>
      </c>
      <c r="BG7" s="66">
        <f>IFERROR(IF($M7=BF7,($D$8+$D$9+$D$10)*$I7,IF($N7=LEFT(BF7,1),($D$8+MAX(0,IF($D$50=1,$D$9*(1-(ABS($Q7-ABS(VALUE(MID(BF7,FIND("|",BF7)+1,FIND("-",BF7)-FIND("|",BF7)-1))-VALUE(MID(BF7,FIND("-",BF7)+1,10)))))*$D$50),$D$9*(1-(IF($N7="X",ABS($O7-VALUE(MID(BF7,FIND("|",BF7)+1,FIND("-",BF7)-FIND("|",BF7)-1))),ABS($Q7-ABS(VALUE(MID(BF7,FIND("|",BF7)+1,FIND("-",BF7)-FIND("|",BF7)-1))-VALUE(MID(BF7,FIND("-",BF7)+1,10)))))*$D$50)))))*$I7,0)),0)</f>
        <v>7</v>
      </c>
      <c r="BH7" s="103"/>
      <c r="BI7" s="65" t="s">
        <v>1947</v>
      </c>
      <c r="BJ7" s="66">
        <f>IFERROR(IF($M7=BI7,($D$8+$D$9+$D$10)*$I7,IF($N7=LEFT(BI7,1),($D$8+MAX(0,IF($D$50=1,$D$9*(1-(ABS($Q7-ABS(VALUE(MID(BI7,FIND("|",BI7)+1,FIND("-",BI7)-FIND("|",BI7)-1))-VALUE(MID(BI7,FIND("-",BI7)+1,10)))))*$D$50),$D$9*(1-(IF($N7="X",ABS($O7-VALUE(MID(BI7,FIND("|",BI7)+1,FIND("-",BI7)-FIND("|",BI7)-1))),ABS($Q7-ABS(VALUE(MID(BI7,FIND("|",BI7)+1,FIND("-",BI7)-FIND("|",BI7)-1))-VALUE(MID(BI7,FIND("-",BI7)+1,10)))))*$D$50)))))*$I7,0)),0)</f>
        <v>17</v>
      </c>
      <c r="BK7" s="103"/>
      <c r="BL7" s="65" t="s">
        <v>1955</v>
      </c>
      <c r="BM7" s="66">
        <f>IFERROR(IF($M7=BL7,($D$8+$D$9+$D$10)*$I7,IF($N7=LEFT(BL7,1),($D$8+MAX(0,IF($D$50=1,$D$9*(1-(ABS($Q7-ABS(VALUE(MID(BL7,FIND("|",BL7)+1,FIND("-",BL7)-FIND("|",BL7)-1))-VALUE(MID(BL7,FIND("-",BL7)+1,10)))))*$D$50),$D$9*(1-(IF($N7="X",ABS($O7-VALUE(MID(BL7,FIND("|",BL7)+1,FIND("-",BL7)-FIND("|",BL7)-1))),ABS($Q7-ABS(VALUE(MID(BL7,FIND("|",BL7)+1,FIND("-",BL7)-FIND("|",BL7)-1))-VALUE(MID(BL7,FIND("-",BL7)+1,10)))))*$D$50)))))*$I7,0)),0)</f>
        <v>0</v>
      </c>
      <c r="BN7" s="103"/>
      <c r="BO7" s="65" t="s">
        <v>1948</v>
      </c>
      <c r="BP7" s="66">
        <f>IFERROR(IF($M7=BO7,($D$8+$D$9+$D$10)*$I7,IF($N7=LEFT(BO7,1),($D$8+MAX(0,IF($D$50=1,$D$9*(1-(ABS($Q7-ABS(VALUE(MID(BO7,FIND("|",BO7)+1,FIND("-",BO7)-FIND("|",BO7)-1))-VALUE(MID(BO7,FIND("-",BO7)+1,10)))))*$D$50),$D$9*(1-(IF($N7="X",ABS($O7-VALUE(MID(BO7,FIND("|",BO7)+1,FIND("-",BO7)-FIND("|",BO7)-1))),ABS($Q7-ABS(VALUE(MID(BO7,FIND("|",BO7)+1,FIND("-",BO7)-FIND("|",BO7)-1))-VALUE(MID(BO7,FIND("-",BO7)+1,10)))))*$D$50)))))*$I7,0)),0)</f>
        <v>0</v>
      </c>
      <c r="BQ7" s="103"/>
      <c r="BR7" s="65" t="s">
        <v>1948</v>
      </c>
      <c r="BS7" s="66">
        <f>IFERROR(IF($M7=BR7,($D$8+$D$9+$D$10)*$I7,IF($N7=LEFT(BR7,1),($D$8+MAX(0,IF($D$50=1,$D$9*(1-(ABS($Q7-ABS(VALUE(MID(BR7,FIND("|",BR7)+1,FIND("-",BR7)-FIND("|",BR7)-1))-VALUE(MID(BR7,FIND("-",BR7)+1,10)))))*$D$50),$D$9*(1-(IF($N7="X",ABS($O7-VALUE(MID(BR7,FIND("|",BR7)+1,FIND("-",BR7)-FIND("|",BR7)-1))),ABS($Q7-ABS(VALUE(MID(BR7,FIND("|",BR7)+1,FIND("-",BR7)-FIND("|",BR7)-1))-VALUE(MID(BR7,FIND("-",BR7)+1,10)))))*$D$50)))))*$I7,0)),0)</f>
        <v>0</v>
      </c>
      <c r="BT7" s="103"/>
      <c r="BU7" s="65"/>
      <c r="BV7" s="66">
        <f>IFERROR(IF($M7=BU7,($D$8+$D$9+$D$10)*$I7,IF($N7=LEFT(BU7,1),($D$8+MAX(0,IF($D$50=1,$D$9*(1-(ABS($Q7-ABS(VALUE(MID(BU7,FIND("|",BU7)+1,FIND("-",BU7)-FIND("|",BU7)-1))-VALUE(MID(BU7,FIND("-",BU7)+1,10)))))*$D$50),$D$9*(1-(IF($N7="X",ABS($O7-VALUE(MID(BU7,FIND("|",BU7)+1,FIND("-",BU7)-FIND("|",BU7)-1))),ABS($Q7-ABS(VALUE(MID(BU7,FIND("|",BU7)+1,FIND("-",BU7)-FIND("|",BU7)-1))-VALUE(MID(BU7,FIND("-",BU7)+1,10)))))*$D$50)))))*$I7,0)),0)</f>
        <v>0</v>
      </c>
      <c r="BW7" s="103"/>
      <c r="BX7" s="65"/>
      <c r="BY7" s="66">
        <f>IFERROR(IF($M7=BX7,($D$8+$D$9+$D$10)*$I7,IF($N7=LEFT(BX7,1),($D$8+MAX(0,IF($D$50=1,$D$9*(1-(ABS($Q7-ABS(VALUE(MID(BX7,FIND("|",BX7)+1,FIND("-",BX7)-FIND("|",BX7)-1))-VALUE(MID(BX7,FIND("-",BX7)+1,10)))))*$D$50),$D$9*(1-(IF($N7="X",ABS($O7-VALUE(MID(BX7,FIND("|",BX7)+1,FIND("-",BX7)-FIND("|",BX7)-1))),ABS($Q7-ABS(VALUE(MID(BX7,FIND("|",BX7)+1,FIND("-",BX7)-FIND("|",BX7)-1))-VALUE(MID(BX7,FIND("-",BX7)+1,10)))))*$D$50)))))*$I7,0)),0)</f>
        <v>0</v>
      </c>
      <c r="BZ7" s="103"/>
      <c r="CA7" s="65"/>
      <c r="CB7" s="66">
        <f>IFERROR(IF($M7=CA7,($D$8+$D$9+$D$10)*$I7,IF($N7=LEFT(CA7,1),($D$8+MAX(0,IF($D$50=1,$D$9*(1-(ABS($Q7-ABS(VALUE(MID(CA7,FIND("|",CA7)+1,FIND("-",CA7)-FIND("|",CA7)-1))-VALUE(MID(CA7,FIND("-",CA7)+1,10)))))*$D$50),$D$9*(1-(IF($N7="X",ABS($O7-VALUE(MID(CA7,FIND("|",CA7)+1,FIND("-",CA7)-FIND("|",CA7)-1))),ABS($Q7-ABS(VALUE(MID(CA7,FIND("|",CA7)+1,FIND("-",CA7)-FIND("|",CA7)-1))-VALUE(MID(CA7,FIND("-",CA7)+1,10)))))*$D$50)))))*$I7,0)),0)</f>
        <v>0</v>
      </c>
      <c r="CC7" s="103"/>
      <c r="CD7" s="65"/>
      <c r="CE7" s="66">
        <f>IFERROR(IF($M7=CD7,($D$8+$D$9+$D$10)*$I7,IF($N7=LEFT(CD7,1),($D$8+MAX(0,IF($D$50=1,$D$9*(1-(ABS($Q7-ABS(VALUE(MID(CD7,FIND("|",CD7)+1,FIND("-",CD7)-FIND("|",CD7)-1))-VALUE(MID(CD7,FIND("-",CD7)+1,10)))))*$D$50),$D$9*(1-(IF($N7="X",ABS($O7-VALUE(MID(CD7,FIND("|",CD7)+1,FIND("-",CD7)-FIND("|",CD7)-1))),ABS($Q7-ABS(VALUE(MID(CD7,FIND("|",CD7)+1,FIND("-",CD7)-FIND("|",CD7)-1))-VALUE(MID(CD7,FIND("-",CD7)+1,10)))))*$D$50)))))*$I7,0)),0)</f>
        <v>0</v>
      </c>
      <c r="CF7" s="103"/>
      <c r="CG7" s="65"/>
      <c r="CH7" s="66">
        <f>IFERROR(IF($M7=CG7,($D$8+$D$9+$D$10)*$I7,IF($N7=LEFT(CG7,1),($D$8+MAX(0,IF($D$50=1,$D$9*(1-(ABS($Q7-ABS(VALUE(MID(CG7,FIND("|",CG7)+1,FIND("-",CG7)-FIND("|",CG7)-1))-VALUE(MID(CG7,FIND("-",CG7)+1,10)))))*$D$50),$D$9*(1-(IF($N7="X",ABS($O7-VALUE(MID(CG7,FIND("|",CG7)+1,FIND("-",CG7)-FIND("|",CG7)-1))),ABS($Q7-ABS(VALUE(MID(CG7,FIND("|",CG7)+1,FIND("-",CG7)-FIND("|",CG7)-1))-VALUE(MID(CG7,FIND("-",CG7)+1,10)))))*$D$50)))))*$I7,0)),0)</f>
        <v>0</v>
      </c>
      <c r="CI7" s="103"/>
      <c r="CJ7" s="65"/>
      <c r="CK7" s="66">
        <f>IFERROR(IF($M7=CJ7,($D$8+$D$9+$D$10)*$I7,IF($N7=LEFT(CJ7,1),($D$8+MAX(0,IF($D$50=1,$D$9*(1-(ABS($Q7-ABS(VALUE(MID(CJ7,FIND("|",CJ7)+1,FIND("-",CJ7)-FIND("|",CJ7)-1))-VALUE(MID(CJ7,FIND("-",CJ7)+1,10)))))*$D$50),$D$9*(1-(IF($N7="X",ABS($O7-VALUE(MID(CJ7,FIND("|",CJ7)+1,FIND("-",CJ7)-FIND("|",CJ7)-1))),ABS($Q7-ABS(VALUE(MID(CJ7,FIND("|",CJ7)+1,FIND("-",CJ7)-FIND("|",CJ7)-1))-VALUE(MID(CJ7,FIND("-",CJ7)+1,10)))))*$D$50)))))*$I7,0)),0)</f>
        <v>0</v>
      </c>
      <c r="CL7" s="103"/>
      <c r="CM7" s="65"/>
      <c r="CN7" s="66">
        <f>IFERROR(IF($M7=CM7,($D$8+$D$9+$D$10)*$I7,IF($N7=LEFT(CM7,1),($D$8+MAX(0,IF($D$50=1,$D$9*(1-(ABS($Q7-ABS(VALUE(MID(CM7,FIND("|",CM7)+1,FIND("-",CM7)-FIND("|",CM7)-1))-VALUE(MID(CM7,FIND("-",CM7)+1,10)))))*$D$50),$D$9*(1-(IF($N7="X",ABS($O7-VALUE(MID(CM7,FIND("|",CM7)+1,FIND("-",CM7)-FIND("|",CM7)-1))),ABS($Q7-ABS(VALUE(MID(CM7,FIND("|",CM7)+1,FIND("-",CM7)-FIND("|",CM7)-1))-VALUE(MID(CM7,FIND("-",CM7)+1,10)))))*$D$50)))))*$I7,0)),0)</f>
        <v>0</v>
      </c>
      <c r="CO7" s="103"/>
      <c r="CP7" s="65"/>
      <c r="CQ7" s="66">
        <f>IFERROR(IF($M7=CP7,($D$8+$D$9+$D$10)*$I7,IF($N7=LEFT(CP7,1),($D$8+MAX(0,IF($D$50=1,$D$9*(1-(ABS($Q7-ABS(VALUE(MID(CP7,FIND("|",CP7)+1,FIND("-",CP7)-FIND("|",CP7)-1))-VALUE(MID(CP7,FIND("-",CP7)+1,10)))))*$D$50),$D$9*(1-(IF($N7="X",ABS($O7-VALUE(MID(CP7,FIND("|",CP7)+1,FIND("-",CP7)-FIND("|",CP7)-1))),ABS($Q7-ABS(VALUE(MID(CP7,FIND("|",CP7)+1,FIND("-",CP7)-FIND("|",CP7)-1))-VALUE(MID(CP7,FIND("-",CP7)+1,10)))))*$D$50)))))*$I7,0)),0)</f>
        <v>0</v>
      </c>
      <c r="CR7" s="103"/>
      <c r="CS7" s="65"/>
      <c r="CT7" s="66">
        <f>IFERROR(IF($M7=CS7,($D$8+$D$9+$D$10)*$I7,IF($N7=LEFT(CS7,1),($D$8+MAX(0,IF($D$50=1,$D$9*(1-(ABS($Q7-ABS(VALUE(MID(CS7,FIND("|",CS7)+1,FIND("-",CS7)-FIND("|",CS7)-1))-VALUE(MID(CS7,FIND("-",CS7)+1,10)))))*$D$50),$D$9*(1-(IF($N7="X",ABS($O7-VALUE(MID(CS7,FIND("|",CS7)+1,FIND("-",CS7)-FIND("|",CS7)-1))),ABS($Q7-ABS(VALUE(MID(CS7,FIND("|",CS7)+1,FIND("-",CS7)-FIND("|",CS7)-1))-VALUE(MID(CS7,FIND("-",CS7)+1,10)))))*$D$50)))))*$I7,0)),0)</f>
        <v>0</v>
      </c>
      <c r="CU7" s="103"/>
      <c r="CV7" s="65"/>
      <c r="CW7" s="66">
        <f>IFERROR(IF($M7=CV7,($D$8+$D$9+$D$10)*$I7,IF($N7=LEFT(CV7,1),($D$8+MAX(0,IF($D$50=1,$D$9*(1-(ABS($Q7-ABS(VALUE(MID(CV7,FIND("|",CV7)+1,FIND("-",CV7)-FIND("|",CV7)-1))-VALUE(MID(CV7,FIND("-",CV7)+1,10)))))*$D$50),$D$9*(1-(IF($N7="X",ABS($O7-VALUE(MID(CV7,FIND("|",CV7)+1,FIND("-",CV7)-FIND("|",CV7)-1))),ABS($Q7-ABS(VALUE(MID(CV7,FIND("|",CV7)+1,FIND("-",CV7)-FIND("|",CV7)-1))-VALUE(MID(CV7,FIND("-",CV7)+1,10)))))*$D$50)))))*$I7,0)),0)</f>
        <v>0</v>
      </c>
      <c r="CX7" s="103"/>
      <c r="CY7" s="65"/>
      <c r="CZ7" s="66">
        <f>IFERROR(IF($M7=CY7,($D$8+$D$9+$D$10)*$I7,IF($N7=LEFT(CY7,1),($D$8+MAX(0,IF($D$50=1,$D$9*(1-(ABS($Q7-ABS(VALUE(MID(CY7,FIND("|",CY7)+1,FIND("-",CY7)-FIND("|",CY7)-1))-VALUE(MID(CY7,FIND("-",CY7)+1,10)))))*$D$50),$D$9*(1-(IF($N7="X",ABS($O7-VALUE(MID(CY7,FIND("|",CY7)+1,FIND("-",CY7)-FIND("|",CY7)-1))),ABS($Q7-ABS(VALUE(MID(CY7,FIND("|",CY7)+1,FIND("-",CY7)-FIND("|",CY7)-1))-VALUE(MID(CY7,FIND("-",CY7)+1,10)))))*$D$50)))))*$I7,0)),0)</f>
        <v>0</v>
      </c>
      <c r="DA7" s="103"/>
      <c r="DB7" s="65"/>
      <c r="DC7" s="66">
        <f>IFERROR(IF($M7=DB7,($D$8+$D$9+$D$10)*$I7,IF($N7=LEFT(DB7,1),($D$8+MAX(0,IF($D$50=1,$D$9*(1-(ABS($Q7-ABS(VALUE(MID(DB7,FIND("|",DB7)+1,FIND("-",DB7)-FIND("|",DB7)-1))-VALUE(MID(DB7,FIND("-",DB7)+1,10)))))*$D$50),$D$9*(1-(IF($N7="X",ABS($O7-VALUE(MID(DB7,FIND("|",DB7)+1,FIND("-",DB7)-FIND("|",DB7)-1))),ABS($Q7-ABS(VALUE(MID(DB7,FIND("|",DB7)+1,FIND("-",DB7)-FIND("|",DB7)-1))-VALUE(MID(DB7,FIND("-",DB7)+1,10)))))*$D$50)))))*$I7,0)),0)</f>
        <v>0</v>
      </c>
      <c r="DD7" s="103"/>
      <c r="DE7" s="65"/>
      <c r="DF7" s="66">
        <f>IFERROR(IF($M7=DE7,($D$8+$D$9+$D$10)*$I7,IF($N7=LEFT(DE7,1),($D$8+MAX(0,IF($D$50=1,$D$9*(1-(ABS($Q7-ABS(VALUE(MID(DE7,FIND("|",DE7)+1,FIND("-",DE7)-FIND("|",DE7)-1))-VALUE(MID(DE7,FIND("-",DE7)+1,10)))))*$D$50),$D$9*(1-(IF($N7="X",ABS($O7-VALUE(MID(DE7,FIND("|",DE7)+1,FIND("-",DE7)-FIND("|",DE7)-1))),ABS($Q7-ABS(VALUE(MID(DE7,FIND("|",DE7)+1,FIND("-",DE7)-FIND("|",DE7)-1))-VALUE(MID(DE7,FIND("-",DE7)+1,10)))))*$D$50)))))*$I7,0)),0)</f>
        <v>0</v>
      </c>
      <c r="DG7" s="103"/>
      <c r="DH7" s="65"/>
      <c r="DI7" s="66">
        <f>IFERROR(IF($M7=DH7,($D$8+$D$9+$D$10)*$I7,IF($N7=LEFT(DH7,1),($D$8+MAX(0,IF($D$50=1,$D$9*(1-(ABS($Q7-ABS(VALUE(MID(DH7,FIND("|",DH7)+1,FIND("-",DH7)-FIND("|",DH7)-1))-VALUE(MID(DH7,FIND("-",DH7)+1,10)))))*$D$50),$D$9*(1-(IF($N7="X",ABS($O7-VALUE(MID(DH7,FIND("|",DH7)+1,FIND("-",DH7)-FIND("|",DH7)-1))),ABS($Q7-ABS(VALUE(MID(DH7,FIND("|",DH7)+1,FIND("-",DH7)-FIND("|",DH7)-1))-VALUE(MID(DH7,FIND("-",DH7)+1,10)))))*$D$50)))))*$I7,0)),0)</f>
        <v>0</v>
      </c>
      <c r="DJ7" s="103"/>
      <c r="DK7" s="65"/>
      <c r="DL7" s="66">
        <f>IFERROR(IF($M7=DK7,($D$8+$D$9+$D$10)*$I7,IF($N7=LEFT(DK7,1),($D$8+MAX(0,IF($D$50=1,$D$9*(1-(ABS($Q7-ABS(VALUE(MID(DK7,FIND("|",DK7)+1,FIND("-",DK7)-FIND("|",DK7)-1))-VALUE(MID(DK7,FIND("-",DK7)+1,10)))))*$D$50),$D$9*(1-(IF($N7="X",ABS($O7-VALUE(MID(DK7,FIND("|",DK7)+1,FIND("-",DK7)-FIND("|",DK7)-1))),ABS($Q7-ABS(VALUE(MID(DK7,FIND("|",DK7)+1,FIND("-",DK7)-FIND("|",DK7)-1))-VALUE(MID(DK7,FIND("-",DK7)+1,10)))))*$D$50)))))*$I7,0)),0)</f>
        <v>0</v>
      </c>
      <c r="DM7" s="103"/>
      <c r="DN7" s="65"/>
      <c r="DO7" s="66">
        <f>IFERROR(IF($M7=DN7,($D$8+$D$9+$D$10)*$I7,IF($N7=LEFT(DN7,1),($D$8+MAX(0,IF($D$50=1,$D$9*(1-(ABS($Q7-ABS(VALUE(MID(DN7,FIND("|",DN7)+1,FIND("-",DN7)-FIND("|",DN7)-1))-VALUE(MID(DN7,FIND("-",DN7)+1,10)))))*$D$50),$D$9*(1-(IF($N7="X",ABS($O7-VALUE(MID(DN7,FIND("|",DN7)+1,FIND("-",DN7)-FIND("|",DN7)-1))),ABS($Q7-ABS(VALUE(MID(DN7,FIND("|",DN7)+1,FIND("-",DN7)-FIND("|",DN7)-1))-VALUE(MID(DN7,FIND("-",DN7)+1,10)))))*$D$50)))))*$I7,0)),0)</f>
        <v>0</v>
      </c>
      <c r="DP7" s="103"/>
      <c r="DQ7" s="65"/>
      <c r="DR7" s="66">
        <f>IFERROR(IF($M7=DQ7,($D$8+$D$9+$D$10)*$I7,IF($N7=LEFT(DQ7,1),($D$8+MAX(0,IF($D$50=1,$D$9*(1-(ABS($Q7-ABS(VALUE(MID(DQ7,FIND("|",DQ7)+1,FIND("-",DQ7)-FIND("|",DQ7)-1))-VALUE(MID(DQ7,FIND("-",DQ7)+1,10)))))*$D$50),$D$9*(1-(IF($N7="X",ABS($O7-VALUE(MID(DQ7,FIND("|",DQ7)+1,FIND("-",DQ7)-FIND("|",DQ7)-1))),ABS($Q7-ABS(VALUE(MID(DQ7,FIND("|",DQ7)+1,FIND("-",DQ7)-FIND("|",DQ7)-1))-VALUE(MID(DQ7,FIND("-",DQ7)+1,10)))))*$D$50)))))*$I7,0)),0)</f>
        <v>0</v>
      </c>
      <c r="DS7" s="103"/>
      <c r="DT7" s="65"/>
      <c r="DU7" s="66">
        <f>IFERROR(IF($M7=DT7,($D$8+$D$9+$D$10)*$I7,IF($N7=LEFT(DT7,1),($D$8+MAX(0,IF($D$50=1,$D$9*(1-(ABS($Q7-ABS(VALUE(MID(DT7,FIND("|",DT7)+1,FIND("-",DT7)-FIND("|",DT7)-1))-VALUE(MID(DT7,FIND("-",DT7)+1,10)))))*$D$50),$D$9*(1-(IF($N7="X",ABS($O7-VALUE(MID(DT7,FIND("|",DT7)+1,FIND("-",DT7)-FIND("|",DT7)-1))),ABS($Q7-ABS(VALUE(MID(DT7,FIND("|",DT7)+1,FIND("-",DT7)-FIND("|",DT7)-1))-VALUE(MID(DT7,FIND("-",DT7)+1,10)))))*$D$50)))))*$I7,0)),0)</f>
        <v>0</v>
      </c>
      <c r="DV7" s="103"/>
      <c r="DW7" s="65"/>
      <c r="DX7" s="66">
        <f>IFERROR(IF($M7=DW7,($D$8+$D$9+$D$10)*$I7,IF($N7=LEFT(DW7,1),($D$8+MAX(0,IF($D$50=1,$D$9*(1-(ABS($Q7-ABS(VALUE(MID(DW7,FIND("|",DW7)+1,FIND("-",DW7)-FIND("|",DW7)-1))-VALUE(MID(DW7,FIND("-",DW7)+1,10)))))*$D$50),$D$9*(1-(IF($N7="X",ABS($O7-VALUE(MID(DW7,FIND("|",DW7)+1,FIND("-",DW7)-FIND("|",DW7)-1))),ABS($Q7-ABS(VALUE(MID(DW7,FIND("|",DW7)+1,FIND("-",DW7)-FIND("|",DW7)-1))-VALUE(MID(DW7,FIND("-",DW7)+1,10)))))*$D$50)))))*$I7,0)),0)</f>
        <v>0</v>
      </c>
      <c r="DY7" s="103"/>
      <c r="DZ7" s="65"/>
      <c r="EA7" s="66">
        <f>IFERROR(IF($M7=DZ7,($D$8+$D$9+$D$10)*$I7,IF($N7=LEFT(DZ7,1),($D$8+MAX(0,IF($D$50=1,$D$9*(1-(ABS($Q7-ABS(VALUE(MID(DZ7,FIND("|",DZ7)+1,FIND("-",DZ7)-FIND("|",DZ7)-1))-VALUE(MID(DZ7,FIND("-",DZ7)+1,10)))))*$D$50),$D$9*(1-(IF($N7="X",ABS($O7-VALUE(MID(DZ7,FIND("|",DZ7)+1,FIND("-",DZ7)-FIND("|",DZ7)-1))),ABS($Q7-ABS(VALUE(MID(DZ7,FIND("|",DZ7)+1,FIND("-",DZ7)-FIND("|",DZ7)-1))-VALUE(MID(DZ7,FIND("-",DZ7)+1,10)))))*$D$50)))))*$I7,0)),0)</f>
        <v>0</v>
      </c>
      <c r="EB7" s="103"/>
      <c r="EC7" s="65"/>
      <c r="ED7" s="66">
        <f>IFERROR(IF($M7=EC7,($D$8+$D$9+$D$10)*$I7,IF($N7=LEFT(EC7,1),($D$8+MAX(0,IF($D$50=1,$D$9*(1-(ABS($Q7-ABS(VALUE(MID(EC7,FIND("|",EC7)+1,FIND("-",EC7)-FIND("|",EC7)-1))-VALUE(MID(EC7,FIND("-",EC7)+1,10)))))*$D$50),$D$9*(1-(IF($N7="X",ABS($O7-VALUE(MID(EC7,FIND("|",EC7)+1,FIND("-",EC7)-FIND("|",EC7)-1))),ABS($Q7-ABS(VALUE(MID(EC7,FIND("|",EC7)+1,FIND("-",EC7)-FIND("|",EC7)-1))-VALUE(MID(EC7,FIND("-",EC7)+1,10)))))*$D$50)))))*$I7,0)),0)</f>
        <v>0</v>
      </c>
      <c r="EE7" s="103"/>
      <c r="EF7" s="65"/>
      <c r="EG7" s="66">
        <f>IFERROR(IF($M7=EF7,($D$8+$D$9+$D$10)*$I7,IF($N7=LEFT(EF7,1),($D$8+MAX(0,IF($D$50=1,$D$9*(1-(ABS($Q7-ABS(VALUE(MID(EF7,FIND("|",EF7)+1,FIND("-",EF7)-FIND("|",EF7)-1))-VALUE(MID(EF7,FIND("-",EF7)+1,10)))))*$D$50),$D$9*(1-(IF($N7="X",ABS($O7-VALUE(MID(EF7,FIND("|",EF7)+1,FIND("-",EF7)-FIND("|",EF7)-1))),ABS($Q7-ABS(VALUE(MID(EF7,FIND("|",EF7)+1,FIND("-",EF7)-FIND("|",EF7)-1))-VALUE(MID(EF7,FIND("-",EF7)+1,10)))))*$D$50)))))*$I7,0)),0)</f>
        <v>0</v>
      </c>
      <c r="EH7" s="103"/>
      <c r="EI7" s="103"/>
    </row>
    <row r="8" spans="1:139">
      <c r="A8" s="43"/>
      <c r="B8" s="43"/>
      <c r="C8" s="419" t="str">
        <f>Idiomas!D304</f>
        <v>FASE DE GRUPOS - Signo 1X2 (local, empate, visitante)</v>
      </c>
      <c r="D8" s="55">
        <v>5</v>
      </c>
      <c r="E8" s="103"/>
      <c r="F8" s="426">
        <f t="shared" si="32"/>
        <v>17</v>
      </c>
      <c r="G8" s="426">
        <f ca="1">VLOOKUP(H8,Equipos!$Q$1:$R$25,2,0)</f>
        <v>2</v>
      </c>
      <c r="H8" s="427">
        <f ca="1">TRUNC(INDEX(WORLDCUP!$X$4:$X$147,MATCH(ADMIN!K8,WORLDCUP!$DT$4:$DT$147,0))+INDEX(Horarios!$R$3:$R$86,MATCH(Horarios!$C$3,Horarios!$P$3:$P$86,0))/24)</f>
        <v>46185</v>
      </c>
      <c r="I8" s="42">
        <v>1</v>
      </c>
      <c r="J8" s="88" t="s">
        <v>113</v>
      </c>
      <c r="K8" s="46" t="str">
        <f ca="1">CONCATENATE(WORLDCUP!AA12,"-",WORLDCUP!AF12)</f>
        <v>Canadá-Bosnia y Herzegovina</v>
      </c>
      <c r="L8" s="46"/>
      <c r="M8" s="48" t="str">
        <f>IF(OR(WORLDCUP!AC12="",WORLDCUP!AD12=""),"-",N8&amp;"|"&amp;O8&amp;"-"&amp;P8)</f>
        <v>-</v>
      </c>
      <c r="N8" s="711" t="str">
        <f>IF(OR(WORLDCUP!AC12="",WORLDCUP!AD12=""),"",IF(WORLDCUP!AC12&gt;WORLDCUP!AD12,"1",IF(WORLDCUP!AC12&lt;WORLDCUP!AD12,"2","X")))</f>
        <v/>
      </c>
      <c r="O8" s="711">
        <f>WORLDCUP!AC12</f>
        <v>0</v>
      </c>
      <c r="P8" s="711">
        <f>WORLDCUP!AD12</f>
        <v>0</v>
      </c>
      <c r="Q8" s="711">
        <f t="shared" ref="Q8:Q70" si="33">ABS(O8-P8)</f>
        <v>0</v>
      </c>
      <c r="R8" s="43"/>
      <c r="S8" s="67" t="s">
        <v>1948</v>
      </c>
      <c r="T8" s="66">
        <f t="shared" ref="T8:T37" si="34">IFERROR(IF($M8=S8,($D$8+$D$9+$D$10)*$I8,IF($N8=LEFT(S8,1),($D$8+MAX(0,IF($D$50=1,$D$9*(1-(ABS($Q8-ABS(VALUE(MID(S8,FIND("|",S8)+1,FIND("-",S8)-FIND("|",S8)-1))-VALUE(MID(S8,FIND("-",S8)+1,10)))))*$D$50),$D$9*(1-(IF($N8="X",ABS($O8-VALUE(MID(S8,FIND("|",S8)+1,FIND("-",S8)-FIND("|",S8)-1))),ABS($Q8-ABS(VALUE(MID(S8,FIND("|",S8)+1,FIND("-",S8)-FIND("|",S8)-1))-VALUE(MID(S8,FIND("-",S8)+1,10)))))*$D$50)))))*$I8,0)),0)</f>
        <v>0</v>
      </c>
      <c r="U8" s="58"/>
      <c r="V8" s="67" t="s">
        <v>1953</v>
      </c>
      <c r="W8" s="66">
        <f t="shared" ref="W8:W71" si="35">IFERROR(IF($M8=V8,($D$8+$D$9+$D$10)*$I8,IF($N8=LEFT(V8,1),($D$8+MAX(0,IF($D$50=1,$D$9*(1-(ABS($Q8-ABS(VALUE(MID(V8,FIND("|",V8)+1,FIND("-",V8)-FIND("|",V8)-1))-VALUE(MID(V8,FIND("-",V8)+1,10)))))*$D$50),$D$9*(1-(IF($N8="X",ABS($O8-VALUE(MID(V8,FIND("|",V8)+1,FIND("-",V8)-FIND("|",V8)-1))),ABS($Q8-ABS(VALUE(MID(V8,FIND("|",V8)+1,FIND("-",V8)-FIND("|",V8)-1))-VALUE(MID(V8,FIND("-",V8)+1,10)))))*$D$50)))))*$I8,0)),0)</f>
        <v>0</v>
      </c>
      <c r="X8" s="58"/>
      <c r="Y8" s="67" t="s">
        <v>1947</v>
      </c>
      <c r="Z8" s="66">
        <f t="shared" ref="Z8:Z71" si="36">IFERROR(IF($M8=Y8,($D$8+$D$9+$D$10)*$I8,IF($N8=LEFT(Y8,1),($D$8+MAX(0,IF($D$50=1,$D$9*(1-(ABS($Q8-ABS(VALUE(MID(Y8,FIND("|",Y8)+1,FIND("-",Y8)-FIND("|",Y8)-1))-VALUE(MID(Y8,FIND("-",Y8)+1,10)))))*$D$50),$D$9*(1-(IF($N8="X",ABS($O8-VALUE(MID(Y8,FIND("|",Y8)+1,FIND("-",Y8)-FIND("|",Y8)-1))),ABS($Q8-ABS(VALUE(MID(Y8,FIND("|",Y8)+1,FIND("-",Y8)-FIND("|",Y8)-1))-VALUE(MID(Y8,FIND("-",Y8)+1,10)))))*$D$50)))))*$I8,0)),0)</f>
        <v>0</v>
      </c>
      <c r="AA8" s="58"/>
      <c r="AB8" s="67" t="s">
        <v>1963</v>
      </c>
      <c r="AC8" s="66">
        <f t="shared" ref="AC8:AC71" si="37">IFERROR(IF($M8=AB8,($D$8+$D$9+$D$10)*$I8,IF($N8=LEFT(AB8,1),($D$8+MAX(0,IF($D$50=1,$D$9*(1-(ABS($Q8-ABS(VALUE(MID(AB8,FIND("|",AB8)+1,FIND("-",AB8)-FIND("|",AB8)-1))-VALUE(MID(AB8,FIND("-",AB8)+1,10)))))*$D$50),$D$9*(1-(IF($N8="X",ABS($O8-VALUE(MID(AB8,FIND("|",AB8)+1,FIND("-",AB8)-FIND("|",AB8)-1))),ABS($Q8-ABS(VALUE(MID(AB8,FIND("|",AB8)+1,FIND("-",AB8)-FIND("|",AB8)-1))-VALUE(MID(AB8,FIND("-",AB8)+1,10)))))*$D$50)))))*$I8,0)),0)</f>
        <v>0</v>
      </c>
      <c r="AD8" s="58"/>
      <c r="AE8" s="67" t="s">
        <v>1956</v>
      </c>
      <c r="AF8" s="66">
        <f t="shared" ref="AF8:AF71" si="38">IFERROR(IF($M8=AE8,($D$8+$D$9+$D$10)*$I8,IF($N8=LEFT(AE8,1),($D$8+MAX(0,IF($D$50=1,$D$9*(1-(ABS($Q8-ABS(VALUE(MID(AE8,FIND("|",AE8)+1,FIND("-",AE8)-FIND("|",AE8)-1))-VALUE(MID(AE8,FIND("-",AE8)+1,10)))))*$D$50),$D$9*(1-(IF($N8="X",ABS($O8-VALUE(MID(AE8,FIND("|",AE8)+1,FIND("-",AE8)-FIND("|",AE8)-1))),ABS($Q8-ABS(VALUE(MID(AE8,FIND("|",AE8)+1,FIND("-",AE8)-FIND("|",AE8)-1))-VALUE(MID(AE8,FIND("-",AE8)+1,10)))))*$D$50)))))*$I8,0)),0)</f>
        <v>0</v>
      </c>
      <c r="AG8" s="58"/>
      <c r="AH8" s="67" t="s">
        <v>1947</v>
      </c>
      <c r="AI8" s="66">
        <f t="shared" ref="AI8:AI71" si="39">IFERROR(IF($M8=AH8,($D$8+$D$9+$D$10)*$I8,IF($N8=LEFT(AH8,1),($D$8+MAX(0,IF($D$50=1,$D$9*(1-(ABS($Q8-ABS(VALUE(MID(AH8,FIND("|",AH8)+1,FIND("-",AH8)-FIND("|",AH8)-1))-VALUE(MID(AH8,FIND("-",AH8)+1,10)))))*$D$50),$D$9*(1-(IF($N8="X",ABS($O8-VALUE(MID(AH8,FIND("|",AH8)+1,FIND("-",AH8)-FIND("|",AH8)-1))),ABS($Q8-ABS(VALUE(MID(AH8,FIND("|",AH8)+1,FIND("-",AH8)-FIND("|",AH8)-1))-VALUE(MID(AH8,FIND("-",AH8)+1,10)))))*$D$50)))))*$I8,0)),0)</f>
        <v>0</v>
      </c>
      <c r="AJ8" s="58"/>
      <c r="AK8" s="67" t="s">
        <v>1947</v>
      </c>
      <c r="AL8" s="66">
        <f t="shared" ref="AL8:AL71" si="40">IFERROR(IF($M8=AK8,($D$8+$D$9+$D$10)*$I8,IF($N8=LEFT(AK8,1),($D$8+MAX(0,IF($D$50=1,$D$9*(1-(ABS($Q8-ABS(VALUE(MID(AK8,FIND("|",AK8)+1,FIND("-",AK8)-FIND("|",AK8)-1))-VALUE(MID(AK8,FIND("-",AK8)+1,10)))))*$D$50),$D$9*(1-(IF($N8="X",ABS($O8-VALUE(MID(AK8,FIND("|",AK8)+1,FIND("-",AK8)-FIND("|",AK8)-1))),ABS($Q8-ABS(VALUE(MID(AK8,FIND("|",AK8)+1,FIND("-",AK8)-FIND("|",AK8)-1))-VALUE(MID(AK8,FIND("-",AK8)+1,10)))))*$D$50)))))*$I8,0)),0)</f>
        <v>0</v>
      </c>
      <c r="AM8" s="58"/>
      <c r="AN8" s="67" t="s">
        <v>1956</v>
      </c>
      <c r="AO8" s="66">
        <f t="shared" ref="AO8:AO71" si="41">IFERROR(IF($M8=AN8,($D$8+$D$9+$D$10)*$I8,IF($N8=LEFT(AN8,1),($D$8+MAX(0,IF($D$50=1,$D$9*(1-(ABS($Q8-ABS(VALUE(MID(AN8,FIND("|",AN8)+1,FIND("-",AN8)-FIND("|",AN8)-1))-VALUE(MID(AN8,FIND("-",AN8)+1,10)))))*$D$50),$D$9*(1-(IF($N8="X",ABS($O8-VALUE(MID(AN8,FIND("|",AN8)+1,FIND("-",AN8)-FIND("|",AN8)-1))),ABS($Q8-ABS(VALUE(MID(AN8,FIND("|",AN8)+1,FIND("-",AN8)-FIND("|",AN8)-1))-VALUE(MID(AN8,FIND("-",AN8)+1,10)))))*$D$50)))))*$I8,0)),0)</f>
        <v>0</v>
      </c>
      <c r="AP8" s="58"/>
      <c r="AQ8" s="67" t="s">
        <v>1956</v>
      </c>
      <c r="AR8" s="66">
        <f t="shared" ref="AR8:AR71" si="42">IFERROR(IF($M8=AQ8,($D$8+$D$9+$D$10)*$I8,IF($N8=LEFT(AQ8,1),($D$8+MAX(0,IF($D$50=1,$D$9*(1-(ABS($Q8-ABS(VALUE(MID(AQ8,FIND("|",AQ8)+1,FIND("-",AQ8)-FIND("|",AQ8)-1))-VALUE(MID(AQ8,FIND("-",AQ8)+1,10)))))*$D$50),$D$9*(1-(IF($N8="X",ABS($O8-VALUE(MID(AQ8,FIND("|",AQ8)+1,FIND("-",AQ8)-FIND("|",AQ8)-1))),ABS($Q8-ABS(VALUE(MID(AQ8,FIND("|",AQ8)+1,FIND("-",AQ8)-FIND("|",AQ8)-1))-VALUE(MID(AQ8,FIND("-",AQ8)+1,10)))))*$D$50)))))*$I8,0)),0)</f>
        <v>0</v>
      </c>
      <c r="AS8" s="58"/>
      <c r="AT8" s="67" t="s">
        <v>1950</v>
      </c>
      <c r="AU8" s="66">
        <f t="shared" ref="AU8:AU71" si="43">IFERROR(IF($M8=AT8,($D$8+$D$9+$D$10)*$I8,IF($N8=LEFT(AT8,1),($D$8+MAX(0,IF($D$50=1,$D$9*(1-(ABS($Q8-ABS(VALUE(MID(AT8,FIND("|",AT8)+1,FIND("-",AT8)-FIND("|",AT8)-1))-VALUE(MID(AT8,FIND("-",AT8)+1,10)))))*$D$50),$D$9*(1-(IF($N8="X",ABS($O8-VALUE(MID(AT8,FIND("|",AT8)+1,FIND("-",AT8)-FIND("|",AT8)-1))),ABS($Q8-ABS(VALUE(MID(AT8,FIND("|",AT8)+1,FIND("-",AT8)-FIND("|",AT8)-1))-VALUE(MID(AT8,FIND("-",AT8)+1,10)))))*$D$50)))))*$I8,0)),0)</f>
        <v>0</v>
      </c>
      <c r="AV8" s="58"/>
      <c r="AW8" s="67" t="s">
        <v>1948</v>
      </c>
      <c r="AX8" s="66">
        <f t="shared" ref="AX8:AX71" si="44">IFERROR(IF($M8=AW8,($D$8+$D$9+$D$10)*$I8,IF($N8=LEFT(AW8,1),($D$8+MAX(0,IF($D$50=1,$D$9*(1-(ABS($Q8-ABS(VALUE(MID(AW8,FIND("|",AW8)+1,FIND("-",AW8)-FIND("|",AW8)-1))-VALUE(MID(AW8,FIND("-",AW8)+1,10)))))*$D$50),$D$9*(1-(IF($N8="X",ABS($O8-VALUE(MID(AW8,FIND("|",AW8)+1,FIND("-",AW8)-FIND("|",AW8)-1))),ABS($Q8-ABS(VALUE(MID(AW8,FIND("|",AW8)+1,FIND("-",AW8)-FIND("|",AW8)-1))-VALUE(MID(AW8,FIND("-",AW8)+1,10)))))*$D$50)))))*$I8,0)),0)</f>
        <v>0</v>
      </c>
      <c r="AY8" s="58"/>
      <c r="AZ8" s="67" t="s">
        <v>1950</v>
      </c>
      <c r="BA8" s="66">
        <f t="shared" ref="BA8:BA71" si="45">IFERROR(IF($M8=AZ8,($D$8+$D$9+$D$10)*$I8,IF($N8=LEFT(AZ8,1),($D$8+MAX(0,IF($D$50=1,$D$9*(1-(ABS($Q8-ABS(VALUE(MID(AZ8,FIND("|",AZ8)+1,FIND("-",AZ8)-FIND("|",AZ8)-1))-VALUE(MID(AZ8,FIND("-",AZ8)+1,10)))))*$D$50),$D$9*(1-(IF($N8="X",ABS($O8-VALUE(MID(AZ8,FIND("|",AZ8)+1,FIND("-",AZ8)-FIND("|",AZ8)-1))),ABS($Q8-ABS(VALUE(MID(AZ8,FIND("|",AZ8)+1,FIND("-",AZ8)-FIND("|",AZ8)-1))-VALUE(MID(AZ8,FIND("-",AZ8)+1,10)))))*$D$50)))))*$I8,0)),0)</f>
        <v>0</v>
      </c>
      <c r="BB8" s="58"/>
      <c r="BC8" s="67" t="s">
        <v>1953</v>
      </c>
      <c r="BD8" s="66">
        <f t="shared" ref="BD8:BD71" si="46">IFERROR(IF($M8=BC8,($D$8+$D$9+$D$10)*$I8,IF($N8=LEFT(BC8,1),($D$8+MAX(0,IF($D$50=1,$D$9*(1-(ABS($Q8-ABS(VALUE(MID(BC8,FIND("|",BC8)+1,FIND("-",BC8)-FIND("|",BC8)-1))-VALUE(MID(BC8,FIND("-",BC8)+1,10)))))*$D$50),$D$9*(1-(IF($N8="X",ABS($O8-VALUE(MID(BC8,FIND("|",BC8)+1,FIND("-",BC8)-FIND("|",BC8)-1))),ABS($Q8-ABS(VALUE(MID(BC8,FIND("|",BC8)+1,FIND("-",BC8)-FIND("|",BC8)-1))-VALUE(MID(BC8,FIND("-",BC8)+1,10)))))*$D$50)))))*$I8,0)),0)</f>
        <v>0</v>
      </c>
      <c r="BE8" s="58"/>
      <c r="BF8" s="67" t="s">
        <v>1959</v>
      </c>
      <c r="BG8" s="66">
        <f t="shared" ref="BG8:BG71" si="47">IFERROR(IF($M8=BF8,($D$8+$D$9+$D$10)*$I8,IF($N8=LEFT(BF8,1),($D$8+MAX(0,IF($D$50=1,$D$9*(1-(ABS($Q8-ABS(VALUE(MID(BF8,FIND("|",BF8)+1,FIND("-",BF8)-FIND("|",BF8)-1))-VALUE(MID(BF8,FIND("-",BF8)+1,10)))))*$D$50),$D$9*(1-(IF($N8="X",ABS($O8-VALUE(MID(BF8,FIND("|",BF8)+1,FIND("-",BF8)-FIND("|",BF8)-1))),ABS($Q8-ABS(VALUE(MID(BF8,FIND("|",BF8)+1,FIND("-",BF8)-FIND("|",BF8)-1))-VALUE(MID(BF8,FIND("-",BF8)+1,10)))))*$D$50)))))*$I8,0)),0)</f>
        <v>0</v>
      </c>
      <c r="BH8" s="58"/>
      <c r="BI8" s="67" t="s">
        <v>1956</v>
      </c>
      <c r="BJ8" s="66">
        <f t="shared" ref="BJ8:BJ71" si="48">IFERROR(IF($M8=BI8,($D$8+$D$9+$D$10)*$I8,IF($N8=LEFT(BI8,1),($D$8+MAX(0,IF($D$50=1,$D$9*(1-(ABS($Q8-ABS(VALUE(MID(BI8,FIND("|",BI8)+1,FIND("-",BI8)-FIND("|",BI8)-1))-VALUE(MID(BI8,FIND("-",BI8)+1,10)))))*$D$50),$D$9*(1-(IF($N8="X",ABS($O8-VALUE(MID(BI8,FIND("|",BI8)+1,FIND("-",BI8)-FIND("|",BI8)-1))),ABS($Q8-ABS(VALUE(MID(BI8,FIND("|",BI8)+1,FIND("-",BI8)-FIND("|",BI8)-1))-VALUE(MID(BI8,FIND("-",BI8)+1,10)))))*$D$50)))))*$I8,0)),0)</f>
        <v>0</v>
      </c>
      <c r="BK8" s="58"/>
      <c r="BL8" s="67" t="s">
        <v>1947</v>
      </c>
      <c r="BM8" s="66">
        <f t="shared" ref="BM8:BM71" si="49">IFERROR(IF($M8=BL8,($D$8+$D$9+$D$10)*$I8,IF($N8=LEFT(BL8,1),($D$8+MAX(0,IF($D$50=1,$D$9*(1-(ABS($Q8-ABS(VALUE(MID(BL8,FIND("|",BL8)+1,FIND("-",BL8)-FIND("|",BL8)-1))-VALUE(MID(BL8,FIND("-",BL8)+1,10)))))*$D$50),$D$9*(1-(IF($N8="X",ABS($O8-VALUE(MID(BL8,FIND("|",BL8)+1,FIND("-",BL8)-FIND("|",BL8)-1))),ABS($Q8-ABS(VALUE(MID(BL8,FIND("|",BL8)+1,FIND("-",BL8)-FIND("|",BL8)-1))-VALUE(MID(BL8,FIND("-",BL8)+1,10)))))*$D$50)))))*$I8,0)),0)</f>
        <v>0</v>
      </c>
      <c r="BN8" s="58"/>
      <c r="BO8" s="67" t="s">
        <v>1948</v>
      </c>
      <c r="BP8" s="66">
        <f t="shared" ref="BP8:BP71" si="50">IFERROR(IF($M8=BO8,($D$8+$D$9+$D$10)*$I8,IF($N8=LEFT(BO8,1),($D$8+MAX(0,IF($D$50=1,$D$9*(1-(ABS($Q8-ABS(VALUE(MID(BO8,FIND("|",BO8)+1,FIND("-",BO8)-FIND("|",BO8)-1))-VALUE(MID(BO8,FIND("-",BO8)+1,10)))))*$D$50),$D$9*(1-(IF($N8="X",ABS($O8-VALUE(MID(BO8,FIND("|",BO8)+1,FIND("-",BO8)-FIND("|",BO8)-1))),ABS($Q8-ABS(VALUE(MID(BO8,FIND("|",BO8)+1,FIND("-",BO8)-FIND("|",BO8)-1))-VALUE(MID(BO8,FIND("-",BO8)+1,10)))))*$D$50)))))*$I8,0)),0)</f>
        <v>0</v>
      </c>
      <c r="BQ8" s="58"/>
      <c r="BR8" s="67" t="s">
        <v>1956</v>
      </c>
      <c r="BS8" s="66">
        <f t="shared" ref="BS8:BS71" si="51">IFERROR(IF($M8=BR8,($D$8+$D$9+$D$10)*$I8,IF($N8=LEFT(BR8,1),($D$8+MAX(0,IF($D$50=1,$D$9*(1-(ABS($Q8-ABS(VALUE(MID(BR8,FIND("|",BR8)+1,FIND("-",BR8)-FIND("|",BR8)-1))-VALUE(MID(BR8,FIND("-",BR8)+1,10)))))*$D$50),$D$9*(1-(IF($N8="X",ABS($O8-VALUE(MID(BR8,FIND("|",BR8)+1,FIND("-",BR8)-FIND("|",BR8)-1))),ABS($Q8-ABS(VALUE(MID(BR8,FIND("|",BR8)+1,FIND("-",BR8)-FIND("|",BR8)-1))-VALUE(MID(BR8,FIND("-",BR8)+1,10)))))*$D$50)))))*$I8,0)),0)</f>
        <v>0</v>
      </c>
      <c r="BT8" s="58"/>
      <c r="BU8" s="67"/>
      <c r="BV8" s="66">
        <f t="shared" ref="BV8:BV71" si="52">IFERROR(IF($M8=BU8,($D$8+$D$9+$D$10)*$I8,IF($N8=LEFT(BU8,1),($D$8+MAX(0,IF($D$50=1,$D$9*(1-(ABS($Q8-ABS(VALUE(MID(BU8,FIND("|",BU8)+1,FIND("-",BU8)-FIND("|",BU8)-1))-VALUE(MID(BU8,FIND("-",BU8)+1,10)))))*$D$50),$D$9*(1-(IF($N8="X",ABS($O8-VALUE(MID(BU8,FIND("|",BU8)+1,FIND("-",BU8)-FIND("|",BU8)-1))),ABS($Q8-ABS(VALUE(MID(BU8,FIND("|",BU8)+1,FIND("-",BU8)-FIND("|",BU8)-1))-VALUE(MID(BU8,FIND("-",BU8)+1,10)))))*$D$50)))))*$I8,0)),0)</f>
        <v>0</v>
      </c>
      <c r="BW8" s="58"/>
      <c r="BX8" s="67"/>
      <c r="BY8" s="66">
        <f t="shared" ref="BY8:BY71" si="53">IFERROR(IF($M8=BX8,($D$8+$D$9+$D$10)*$I8,IF($N8=LEFT(BX8,1),($D$8+MAX(0,IF($D$50=1,$D$9*(1-(ABS($Q8-ABS(VALUE(MID(BX8,FIND("|",BX8)+1,FIND("-",BX8)-FIND("|",BX8)-1))-VALUE(MID(BX8,FIND("-",BX8)+1,10)))))*$D$50),$D$9*(1-(IF($N8="X",ABS($O8-VALUE(MID(BX8,FIND("|",BX8)+1,FIND("-",BX8)-FIND("|",BX8)-1))),ABS($Q8-ABS(VALUE(MID(BX8,FIND("|",BX8)+1,FIND("-",BX8)-FIND("|",BX8)-1))-VALUE(MID(BX8,FIND("-",BX8)+1,10)))))*$D$50)))))*$I8,0)),0)</f>
        <v>0</v>
      </c>
      <c r="BZ8" s="58"/>
      <c r="CA8" s="67"/>
      <c r="CB8" s="66">
        <f t="shared" ref="CB8:CB71" si="54">IFERROR(IF($M8=CA8,($D$8+$D$9+$D$10)*$I8,IF($N8=LEFT(CA8,1),($D$8+MAX(0,IF($D$50=1,$D$9*(1-(ABS($Q8-ABS(VALUE(MID(CA8,FIND("|",CA8)+1,FIND("-",CA8)-FIND("|",CA8)-1))-VALUE(MID(CA8,FIND("-",CA8)+1,10)))))*$D$50),$D$9*(1-(IF($N8="X",ABS($O8-VALUE(MID(CA8,FIND("|",CA8)+1,FIND("-",CA8)-FIND("|",CA8)-1))),ABS($Q8-ABS(VALUE(MID(CA8,FIND("|",CA8)+1,FIND("-",CA8)-FIND("|",CA8)-1))-VALUE(MID(CA8,FIND("-",CA8)+1,10)))))*$D$50)))))*$I8,0)),0)</f>
        <v>0</v>
      </c>
      <c r="CC8" s="58"/>
      <c r="CD8" s="67"/>
      <c r="CE8" s="66">
        <f t="shared" ref="CE8:CE71" si="55">IFERROR(IF($M8=CD8,($D$8+$D$9+$D$10)*$I8,IF($N8=LEFT(CD8,1),($D$8+MAX(0,IF($D$50=1,$D$9*(1-(ABS($Q8-ABS(VALUE(MID(CD8,FIND("|",CD8)+1,FIND("-",CD8)-FIND("|",CD8)-1))-VALUE(MID(CD8,FIND("-",CD8)+1,10)))))*$D$50),$D$9*(1-(IF($N8="X",ABS($O8-VALUE(MID(CD8,FIND("|",CD8)+1,FIND("-",CD8)-FIND("|",CD8)-1))),ABS($Q8-ABS(VALUE(MID(CD8,FIND("|",CD8)+1,FIND("-",CD8)-FIND("|",CD8)-1))-VALUE(MID(CD8,FIND("-",CD8)+1,10)))))*$D$50)))))*$I8,0)),0)</f>
        <v>0</v>
      </c>
      <c r="CF8" s="58"/>
      <c r="CG8" s="67"/>
      <c r="CH8" s="66">
        <f t="shared" ref="CH8:CH71" si="56">IFERROR(IF($M8=CG8,($D$8+$D$9+$D$10)*$I8,IF($N8=LEFT(CG8,1),($D$8+MAX(0,IF($D$50=1,$D$9*(1-(ABS($Q8-ABS(VALUE(MID(CG8,FIND("|",CG8)+1,FIND("-",CG8)-FIND("|",CG8)-1))-VALUE(MID(CG8,FIND("-",CG8)+1,10)))))*$D$50),$D$9*(1-(IF($N8="X",ABS($O8-VALUE(MID(CG8,FIND("|",CG8)+1,FIND("-",CG8)-FIND("|",CG8)-1))),ABS($Q8-ABS(VALUE(MID(CG8,FIND("|",CG8)+1,FIND("-",CG8)-FIND("|",CG8)-1))-VALUE(MID(CG8,FIND("-",CG8)+1,10)))))*$D$50)))))*$I8,0)),0)</f>
        <v>0</v>
      </c>
      <c r="CI8" s="58"/>
      <c r="CJ8" s="67"/>
      <c r="CK8" s="66">
        <f t="shared" ref="CK8:CK71" si="57">IFERROR(IF($M8=CJ8,($D$8+$D$9+$D$10)*$I8,IF($N8=LEFT(CJ8,1),($D$8+MAX(0,IF($D$50=1,$D$9*(1-(ABS($Q8-ABS(VALUE(MID(CJ8,FIND("|",CJ8)+1,FIND("-",CJ8)-FIND("|",CJ8)-1))-VALUE(MID(CJ8,FIND("-",CJ8)+1,10)))))*$D$50),$D$9*(1-(IF($N8="X",ABS($O8-VALUE(MID(CJ8,FIND("|",CJ8)+1,FIND("-",CJ8)-FIND("|",CJ8)-1))),ABS($Q8-ABS(VALUE(MID(CJ8,FIND("|",CJ8)+1,FIND("-",CJ8)-FIND("|",CJ8)-1))-VALUE(MID(CJ8,FIND("-",CJ8)+1,10)))))*$D$50)))))*$I8,0)),0)</f>
        <v>0</v>
      </c>
      <c r="CL8" s="58"/>
      <c r="CM8" s="67"/>
      <c r="CN8" s="66">
        <f t="shared" ref="CN8:CN71" si="58">IFERROR(IF($M8=CM8,($D$8+$D$9+$D$10)*$I8,IF($N8=LEFT(CM8,1),($D$8+MAX(0,IF($D$50=1,$D$9*(1-(ABS($Q8-ABS(VALUE(MID(CM8,FIND("|",CM8)+1,FIND("-",CM8)-FIND("|",CM8)-1))-VALUE(MID(CM8,FIND("-",CM8)+1,10)))))*$D$50),$D$9*(1-(IF($N8="X",ABS($O8-VALUE(MID(CM8,FIND("|",CM8)+1,FIND("-",CM8)-FIND("|",CM8)-1))),ABS($Q8-ABS(VALUE(MID(CM8,FIND("|",CM8)+1,FIND("-",CM8)-FIND("|",CM8)-1))-VALUE(MID(CM8,FIND("-",CM8)+1,10)))))*$D$50)))))*$I8,0)),0)</f>
        <v>0</v>
      </c>
      <c r="CO8" s="58"/>
      <c r="CP8" s="67"/>
      <c r="CQ8" s="66">
        <f t="shared" ref="CQ8:CQ71" si="59">IFERROR(IF($M8=CP8,($D$8+$D$9+$D$10)*$I8,IF($N8=LEFT(CP8,1),($D$8+MAX(0,IF($D$50=1,$D$9*(1-(ABS($Q8-ABS(VALUE(MID(CP8,FIND("|",CP8)+1,FIND("-",CP8)-FIND("|",CP8)-1))-VALUE(MID(CP8,FIND("-",CP8)+1,10)))))*$D$50),$D$9*(1-(IF($N8="X",ABS($O8-VALUE(MID(CP8,FIND("|",CP8)+1,FIND("-",CP8)-FIND("|",CP8)-1))),ABS($Q8-ABS(VALUE(MID(CP8,FIND("|",CP8)+1,FIND("-",CP8)-FIND("|",CP8)-1))-VALUE(MID(CP8,FIND("-",CP8)+1,10)))))*$D$50)))))*$I8,0)),0)</f>
        <v>0</v>
      </c>
      <c r="CR8" s="58"/>
      <c r="CS8" s="67"/>
      <c r="CT8" s="66">
        <f t="shared" ref="CT8:CT71" si="60">IFERROR(IF($M8=CS8,($D$8+$D$9+$D$10)*$I8,IF($N8=LEFT(CS8,1),($D$8+MAX(0,IF($D$50=1,$D$9*(1-(ABS($Q8-ABS(VALUE(MID(CS8,FIND("|",CS8)+1,FIND("-",CS8)-FIND("|",CS8)-1))-VALUE(MID(CS8,FIND("-",CS8)+1,10)))))*$D$50),$D$9*(1-(IF($N8="X",ABS($O8-VALUE(MID(CS8,FIND("|",CS8)+1,FIND("-",CS8)-FIND("|",CS8)-1))),ABS($Q8-ABS(VALUE(MID(CS8,FIND("|",CS8)+1,FIND("-",CS8)-FIND("|",CS8)-1))-VALUE(MID(CS8,FIND("-",CS8)+1,10)))))*$D$50)))))*$I8,0)),0)</f>
        <v>0</v>
      </c>
      <c r="CU8" s="58"/>
      <c r="CV8" s="67"/>
      <c r="CW8" s="66">
        <f t="shared" ref="CW8:CW71" si="61">IFERROR(IF($M8=CV8,($D$8+$D$9+$D$10)*$I8,IF($N8=LEFT(CV8,1),($D$8+MAX(0,IF($D$50=1,$D$9*(1-(ABS($Q8-ABS(VALUE(MID(CV8,FIND("|",CV8)+1,FIND("-",CV8)-FIND("|",CV8)-1))-VALUE(MID(CV8,FIND("-",CV8)+1,10)))))*$D$50),$D$9*(1-(IF($N8="X",ABS($O8-VALUE(MID(CV8,FIND("|",CV8)+1,FIND("-",CV8)-FIND("|",CV8)-1))),ABS($Q8-ABS(VALUE(MID(CV8,FIND("|",CV8)+1,FIND("-",CV8)-FIND("|",CV8)-1))-VALUE(MID(CV8,FIND("-",CV8)+1,10)))))*$D$50)))))*$I8,0)),0)</f>
        <v>0</v>
      </c>
      <c r="CX8" s="58"/>
      <c r="CY8" s="67"/>
      <c r="CZ8" s="66">
        <f t="shared" ref="CZ8:CZ71" si="62">IFERROR(IF($M8=CY8,($D$8+$D$9+$D$10)*$I8,IF($N8=LEFT(CY8,1),($D$8+MAX(0,IF($D$50=1,$D$9*(1-(ABS($Q8-ABS(VALUE(MID(CY8,FIND("|",CY8)+1,FIND("-",CY8)-FIND("|",CY8)-1))-VALUE(MID(CY8,FIND("-",CY8)+1,10)))))*$D$50),$D$9*(1-(IF($N8="X",ABS($O8-VALUE(MID(CY8,FIND("|",CY8)+1,FIND("-",CY8)-FIND("|",CY8)-1))),ABS($Q8-ABS(VALUE(MID(CY8,FIND("|",CY8)+1,FIND("-",CY8)-FIND("|",CY8)-1))-VALUE(MID(CY8,FIND("-",CY8)+1,10)))))*$D$50)))))*$I8,0)),0)</f>
        <v>0</v>
      </c>
      <c r="DA8" s="58"/>
      <c r="DB8" s="67"/>
      <c r="DC8" s="66">
        <f t="shared" ref="DC8:DC71" si="63">IFERROR(IF($M8=DB8,($D$8+$D$9+$D$10)*$I8,IF($N8=LEFT(DB8,1),($D$8+MAX(0,IF($D$50=1,$D$9*(1-(ABS($Q8-ABS(VALUE(MID(DB8,FIND("|",DB8)+1,FIND("-",DB8)-FIND("|",DB8)-1))-VALUE(MID(DB8,FIND("-",DB8)+1,10)))))*$D$50),$D$9*(1-(IF($N8="X",ABS($O8-VALUE(MID(DB8,FIND("|",DB8)+1,FIND("-",DB8)-FIND("|",DB8)-1))),ABS($Q8-ABS(VALUE(MID(DB8,FIND("|",DB8)+1,FIND("-",DB8)-FIND("|",DB8)-1))-VALUE(MID(DB8,FIND("-",DB8)+1,10)))))*$D$50)))))*$I8,0)),0)</f>
        <v>0</v>
      </c>
      <c r="DD8" s="58"/>
      <c r="DE8" s="67"/>
      <c r="DF8" s="66">
        <f t="shared" ref="DF8:DF71" si="64">IFERROR(IF($M8=DE8,($D$8+$D$9+$D$10)*$I8,IF($N8=LEFT(DE8,1),($D$8+MAX(0,IF($D$50=1,$D$9*(1-(ABS($Q8-ABS(VALUE(MID(DE8,FIND("|",DE8)+1,FIND("-",DE8)-FIND("|",DE8)-1))-VALUE(MID(DE8,FIND("-",DE8)+1,10)))))*$D$50),$D$9*(1-(IF($N8="X",ABS($O8-VALUE(MID(DE8,FIND("|",DE8)+1,FIND("-",DE8)-FIND("|",DE8)-1))),ABS($Q8-ABS(VALUE(MID(DE8,FIND("|",DE8)+1,FIND("-",DE8)-FIND("|",DE8)-1))-VALUE(MID(DE8,FIND("-",DE8)+1,10)))))*$D$50)))))*$I8,0)),0)</f>
        <v>0</v>
      </c>
      <c r="DG8" s="58"/>
      <c r="DH8" s="67"/>
      <c r="DI8" s="66">
        <f t="shared" ref="DI8:DI71" si="65">IFERROR(IF($M8=DH8,($D$8+$D$9+$D$10)*$I8,IF($N8=LEFT(DH8,1),($D$8+MAX(0,IF($D$50=1,$D$9*(1-(ABS($Q8-ABS(VALUE(MID(DH8,FIND("|",DH8)+1,FIND("-",DH8)-FIND("|",DH8)-1))-VALUE(MID(DH8,FIND("-",DH8)+1,10)))))*$D$50),$D$9*(1-(IF($N8="X",ABS($O8-VALUE(MID(DH8,FIND("|",DH8)+1,FIND("-",DH8)-FIND("|",DH8)-1))),ABS($Q8-ABS(VALUE(MID(DH8,FIND("|",DH8)+1,FIND("-",DH8)-FIND("|",DH8)-1))-VALUE(MID(DH8,FIND("-",DH8)+1,10)))))*$D$50)))))*$I8,0)),0)</f>
        <v>0</v>
      </c>
      <c r="DJ8" s="58"/>
      <c r="DK8" s="67"/>
      <c r="DL8" s="66">
        <f t="shared" ref="DL8:DL71" si="66">IFERROR(IF($M8=DK8,($D$8+$D$9+$D$10)*$I8,IF($N8=LEFT(DK8,1),($D$8+MAX(0,IF($D$50=1,$D$9*(1-(ABS($Q8-ABS(VALUE(MID(DK8,FIND("|",DK8)+1,FIND("-",DK8)-FIND("|",DK8)-1))-VALUE(MID(DK8,FIND("-",DK8)+1,10)))))*$D$50),$D$9*(1-(IF($N8="X",ABS($O8-VALUE(MID(DK8,FIND("|",DK8)+1,FIND("-",DK8)-FIND("|",DK8)-1))),ABS($Q8-ABS(VALUE(MID(DK8,FIND("|",DK8)+1,FIND("-",DK8)-FIND("|",DK8)-1))-VALUE(MID(DK8,FIND("-",DK8)+1,10)))))*$D$50)))))*$I8,0)),0)</f>
        <v>0</v>
      </c>
      <c r="DM8" s="58"/>
      <c r="DN8" s="67"/>
      <c r="DO8" s="66">
        <f t="shared" ref="DO8:DO71" si="67">IFERROR(IF($M8=DN8,($D$8+$D$9+$D$10)*$I8,IF($N8=LEFT(DN8,1),($D$8+MAX(0,IF($D$50=1,$D$9*(1-(ABS($Q8-ABS(VALUE(MID(DN8,FIND("|",DN8)+1,FIND("-",DN8)-FIND("|",DN8)-1))-VALUE(MID(DN8,FIND("-",DN8)+1,10)))))*$D$50),$D$9*(1-(IF($N8="X",ABS($O8-VALUE(MID(DN8,FIND("|",DN8)+1,FIND("-",DN8)-FIND("|",DN8)-1))),ABS($Q8-ABS(VALUE(MID(DN8,FIND("|",DN8)+1,FIND("-",DN8)-FIND("|",DN8)-1))-VALUE(MID(DN8,FIND("-",DN8)+1,10)))))*$D$50)))))*$I8,0)),0)</f>
        <v>0</v>
      </c>
      <c r="DP8" s="58"/>
      <c r="DQ8" s="67"/>
      <c r="DR8" s="66">
        <f t="shared" ref="DR8:DR71" si="68">IFERROR(IF($M8=DQ8,($D$8+$D$9+$D$10)*$I8,IF($N8=LEFT(DQ8,1),($D$8+MAX(0,IF($D$50=1,$D$9*(1-(ABS($Q8-ABS(VALUE(MID(DQ8,FIND("|",DQ8)+1,FIND("-",DQ8)-FIND("|",DQ8)-1))-VALUE(MID(DQ8,FIND("-",DQ8)+1,10)))))*$D$50),$D$9*(1-(IF($N8="X",ABS($O8-VALUE(MID(DQ8,FIND("|",DQ8)+1,FIND("-",DQ8)-FIND("|",DQ8)-1))),ABS($Q8-ABS(VALUE(MID(DQ8,FIND("|",DQ8)+1,FIND("-",DQ8)-FIND("|",DQ8)-1))-VALUE(MID(DQ8,FIND("-",DQ8)+1,10)))))*$D$50)))))*$I8,0)),0)</f>
        <v>0</v>
      </c>
      <c r="DS8" s="58"/>
      <c r="DT8" s="67"/>
      <c r="DU8" s="66">
        <f t="shared" ref="DU8:DU71" si="69">IFERROR(IF($M8=DT8,($D$8+$D$9+$D$10)*$I8,IF($N8=LEFT(DT8,1),($D$8+MAX(0,IF($D$50=1,$D$9*(1-(ABS($Q8-ABS(VALUE(MID(DT8,FIND("|",DT8)+1,FIND("-",DT8)-FIND("|",DT8)-1))-VALUE(MID(DT8,FIND("-",DT8)+1,10)))))*$D$50),$D$9*(1-(IF($N8="X",ABS($O8-VALUE(MID(DT8,FIND("|",DT8)+1,FIND("-",DT8)-FIND("|",DT8)-1))),ABS($Q8-ABS(VALUE(MID(DT8,FIND("|",DT8)+1,FIND("-",DT8)-FIND("|",DT8)-1))-VALUE(MID(DT8,FIND("-",DT8)+1,10)))))*$D$50)))))*$I8,0)),0)</f>
        <v>0</v>
      </c>
      <c r="DV8" s="58"/>
      <c r="DW8" s="67"/>
      <c r="DX8" s="66">
        <f t="shared" ref="DX8:DX71" si="70">IFERROR(IF($M8=DW8,($D$8+$D$9+$D$10)*$I8,IF($N8=LEFT(DW8,1),($D$8+MAX(0,IF($D$50=1,$D$9*(1-(ABS($Q8-ABS(VALUE(MID(DW8,FIND("|",DW8)+1,FIND("-",DW8)-FIND("|",DW8)-1))-VALUE(MID(DW8,FIND("-",DW8)+1,10)))))*$D$50),$D$9*(1-(IF($N8="X",ABS($O8-VALUE(MID(DW8,FIND("|",DW8)+1,FIND("-",DW8)-FIND("|",DW8)-1))),ABS($Q8-ABS(VALUE(MID(DW8,FIND("|",DW8)+1,FIND("-",DW8)-FIND("|",DW8)-1))-VALUE(MID(DW8,FIND("-",DW8)+1,10)))))*$D$50)))))*$I8,0)),0)</f>
        <v>0</v>
      </c>
      <c r="DY8" s="58"/>
      <c r="DZ8" s="67"/>
      <c r="EA8" s="66">
        <f t="shared" ref="EA8:EA71" si="71">IFERROR(IF($M8=DZ8,($D$8+$D$9+$D$10)*$I8,IF($N8=LEFT(DZ8,1),($D$8+MAX(0,IF($D$50=1,$D$9*(1-(ABS($Q8-ABS(VALUE(MID(DZ8,FIND("|",DZ8)+1,FIND("-",DZ8)-FIND("|",DZ8)-1))-VALUE(MID(DZ8,FIND("-",DZ8)+1,10)))))*$D$50),$D$9*(1-(IF($N8="X",ABS($O8-VALUE(MID(DZ8,FIND("|",DZ8)+1,FIND("-",DZ8)-FIND("|",DZ8)-1))),ABS($Q8-ABS(VALUE(MID(DZ8,FIND("|",DZ8)+1,FIND("-",DZ8)-FIND("|",DZ8)-1))-VALUE(MID(DZ8,FIND("-",DZ8)+1,10)))))*$D$50)))))*$I8,0)),0)</f>
        <v>0</v>
      </c>
      <c r="EB8" s="58"/>
      <c r="EC8" s="67"/>
      <c r="ED8" s="66">
        <f t="shared" ref="ED8:ED71" si="72">IFERROR(IF($M8=EC8,($D$8+$D$9+$D$10)*$I8,IF($N8=LEFT(EC8,1),($D$8+MAX(0,IF($D$50=1,$D$9*(1-(ABS($Q8-ABS(VALUE(MID(EC8,FIND("|",EC8)+1,FIND("-",EC8)-FIND("|",EC8)-1))-VALUE(MID(EC8,FIND("-",EC8)+1,10)))))*$D$50),$D$9*(1-(IF($N8="X",ABS($O8-VALUE(MID(EC8,FIND("|",EC8)+1,FIND("-",EC8)-FIND("|",EC8)-1))),ABS($Q8-ABS(VALUE(MID(EC8,FIND("|",EC8)+1,FIND("-",EC8)-FIND("|",EC8)-1))-VALUE(MID(EC8,FIND("-",EC8)+1,10)))))*$D$50)))))*$I8,0)),0)</f>
        <v>0</v>
      </c>
      <c r="EE8" s="58"/>
      <c r="EF8" s="67"/>
      <c r="EG8" s="66">
        <f t="shared" ref="EG8:EG71" si="73">IFERROR(IF($M8=EF8,($D$8+$D$9+$D$10)*$I8,IF($N8=LEFT(EF8,1),($D$8+MAX(0,IF($D$50=1,$D$9*(1-(ABS($Q8-ABS(VALUE(MID(EF8,FIND("|",EF8)+1,FIND("-",EF8)-FIND("|",EF8)-1))-VALUE(MID(EF8,FIND("-",EF8)+1,10)))))*$D$50),$D$9*(1-(IF($N8="X",ABS($O8-VALUE(MID(EF8,FIND("|",EF8)+1,FIND("-",EF8)-FIND("|",EF8)-1))),ABS($Q8-ABS(VALUE(MID(EF8,FIND("|",EF8)+1,FIND("-",EF8)-FIND("|",EF8)-1))-VALUE(MID(EF8,FIND("-",EF8)+1,10)))))*$D$50)))))*$I8,0)),0)</f>
        <v>0</v>
      </c>
      <c r="EH8" s="58"/>
      <c r="EI8" s="58"/>
    </row>
    <row r="9" spans="1:139">
      <c r="A9" s="43"/>
      <c r="B9" s="43"/>
      <c r="C9" s="420" t="str">
        <f>Idiomas!D305&amp;"**"</f>
        <v>FASE DE GRUPOS - Diferencia/Distancia de goles (Con 1X2 acertado)**</v>
      </c>
      <c r="D9" s="38">
        <v>2</v>
      </c>
      <c r="E9" s="103"/>
      <c r="F9" s="426">
        <f t="shared" si="32"/>
        <v>17</v>
      </c>
      <c r="G9" s="426">
        <f ca="1">VLOOKUP(H9,Equipos!$Q$1:$R$25,2,0)</f>
        <v>3</v>
      </c>
      <c r="H9" s="427">
        <f ca="1">TRUNC(INDEX(WORLDCUP!$X$4:$X$147,MATCH(ADMIN!K9,WORLDCUP!$DT$4:$DT$147,0))+INDEX(Horarios!$R$3:$R$86,MATCH(Horarios!$C$3,Horarios!$P$3:$P$86,0))/24)</f>
        <v>46186</v>
      </c>
      <c r="I9" s="42">
        <v>1</v>
      </c>
      <c r="J9" s="88" t="s">
        <v>113</v>
      </c>
      <c r="K9" s="46" t="str">
        <f ca="1">CONCATENATE(WORLDCUP!AA13,"-",WORLDCUP!AF13)</f>
        <v>Catar-Suiza</v>
      </c>
      <c r="L9" s="46"/>
      <c r="M9" s="48" t="str">
        <f>IF(OR(WORLDCUP!AC13="",WORLDCUP!AD13=""),"-",N9&amp;"|"&amp;O9&amp;"-"&amp;P9)</f>
        <v>-</v>
      </c>
      <c r="N9" s="711" t="str">
        <f>IF(OR(WORLDCUP!AC13="",WORLDCUP!AD13=""),"",IF(WORLDCUP!AC13&gt;WORLDCUP!AD13,"1",IF(WORLDCUP!AC13&lt;WORLDCUP!AD13,"2","X")))</f>
        <v/>
      </c>
      <c r="O9" s="711">
        <f>WORLDCUP!AC13</f>
        <v>0</v>
      </c>
      <c r="P9" s="711">
        <f>WORLDCUP!AD13</f>
        <v>0</v>
      </c>
      <c r="Q9" s="711">
        <f t="shared" si="33"/>
        <v>0</v>
      </c>
      <c r="R9" s="43"/>
      <c r="S9" s="68" t="s">
        <v>1949</v>
      </c>
      <c r="T9" s="66">
        <f t="shared" si="34"/>
        <v>0</v>
      </c>
      <c r="U9" s="58"/>
      <c r="V9" s="68" t="s">
        <v>1960</v>
      </c>
      <c r="W9" s="66">
        <f t="shared" si="35"/>
        <v>0</v>
      </c>
      <c r="X9" s="58"/>
      <c r="Y9" s="68" t="s">
        <v>1960</v>
      </c>
      <c r="Z9" s="66">
        <f t="shared" si="36"/>
        <v>0</v>
      </c>
      <c r="AA9" s="58"/>
      <c r="AB9" s="68" t="s">
        <v>1955</v>
      </c>
      <c r="AC9" s="66">
        <f t="shared" si="37"/>
        <v>0</v>
      </c>
      <c r="AD9" s="58"/>
      <c r="AE9" s="68" t="s">
        <v>1950</v>
      </c>
      <c r="AF9" s="66">
        <f t="shared" si="38"/>
        <v>0</v>
      </c>
      <c r="AG9" s="58"/>
      <c r="AH9" s="68" t="s">
        <v>1960</v>
      </c>
      <c r="AI9" s="66">
        <f t="shared" si="39"/>
        <v>0</v>
      </c>
      <c r="AJ9" s="58"/>
      <c r="AK9" s="68" t="s">
        <v>1960</v>
      </c>
      <c r="AL9" s="66">
        <f t="shared" si="40"/>
        <v>0</v>
      </c>
      <c r="AM9" s="58"/>
      <c r="AN9" s="68" t="s">
        <v>1960</v>
      </c>
      <c r="AO9" s="66">
        <f t="shared" si="41"/>
        <v>0</v>
      </c>
      <c r="AP9" s="58"/>
      <c r="AQ9" s="68" t="s">
        <v>1960</v>
      </c>
      <c r="AR9" s="66">
        <f t="shared" si="42"/>
        <v>0</v>
      </c>
      <c r="AS9" s="58"/>
      <c r="AT9" s="68" t="s">
        <v>1962</v>
      </c>
      <c r="AU9" s="66">
        <f t="shared" si="43"/>
        <v>0</v>
      </c>
      <c r="AV9" s="58"/>
      <c r="AW9" s="68" t="s">
        <v>1950</v>
      </c>
      <c r="AX9" s="66">
        <f t="shared" si="44"/>
        <v>0</v>
      </c>
      <c r="AY9" s="58"/>
      <c r="AZ9" s="68" t="s">
        <v>1950</v>
      </c>
      <c r="BA9" s="66">
        <f t="shared" si="45"/>
        <v>0</v>
      </c>
      <c r="BB9" s="58"/>
      <c r="BC9" s="68" t="s">
        <v>1957</v>
      </c>
      <c r="BD9" s="66">
        <f t="shared" si="46"/>
        <v>0</v>
      </c>
      <c r="BE9" s="58"/>
      <c r="BF9" s="68" t="s">
        <v>1960</v>
      </c>
      <c r="BG9" s="66">
        <f t="shared" si="47"/>
        <v>0</v>
      </c>
      <c r="BH9" s="58"/>
      <c r="BI9" s="68" t="s">
        <v>1950</v>
      </c>
      <c r="BJ9" s="66">
        <f t="shared" si="48"/>
        <v>0</v>
      </c>
      <c r="BK9" s="58"/>
      <c r="BL9" s="68" t="s">
        <v>1951</v>
      </c>
      <c r="BM9" s="66">
        <f t="shared" si="49"/>
        <v>0</v>
      </c>
      <c r="BN9" s="58"/>
      <c r="BO9" s="68" t="s">
        <v>1955</v>
      </c>
      <c r="BP9" s="66">
        <f t="shared" si="50"/>
        <v>0</v>
      </c>
      <c r="BQ9" s="58"/>
      <c r="BR9" s="68" t="s">
        <v>1950</v>
      </c>
      <c r="BS9" s="66">
        <f t="shared" si="51"/>
        <v>0</v>
      </c>
      <c r="BT9" s="58"/>
      <c r="BU9" s="68"/>
      <c r="BV9" s="66">
        <f t="shared" si="52"/>
        <v>0</v>
      </c>
      <c r="BW9" s="58"/>
      <c r="BX9" s="68"/>
      <c r="BY9" s="66">
        <f t="shared" si="53"/>
        <v>0</v>
      </c>
      <c r="BZ9" s="58"/>
      <c r="CA9" s="68"/>
      <c r="CB9" s="66">
        <f t="shared" si="54"/>
        <v>0</v>
      </c>
      <c r="CC9" s="58"/>
      <c r="CD9" s="68"/>
      <c r="CE9" s="66">
        <f t="shared" si="55"/>
        <v>0</v>
      </c>
      <c r="CF9" s="58"/>
      <c r="CG9" s="68"/>
      <c r="CH9" s="66">
        <f t="shared" si="56"/>
        <v>0</v>
      </c>
      <c r="CI9" s="58"/>
      <c r="CJ9" s="68"/>
      <c r="CK9" s="66">
        <f t="shared" si="57"/>
        <v>0</v>
      </c>
      <c r="CL9" s="58"/>
      <c r="CM9" s="68"/>
      <c r="CN9" s="66">
        <f t="shared" si="58"/>
        <v>0</v>
      </c>
      <c r="CO9" s="58"/>
      <c r="CP9" s="68"/>
      <c r="CQ9" s="66">
        <f t="shared" si="59"/>
        <v>0</v>
      </c>
      <c r="CR9" s="58"/>
      <c r="CS9" s="68"/>
      <c r="CT9" s="66">
        <f t="shared" si="60"/>
        <v>0</v>
      </c>
      <c r="CU9" s="58"/>
      <c r="CV9" s="68"/>
      <c r="CW9" s="66">
        <f t="shared" si="61"/>
        <v>0</v>
      </c>
      <c r="CX9" s="58"/>
      <c r="CY9" s="68"/>
      <c r="CZ9" s="66">
        <f t="shared" si="62"/>
        <v>0</v>
      </c>
      <c r="DA9" s="58"/>
      <c r="DB9" s="68"/>
      <c r="DC9" s="66">
        <f t="shared" si="63"/>
        <v>0</v>
      </c>
      <c r="DD9" s="58"/>
      <c r="DE9" s="68"/>
      <c r="DF9" s="66">
        <f t="shared" si="64"/>
        <v>0</v>
      </c>
      <c r="DG9" s="58"/>
      <c r="DH9" s="68"/>
      <c r="DI9" s="66">
        <f t="shared" si="65"/>
        <v>0</v>
      </c>
      <c r="DJ9" s="58"/>
      <c r="DK9" s="68"/>
      <c r="DL9" s="66">
        <f t="shared" si="66"/>
        <v>0</v>
      </c>
      <c r="DM9" s="58"/>
      <c r="DN9" s="68"/>
      <c r="DO9" s="66">
        <f t="shared" si="67"/>
        <v>0</v>
      </c>
      <c r="DP9" s="58"/>
      <c r="DQ9" s="68"/>
      <c r="DR9" s="66">
        <f t="shared" si="68"/>
        <v>0</v>
      </c>
      <c r="DS9" s="58"/>
      <c r="DT9" s="68"/>
      <c r="DU9" s="66">
        <f t="shared" si="69"/>
        <v>0</v>
      </c>
      <c r="DV9" s="58"/>
      <c r="DW9" s="68"/>
      <c r="DX9" s="66">
        <f t="shared" si="70"/>
        <v>0</v>
      </c>
      <c r="DY9" s="58"/>
      <c r="DZ9" s="68"/>
      <c r="EA9" s="66">
        <f t="shared" si="71"/>
        <v>0</v>
      </c>
      <c r="EB9" s="58"/>
      <c r="EC9" s="68"/>
      <c r="ED9" s="66">
        <f t="shared" si="72"/>
        <v>0</v>
      </c>
      <c r="EE9" s="58"/>
      <c r="EF9" s="68"/>
      <c r="EG9" s="66">
        <f t="shared" si="73"/>
        <v>0</v>
      </c>
      <c r="EH9" s="58"/>
      <c r="EI9" s="58"/>
    </row>
    <row r="10" spans="1:139">
      <c r="A10" s="43"/>
      <c r="B10" s="43"/>
      <c r="C10" s="419" t="str">
        <f>Idiomas!D306</f>
        <v>FASE DE GRUPOS - Resultado exacto</v>
      </c>
      <c r="D10" s="55">
        <v>10</v>
      </c>
      <c r="E10" s="103"/>
      <c r="F10" s="426">
        <f t="shared" si="32"/>
        <v>17</v>
      </c>
      <c r="G10" s="426">
        <f ca="1">VLOOKUP(H10,Equipos!$Q$1:$R$25,2,0)</f>
        <v>4</v>
      </c>
      <c r="H10" s="427">
        <f ca="1">TRUNC(INDEX(WORLDCUP!$X$4:$X$147,MATCH(ADMIN!K10,WORLDCUP!$DT$4:$DT$147,0))+INDEX(Horarios!$R$3:$R$86,MATCH(Horarios!$C$3,Horarios!$P$3:$P$86,0))/24)</f>
        <v>46187</v>
      </c>
      <c r="I10" s="42">
        <v>1</v>
      </c>
      <c r="J10" s="87" t="s">
        <v>114</v>
      </c>
      <c r="K10" s="49" t="str">
        <f ca="1">CONCATENATE(WORLDCUP!AA20,"-",WORLDCUP!AF20)</f>
        <v>Brasil-Marruecos</v>
      </c>
      <c r="L10" s="46"/>
      <c r="M10" s="48" t="str">
        <f>IF(OR(WORLDCUP!AC20="",WORLDCUP!AD20=""),"-",N10&amp;"|"&amp;O10&amp;"-"&amp;P10)</f>
        <v>-</v>
      </c>
      <c r="N10" s="711" t="str">
        <f>IF(OR(WORLDCUP!AC20="",WORLDCUP!AD20=""),"",IF(WORLDCUP!AC20&gt;WORLDCUP!AD20,"1",IF(WORLDCUP!AC20&lt;WORLDCUP!AD20,"2","X")))</f>
        <v/>
      </c>
      <c r="O10" s="711">
        <f>WORLDCUP!AC20</f>
        <v>0</v>
      </c>
      <c r="P10" s="711">
        <f>WORLDCUP!AD20</f>
        <v>0</v>
      </c>
      <c r="Q10" s="711">
        <f t="shared" si="33"/>
        <v>0</v>
      </c>
      <c r="R10" s="43"/>
      <c r="S10" s="67" t="s">
        <v>1947</v>
      </c>
      <c r="T10" s="66">
        <f t="shared" si="34"/>
        <v>0</v>
      </c>
      <c r="U10" s="58"/>
      <c r="V10" s="67" t="s">
        <v>1947</v>
      </c>
      <c r="W10" s="66">
        <f t="shared" si="35"/>
        <v>0</v>
      </c>
      <c r="X10" s="58"/>
      <c r="Y10" s="67" t="s">
        <v>1947</v>
      </c>
      <c r="Z10" s="66">
        <f t="shared" si="36"/>
        <v>0</v>
      </c>
      <c r="AA10" s="58"/>
      <c r="AB10" s="67" t="s">
        <v>1955</v>
      </c>
      <c r="AC10" s="66">
        <f t="shared" si="37"/>
        <v>0</v>
      </c>
      <c r="AD10" s="58"/>
      <c r="AE10" s="67" t="s">
        <v>1963</v>
      </c>
      <c r="AF10" s="66">
        <f t="shared" si="38"/>
        <v>0</v>
      </c>
      <c r="AG10" s="58"/>
      <c r="AH10" s="67" t="s">
        <v>1948</v>
      </c>
      <c r="AI10" s="66">
        <f t="shared" si="39"/>
        <v>0</v>
      </c>
      <c r="AJ10" s="58"/>
      <c r="AK10" s="67" t="s">
        <v>1947</v>
      </c>
      <c r="AL10" s="66">
        <f t="shared" si="40"/>
        <v>0</v>
      </c>
      <c r="AM10" s="58"/>
      <c r="AN10" s="67" t="s">
        <v>1947</v>
      </c>
      <c r="AO10" s="66">
        <f t="shared" si="41"/>
        <v>0</v>
      </c>
      <c r="AP10" s="58"/>
      <c r="AQ10" s="67" t="s">
        <v>1950</v>
      </c>
      <c r="AR10" s="66">
        <f t="shared" si="42"/>
        <v>0</v>
      </c>
      <c r="AS10" s="58"/>
      <c r="AT10" s="67" t="s">
        <v>1948</v>
      </c>
      <c r="AU10" s="66">
        <f t="shared" si="43"/>
        <v>0</v>
      </c>
      <c r="AV10" s="58"/>
      <c r="AW10" s="67" t="s">
        <v>1956</v>
      </c>
      <c r="AX10" s="66">
        <f t="shared" si="44"/>
        <v>0</v>
      </c>
      <c r="AY10" s="58"/>
      <c r="AZ10" s="67" t="s">
        <v>1947</v>
      </c>
      <c r="BA10" s="66">
        <f t="shared" si="45"/>
        <v>0</v>
      </c>
      <c r="BB10" s="58"/>
      <c r="BC10" s="67" t="s">
        <v>1963</v>
      </c>
      <c r="BD10" s="66">
        <f t="shared" si="46"/>
        <v>0</v>
      </c>
      <c r="BE10" s="58"/>
      <c r="BF10" s="67" t="s">
        <v>1966</v>
      </c>
      <c r="BG10" s="66">
        <f t="shared" si="47"/>
        <v>0</v>
      </c>
      <c r="BH10" s="58"/>
      <c r="BI10" s="67" t="s">
        <v>1953</v>
      </c>
      <c r="BJ10" s="66">
        <f t="shared" si="48"/>
        <v>0</v>
      </c>
      <c r="BK10" s="58"/>
      <c r="BL10" s="67" t="s">
        <v>1953</v>
      </c>
      <c r="BM10" s="66">
        <f t="shared" si="49"/>
        <v>0</v>
      </c>
      <c r="BN10" s="58"/>
      <c r="BO10" s="67" t="s">
        <v>1962</v>
      </c>
      <c r="BP10" s="66">
        <f t="shared" si="50"/>
        <v>0</v>
      </c>
      <c r="BQ10" s="58"/>
      <c r="BR10" s="67" t="s">
        <v>1956</v>
      </c>
      <c r="BS10" s="66">
        <f t="shared" si="51"/>
        <v>0</v>
      </c>
      <c r="BT10" s="58"/>
      <c r="BU10" s="67"/>
      <c r="BV10" s="66">
        <f t="shared" si="52"/>
        <v>0</v>
      </c>
      <c r="BW10" s="58"/>
      <c r="BX10" s="67"/>
      <c r="BY10" s="66">
        <f t="shared" si="53"/>
        <v>0</v>
      </c>
      <c r="BZ10" s="58"/>
      <c r="CA10" s="67"/>
      <c r="CB10" s="66">
        <f t="shared" si="54"/>
        <v>0</v>
      </c>
      <c r="CC10" s="58"/>
      <c r="CD10" s="67"/>
      <c r="CE10" s="66">
        <f t="shared" si="55"/>
        <v>0</v>
      </c>
      <c r="CF10" s="58"/>
      <c r="CG10" s="67"/>
      <c r="CH10" s="66">
        <f t="shared" si="56"/>
        <v>0</v>
      </c>
      <c r="CI10" s="58"/>
      <c r="CJ10" s="67"/>
      <c r="CK10" s="66">
        <f t="shared" si="57"/>
        <v>0</v>
      </c>
      <c r="CL10" s="58"/>
      <c r="CM10" s="67"/>
      <c r="CN10" s="66">
        <f t="shared" si="58"/>
        <v>0</v>
      </c>
      <c r="CO10" s="58"/>
      <c r="CP10" s="67"/>
      <c r="CQ10" s="66">
        <f t="shared" si="59"/>
        <v>0</v>
      </c>
      <c r="CR10" s="58"/>
      <c r="CS10" s="67"/>
      <c r="CT10" s="66">
        <f t="shared" si="60"/>
        <v>0</v>
      </c>
      <c r="CU10" s="58"/>
      <c r="CV10" s="67"/>
      <c r="CW10" s="66">
        <f t="shared" si="61"/>
        <v>0</v>
      </c>
      <c r="CX10" s="58"/>
      <c r="CY10" s="67"/>
      <c r="CZ10" s="66">
        <f t="shared" si="62"/>
        <v>0</v>
      </c>
      <c r="DA10" s="58"/>
      <c r="DB10" s="67"/>
      <c r="DC10" s="66">
        <f t="shared" si="63"/>
        <v>0</v>
      </c>
      <c r="DD10" s="58"/>
      <c r="DE10" s="67"/>
      <c r="DF10" s="66">
        <f t="shared" si="64"/>
        <v>0</v>
      </c>
      <c r="DG10" s="58"/>
      <c r="DH10" s="67"/>
      <c r="DI10" s="66">
        <f t="shared" si="65"/>
        <v>0</v>
      </c>
      <c r="DJ10" s="58"/>
      <c r="DK10" s="67"/>
      <c r="DL10" s="66">
        <f t="shared" si="66"/>
        <v>0</v>
      </c>
      <c r="DM10" s="58"/>
      <c r="DN10" s="67"/>
      <c r="DO10" s="66">
        <f t="shared" si="67"/>
        <v>0</v>
      </c>
      <c r="DP10" s="58"/>
      <c r="DQ10" s="67"/>
      <c r="DR10" s="66">
        <f t="shared" si="68"/>
        <v>0</v>
      </c>
      <c r="DS10" s="58"/>
      <c r="DT10" s="67"/>
      <c r="DU10" s="66">
        <f t="shared" si="69"/>
        <v>0</v>
      </c>
      <c r="DV10" s="58"/>
      <c r="DW10" s="67"/>
      <c r="DX10" s="66">
        <f t="shared" si="70"/>
        <v>0</v>
      </c>
      <c r="DY10" s="58"/>
      <c r="DZ10" s="67"/>
      <c r="EA10" s="66">
        <f t="shared" si="71"/>
        <v>0</v>
      </c>
      <c r="EB10" s="58"/>
      <c r="EC10" s="67"/>
      <c r="ED10" s="66">
        <f t="shared" si="72"/>
        <v>0</v>
      </c>
      <c r="EE10" s="58"/>
      <c r="EF10" s="67"/>
      <c r="EG10" s="66">
        <f t="shared" si="73"/>
        <v>0</v>
      </c>
      <c r="EH10" s="58"/>
      <c r="EI10" s="58"/>
    </row>
    <row r="11" spans="1:139">
      <c r="A11" s="43"/>
      <c r="B11" s="43"/>
      <c r="C11" s="420" t="str">
        <f>Idiomas!D307</f>
        <v>FASE DE GRUPOS - Posición exacta (1º)</v>
      </c>
      <c r="D11" s="38">
        <v>5</v>
      </c>
      <c r="E11" s="103"/>
      <c r="F11" s="426">
        <f t="shared" si="32"/>
        <v>17</v>
      </c>
      <c r="G11" s="426">
        <f ca="1">VLOOKUP(H11,Equipos!$Q$1:$R$25,2,0)</f>
        <v>4</v>
      </c>
      <c r="H11" s="427">
        <f ca="1">TRUNC(INDEX(WORLDCUP!$X$4:$X$147,MATCH(ADMIN!K11,WORLDCUP!$DT$4:$DT$147,0))+INDEX(Horarios!$R$3:$R$86,MATCH(Horarios!$C$3,Horarios!$P$3:$P$86,0))/24)</f>
        <v>46187</v>
      </c>
      <c r="I11" s="42">
        <v>1</v>
      </c>
      <c r="J11" s="87" t="s">
        <v>114</v>
      </c>
      <c r="K11" s="46" t="str">
        <f ca="1">CONCATENATE(WORLDCUP!AA21,"-",WORLDCUP!AF21)</f>
        <v>Haití-Escocia</v>
      </c>
      <c r="L11" s="46"/>
      <c r="M11" s="48" t="str">
        <f>IF(OR(WORLDCUP!AC21="",WORLDCUP!AD21=""),"-",N11&amp;"|"&amp;O11&amp;"-"&amp;P11)</f>
        <v>-</v>
      </c>
      <c r="N11" s="711" t="str">
        <f>IF(OR(WORLDCUP!AC21="",WORLDCUP!AD21=""),"",IF(WORLDCUP!AC21&gt;WORLDCUP!AD21,"1",IF(WORLDCUP!AC21&lt;WORLDCUP!AD21,"2","X")))</f>
        <v/>
      </c>
      <c r="O11" s="711">
        <f>WORLDCUP!AC21</f>
        <v>0</v>
      </c>
      <c r="P11" s="711">
        <f>WORLDCUP!AD21</f>
        <v>0</v>
      </c>
      <c r="Q11" s="711">
        <f t="shared" si="33"/>
        <v>0</v>
      </c>
      <c r="R11" s="43"/>
      <c r="S11" s="67" t="s">
        <v>1950</v>
      </c>
      <c r="T11" s="66">
        <f t="shared" si="34"/>
        <v>0</v>
      </c>
      <c r="U11" s="58"/>
      <c r="V11" s="67" t="s">
        <v>1960</v>
      </c>
      <c r="W11" s="66">
        <f t="shared" si="35"/>
        <v>0</v>
      </c>
      <c r="X11" s="58"/>
      <c r="Y11" s="67" t="s">
        <v>1960</v>
      </c>
      <c r="Z11" s="66">
        <f t="shared" si="36"/>
        <v>0</v>
      </c>
      <c r="AA11" s="58"/>
      <c r="AB11" s="67" t="s">
        <v>1950</v>
      </c>
      <c r="AC11" s="66">
        <f t="shared" si="37"/>
        <v>0</v>
      </c>
      <c r="AD11" s="58"/>
      <c r="AE11" s="67" t="s">
        <v>1960</v>
      </c>
      <c r="AF11" s="66">
        <f t="shared" si="38"/>
        <v>0</v>
      </c>
      <c r="AG11" s="58"/>
      <c r="AH11" s="67" t="s">
        <v>1960</v>
      </c>
      <c r="AI11" s="66">
        <f t="shared" si="39"/>
        <v>0</v>
      </c>
      <c r="AJ11" s="58"/>
      <c r="AK11" s="67" t="s">
        <v>1960</v>
      </c>
      <c r="AL11" s="66">
        <f t="shared" si="40"/>
        <v>0</v>
      </c>
      <c r="AM11" s="58"/>
      <c r="AN11" s="67" t="s">
        <v>1960</v>
      </c>
      <c r="AO11" s="66">
        <f t="shared" si="41"/>
        <v>0</v>
      </c>
      <c r="AP11" s="58"/>
      <c r="AQ11" s="67" t="s">
        <v>1949</v>
      </c>
      <c r="AR11" s="66">
        <f t="shared" si="42"/>
        <v>0</v>
      </c>
      <c r="AS11" s="58"/>
      <c r="AT11" s="67" t="s">
        <v>1950</v>
      </c>
      <c r="AU11" s="66">
        <f t="shared" si="43"/>
        <v>0</v>
      </c>
      <c r="AV11" s="58"/>
      <c r="AW11" s="67" t="s">
        <v>1950</v>
      </c>
      <c r="AX11" s="66">
        <f t="shared" si="44"/>
        <v>0</v>
      </c>
      <c r="AY11" s="58"/>
      <c r="AZ11" s="67" t="s">
        <v>1960</v>
      </c>
      <c r="BA11" s="66">
        <f t="shared" si="45"/>
        <v>0</v>
      </c>
      <c r="BB11" s="58"/>
      <c r="BC11" s="67" t="s">
        <v>1949</v>
      </c>
      <c r="BD11" s="66">
        <f t="shared" si="46"/>
        <v>0</v>
      </c>
      <c r="BE11" s="58"/>
      <c r="BF11" s="67" t="s">
        <v>1950</v>
      </c>
      <c r="BG11" s="66">
        <f t="shared" si="47"/>
        <v>0</v>
      </c>
      <c r="BH11" s="58"/>
      <c r="BI11" s="67" t="s">
        <v>1962</v>
      </c>
      <c r="BJ11" s="66">
        <f t="shared" si="48"/>
        <v>0</v>
      </c>
      <c r="BK11" s="58"/>
      <c r="BL11" s="67" t="s">
        <v>1949</v>
      </c>
      <c r="BM11" s="66">
        <f t="shared" si="49"/>
        <v>0</v>
      </c>
      <c r="BN11" s="58"/>
      <c r="BO11" s="67" t="s">
        <v>1960</v>
      </c>
      <c r="BP11" s="66">
        <f t="shared" si="50"/>
        <v>0</v>
      </c>
      <c r="BQ11" s="58"/>
      <c r="BR11" s="67" t="s">
        <v>1960</v>
      </c>
      <c r="BS11" s="66">
        <f t="shared" si="51"/>
        <v>0</v>
      </c>
      <c r="BT11" s="58"/>
      <c r="BU11" s="67"/>
      <c r="BV11" s="66">
        <f t="shared" si="52"/>
        <v>0</v>
      </c>
      <c r="BW11" s="58"/>
      <c r="BX11" s="67"/>
      <c r="BY11" s="66">
        <f t="shared" si="53"/>
        <v>0</v>
      </c>
      <c r="BZ11" s="58"/>
      <c r="CA11" s="67"/>
      <c r="CB11" s="66">
        <f t="shared" si="54"/>
        <v>0</v>
      </c>
      <c r="CC11" s="58"/>
      <c r="CD11" s="67"/>
      <c r="CE11" s="66">
        <f t="shared" si="55"/>
        <v>0</v>
      </c>
      <c r="CF11" s="58"/>
      <c r="CG11" s="67"/>
      <c r="CH11" s="66">
        <f t="shared" si="56"/>
        <v>0</v>
      </c>
      <c r="CI11" s="58"/>
      <c r="CJ11" s="67"/>
      <c r="CK11" s="66">
        <f t="shared" si="57"/>
        <v>0</v>
      </c>
      <c r="CL11" s="58"/>
      <c r="CM11" s="67"/>
      <c r="CN11" s="66">
        <f t="shared" si="58"/>
        <v>0</v>
      </c>
      <c r="CO11" s="58"/>
      <c r="CP11" s="67"/>
      <c r="CQ11" s="66">
        <f t="shared" si="59"/>
        <v>0</v>
      </c>
      <c r="CR11" s="58"/>
      <c r="CS11" s="67"/>
      <c r="CT11" s="66">
        <f t="shared" si="60"/>
        <v>0</v>
      </c>
      <c r="CU11" s="58"/>
      <c r="CV11" s="67"/>
      <c r="CW11" s="66">
        <f t="shared" si="61"/>
        <v>0</v>
      </c>
      <c r="CX11" s="58"/>
      <c r="CY11" s="67"/>
      <c r="CZ11" s="66">
        <f t="shared" si="62"/>
        <v>0</v>
      </c>
      <c r="DA11" s="58"/>
      <c r="DB11" s="67"/>
      <c r="DC11" s="66">
        <f t="shared" si="63"/>
        <v>0</v>
      </c>
      <c r="DD11" s="58"/>
      <c r="DE11" s="67"/>
      <c r="DF11" s="66">
        <f t="shared" si="64"/>
        <v>0</v>
      </c>
      <c r="DG11" s="58"/>
      <c r="DH11" s="67"/>
      <c r="DI11" s="66">
        <f t="shared" si="65"/>
        <v>0</v>
      </c>
      <c r="DJ11" s="58"/>
      <c r="DK11" s="67"/>
      <c r="DL11" s="66">
        <f t="shared" si="66"/>
        <v>0</v>
      </c>
      <c r="DM11" s="58"/>
      <c r="DN11" s="67"/>
      <c r="DO11" s="66">
        <f t="shared" si="67"/>
        <v>0</v>
      </c>
      <c r="DP11" s="58"/>
      <c r="DQ11" s="67"/>
      <c r="DR11" s="66">
        <f t="shared" si="68"/>
        <v>0</v>
      </c>
      <c r="DS11" s="58"/>
      <c r="DT11" s="67"/>
      <c r="DU11" s="66">
        <f t="shared" si="69"/>
        <v>0</v>
      </c>
      <c r="DV11" s="58"/>
      <c r="DW11" s="67"/>
      <c r="DX11" s="66">
        <f t="shared" si="70"/>
        <v>0</v>
      </c>
      <c r="DY11" s="58"/>
      <c r="DZ11" s="67"/>
      <c r="EA11" s="66">
        <f t="shared" si="71"/>
        <v>0</v>
      </c>
      <c r="EB11" s="58"/>
      <c r="EC11" s="67"/>
      <c r="ED11" s="66">
        <f t="shared" si="72"/>
        <v>0</v>
      </c>
      <c r="EE11" s="58"/>
      <c r="EF11" s="67"/>
      <c r="EG11" s="66">
        <f t="shared" si="73"/>
        <v>0</v>
      </c>
      <c r="EH11" s="58"/>
      <c r="EI11" s="58"/>
    </row>
    <row r="12" spans="1:139">
      <c r="A12" s="43"/>
      <c r="B12" s="43"/>
      <c r="C12" s="419" t="str">
        <f>Idiomas!D308</f>
        <v>FASE DE GRUPOS - Posición exacta (2º)</v>
      </c>
      <c r="D12" s="55">
        <v>5</v>
      </c>
      <c r="E12" s="103"/>
      <c r="F12" s="426">
        <f t="shared" si="32"/>
        <v>17</v>
      </c>
      <c r="G12" s="426">
        <f ca="1">VLOOKUP(H12,Equipos!$Q$1:$R$25,2,0)</f>
        <v>3</v>
      </c>
      <c r="H12" s="427">
        <f ca="1">TRUNC(INDEX(WORLDCUP!$X$4:$X$147,MATCH(ADMIN!K12,WORLDCUP!$DT$4:$DT$147,0))+INDEX(Horarios!$R$3:$R$86,MATCH(Horarios!$C$3,Horarios!$P$3:$P$86,0))/24)</f>
        <v>46186</v>
      </c>
      <c r="I12" s="42">
        <v>1</v>
      </c>
      <c r="J12" s="88" t="s">
        <v>115</v>
      </c>
      <c r="K12" s="49" t="str">
        <f ca="1">CONCATENATE(WORLDCUP!AA28,"-",WORLDCUP!AF28)</f>
        <v>Estados Unidos-Paraguay</v>
      </c>
      <c r="L12" s="46"/>
      <c r="M12" s="48" t="str">
        <f>IF(OR(WORLDCUP!AC28="",WORLDCUP!AD28=""),"-",N12&amp;"|"&amp;O12&amp;"-"&amp;P12)</f>
        <v>-</v>
      </c>
      <c r="N12" s="711" t="str">
        <f>IF(OR(WORLDCUP!AC28="",WORLDCUP!AD28=""),"",IF(WORLDCUP!AC28&gt;WORLDCUP!AD28,"1",IF(WORLDCUP!AC28&lt;WORLDCUP!AD28,"2","X")))</f>
        <v/>
      </c>
      <c r="O12" s="711">
        <f>WORLDCUP!AC28</f>
        <v>0</v>
      </c>
      <c r="P12" s="711">
        <f>WORLDCUP!AD28</f>
        <v>0</v>
      </c>
      <c r="Q12" s="711">
        <f t="shared" si="33"/>
        <v>0</v>
      </c>
      <c r="R12" s="43"/>
      <c r="S12" s="67" t="s">
        <v>1948</v>
      </c>
      <c r="T12" s="66">
        <f t="shared" si="34"/>
        <v>0</v>
      </c>
      <c r="U12" s="58"/>
      <c r="V12" s="67" t="s">
        <v>1948</v>
      </c>
      <c r="W12" s="66">
        <f t="shared" si="35"/>
        <v>0</v>
      </c>
      <c r="X12" s="58"/>
      <c r="Y12" s="67" t="s">
        <v>1947</v>
      </c>
      <c r="Z12" s="66">
        <f t="shared" si="36"/>
        <v>0</v>
      </c>
      <c r="AA12" s="58"/>
      <c r="AB12" s="67" t="s">
        <v>1963</v>
      </c>
      <c r="AC12" s="66">
        <f t="shared" si="37"/>
        <v>0</v>
      </c>
      <c r="AD12" s="58"/>
      <c r="AE12" s="67" t="s">
        <v>1956</v>
      </c>
      <c r="AF12" s="66">
        <f t="shared" si="38"/>
        <v>0</v>
      </c>
      <c r="AG12" s="58"/>
      <c r="AH12" s="67" t="s">
        <v>1947</v>
      </c>
      <c r="AI12" s="66">
        <f t="shared" si="39"/>
        <v>0</v>
      </c>
      <c r="AJ12" s="58"/>
      <c r="AK12" s="67" t="s">
        <v>1947</v>
      </c>
      <c r="AL12" s="66">
        <f t="shared" si="40"/>
        <v>0</v>
      </c>
      <c r="AM12" s="58"/>
      <c r="AN12" s="67" t="s">
        <v>1947</v>
      </c>
      <c r="AO12" s="66">
        <f t="shared" si="41"/>
        <v>0</v>
      </c>
      <c r="AP12" s="58"/>
      <c r="AQ12" s="67" t="s">
        <v>1947</v>
      </c>
      <c r="AR12" s="66">
        <f t="shared" si="42"/>
        <v>0</v>
      </c>
      <c r="AS12" s="58"/>
      <c r="AT12" s="67" t="s">
        <v>1950</v>
      </c>
      <c r="AU12" s="66">
        <f t="shared" si="43"/>
        <v>0</v>
      </c>
      <c r="AV12" s="58"/>
      <c r="AW12" s="67" t="s">
        <v>1956</v>
      </c>
      <c r="AX12" s="66">
        <f t="shared" si="44"/>
        <v>0</v>
      </c>
      <c r="AY12" s="58"/>
      <c r="AZ12" s="67" t="s">
        <v>1956</v>
      </c>
      <c r="BA12" s="66">
        <f t="shared" si="45"/>
        <v>0</v>
      </c>
      <c r="BB12" s="58"/>
      <c r="BC12" s="67" t="s">
        <v>1948</v>
      </c>
      <c r="BD12" s="66">
        <f t="shared" si="46"/>
        <v>0</v>
      </c>
      <c r="BE12" s="58"/>
      <c r="BF12" s="67" t="s">
        <v>1962</v>
      </c>
      <c r="BG12" s="66">
        <f t="shared" si="47"/>
        <v>0</v>
      </c>
      <c r="BH12" s="58"/>
      <c r="BI12" s="67" t="s">
        <v>1956</v>
      </c>
      <c r="BJ12" s="66">
        <f t="shared" si="48"/>
        <v>0</v>
      </c>
      <c r="BK12" s="58"/>
      <c r="BL12" s="67" t="s">
        <v>1947</v>
      </c>
      <c r="BM12" s="66">
        <f t="shared" si="49"/>
        <v>0</v>
      </c>
      <c r="BN12" s="58"/>
      <c r="BO12" s="67" t="s">
        <v>1955</v>
      </c>
      <c r="BP12" s="66">
        <f t="shared" si="50"/>
        <v>0</v>
      </c>
      <c r="BQ12" s="58"/>
      <c r="BR12" s="67" t="s">
        <v>1947</v>
      </c>
      <c r="BS12" s="66">
        <f t="shared" si="51"/>
        <v>0</v>
      </c>
      <c r="BT12" s="58"/>
      <c r="BU12" s="67"/>
      <c r="BV12" s="66">
        <f t="shared" si="52"/>
        <v>0</v>
      </c>
      <c r="BW12" s="58"/>
      <c r="BX12" s="67"/>
      <c r="BY12" s="66">
        <f t="shared" si="53"/>
        <v>0</v>
      </c>
      <c r="BZ12" s="58"/>
      <c r="CA12" s="67"/>
      <c r="CB12" s="66">
        <f t="shared" si="54"/>
        <v>0</v>
      </c>
      <c r="CC12" s="58"/>
      <c r="CD12" s="67"/>
      <c r="CE12" s="66">
        <f t="shared" si="55"/>
        <v>0</v>
      </c>
      <c r="CF12" s="58"/>
      <c r="CG12" s="67"/>
      <c r="CH12" s="66">
        <f t="shared" si="56"/>
        <v>0</v>
      </c>
      <c r="CI12" s="58"/>
      <c r="CJ12" s="67"/>
      <c r="CK12" s="66">
        <f t="shared" si="57"/>
        <v>0</v>
      </c>
      <c r="CL12" s="58"/>
      <c r="CM12" s="67"/>
      <c r="CN12" s="66">
        <f t="shared" si="58"/>
        <v>0</v>
      </c>
      <c r="CO12" s="58"/>
      <c r="CP12" s="67"/>
      <c r="CQ12" s="66">
        <f t="shared" si="59"/>
        <v>0</v>
      </c>
      <c r="CR12" s="58"/>
      <c r="CS12" s="67"/>
      <c r="CT12" s="66">
        <f t="shared" si="60"/>
        <v>0</v>
      </c>
      <c r="CU12" s="58"/>
      <c r="CV12" s="67"/>
      <c r="CW12" s="66">
        <f t="shared" si="61"/>
        <v>0</v>
      </c>
      <c r="CX12" s="58"/>
      <c r="CY12" s="67"/>
      <c r="CZ12" s="66">
        <f t="shared" si="62"/>
        <v>0</v>
      </c>
      <c r="DA12" s="58"/>
      <c r="DB12" s="67"/>
      <c r="DC12" s="66">
        <f t="shared" si="63"/>
        <v>0</v>
      </c>
      <c r="DD12" s="58"/>
      <c r="DE12" s="67"/>
      <c r="DF12" s="66">
        <f t="shared" si="64"/>
        <v>0</v>
      </c>
      <c r="DG12" s="58"/>
      <c r="DH12" s="67"/>
      <c r="DI12" s="66">
        <f t="shared" si="65"/>
        <v>0</v>
      </c>
      <c r="DJ12" s="58"/>
      <c r="DK12" s="67"/>
      <c r="DL12" s="66">
        <f t="shared" si="66"/>
        <v>0</v>
      </c>
      <c r="DM12" s="58"/>
      <c r="DN12" s="67"/>
      <c r="DO12" s="66">
        <f t="shared" si="67"/>
        <v>0</v>
      </c>
      <c r="DP12" s="58"/>
      <c r="DQ12" s="67"/>
      <c r="DR12" s="66">
        <f t="shared" si="68"/>
        <v>0</v>
      </c>
      <c r="DS12" s="58"/>
      <c r="DT12" s="67"/>
      <c r="DU12" s="66">
        <f t="shared" si="69"/>
        <v>0</v>
      </c>
      <c r="DV12" s="58"/>
      <c r="DW12" s="67"/>
      <c r="DX12" s="66">
        <f t="shared" si="70"/>
        <v>0</v>
      </c>
      <c r="DY12" s="58"/>
      <c r="DZ12" s="67"/>
      <c r="EA12" s="66">
        <f t="shared" si="71"/>
        <v>0</v>
      </c>
      <c r="EB12" s="58"/>
      <c r="EC12" s="67"/>
      <c r="ED12" s="66">
        <f t="shared" si="72"/>
        <v>0</v>
      </c>
      <c r="EE12" s="58"/>
      <c r="EF12" s="67"/>
      <c r="EG12" s="66">
        <f t="shared" si="73"/>
        <v>0</v>
      </c>
      <c r="EH12" s="58"/>
      <c r="EI12" s="58"/>
    </row>
    <row r="13" spans="1:139">
      <c r="A13" s="43"/>
      <c r="B13" s="43"/>
      <c r="C13" s="420" t="str">
        <f>Idiomas!D309</f>
        <v>FASE DE GRUPOS - Posición exacta (3º)</v>
      </c>
      <c r="D13" s="38">
        <v>5</v>
      </c>
      <c r="E13" s="103"/>
      <c r="F13" s="426">
        <f t="shared" si="32"/>
        <v>17</v>
      </c>
      <c r="G13" s="426">
        <f ca="1">VLOOKUP(H13,Equipos!$Q$1:$R$25,2,0)</f>
        <v>4</v>
      </c>
      <c r="H13" s="427">
        <f ca="1">TRUNC(INDEX(WORLDCUP!$X$4:$X$147,MATCH(ADMIN!K13,WORLDCUP!$DT$4:$DT$147,0))+INDEX(Horarios!$R$3:$R$86,MATCH(Horarios!$C$3,Horarios!$P$3:$P$86,0))/24)</f>
        <v>46187</v>
      </c>
      <c r="I13" s="42">
        <v>1</v>
      </c>
      <c r="J13" s="88" t="s">
        <v>115</v>
      </c>
      <c r="K13" s="46" t="str">
        <f ca="1">CONCATENATE(WORLDCUP!AA29,"-",WORLDCUP!AF29)</f>
        <v>Australia-Turquía</v>
      </c>
      <c r="L13" s="46"/>
      <c r="M13" s="48" t="str">
        <f>IF(OR(WORLDCUP!AC29="",WORLDCUP!AD29=""),"-",N13&amp;"|"&amp;O13&amp;"-"&amp;P13)</f>
        <v>-</v>
      </c>
      <c r="N13" s="711" t="str">
        <f>IF(OR(WORLDCUP!AC29="",WORLDCUP!AD29=""),"",IF(WORLDCUP!AC29&gt;WORLDCUP!AD29,"1",IF(WORLDCUP!AC29&lt;WORLDCUP!AD29,"2","X")))</f>
        <v/>
      </c>
      <c r="O13" s="711">
        <f>WORLDCUP!AC29</f>
        <v>0</v>
      </c>
      <c r="P13" s="711">
        <f>WORLDCUP!AD29</f>
        <v>0</v>
      </c>
      <c r="Q13" s="711">
        <f t="shared" si="33"/>
        <v>0</v>
      </c>
      <c r="R13" s="43"/>
      <c r="S13" s="67" t="s">
        <v>1951</v>
      </c>
      <c r="T13" s="66">
        <f t="shared" si="34"/>
        <v>0</v>
      </c>
      <c r="U13" s="58"/>
      <c r="V13" s="67" t="s">
        <v>1955</v>
      </c>
      <c r="W13" s="66">
        <f t="shared" si="35"/>
        <v>0</v>
      </c>
      <c r="X13" s="58"/>
      <c r="Y13" s="67" t="s">
        <v>1955</v>
      </c>
      <c r="Z13" s="66">
        <f t="shared" si="36"/>
        <v>0</v>
      </c>
      <c r="AA13" s="58"/>
      <c r="AB13" s="67" t="s">
        <v>1955</v>
      </c>
      <c r="AC13" s="66">
        <f t="shared" si="37"/>
        <v>0</v>
      </c>
      <c r="AD13" s="58"/>
      <c r="AE13" s="67" t="s">
        <v>1960</v>
      </c>
      <c r="AF13" s="66">
        <f t="shared" si="38"/>
        <v>0</v>
      </c>
      <c r="AG13" s="58"/>
      <c r="AH13" s="67" t="s">
        <v>1955</v>
      </c>
      <c r="AI13" s="66">
        <f t="shared" si="39"/>
        <v>0</v>
      </c>
      <c r="AJ13" s="58"/>
      <c r="AK13" s="67" t="s">
        <v>1948</v>
      </c>
      <c r="AL13" s="66">
        <f t="shared" si="40"/>
        <v>0</v>
      </c>
      <c r="AM13" s="58"/>
      <c r="AN13" s="67" t="s">
        <v>1960</v>
      </c>
      <c r="AO13" s="66">
        <f t="shared" si="41"/>
        <v>0</v>
      </c>
      <c r="AP13" s="58"/>
      <c r="AQ13" s="67" t="s">
        <v>1974</v>
      </c>
      <c r="AR13" s="66">
        <f t="shared" si="42"/>
        <v>0</v>
      </c>
      <c r="AS13" s="58"/>
      <c r="AT13" s="67" t="s">
        <v>1960</v>
      </c>
      <c r="AU13" s="66">
        <f t="shared" si="43"/>
        <v>0</v>
      </c>
      <c r="AV13" s="58"/>
      <c r="AW13" s="67" t="s">
        <v>1950</v>
      </c>
      <c r="AX13" s="66">
        <f t="shared" si="44"/>
        <v>0</v>
      </c>
      <c r="AY13" s="58"/>
      <c r="AZ13" s="67" t="s">
        <v>1960</v>
      </c>
      <c r="BA13" s="66">
        <f t="shared" si="45"/>
        <v>0</v>
      </c>
      <c r="BB13" s="58"/>
      <c r="BC13" s="67" t="s">
        <v>1960</v>
      </c>
      <c r="BD13" s="66">
        <f t="shared" si="46"/>
        <v>0</v>
      </c>
      <c r="BE13" s="58"/>
      <c r="BF13" s="67" t="s">
        <v>1950</v>
      </c>
      <c r="BG13" s="66">
        <f t="shared" si="47"/>
        <v>0</v>
      </c>
      <c r="BH13" s="58"/>
      <c r="BI13" s="67" t="s">
        <v>1950</v>
      </c>
      <c r="BJ13" s="66">
        <f t="shared" si="48"/>
        <v>0</v>
      </c>
      <c r="BK13" s="58"/>
      <c r="BL13" s="67" t="s">
        <v>1955</v>
      </c>
      <c r="BM13" s="66">
        <f t="shared" si="49"/>
        <v>0</v>
      </c>
      <c r="BN13" s="58"/>
      <c r="BO13" s="67" t="s">
        <v>1960</v>
      </c>
      <c r="BP13" s="66">
        <f t="shared" si="50"/>
        <v>0</v>
      </c>
      <c r="BQ13" s="58"/>
      <c r="BR13" s="67" t="s">
        <v>1955</v>
      </c>
      <c r="BS13" s="66">
        <f t="shared" si="51"/>
        <v>0</v>
      </c>
      <c r="BT13" s="58"/>
      <c r="BU13" s="67"/>
      <c r="BV13" s="66">
        <f t="shared" si="52"/>
        <v>0</v>
      </c>
      <c r="BW13" s="58"/>
      <c r="BX13" s="67"/>
      <c r="BY13" s="66">
        <f t="shared" si="53"/>
        <v>0</v>
      </c>
      <c r="BZ13" s="58"/>
      <c r="CA13" s="67"/>
      <c r="CB13" s="66">
        <f t="shared" si="54"/>
        <v>0</v>
      </c>
      <c r="CC13" s="58"/>
      <c r="CD13" s="67"/>
      <c r="CE13" s="66">
        <f t="shared" si="55"/>
        <v>0</v>
      </c>
      <c r="CF13" s="58"/>
      <c r="CG13" s="67"/>
      <c r="CH13" s="66">
        <f t="shared" si="56"/>
        <v>0</v>
      </c>
      <c r="CI13" s="58"/>
      <c r="CJ13" s="67"/>
      <c r="CK13" s="66">
        <f t="shared" si="57"/>
        <v>0</v>
      </c>
      <c r="CL13" s="58"/>
      <c r="CM13" s="67"/>
      <c r="CN13" s="66">
        <f t="shared" si="58"/>
        <v>0</v>
      </c>
      <c r="CO13" s="58"/>
      <c r="CP13" s="67"/>
      <c r="CQ13" s="66">
        <f t="shared" si="59"/>
        <v>0</v>
      </c>
      <c r="CR13" s="58"/>
      <c r="CS13" s="67"/>
      <c r="CT13" s="66">
        <f t="shared" si="60"/>
        <v>0</v>
      </c>
      <c r="CU13" s="58"/>
      <c r="CV13" s="67"/>
      <c r="CW13" s="66">
        <f t="shared" si="61"/>
        <v>0</v>
      </c>
      <c r="CX13" s="58"/>
      <c r="CY13" s="67"/>
      <c r="CZ13" s="66">
        <f t="shared" si="62"/>
        <v>0</v>
      </c>
      <c r="DA13" s="58"/>
      <c r="DB13" s="67"/>
      <c r="DC13" s="66">
        <f t="shared" si="63"/>
        <v>0</v>
      </c>
      <c r="DD13" s="58"/>
      <c r="DE13" s="67"/>
      <c r="DF13" s="66">
        <f t="shared" si="64"/>
        <v>0</v>
      </c>
      <c r="DG13" s="58"/>
      <c r="DH13" s="67"/>
      <c r="DI13" s="66">
        <f t="shared" si="65"/>
        <v>0</v>
      </c>
      <c r="DJ13" s="58"/>
      <c r="DK13" s="67"/>
      <c r="DL13" s="66">
        <f t="shared" si="66"/>
        <v>0</v>
      </c>
      <c r="DM13" s="58"/>
      <c r="DN13" s="67"/>
      <c r="DO13" s="66">
        <f t="shared" si="67"/>
        <v>0</v>
      </c>
      <c r="DP13" s="58"/>
      <c r="DQ13" s="67"/>
      <c r="DR13" s="66">
        <f t="shared" si="68"/>
        <v>0</v>
      </c>
      <c r="DS13" s="58"/>
      <c r="DT13" s="67"/>
      <c r="DU13" s="66">
        <f t="shared" si="69"/>
        <v>0</v>
      </c>
      <c r="DV13" s="58"/>
      <c r="DW13" s="67"/>
      <c r="DX13" s="66">
        <f t="shared" si="70"/>
        <v>0</v>
      </c>
      <c r="DY13" s="58"/>
      <c r="DZ13" s="67"/>
      <c r="EA13" s="66">
        <f t="shared" si="71"/>
        <v>0</v>
      </c>
      <c r="EB13" s="58"/>
      <c r="EC13" s="67"/>
      <c r="ED13" s="66">
        <f t="shared" si="72"/>
        <v>0</v>
      </c>
      <c r="EE13" s="58"/>
      <c r="EF13" s="67"/>
      <c r="EG13" s="66">
        <f t="shared" si="73"/>
        <v>0</v>
      </c>
      <c r="EH13" s="58"/>
      <c r="EI13" s="58"/>
    </row>
    <row r="14" spans="1:139">
      <c r="A14" s="43"/>
      <c r="B14" s="43"/>
      <c r="C14" s="419" t="str">
        <f>Idiomas!D310</f>
        <v>FASE DE GRUPOS - Posición exacta (4º)</v>
      </c>
      <c r="D14" s="55">
        <v>5</v>
      </c>
      <c r="E14" s="103"/>
      <c r="F14" s="426">
        <f t="shared" si="32"/>
        <v>17</v>
      </c>
      <c r="G14" s="426">
        <f ca="1">VLOOKUP(H14,Equipos!$Q$1:$R$25,2,0)</f>
        <v>4</v>
      </c>
      <c r="H14" s="427">
        <f ca="1">TRUNC(INDEX(WORLDCUP!$X$4:$X$147,MATCH(ADMIN!K14,WORLDCUP!$DT$4:$DT$147,0))+INDEX(Horarios!$R$3:$R$86,MATCH(Horarios!$C$3,Horarios!$P$3:$P$86,0))/24)</f>
        <v>46187</v>
      </c>
      <c r="I14" s="42">
        <v>1</v>
      </c>
      <c r="J14" s="87" t="s">
        <v>116</v>
      </c>
      <c r="K14" s="49" t="str">
        <f ca="1">CONCATENATE(WORLDCUP!AA36,"-",WORLDCUP!AF36)</f>
        <v>Alemania-Curazao</v>
      </c>
      <c r="L14" s="46"/>
      <c r="M14" s="48" t="str">
        <f>IF(OR(WORLDCUP!AC36="",WORLDCUP!AD36=""),"-",N14&amp;"|"&amp;O14&amp;"-"&amp;P14)</f>
        <v>-</v>
      </c>
      <c r="N14" s="711" t="str">
        <f>IF(OR(WORLDCUP!AC36="",WORLDCUP!AD36=""),"",IF(WORLDCUP!AC36&gt;WORLDCUP!AD36,"1",IF(WORLDCUP!AC36&lt;WORLDCUP!AD36,"2","X")))</f>
        <v/>
      </c>
      <c r="O14" s="711">
        <f>WORLDCUP!AC36</f>
        <v>0</v>
      </c>
      <c r="P14" s="711">
        <f>WORLDCUP!AD36</f>
        <v>0</v>
      </c>
      <c r="Q14" s="711">
        <f t="shared" si="33"/>
        <v>0</v>
      </c>
      <c r="R14" s="43"/>
      <c r="S14" s="67" t="s">
        <v>1952</v>
      </c>
      <c r="T14" s="66">
        <f t="shared" si="34"/>
        <v>0</v>
      </c>
      <c r="U14" s="58"/>
      <c r="V14" s="67" t="s">
        <v>1959</v>
      </c>
      <c r="W14" s="66">
        <f t="shared" si="35"/>
        <v>0</v>
      </c>
      <c r="X14" s="58"/>
      <c r="Y14" s="67" t="s">
        <v>1959</v>
      </c>
      <c r="Z14" s="66">
        <f t="shared" si="36"/>
        <v>0</v>
      </c>
      <c r="AA14" s="58"/>
      <c r="AB14" s="67" t="s">
        <v>1959</v>
      </c>
      <c r="AC14" s="66">
        <f t="shared" si="37"/>
        <v>0</v>
      </c>
      <c r="AD14" s="58"/>
      <c r="AE14" s="67" t="s">
        <v>1958</v>
      </c>
      <c r="AF14" s="66">
        <f t="shared" si="38"/>
        <v>0</v>
      </c>
      <c r="AG14" s="58"/>
      <c r="AH14" s="67" t="s">
        <v>1952</v>
      </c>
      <c r="AI14" s="66">
        <f t="shared" si="39"/>
        <v>0</v>
      </c>
      <c r="AJ14" s="58"/>
      <c r="AK14" s="67" t="s">
        <v>1952</v>
      </c>
      <c r="AL14" s="66">
        <f t="shared" si="40"/>
        <v>0</v>
      </c>
      <c r="AM14" s="58"/>
      <c r="AN14" s="67" t="s">
        <v>1958</v>
      </c>
      <c r="AO14" s="66">
        <f t="shared" si="41"/>
        <v>0</v>
      </c>
      <c r="AP14" s="58"/>
      <c r="AQ14" s="67" t="s">
        <v>1979</v>
      </c>
      <c r="AR14" s="66">
        <f t="shared" si="42"/>
        <v>0</v>
      </c>
      <c r="AS14" s="58"/>
      <c r="AT14" s="67" t="s">
        <v>1958</v>
      </c>
      <c r="AU14" s="66">
        <f t="shared" si="43"/>
        <v>0</v>
      </c>
      <c r="AV14" s="58"/>
      <c r="AW14" s="67" t="s">
        <v>1953</v>
      </c>
      <c r="AX14" s="66">
        <f t="shared" si="44"/>
        <v>0</v>
      </c>
      <c r="AY14" s="58"/>
      <c r="AZ14" s="67" t="s">
        <v>1952</v>
      </c>
      <c r="BA14" s="66">
        <f t="shared" si="45"/>
        <v>0</v>
      </c>
      <c r="BB14" s="58"/>
      <c r="BC14" s="67" t="s">
        <v>1997</v>
      </c>
      <c r="BD14" s="66">
        <f t="shared" si="46"/>
        <v>0</v>
      </c>
      <c r="BE14" s="58"/>
      <c r="BF14" s="67" t="s">
        <v>1953</v>
      </c>
      <c r="BG14" s="66">
        <f t="shared" si="47"/>
        <v>0</v>
      </c>
      <c r="BH14" s="58"/>
      <c r="BI14" s="67" t="s">
        <v>1953</v>
      </c>
      <c r="BJ14" s="66">
        <f t="shared" si="48"/>
        <v>0</v>
      </c>
      <c r="BK14" s="58"/>
      <c r="BL14" s="67" t="s">
        <v>1952</v>
      </c>
      <c r="BM14" s="66">
        <f t="shared" si="49"/>
        <v>0</v>
      </c>
      <c r="BN14" s="58"/>
      <c r="BO14" s="67" t="s">
        <v>1952</v>
      </c>
      <c r="BP14" s="66">
        <f t="shared" si="50"/>
        <v>0</v>
      </c>
      <c r="BQ14" s="58"/>
      <c r="BR14" s="67" t="s">
        <v>1959</v>
      </c>
      <c r="BS14" s="66">
        <f t="shared" si="51"/>
        <v>0</v>
      </c>
      <c r="BT14" s="58"/>
      <c r="BU14" s="67"/>
      <c r="BV14" s="66">
        <f t="shared" si="52"/>
        <v>0</v>
      </c>
      <c r="BW14" s="58"/>
      <c r="BX14" s="67"/>
      <c r="BY14" s="66">
        <f t="shared" si="53"/>
        <v>0</v>
      </c>
      <c r="BZ14" s="58"/>
      <c r="CA14" s="67"/>
      <c r="CB14" s="66">
        <f t="shared" si="54"/>
        <v>0</v>
      </c>
      <c r="CC14" s="58"/>
      <c r="CD14" s="67"/>
      <c r="CE14" s="66">
        <f t="shared" si="55"/>
        <v>0</v>
      </c>
      <c r="CF14" s="58"/>
      <c r="CG14" s="67"/>
      <c r="CH14" s="66">
        <f t="shared" si="56"/>
        <v>0</v>
      </c>
      <c r="CI14" s="58"/>
      <c r="CJ14" s="67"/>
      <c r="CK14" s="66">
        <f t="shared" si="57"/>
        <v>0</v>
      </c>
      <c r="CL14" s="58"/>
      <c r="CM14" s="67"/>
      <c r="CN14" s="66">
        <f t="shared" si="58"/>
        <v>0</v>
      </c>
      <c r="CO14" s="58"/>
      <c r="CP14" s="67"/>
      <c r="CQ14" s="66">
        <f t="shared" si="59"/>
        <v>0</v>
      </c>
      <c r="CR14" s="58"/>
      <c r="CS14" s="67"/>
      <c r="CT14" s="66">
        <f t="shared" si="60"/>
        <v>0</v>
      </c>
      <c r="CU14" s="58"/>
      <c r="CV14" s="67"/>
      <c r="CW14" s="66">
        <f t="shared" si="61"/>
        <v>0</v>
      </c>
      <c r="CX14" s="58"/>
      <c r="CY14" s="67"/>
      <c r="CZ14" s="66">
        <f t="shared" si="62"/>
        <v>0</v>
      </c>
      <c r="DA14" s="58"/>
      <c r="DB14" s="67"/>
      <c r="DC14" s="66">
        <f t="shared" si="63"/>
        <v>0</v>
      </c>
      <c r="DD14" s="58"/>
      <c r="DE14" s="67"/>
      <c r="DF14" s="66">
        <f t="shared" si="64"/>
        <v>0</v>
      </c>
      <c r="DG14" s="58"/>
      <c r="DH14" s="67"/>
      <c r="DI14" s="66">
        <f t="shared" si="65"/>
        <v>0</v>
      </c>
      <c r="DJ14" s="58"/>
      <c r="DK14" s="67"/>
      <c r="DL14" s="66">
        <f t="shared" si="66"/>
        <v>0</v>
      </c>
      <c r="DM14" s="58"/>
      <c r="DN14" s="67"/>
      <c r="DO14" s="66">
        <f t="shared" si="67"/>
        <v>0</v>
      </c>
      <c r="DP14" s="58"/>
      <c r="DQ14" s="67"/>
      <c r="DR14" s="66">
        <f t="shared" si="68"/>
        <v>0</v>
      </c>
      <c r="DS14" s="58"/>
      <c r="DT14" s="67"/>
      <c r="DU14" s="66">
        <f t="shared" si="69"/>
        <v>0</v>
      </c>
      <c r="DV14" s="58"/>
      <c r="DW14" s="67"/>
      <c r="DX14" s="66">
        <f t="shared" si="70"/>
        <v>0</v>
      </c>
      <c r="DY14" s="58"/>
      <c r="DZ14" s="67"/>
      <c r="EA14" s="66">
        <f t="shared" si="71"/>
        <v>0</v>
      </c>
      <c r="EB14" s="58"/>
      <c r="EC14" s="67"/>
      <c r="ED14" s="66">
        <f t="shared" si="72"/>
        <v>0</v>
      </c>
      <c r="EE14" s="58"/>
      <c r="EF14" s="67"/>
      <c r="EG14" s="66">
        <f t="shared" si="73"/>
        <v>0</v>
      </c>
      <c r="EH14" s="58"/>
      <c r="EI14" s="58"/>
    </row>
    <row r="15" spans="1:139">
      <c r="A15" s="43"/>
      <c r="B15" s="43"/>
      <c r="C15" s="421" t="str">
        <f>Idiomas!D311</f>
        <v>Equipo clasificado para DIECISEISAVOS</v>
      </c>
      <c r="D15" s="39">
        <v>3</v>
      </c>
      <c r="E15" s="103"/>
      <c r="F15" s="426">
        <f t="shared" si="32"/>
        <v>17</v>
      </c>
      <c r="G15" s="426">
        <f ca="1">VLOOKUP(H15,Equipos!$Q$1:$R$25,2,0)</f>
        <v>5</v>
      </c>
      <c r="H15" s="427">
        <f ca="1">TRUNC(INDEX(WORLDCUP!$X$4:$X$147,MATCH(ADMIN!K15,WORLDCUP!$DT$4:$DT$147,0))+INDEX(Horarios!$R$3:$R$86,MATCH(Horarios!$C$3,Horarios!$P$3:$P$86,0))/24)</f>
        <v>46188</v>
      </c>
      <c r="I15" s="42">
        <v>1</v>
      </c>
      <c r="J15" s="87" t="s">
        <v>116</v>
      </c>
      <c r="K15" s="46" t="str">
        <f ca="1">CONCATENATE(WORLDCUP!AA37,"-",WORLDCUP!AF37)</f>
        <v>Costa de Marfil-Ecuador</v>
      </c>
      <c r="L15" s="46"/>
      <c r="M15" s="48" t="str">
        <f>IF(OR(WORLDCUP!AC37="",WORLDCUP!AD37=""),"-",N15&amp;"|"&amp;O15&amp;"-"&amp;P15)</f>
        <v>-</v>
      </c>
      <c r="N15" s="711" t="str">
        <f>IF(OR(WORLDCUP!AC37="",WORLDCUP!AD37=""),"",IF(WORLDCUP!AC37&gt;WORLDCUP!AD37,"1",IF(WORLDCUP!AC37&lt;WORLDCUP!AD37,"2","X")))</f>
        <v/>
      </c>
      <c r="O15" s="711">
        <f>WORLDCUP!AC37</f>
        <v>0</v>
      </c>
      <c r="P15" s="711">
        <f>WORLDCUP!AD37</f>
        <v>0</v>
      </c>
      <c r="Q15" s="711">
        <f t="shared" si="33"/>
        <v>0</v>
      </c>
      <c r="R15" s="43"/>
      <c r="S15" s="67" t="s">
        <v>1953</v>
      </c>
      <c r="T15" s="66">
        <f t="shared" si="34"/>
        <v>0</v>
      </c>
      <c r="U15" s="58"/>
      <c r="V15" s="67" t="s">
        <v>1955</v>
      </c>
      <c r="W15" s="66">
        <f t="shared" si="35"/>
        <v>0</v>
      </c>
      <c r="X15" s="58"/>
      <c r="Y15" s="67" t="s">
        <v>1955</v>
      </c>
      <c r="Z15" s="66">
        <f t="shared" si="36"/>
        <v>0</v>
      </c>
      <c r="AA15" s="58"/>
      <c r="AB15" s="67" t="s">
        <v>1955</v>
      </c>
      <c r="AC15" s="66">
        <f t="shared" si="37"/>
        <v>0</v>
      </c>
      <c r="AD15" s="58"/>
      <c r="AE15" s="67" t="s">
        <v>1948</v>
      </c>
      <c r="AF15" s="66">
        <f t="shared" si="38"/>
        <v>0</v>
      </c>
      <c r="AG15" s="58"/>
      <c r="AH15" s="67" t="s">
        <v>1948</v>
      </c>
      <c r="AI15" s="66">
        <f t="shared" si="39"/>
        <v>0</v>
      </c>
      <c r="AJ15" s="58"/>
      <c r="AK15" s="67" t="s">
        <v>1948</v>
      </c>
      <c r="AL15" s="66">
        <f t="shared" si="40"/>
        <v>0</v>
      </c>
      <c r="AM15" s="58"/>
      <c r="AN15" s="67" t="s">
        <v>1950</v>
      </c>
      <c r="AO15" s="66">
        <f t="shared" si="41"/>
        <v>0</v>
      </c>
      <c r="AP15" s="58"/>
      <c r="AQ15" s="67" t="s">
        <v>1948</v>
      </c>
      <c r="AR15" s="66">
        <f t="shared" si="42"/>
        <v>0</v>
      </c>
      <c r="AS15" s="58"/>
      <c r="AT15" s="67" t="s">
        <v>1960</v>
      </c>
      <c r="AU15" s="66">
        <f t="shared" si="43"/>
        <v>0</v>
      </c>
      <c r="AV15" s="58"/>
      <c r="AW15" s="67" t="s">
        <v>1948</v>
      </c>
      <c r="AX15" s="66">
        <f t="shared" si="44"/>
        <v>0</v>
      </c>
      <c r="AY15" s="58"/>
      <c r="AZ15" s="67" t="s">
        <v>1955</v>
      </c>
      <c r="BA15" s="66">
        <f t="shared" si="45"/>
        <v>0</v>
      </c>
      <c r="BB15" s="58"/>
      <c r="BC15" s="67" t="s">
        <v>1948</v>
      </c>
      <c r="BD15" s="66">
        <f t="shared" si="46"/>
        <v>0</v>
      </c>
      <c r="BE15" s="58"/>
      <c r="BF15" s="67" t="s">
        <v>1950</v>
      </c>
      <c r="BG15" s="66">
        <f t="shared" si="47"/>
        <v>0</v>
      </c>
      <c r="BH15" s="58"/>
      <c r="BI15" s="67" t="s">
        <v>1950</v>
      </c>
      <c r="BJ15" s="66">
        <f t="shared" si="48"/>
        <v>0</v>
      </c>
      <c r="BK15" s="58"/>
      <c r="BL15" s="67" t="s">
        <v>1947</v>
      </c>
      <c r="BM15" s="66">
        <f t="shared" si="49"/>
        <v>0</v>
      </c>
      <c r="BN15" s="58"/>
      <c r="BO15" s="67" t="s">
        <v>1948</v>
      </c>
      <c r="BP15" s="66">
        <f t="shared" si="50"/>
        <v>0</v>
      </c>
      <c r="BQ15" s="58"/>
      <c r="BR15" s="67" t="s">
        <v>1955</v>
      </c>
      <c r="BS15" s="66">
        <f t="shared" si="51"/>
        <v>0</v>
      </c>
      <c r="BT15" s="58"/>
      <c r="BU15" s="67"/>
      <c r="BV15" s="66">
        <f t="shared" si="52"/>
        <v>0</v>
      </c>
      <c r="BW15" s="58"/>
      <c r="BX15" s="67"/>
      <c r="BY15" s="66">
        <f t="shared" si="53"/>
        <v>0</v>
      </c>
      <c r="BZ15" s="58"/>
      <c r="CA15" s="67"/>
      <c r="CB15" s="66">
        <f t="shared" si="54"/>
        <v>0</v>
      </c>
      <c r="CC15" s="58"/>
      <c r="CD15" s="67"/>
      <c r="CE15" s="66">
        <f t="shared" si="55"/>
        <v>0</v>
      </c>
      <c r="CF15" s="58"/>
      <c r="CG15" s="67"/>
      <c r="CH15" s="66">
        <f t="shared" si="56"/>
        <v>0</v>
      </c>
      <c r="CI15" s="58"/>
      <c r="CJ15" s="67"/>
      <c r="CK15" s="66">
        <f t="shared" si="57"/>
        <v>0</v>
      </c>
      <c r="CL15" s="58"/>
      <c r="CM15" s="67"/>
      <c r="CN15" s="66">
        <f t="shared" si="58"/>
        <v>0</v>
      </c>
      <c r="CO15" s="58"/>
      <c r="CP15" s="67"/>
      <c r="CQ15" s="66">
        <f t="shared" si="59"/>
        <v>0</v>
      </c>
      <c r="CR15" s="58"/>
      <c r="CS15" s="67"/>
      <c r="CT15" s="66">
        <f t="shared" si="60"/>
        <v>0</v>
      </c>
      <c r="CU15" s="58"/>
      <c r="CV15" s="67"/>
      <c r="CW15" s="66">
        <f t="shared" si="61"/>
        <v>0</v>
      </c>
      <c r="CX15" s="58"/>
      <c r="CY15" s="67"/>
      <c r="CZ15" s="66">
        <f t="shared" si="62"/>
        <v>0</v>
      </c>
      <c r="DA15" s="58"/>
      <c r="DB15" s="67"/>
      <c r="DC15" s="66">
        <f t="shared" si="63"/>
        <v>0</v>
      </c>
      <c r="DD15" s="58"/>
      <c r="DE15" s="67"/>
      <c r="DF15" s="66">
        <f t="shared" si="64"/>
        <v>0</v>
      </c>
      <c r="DG15" s="58"/>
      <c r="DH15" s="67"/>
      <c r="DI15" s="66">
        <f t="shared" si="65"/>
        <v>0</v>
      </c>
      <c r="DJ15" s="58"/>
      <c r="DK15" s="67"/>
      <c r="DL15" s="66">
        <f t="shared" si="66"/>
        <v>0</v>
      </c>
      <c r="DM15" s="58"/>
      <c r="DN15" s="67"/>
      <c r="DO15" s="66">
        <f t="shared" si="67"/>
        <v>0</v>
      </c>
      <c r="DP15" s="58"/>
      <c r="DQ15" s="67"/>
      <c r="DR15" s="66">
        <f t="shared" si="68"/>
        <v>0</v>
      </c>
      <c r="DS15" s="58"/>
      <c r="DT15" s="67"/>
      <c r="DU15" s="66">
        <f t="shared" si="69"/>
        <v>0</v>
      </c>
      <c r="DV15" s="58"/>
      <c r="DW15" s="67"/>
      <c r="DX15" s="66">
        <f t="shared" si="70"/>
        <v>0</v>
      </c>
      <c r="DY15" s="58"/>
      <c r="DZ15" s="67"/>
      <c r="EA15" s="66">
        <f t="shared" si="71"/>
        <v>0</v>
      </c>
      <c r="EB15" s="58"/>
      <c r="EC15" s="67"/>
      <c r="ED15" s="66">
        <f t="shared" si="72"/>
        <v>0</v>
      </c>
      <c r="EE15" s="58"/>
      <c r="EF15" s="67"/>
      <c r="EG15" s="66">
        <f t="shared" si="73"/>
        <v>0</v>
      </c>
      <c r="EH15" s="58"/>
      <c r="EI15" s="58"/>
    </row>
    <row r="16" spans="1:139">
      <c r="A16" s="43"/>
      <c r="B16" s="43"/>
      <c r="C16" s="419" t="str">
        <f>Idiomas!D312</f>
        <v>DIECISEISAVOS - Signo 1X2 (local, empate, visitante)</v>
      </c>
      <c r="D16" s="55">
        <v>5</v>
      </c>
      <c r="E16" s="103"/>
      <c r="F16" s="426">
        <f t="shared" si="32"/>
        <v>17</v>
      </c>
      <c r="G16" s="426">
        <f ca="1">VLOOKUP(H16,Equipos!$Q$1:$R$25,2,0)</f>
        <v>5</v>
      </c>
      <c r="H16" s="427">
        <f ca="1">TRUNC(INDEX(WORLDCUP!$X$4:$X$147,MATCH(ADMIN!K16,WORLDCUP!$DT$4:$DT$147,0))+INDEX(Horarios!$R$3:$R$86,MATCH(Horarios!$C$3,Horarios!$P$3:$P$86,0))/24)</f>
        <v>46188</v>
      </c>
      <c r="I16" s="42">
        <v>1</v>
      </c>
      <c r="J16" s="88" t="s">
        <v>117</v>
      </c>
      <c r="K16" s="49" t="str">
        <f ca="1">CONCATENATE(WORLDCUP!AA44,"-",WORLDCUP!AF44)</f>
        <v>Países Bajos-Japón</v>
      </c>
      <c r="L16" s="46"/>
      <c r="M16" s="48" t="str">
        <f>IF(OR(WORLDCUP!AC44="",WORLDCUP!AD44=""),"-",N16&amp;"|"&amp;O16&amp;"-"&amp;P16)</f>
        <v>-</v>
      </c>
      <c r="N16" s="711" t="str">
        <f>IF(OR(WORLDCUP!AC44="",WORLDCUP!AD44=""),"",IF(WORLDCUP!AC44&gt;WORLDCUP!AD44,"1",IF(WORLDCUP!AC44&lt;WORLDCUP!AD44,"2","X")))</f>
        <v/>
      </c>
      <c r="O16" s="711">
        <f>WORLDCUP!AC44</f>
        <v>0</v>
      </c>
      <c r="P16" s="711">
        <f>WORLDCUP!AD44</f>
        <v>0</v>
      </c>
      <c r="Q16" s="711">
        <f t="shared" si="33"/>
        <v>0</v>
      </c>
      <c r="R16" s="43"/>
      <c r="S16" s="67" t="s">
        <v>1954</v>
      </c>
      <c r="T16" s="66">
        <f t="shared" si="34"/>
        <v>0</v>
      </c>
      <c r="U16" s="58"/>
      <c r="V16" s="67" t="s">
        <v>1948</v>
      </c>
      <c r="W16" s="66">
        <f t="shared" si="35"/>
        <v>0</v>
      </c>
      <c r="X16" s="58"/>
      <c r="Y16" s="67" t="s">
        <v>1947</v>
      </c>
      <c r="Z16" s="66">
        <f t="shared" si="36"/>
        <v>0</v>
      </c>
      <c r="AA16" s="58"/>
      <c r="AB16" s="67" t="s">
        <v>1954</v>
      </c>
      <c r="AC16" s="66">
        <f t="shared" si="37"/>
        <v>0</v>
      </c>
      <c r="AD16" s="58"/>
      <c r="AE16" s="67" t="s">
        <v>1947</v>
      </c>
      <c r="AF16" s="66">
        <f t="shared" si="38"/>
        <v>0</v>
      </c>
      <c r="AG16" s="58"/>
      <c r="AH16" s="67" t="s">
        <v>1948</v>
      </c>
      <c r="AI16" s="66">
        <f t="shared" si="39"/>
        <v>0</v>
      </c>
      <c r="AJ16" s="58"/>
      <c r="AK16" s="67" t="s">
        <v>1947</v>
      </c>
      <c r="AL16" s="66">
        <f t="shared" si="40"/>
        <v>0</v>
      </c>
      <c r="AM16" s="58"/>
      <c r="AN16" s="67" t="s">
        <v>1948</v>
      </c>
      <c r="AO16" s="66">
        <f t="shared" si="41"/>
        <v>0</v>
      </c>
      <c r="AP16" s="58"/>
      <c r="AQ16" s="67" t="s">
        <v>1948</v>
      </c>
      <c r="AR16" s="66">
        <f t="shared" si="42"/>
        <v>0</v>
      </c>
      <c r="AS16" s="58"/>
      <c r="AT16" s="67" t="s">
        <v>1948</v>
      </c>
      <c r="AU16" s="66">
        <f t="shared" si="43"/>
        <v>0</v>
      </c>
      <c r="AV16" s="58"/>
      <c r="AW16" s="67" t="s">
        <v>1956</v>
      </c>
      <c r="AX16" s="66">
        <f t="shared" si="44"/>
        <v>0</v>
      </c>
      <c r="AY16" s="58"/>
      <c r="AZ16" s="67" t="s">
        <v>1947</v>
      </c>
      <c r="BA16" s="66">
        <f t="shared" si="45"/>
        <v>0</v>
      </c>
      <c r="BB16" s="58"/>
      <c r="BC16" s="67" t="s">
        <v>1954</v>
      </c>
      <c r="BD16" s="66">
        <f t="shared" si="46"/>
        <v>0</v>
      </c>
      <c r="BE16" s="58"/>
      <c r="BF16" s="67" t="s">
        <v>1954</v>
      </c>
      <c r="BG16" s="66">
        <f t="shared" si="47"/>
        <v>0</v>
      </c>
      <c r="BH16" s="58"/>
      <c r="BI16" s="67" t="s">
        <v>1947</v>
      </c>
      <c r="BJ16" s="66">
        <f t="shared" si="48"/>
        <v>0</v>
      </c>
      <c r="BK16" s="58"/>
      <c r="BL16" s="67" t="s">
        <v>1947</v>
      </c>
      <c r="BM16" s="66">
        <f t="shared" si="49"/>
        <v>0</v>
      </c>
      <c r="BN16" s="58"/>
      <c r="BO16" s="67" t="s">
        <v>1963</v>
      </c>
      <c r="BP16" s="66">
        <f t="shared" si="50"/>
        <v>0</v>
      </c>
      <c r="BQ16" s="58"/>
      <c r="BR16" s="67" t="s">
        <v>1947</v>
      </c>
      <c r="BS16" s="66">
        <f t="shared" si="51"/>
        <v>0</v>
      </c>
      <c r="BT16" s="58"/>
      <c r="BU16" s="67"/>
      <c r="BV16" s="66">
        <f t="shared" si="52"/>
        <v>0</v>
      </c>
      <c r="BW16" s="58"/>
      <c r="BX16" s="67"/>
      <c r="BY16" s="66">
        <f t="shared" si="53"/>
        <v>0</v>
      </c>
      <c r="BZ16" s="58"/>
      <c r="CA16" s="67"/>
      <c r="CB16" s="66">
        <f t="shared" si="54"/>
        <v>0</v>
      </c>
      <c r="CC16" s="58"/>
      <c r="CD16" s="67"/>
      <c r="CE16" s="66">
        <f t="shared" si="55"/>
        <v>0</v>
      </c>
      <c r="CF16" s="58"/>
      <c r="CG16" s="67"/>
      <c r="CH16" s="66">
        <f t="shared" si="56"/>
        <v>0</v>
      </c>
      <c r="CI16" s="58"/>
      <c r="CJ16" s="67"/>
      <c r="CK16" s="66">
        <f t="shared" si="57"/>
        <v>0</v>
      </c>
      <c r="CL16" s="58"/>
      <c r="CM16" s="67"/>
      <c r="CN16" s="66">
        <f t="shared" si="58"/>
        <v>0</v>
      </c>
      <c r="CO16" s="58"/>
      <c r="CP16" s="67"/>
      <c r="CQ16" s="66">
        <f t="shared" si="59"/>
        <v>0</v>
      </c>
      <c r="CR16" s="58"/>
      <c r="CS16" s="67"/>
      <c r="CT16" s="66">
        <f t="shared" si="60"/>
        <v>0</v>
      </c>
      <c r="CU16" s="58"/>
      <c r="CV16" s="67"/>
      <c r="CW16" s="66">
        <f t="shared" si="61"/>
        <v>0</v>
      </c>
      <c r="CX16" s="58"/>
      <c r="CY16" s="67"/>
      <c r="CZ16" s="66">
        <f t="shared" si="62"/>
        <v>0</v>
      </c>
      <c r="DA16" s="58"/>
      <c r="DB16" s="67"/>
      <c r="DC16" s="66">
        <f t="shared" si="63"/>
        <v>0</v>
      </c>
      <c r="DD16" s="58"/>
      <c r="DE16" s="67"/>
      <c r="DF16" s="66">
        <f t="shared" si="64"/>
        <v>0</v>
      </c>
      <c r="DG16" s="58"/>
      <c r="DH16" s="67"/>
      <c r="DI16" s="66">
        <f t="shared" si="65"/>
        <v>0</v>
      </c>
      <c r="DJ16" s="58"/>
      <c r="DK16" s="67"/>
      <c r="DL16" s="66">
        <f t="shared" si="66"/>
        <v>0</v>
      </c>
      <c r="DM16" s="58"/>
      <c r="DN16" s="67"/>
      <c r="DO16" s="66">
        <f t="shared" si="67"/>
        <v>0</v>
      </c>
      <c r="DP16" s="58"/>
      <c r="DQ16" s="67"/>
      <c r="DR16" s="66">
        <f t="shared" si="68"/>
        <v>0</v>
      </c>
      <c r="DS16" s="58"/>
      <c r="DT16" s="67"/>
      <c r="DU16" s="66">
        <f t="shared" si="69"/>
        <v>0</v>
      </c>
      <c r="DV16" s="58"/>
      <c r="DW16" s="67"/>
      <c r="DX16" s="66">
        <f t="shared" si="70"/>
        <v>0</v>
      </c>
      <c r="DY16" s="58"/>
      <c r="DZ16" s="67"/>
      <c r="EA16" s="66">
        <f t="shared" si="71"/>
        <v>0</v>
      </c>
      <c r="EB16" s="58"/>
      <c r="EC16" s="67"/>
      <c r="ED16" s="66">
        <f t="shared" si="72"/>
        <v>0</v>
      </c>
      <c r="EE16" s="58"/>
      <c r="EF16" s="67"/>
      <c r="EG16" s="66">
        <f t="shared" si="73"/>
        <v>0</v>
      </c>
      <c r="EH16" s="58"/>
      <c r="EI16" s="58"/>
    </row>
    <row r="17" spans="1:139">
      <c r="A17" s="43"/>
      <c r="B17" s="43"/>
      <c r="C17" s="420" t="str">
        <f>Idiomas!D313&amp;"**"</f>
        <v>DIECISEISAVOS - Diferencia/Distancia de goles (Con 1X2 acertado)**</v>
      </c>
      <c r="D17" s="38">
        <v>2</v>
      </c>
      <c r="E17" s="103"/>
      <c r="F17" s="426">
        <f t="shared" si="32"/>
        <v>17</v>
      </c>
      <c r="G17" s="426">
        <f ca="1">VLOOKUP(H17,Equipos!$Q$1:$R$25,2,0)</f>
        <v>5</v>
      </c>
      <c r="H17" s="427">
        <f ca="1">TRUNC(INDEX(WORLDCUP!$X$4:$X$147,MATCH(ADMIN!K17,WORLDCUP!$DT$4:$DT$147,0))+INDEX(Horarios!$R$3:$R$86,MATCH(Horarios!$C$3,Horarios!$P$3:$P$86,0))/24)</f>
        <v>46188</v>
      </c>
      <c r="I17" s="42">
        <v>1</v>
      </c>
      <c r="J17" s="88" t="s">
        <v>117</v>
      </c>
      <c r="K17" s="46" t="str">
        <f ca="1">CONCATENATE(WORLDCUP!AA45,"-",WORLDCUP!AF45)</f>
        <v>Suecia-Túnez</v>
      </c>
      <c r="L17" s="46"/>
      <c r="M17" s="48" t="str">
        <f>IF(OR(WORLDCUP!AC45="",WORLDCUP!AD45=""),"-",N17&amp;"|"&amp;O17&amp;"-"&amp;P17)</f>
        <v>-</v>
      </c>
      <c r="N17" s="711" t="str">
        <f>IF(OR(WORLDCUP!AC45="",WORLDCUP!AD45=""),"",IF(WORLDCUP!AC45&gt;WORLDCUP!AD45,"1",IF(WORLDCUP!AC45&lt;WORLDCUP!AD45,"2","X")))</f>
        <v/>
      </c>
      <c r="O17" s="711">
        <f>WORLDCUP!AC45</f>
        <v>0</v>
      </c>
      <c r="P17" s="711">
        <f>WORLDCUP!AD45</f>
        <v>0</v>
      </c>
      <c r="Q17" s="711">
        <f t="shared" si="33"/>
        <v>0</v>
      </c>
      <c r="R17" s="43"/>
      <c r="S17" s="67" t="s">
        <v>1953</v>
      </c>
      <c r="T17" s="66">
        <f t="shared" si="34"/>
        <v>0</v>
      </c>
      <c r="U17" s="58"/>
      <c r="V17" s="67" t="s">
        <v>1947</v>
      </c>
      <c r="W17" s="66">
        <f t="shared" si="35"/>
        <v>0</v>
      </c>
      <c r="X17" s="58"/>
      <c r="Y17" s="67" t="s">
        <v>1953</v>
      </c>
      <c r="Z17" s="66">
        <f t="shared" si="36"/>
        <v>0</v>
      </c>
      <c r="AA17" s="58"/>
      <c r="AB17" s="67" t="s">
        <v>1956</v>
      </c>
      <c r="AC17" s="66">
        <f t="shared" si="37"/>
        <v>0</v>
      </c>
      <c r="AD17" s="58"/>
      <c r="AE17" s="67" t="s">
        <v>1956</v>
      </c>
      <c r="AF17" s="66">
        <f t="shared" si="38"/>
        <v>0</v>
      </c>
      <c r="AG17" s="58"/>
      <c r="AH17" s="67" t="s">
        <v>1947</v>
      </c>
      <c r="AI17" s="66">
        <f t="shared" si="39"/>
        <v>0</v>
      </c>
      <c r="AJ17" s="58"/>
      <c r="AK17" s="67" t="s">
        <v>1948</v>
      </c>
      <c r="AL17" s="66">
        <f t="shared" si="40"/>
        <v>0</v>
      </c>
      <c r="AM17" s="58"/>
      <c r="AN17" s="67" t="s">
        <v>1956</v>
      </c>
      <c r="AO17" s="66">
        <f t="shared" si="41"/>
        <v>0</v>
      </c>
      <c r="AP17" s="58"/>
      <c r="AQ17" s="67" t="s">
        <v>1956</v>
      </c>
      <c r="AR17" s="66">
        <f t="shared" si="42"/>
        <v>0</v>
      </c>
      <c r="AS17" s="58"/>
      <c r="AT17" s="67" t="s">
        <v>1953</v>
      </c>
      <c r="AU17" s="66">
        <f t="shared" si="43"/>
        <v>0</v>
      </c>
      <c r="AV17" s="58"/>
      <c r="AW17" s="67" t="s">
        <v>1953</v>
      </c>
      <c r="AX17" s="66">
        <f t="shared" si="44"/>
        <v>0</v>
      </c>
      <c r="AY17" s="58"/>
      <c r="AZ17" s="67" t="s">
        <v>1947</v>
      </c>
      <c r="BA17" s="66">
        <f t="shared" si="45"/>
        <v>0</v>
      </c>
      <c r="BB17" s="58"/>
      <c r="BC17" s="67" t="s">
        <v>1947</v>
      </c>
      <c r="BD17" s="66">
        <f t="shared" si="46"/>
        <v>0</v>
      </c>
      <c r="BE17" s="58"/>
      <c r="BF17" s="67" t="s">
        <v>1947</v>
      </c>
      <c r="BG17" s="66">
        <f t="shared" si="47"/>
        <v>0</v>
      </c>
      <c r="BH17" s="58"/>
      <c r="BI17" s="67" t="s">
        <v>1956</v>
      </c>
      <c r="BJ17" s="66">
        <f t="shared" si="48"/>
        <v>0</v>
      </c>
      <c r="BK17" s="58"/>
      <c r="BL17" s="67" t="s">
        <v>1953</v>
      </c>
      <c r="BM17" s="66">
        <f t="shared" si="49"/>
        <v>0</v>
      </c>
      <c r="BN17" s="58"/>
      <c r="BO17" s="67" t="s">
        <v>1954</v>
      </c>
      <c r="BP17" s="66">
        <f t="shared" si="50"/>
        <v>0</v>
      </c>
      <c r="BQ17" s="58"/>
      <c r="BR17" s="67" t="s">
        <v>1956</v>
      </c>
      <c r="BS17" s="66">
        <f t="shared" si="51"/>
        <v>0</v>
      </c>
      <c r="BT17" s="58"/>
      <c r="BU17" s="67"/>
      <c r="BV17" s="66">
        <f t="shared" si="52"/>
        <v>0</v>
      </c>
      <c r="BW17" s="58"/>
      <c r="BX17" s="67"/>
      <c r="BY17" s="66">
        <f t="shared" si="53"/>
        <v>0</v>
      </c>
      <c r="BZ17" s="58"/>
      <c r="CA17" s="67"/>
      <c r="CB17" s="66">
        <f t="shared" si="54"/>
        <v>0</v>
      </c>
      <c r="CC17" s="58"/>
      <c r="CD17" s="67"/>
      <c r="CE17" s="66">
        <f t="shared" si="55"/>
        <v>0</v>
      </c>
      <c r="CF17" s="58"/>
      <c r="CG17" s="67"/>
      <c r="CH17" s="66">
        <f t="shared" si="56"/>
        <v>0</v>
      </c>
      <c r="CI17" s="58"/>
      <c r="CJ17" s="67"/>
      <c r="CK17" s="66">
        <f t="shared" si="57"/>
        <v>0</v>
      </c>
      <c r="CL17" s="58"/>
      <c r="CM17" s="67"/>
      <c r="CN17" s="66">
        <f t="shared" si="58"/>
        <v>0</v>
      </c>
      <c r="CO17" s="58"/>
      <c r="CP17" s="67"/>
      <c r="CQ17" s="66">
        <f t="shared" si="59"/>
        <v>0</v>
      </c>
      <c r="CR17" s="58"/>
      <c r="CS17" s="67"/>
      <c r="CT17" s="66">
        <f t="shared" si="60"/>
        <v>0</v>
      </c>
      <c r="CU17" s="58"/>
      <c r="CV17" s="67"/>
      <c r="CW17" s="66">
        <f t="shared" si="61"/>
        <v>0</v>
      </c>
      <c r="CX17" s="58"/>
      <c r="CY17" s="67"/>
      <c r="CZ17" s="66">
        <f t="shared" si="62"/>
        <v>0</v>
      </c>
      <c r="DA17" s="58"/>
      <c r="DB17" s="67"/>
      <c r="DC17" s="66">
        <f t="shared" si="63"/>
        <v>0</v>
      </c>
      <c r="DD17" s="58"/>
      <c r="DE17" s="67"/>
      <c r="DF17" s="66">
        <f t="shared" si="64"/>
        <v>0</v>
      </c>
      <c r="DG17" s="58"/>
      <c r="DH17" s="67"/>
      <c r="DI17" s="66">
        <f t="shared" si="65"/>
        <v>0</v>
      </c>
      <c r="DJ17" s="58"/>
      <c r="DK17" s="67"/>
      <c r="DL17" s="66">
        <f t="shared" si="66"/>
        <v>0</v>
      </c>
      <c r="DM17" s="58"/>
      <c r="DN17" s="67"/>
      <c r="DO17" s="66">
        <f t="shared" si="67"/>
        <v>0</v>
      </c>
      <c r="DP17" s="58"/>
      <c r="DQ17" s="67"/>
      <c r="DR17" s="66">
        <f t="shared" si="68"/>
        <v>0</v>
      </c>
      <c r="DS17" s="58"/>
      <c r="DT17" s="67"/>
      <c r="DU17" s="66">
        <f t="shared" si="69"/>
        <v>0</v>
      </c>
      <c r="DV17" s="58"/>
      <c r="DW17" s="67"/>
      <c r="DX17" s="66">
        <f t="shared" si="70"/>
        <v>0</v>
      </c>
      <c r="DY17" s="58"/>
      <c r="DZ17" s="67"/>
      <c r="EA17" s="66">
        <f t="shared" si="71"/>
        <v>0</v>
      </c>
      <c r="EB17" s="58"/>
      <c r="EC17" s="67"/>
      <c r="ED17" s="66">
        <f t="shared" si="72"/>
        <v>0</v>
      </c>
      <c r="EE17" s="58"/>
      <c r="EF17" s="67"/>
      <c r="EG17" s="66">
        <f t="shared" si="73"/>
        <v>0</v>
      </c>
      <c r="EH17" s="58"/>
      <c r="EI17" s="58"/>
    </row>
    <row r="18" spans="1:139">
      <c r="A18" s="43"/>
      <c r="B18" s="43"/>
      <c r="C18" s="419" t="str">
        <f>Idiomas!D314</f>
        <v>DIECISEISAVOS - Resultado exacto</v>
      </c>
      <c r="D18" s="55">
        <v>10</v>
      </c>
      <c r="E18" s="103"/>
      <c r="F18" s="426">
        <f t="shared" si="32"/>
        <v>17</v>
      </c>
      <c r="G18" s="426">
        <f ca="1">VLOOKUP(H18,Equipos!$Q$1:$R$25,2,0)</f>
        <v>5</v>
      </c>
      <c r="H18" s="427">
        <f ca="1">TRUNC(INDEX(WORLDCUP!$X$4:$X$147,MATCH(ADMIN!K18,WORLDCUP!$DT$4:$DT$147,0))+INDEX(Horarios!$R$3:$R$86,MATCH(Horarios!$C$3,Horarios!$P$3:$P$86,0))/24)</f>
        <v>46188</v>
      </c>
      <c r="I18" s="42">
        <v>1</v>
      </c>
      <c r="J18" s="87" t="s">
        <v>510</v>
      </c>
      <c r="K18" s="49" t="str">
        <f ca="1">CONCATENATE(WORLDCUP!AA52,"-",WORLDCUP!AF52)</f>
        <v>Bélgica-Egipto</v>
      </c>
      <c r="L18" s="46"/>
      <c r="M18" s="48" t="str">
        <f>IF(OR(WORLDCUP!AC52="",WORLDCUP!AD52=""),"-",N18&amp;"|"&amp;O18&amp;"-"&amp;P18)</f>
        <v>-</v>
      </c>
      <c r="N18" s="711" t="str">
        <f>IF(OR(WORLDCUP!AC52="",WORLDCUP!AD52=""),"",IF(WORLDCUP!AC52&gt;WORLDCUP!AD52,"1",IF(WORLDCUP!AC52&lt;WORLDCUP!AD52,"2","X")))</f>
        <v/>
      </c>
      <c r="O18" s="711">
        <f>WORLDCUP!AC52</f>
        <v>0</v>
      </c>
      <c r="P18" s="711">
        <f>WORLDCUP!AD52</f>
        <v>0</v>
      </c>
      <c r="Q18" s="711">
        <f t="shared" si="33"/>
        <v>0</v>
      </c>
      <c r="R18" s="43"/>
      <c r="S18" s="67" t="s">
        <v>1948</v>
      </c>
      <c r="T18" s="66">
        <f t="shared" si="34"/>
        <v>0</v>
      </c>
      <c r="U18" s="58"/>
      <c r="V18" s="67" t="s">
        <v>1947</v>
      </c>
      <c r="W18" s="66">
        <f t="shared" si="35"/>
        <v>0</v>
      </c>
      <c r="X18" s="58"/>
      <c r="Y18" s="67" t="s">
        <v>1947</v>
      </c>
      <c r="Z18" s="66">
        <f t="shared" si="36"/>
        <v>0</v>
      </c>
      <c r="AA18" s="58"/>
      <c r="AB18" s="67" t="s">
        <v>1953</v>
      </c>
      <c r="AC18" s="66">
        <f t="shared" si="37"/>
        <v>0</v>
      </c>
      <c r="AD18" s="58"/>
      <c r="AE18" s="67" t="s">
        <v>1953</v>
      </c>
      <c r="AF18" s="66">
        <f t="shared" si="38"/>
        <v>0</v>
      </c>
      <c r="AG18" s="58"/>
      <c r="AH18" s="67" t="s">
        <v>1953</v>
      </c>
      <c r="AI18" s="66">
        <f t="shared" si="39"/>
        <v>0</v>
      </c>
      <c r="AJ18" s="58"/>
      <c r="AK18" s="67" t="s">
        <v>1947</v>
      </c>
      <c r="AL18" s="66">
        <f t="shared" si="40"/>
        <v>0</v>
      </c>
      <c r="AM18" s="58"/>
      <c r="AN18" s="67" t="s">
        <v>1953</v>
      </c>
      <c r="AO18" s="66">
        <f t="shared" si="41"/>
        <v>0</v>
      </c>
      <c r="AP18" s="58"/>
      <c r="AQ18" s="67" t="s">
        <v>1947</v>
      </c>
      <c r="AR18" s="66">
        <f t="shared" si="42"/>
        <v>0</v>
      </c>
      <c r="AS18" s="58"/>
      <c r="AT18" s="67" t="s">
        <v>1953</v>
      </c>
      <c r="AU18" s="66">
        <f t="shared" si="43"/>
        <v>0</v>
      </c>
      <c r="AV18" s="58"/>
      <c r="AW18" s="67" t="s">
        <v>1953</v>
      </c>
      <c r="AX18" s="66">
        <f t="shared" si="44"/>
        <v>0</v>
      </c>
      <c r="AY18" s="58"/>
      <c r="AZ18" s="67" t="s">
        <v>1953</v>
      </c>
      <c r="BA18" s="66">
        <f t="shared" si="45"/>
        <v>0</v>
      </c>
      <c r="BB18" s="58"/>
      <c r="BC18" s="67" t="s">
        <v>1947</v>
      </c>
      <c r="BD18" s="66">
        <f t="shared" si="46"/>
        <v>0</v>
      </c>
      <c r="BE18" s="58"/>
      <c r="BF18" s="67" t="s">
        <v>1952</v>
      </c>
      <c r="BG18" s="66">
        <f t="shared" si="47"/>
        <v>0</v>
      </c>
      <c r="BH18" s="58"/>
      <c r="BI18" s="67" t="s">
        <v>1956</v>
      </c>
      <c r="BJ18" s="66">
        <f t="shared" si="48"/>
        <v>0</v>
      </c>
      <c r="BK18" s="58"/>
      <c r="BL18" s="67" t="s">
        <v>1953</v>
      </c>
      <c r="BM18" s="66">
        <f t="shared" si="49"/>
        <v>0</v>
      </c>
      <c r="BN18" s="58"/>
      <c r="BO18" s="67" t="s">
        <v>1954</v>
      </c>
      <c r="BP18" s="66">
        <f t="shared" si="50"/>
        <v>0</v>
      </c>
      <c r="BQ18" s="58"/>
      <c r="BR18" s="67" t="s">
        <v>1953</v>
      </c>
      <c r="BS18" s="66">
        <f t="shared" si="51"/>
        <v>0</v>
      </c>
      <c r="BT18" s="58"/>
      <c r="BU18" s="67"/>
      <c r="BV18" s="66">
        <f t="shared" si="52"/>
        <v>0</v>
      </c>
      <c r="BW18" s="58"/>
      <c r="BX18" s="67"/>
      <c r="BY18" s="66">
        <f t="shared" si="53"/>
        <v>0</v>
      </c>
      <c r="BZ18" s="58"/>
      <c r="CA18" s="67"/>
      <c r="CB18" s="66">
        <f t="shared" si="54"/>
        <v>0</v>
      </c>
      <c r="CC18" s="58"/>
      <c r="CD18" s="67"/>
      <c r="CE18" s="66">
        <f t="shared" si="55"/>
        <v>0</v>
      </c>
      <c r="CF18" s="58"/>
      <c r="CG18" s="67"/>
      <c r="CH18" s="66">
        <f t="shared" si="56"/>
        <v>0</v>
      </c>
      <c r="CI18" s="58"/>
      <c r="CJ18" s="67"/>
      <c r="CK18" s="66">
        <f t="shared" si="57"/>
        <v>0</v>
      </c>
      <c r="CL18" s="58"/>
      <c r="CM18" s="67"/>
      <c r="CN18" s="66">
        <f t="shared" si="58"/>
        <v>0</v>
      </c>
      <c r="CO18" s="58"/>
      <c r="CP18" s="67"/>
      <c r="CQ18" s="66">
        <f t="shared" si="59"/>
        <v>0</v>
      </c>
      <c r="CR18" s="58"/>
      <c r="CS18" s="67"/>
      <c r="CT18" s="66">
        <f t="shared" si="60"/>
        <v>0</v>
      </c>
      <c r="CU18" s="58"/>
      <c r="CV18" s="67"/>
      <c r="CW18" s="66">
        <f t="shared" si="61"/>
        <v>0</v>
      </c>
      <c r="CX18" s="58"/>
      <c r="CY18" s="67"/>
      <c r="CZ18" s="66">
        <f t="shared" si="62"/>
        <v>0</v>
      </c>
      <c r="DA18" s="58"/>
      <c r="DB18" s="67"/>
      <c r="DC18" s="66">
        <f t="shared" si="63"/>
        <v>0</v>
      </c>
      <c r="DD18" s="58"/>
      <c r="DE18" s="67"/>
      <c r="DF18" s="66">
        <f t="shared" si="64"/>
        <v>0</v>
      </c>
      <c r="DG18" s="58"/>
      <c r="DH18" s="67"/>
      <c r="DI18" s="66">
        <f t="shared" si="65"/>
        <v>0</v>
      </c>
      <c r="DJ18" s="58"/>
      <c r="DK18" s="67"/>
      <c r="DL18" s="66">
        <f t="shared" si="66"/>
        <v>0</v>
      </c>
      <c r="DM18" s="58"/>
      <c r="DN18" s="67"/>
      <c r="DO18" s="66">
        <f t="shared" si="67"/>
        <v>0</v>
      </c>
      <c r="DP18" s="58"/>
      <c r="DQ18" s="67"/>
      <c r="DR18" s="66">
        <f t="shared" si="68"/>
        <v>0</v>
      </c>
      <c r="DS18" s="58"/>
      <c r="DT18" s="67"/>
      <c r="DU18" s="66">
        <f t="shared" si="69"/>
        <v>0</v>
      </c>
      <c r="DV18" s="58"/>
      <c r="DW18" s="67"/>
      <c r="DX18" s="66">
        <f t="shared" si="70"/>
        <v>0</v>
      </c>
      <c r="DY18" s="58"/>
      <c r="DZ18" s="67"/>
      <c r="EA18" s="66">
        <f t="shared" si="71"/>
        <v>0</v>
      </c>
      <c r="EB18" s="58"/>
      <c r="EC18" s="67"/>
      <c r="ED18" s="66">
        <f t="shared" si="72"/>
        <v>0</v>
      </c>
      <c r="EE18" s="58"/>
      <c r="EF18" s="67"/>
      <c r="EG18" s="66">
        <f t="shared" si="73"/>
        <v>0</v>
      </c>
      <c r="EH18" s="58"/>
      <c r="EI18" s="58"/>
    </row>
    <row r="19" spans="1:139">
      <c r="A19" s="43"/>
      <c r="B19" s="43"/>
      <c r="C19" s="421" t="str">
        <f>Idiomas!D315</f>
        <v>Equipo clasificado para OCTAVOS</v>
      </c>
      <c r="D19" s="39">
        <v>4</v>
      </c>
      <c r="E19" s="103"/>
      <c r="F19" s="426">
        <f t="shared" si="32"/>
        <v>17</v>
      </c>
      <c r="G19" s="426">
        <f ca="1">VLOOKUP(H19,Equipos!$Q$1:$R$25,2,0)</f>
        <v>6</v>
      </c>
      <c r="H19" s="427">
        <f ca="1">TRUNC(INDEX(WORLDCUP!$X$4:$X$147,MATCH(ADMIN!K19,WORLDCUP!$DT$4:$DT$147,0))+INDEX(Horarios!$R$3:$R$86,MATCH(Horarios!$C$3,Horarios!$P$3:$P$86,0))/24)</f>
        <v>46189</v>
      </c>
      <c r="I19" s="42">
        <v>1</v>
      </c>
      <c r="J19" s="87" t="s">
        <v>510</v>
      </c>
      <c r="K19" s="46" t="str">
        <f ca="1">CONCATENATE(WORLDCUP!AA53,"-",WORLDCUP!AF53)</f>
        <v>Irán-Nueva Zelanda</v>
      </c>
      <c r="L19" s="46"/>
      <c r="M19" s="48" t="str">
        <f>IF(OR(WORLDCUP!AC53="",WORLDCUP!AD53=""),"-",N19&amp;"|"&amp;O19&amp;"-"&amp;P19)</f>
        <v>-</v>
      </c>
      <c r="N19" s="711" t="str">
        <f>IF(OR(WORLDCUP!AC53="",WORLDCUP!AD53=""),"",IF(WORLDCUP!AC53&gt;WORLDCUP!AD53,"1",IF(WORLDCUP!AC53&lt;WORLDCUP!AD53,"2","X")))</f>
        <v/>
      </c>
      <c r="O19" s="711">
        <f>WORLDCUP!AC53</f>
        <v>0</v>
      </c>
      <c r="P19" s="711">
        <f>WORLDCUP!AD53</f>
        <v>0</v>
      </c>
      <c r="Q19" s="711">
        <f t="shared" si="33"/>
        <v>0</v>
      </c>
      <c r="R19" s="43"/>
      <c r="S19" s="67" t="s">
        <v>1948</v>
      </c>
      <c r="T19" s="66">
        <f t="shared" si="34"/>
        <v>0</v>
      </c>
      <c r="U19" s="58"/>
      <c r="V19" s="67" t="s">
        <v>1956</v>
      </c>
      <c r="W19" s="66">
        <f t="shared" si="35"/>
        <v>0</v>
      </c>
      <c r="X19" s="58"/>
      <c r="Y19" s="67" t="s">
        <v>1948</v>
      </c>
      <c r="Z19" s="66">
        <f t="shared" si="36"/>
        <v>0</v>
      </c>
      <c r="AA19" s="58"/>
      <c r="AB19" s="67" t="s">
        <v>1948</v>
      </c>
      <c r="AC19" s="66">
        <f t="shared" si="37"/>
        <v>0</v>
      </c>
      <c r="AD19" s="58"/>
      <c r="AE19" s="67" t="s">
        <v>1956</v>
      </c>
      <c r="AF19" s="66">
        <f t="shared" si="38"/>
        <v>0</v>
      </c>
      <c r="AG19" s="58"/>
      <c r="AH19" s="67" t="s">
        <v>1948</v>
      </c>
      <c r="AI19" s="66">
        <f t="shared" si="39"/>
        <v>0</v>
      </c>
      <c r="AJ19" s="58"/>
      <c r="AK19" s="67" t="s">
        <v>1953</v>
      </c>
      <c r="AL19" s="66">
        <f t="shared" si="40"/>
        <v>0</v>
      </c>
      <c r="AM19" s="58"/>
      <c r="AN19" s="67" t="s">
        <v>1956</v>
      </c>
      <c r="AO19" s="66">
        <f t="shared" si="41"/>
        <v>0</v>
      </c>
      <c r="AP19" s="58"/>
      <c r="AQ19" s="67" t="s">
        <v>1953</v>
      </c>
      <c r="AR19" s="66">
        <f t="shared" si="42"/>
        <v>0</v>
      </c>
      <c r="AS19" s="58"/>
      <c r="AT19" s="67" t="s">
        <v>1962</v>
      </c>
      <c r="AU19" s="66">
        <f t="shared" si="43"/>
        <v>0</v>
      </c>
      <c r="AV19" s="58"/>
      <c r="AW19" s="67" t="s">
        <v>1962</v>
      </c>
      <c r="AX19" s="66">
        <f t="shared" si="44"/>
        <v>0</v>
      </c>
      <c r="AY19" s="58"/>
      <c r="AZ19" s="67" t="s">
        <v>1956</v>
      </c>
      <c r="BA19" s="66">
        <f t="shared" si="45"/>
        <v>0</v>
      </c>
      <c r="BB19" s="58"/>
      <c r="BC19" s="67" t="s">
        <v>1956</v>
      </c>
      <c r="BD19" s="66">
        <f t="shared" si="46"/>
        <v>0</v>
      </c>
      <c r="BE19" s="58"/>
      <c r="BF19" s="67" t="s">
        <v>1956</v>
      </c>
      <c r="BG19" s="66">
        <f t="shared" si="47"/>
        <v>0</v>
      </c>
      <c r="BH19" s="58"/>
      <c r="BI19" s="67" t="s">
        <v>1962</v>
      </c>
      <c r="BJ19" s="66">
        <f t="shared" si="48"/>
        <v>0</v>
      </c>
      <c r="BK19" s="58"/>
      <c r="BL19" s="67" t="s">
        <v>1956</v>
      </c>
      <c r="BM19" s="66">
        <f t="shared" si="49"/>
        <v>0</v>
      </c>
      <c r="BN19" s="58"/>
      <c r="BO19" s="67" t="s">
        <v>1947</v>
      </c>
      <c r="BP19" s="66">
        <f t="shared" si="50"/>
        <v>0</v>
      </c>
      <c r="BQ19" s="58"/>
      <c r="BR19" s="67" t="s">
        <v>1953</v>
      </c>
      <c r="BS19" s="66">
        <f t="shared" si="51"/>
        <v>0</v>
      </c>
      <c r="BT19" s="58"/>
      <c r="BU19" s="67"/>
      <c r="BV19" s="66">
        <f t="shared" si="52"/>
        <v>0</v>
      </c>
      <c r="BW19" s="58"/>
      <c r="BX19" s="67"/>
      <c r="BY19" s="66">
        <f t="shared" si="53"/>
        <v>0</v>
      </c>
      <c r="BZ19" s="58"/>
      <c r="CA19" s="67"/>
      <c r="CB19" s="66">
        <f t="shared" si="54"/>
        <v>0</v>
      </c>
      <c r="CC19" s="58"/>
      <c r="CD19" s="67"/>
      <c r="CE19" s="66">
        <f t="shared" si="55"/>
        <v>0</v>
      </c>
      <c r="CF19" s="58"/>
      <c r="CG19" s="67"/>
      <c r="CH19" s="66">
        <f t="shared" si="56"/>
        <v>0</v>
      </c>
      <c r="CI19" s="58"/>
      <c r="CJ19" s="67"/>
      <c r="CK19" s="66">
        <f t="shared" si="57"/>
        <v>0</v>
      </c>
      <c r="CL19" s="58"/>
      <c r="CM19" s="67"/>
      <c r="CN19" s="66">
        <f t="shared" si="58"/>
        <v>0</v>
      </c>
      <c r="CO19" s="58"/>
      <c r="CP19" s="67"/>
      <c r="CQ19" s="66">
        <f t="shared" si="59"/>
        <v>0</v>
      </c>
      <c r="CR19" s="58"/>
      <c r="CS19" s="67"/>
      <c r="CT19" s="66">
        <f t="shared" si="60"/>
        <v>0</v>
      </c>
      <c r="CU19" s="58"/>
      <c r="CV19" s="67"/>
      <c r="CW19" s="66">
        <f t="shared" si="61"/>
        <v>0</v>
      </c>
      <c r="CX19" s="58"/>
      <c r="CY19" s="67"/>
      <c r="CZ19" s="66">
        <f t="shared" si="62"/>
        <v>0</v>
      </c>
      <c r="DA19" s="58"/>
      <c r="DB19" s="67"/>
      <c r="DC19" s="66">
        <f t="shared" si="63"/>
        <v>0</v>
      </c>
      <c r="DD19" s="58"/>
      <c r="DE19" s="67"/>
      <c r="DF19" s="66">
        <f t="shared" si="64"/>
        <v>0</v>
      </c>
      <c r="DG19" s="58"/>
      <c r="DH19" s="67"/>
      <c r="DI19" s="66">
        <f t="shared" si="65"/>
        <v>0</v>
      </c>
      <c r="DJ19" s="58"/>
      <c r="DK19" s="67"/>
      <c r="DL19" s="66">
        <f t="shared" si="66"/>
        <v>0</v>
      </c>
      <c r="DM19" s="58"/>
      <c r="DN19" s="67"/>
      <c r="DO19" s="66">
        <f t="shared" si="67"/>
        <v>0</v>
      </c>
      <c r="DP19" s="58"/>
      <c r="DQ19" s="67"/>
      <c r="DR19" s="66">
        <f t="shared" si="68"/>
        <v>0</v>
      </c>
      <c r="DS19" s="58"/>
      <c r="DT19" s="67"/>
      <c r="DU19" s="66">
        <f t="shared" si="69"/>
        <v>0</v>
      </c>
      <c r="DV19" s="58"/>
      <c r="DW19" s="67"/>
      <c r="DX19" s="66">
        <f t="shared" si="70"/>
        <v>0</v>
      </c>
      <c r="DY19" s="58"/>
      <c r="DZ19" s="67"/>
      <c r="EA19" s="66">
        <f t="shared" si="71"/>
        <v>0</v>
      </c>
      <c r="EB19" s="58"/>
      <c r="EC19" s="67"/>
      <c r="ED19" s="66">
        <f t="shared" si="72"/>
        <v>0</v>
      </c>
      <c r="EE19" s="58"/>
      <c r="EF19" s="67"/>
      <c r="EG19" s="66">
        <f t="shared" si="73"/>
        <v>0</v>
      </c>
      <c r="EH19" s="58"/>
      <c r="EI19" s="58"/>
    </row>
    <row r="20" spans="1:139">
      <c r="A20" s="43"/>
      <c r="B20" s="43"/>
      <c r="C20" s="419" t="str">
        <f>Idiomas!D316</f>
        <v>OCTAVOS - Signo 1X2  (local, empate, visitante)</v>
      </c>
      <c r="D20" s="55">
        <v>5</v>
      </c>
      <c r="E20" s="103"/>
      <c r="F20" s="426">
        <f t="shared" si="32"/>
        <v>17</v>
      </c>
      <c r="G20" s="426">
        <f ca="1">VLOOKUP(H20,Equipos!$Q$1:$R$25,2,0)</f>
        <v>5</v>
      </c>
      <c r="H20" s="427">
        <f ca="1">TRUNC(INDEX(WORLDCUP!$X$4:$X$147,MATCH(ADMIN!K20,WORLDCUP!$DT$4:$DT$147,0))+INDEX(Horarios!$R$3:$R$86,MATCH(Horarios!$C$3,Horarios!$P$3:$P$86,0))/24)</f>
        <v>46188</v>
      </c>
      <c r="I20" s="42">
        <v>1</v>
      </c>
      <c r="J20" s="88" t="s">
        <v>512</v>
      </c>
      <c r="K20" s="49" t="str">
        <f ca="1">CONCATENATE(WORLDCUP!AA60,"-",WORLDCUP!AF60)</f>
        <v>España-Cabo Verde</v>
      </c>
      <c r="L20" s="46"/>
      <c r="M20" s="48" t="str">
        <f>IF(OR(WORLDCUP!AC60="",WORLDCUP!AD60=""),"-",N20&amp;"|"&amp;O20&amp;"-"&amp;P20)</f>
        <v>-</v>
      </c>
      <c r="N20" s="711" t="str">
        <f>IF(OR(WORLDCUP!AC60="",WORLDCUP!AD60=""),"",IF(WORLDCUP!AC60&gt;WORLDCUP!AD60,"1",IF(WORLDCUP!AC60&lt;WORLDCUP!AD60,"2","X")))</f>
        <v/>
      </c>
      <c r="O20" s="711">
        <f>WORLDCUP!AC60</f>
        <v>0</v>
      </c>
      <c r="P20" s="711">
        <f>WORLDCUP!AD60</f>
        <v>0</v>
      </c>
      <c r="Q20" s="711">
        <f t="shared" si="33"/>
        <v>0</v>
      </c>
      <c r="R20" s="43"/>
      <c r="S20" s="67" t="s">
        <v>1952</v>
      </c>
      <c r="T20" s="66">
        <f t="shared" si="34"/>
        <v>0</v>
      </c>
      <c r="U20" s="58"/>
      <c r="V20" s="67" t="s">
        <v>1959</v>
      </c>
      <c r="W20" s="66">
        <f t="shared" si="35"/>
        <v>0</v>
      </c>
      <c r="X20" s="58"/>
      <c r="Y20" s="67" t="s">
        <v>1959</v>
      </c>
      <c r="Z20" s="66">
        <f t="shared" si="36"/>
        <v>0</v>
      </c>
      <c r="AA20" s="58"/>
      <c r="AB20" s="67" t="s">
        <v>1953</v>
      </c>
      <c r="AC20" s="66">
        <f t="shared" si="37"/>
        <v>0</v>
      </c>
      <c r="AD20" s="58"/>
      <c r="AE20" s="67" t="s">
        <v>1979</v>
      </c>
      <c r="AF20" s="66">
        <f t="shared" si="38"/>
        <v>0</v>
      </c>
      <c r="AG20" s="58"/>
      <c r="AH20" s="67" t="s">
        <v>1959</v>
      </c>
      <c r="AI20" s="66">
        <f t="shared" si="39"/>
        <v>0</v>
      </c>
      <c r="AJ20" s="58"/>
      <c r="AK20" s="67" t="s">
        <v>1959</v>
      </c>
      <c r="AL20" s="66">
        <f t="shared" si="40"/>
        <v>0</v>
      </c>
      <c r="AM20" s="58"/>
      <c r="AN20" s="67" t="s">
        <v>1959</v>
      </c>
      <c r="AO20" s="66">
        <f t="shared" si="41"/>
        <v>0</v>
      </c>
      <c r="AP20" s="58"/>
      <c r="AQ20" s="67" t="s">
        <v>1979</v>
      </c>
      <c r="AR20" s="66">
        <f t="shared" si="42"/>
        <v>0</v>
      </c>
      <c r="AS20" s="58"/>
      <c r="AT20" s="67" t="s">
        <v>1979</v>
      </c>
      <c r="AU20" s="66">
        <f t="shared" si="43"/>
        <v>0</v>
      </c>
      <c r="AV20" s="58"/>
      <c r="AW20" s="67" t="s">
        <v>1953</v>
      </c>
      <c r="AX20" s="66">
        <f t="shared" si="44"/>
        <v>0</v>
      </c>
      <c r="AY20" s="58"/>
      <c r="AZ20" s="67" t="s">
        <v>1954</v>
      </c>
      <c r="BA20" s="66">
        <f t="shared" si="45"/>
        <v>0</v>
      </c>
      <c r="BB20" s="58"/>
      <c r="BC20" s="67" t="s">
        <v>1953</v>
      </c>
      <c r="BD20" s="66">
        <f t="shared" si="46"/>
        <v>0</v>
      </c>
      <c r="BE20" s="58"/>
      <c r="BF20" s="67" t="s">
        <v>1958</v>
      </c>
      <c r="BG20" s="66">
        <f t="shared" si="47"/>
        <v>0</v>
      </c>
      <c r="BH20" s="58"/>
      <c r="BI20" s="67" t="s">
        <v>1956</v>
      </c>
      <c r="BJ20" s="66">
        <f t="shared" si="48"/>
        <v>0</v>
      </c>
      <c r="BK20" s="58"/>
      <c r="BL20" s="67" t="s">
        <v>1953</v>
      </c>
      <c r="BM20" s="66">
        <f t="shared" si="49"/>
        <v>0</v>
      </c>
      <c r="BN20" s="58"/>
      <c r="BO20" s="67" t="s">
        <v>1958</v>
      </c>
      <c r="BP20" s="66">
        <f t="shared" si="50"/>
        <v>0</v>
      </c>
      <c r="BQ20" s="58"/>
      <c r="BR20" s="67" t="s">
        <v>1959</v>
      </c>
      <c r="BS20" s="66">
        <f t="shared" si="51"/>
        <v>0</v>
      </c>
      <c r="BT20" s="58"/>
      <c r="BU20" s="67"/>
      <c r="BV20" s="66">
        <f t="shared" si="52"/>
        <v>0</v>
      </c>
      <c r="BW20" s="58"/>
      <c r="BX20" s="67"/>
      <c r="BY20" s="66">
        <f t="shared" si="53"/>
        <v>0</v>
      </c>
      <c r="BZ20" s="58"/>
      <c r="CA20" s="67"/>
      <c r="CB20" s="66">
        <f t="shared" si="54"/>
        <v>0</v>
      </c>
      <c r="CC20" s="58"/>
      <c r="CD20" s="67"/>
      <c r="CE20" s="66">
        <f t="shared" si="55"/>
        <v>0</v>
      </c>
      <c r="CF20" s="58"/>
      <c r="CG20" s="67"/>
      <c r="CH20" s="66">
        <f t="shared" si="56"/>
        <v>0</v>
      </c>
      <c r="CI20" s="58"/>
      <c r="CJ20" s="67"/>
      <c r="CK20" s="66">
        <f t="shared" si="57"/>
        <v>0</v>
      </c>
      <c r="CL20" s="58"/>
      <c r="CM20" s="67"/>
      <c r="CN20" s="66">
        <f t="shared" si="58"/>
        <v>0</v>
      </c>
      <c r="CO20" s="58"/>
      <c r="CP20" s="67"/>
      <c r="CQ20" s="66">
        <f t="shared" si="59"/>
        <v>0</v>
      </c>
      <c r="CR20" s="58"/>
      <c r="CS20" s="67"/>
      <c r="CT20" s="66">
        <f t="shared" si="60"/>
        <v>0</v>
      </c>
      <c r="CU20" s="58"/>
      <c r="CV20" s="67"/>
      <c r="CW20" s="66">
        <f t="shared" si="61"/>
        <v>0</v>
      </c>
      <c r="CX20" s="58"/>
      <c r="CY20" s="67"/>
      <c r="CZ20" s="66">
        <f t="shared" si="62"/>
        <v>0</v>
      </c>
      <c r="DA20" s="58"/>
      <c r="DB20" s="67"/>
      <c r="DC20" s="66">
        <f t="shared" si="63"/>
        <v>0</v>
      </c>
      <c r="DD20" s="58"/>
      <c r="DE20" s="67"/>
      <c r="DF20" s="66">
        <f t="shared" si="64"/>
        <v>0</v>
      </c>
      <c r="DG20" s="58"/>
      <c r="DH20" s="67"/>
      <c r="DI20" s="66">
        <f t="shared" si="65"/>
        <v>0</v>
      </c>
      <c r="DJ20" s="58"/>
      <c r="DK20" s="67"/>
      <c r="DL20" s="66">
        <f t="shared" si="66"/>
        <v>0</v>
      </c>
      <c r="DM20" s="58"/>
      <c r="DN20" s="67"/>
      <c r="DO20" s="66">
        <f t="shared" si="67"/>
        <v>0</v>
      </c>
      <c r="DP20" s="58"/>
      <c r="DQ20" s="67"/>
      <c r="DR20" s="66">
        <f t="shared" si="68"/>
        <v>0</v>
      </c>
      <c r="DS20" s="58"/>
      <c r="DT20" s="67"/>
      <c r="DU20" s="66">
        <f t="shared" si="69"/>
        <v>0</v>
      </c>
      <c r="DV20" s="58"/>
      <c r="DW20" s="67"/>
      <c r="DX20" s="66">
        <f t="shared" si="70"/>
        <v>0</v>
      </c>
      <c r="DY20" s="58"/>
      <c r="DZ20" s="67"/>
      <c r="EA20" s="66">
        <f t="shared" si="71"/>
        <v>0</v>
      </c>
      <c r="EB20" s="58"/>
      <c r="EC20" s="67"/>
      <c r="ED20" s="66">
        <f t="shared" si="72"/>
        <v>0</v>
      </c>
      <c r="EE20" s="58"/>
      <c r="EF20" s="67"/>
      <c r="EG20" s="66">
        <f t="shared" si="73"/>
        <v>0</v>
      </c>
      <c r="EH20" s="58"/>
      <c r="EI20" s="58"/>
    </row>
    <row r="21" spans="1:139">
      <c r="A21" s="43"/>
      <c r="B21" s="43"/>
      <c r="C21" s="420" t="str">
        <f>Idiomas!D317&amp;"**"</f>
        <v>OCTAVOS -Diferencia/Distancia de goles (Con 1X2 acertado)**</v>
      </c>
      <c r="D21" s="38">
        <v>2</v>
      </c>
      <c r="E21" s="103"/>
      <c r="F21" s="426">
        <f t="shared" si="32"/>
        <v>17</v>
      </c>
      <c r="G21" s="426">
        <f ca="1">VLOOKUP(H21,Equipos!$Q$1:$R$25,2,0)</f>
        <v>6</v>
      </c>
      <c r="H21" s="427">
        <f ca="1">TRUNC(INDEX(WORLDCUP!$X$4:$X$147,MATCH(ADMIN!K21,WORLDCUP!$DT$4:$DT$147,0))+INDEX(Horarios!$R$3:$R$86,MATCH(Horarios!$C$3,Horarios!$P$3:$P$86,0))/24)</f>
        <v>46189</v>
      </c>
      <c r="I21" s="42">
        <v>1</v>
      </c>
      <c r="J21" s="88" t="s">
        <v>512</v>
      </c>
      <c r="K21" s="46" t="str">
        <f ca="1">CONCATENATE(WORLDCUP!AA61,"-",WORLDCUP!AF61)</f>
        <v>Arabia Saudita-Uruguay</v>
      </c>
      <c r="L21" s="46"/>
      <c r="M21" s="48" t="str">
        <f>IF(OR(WORLDCUP!AC61="",WORLDCUP!AD61=""),"-",N21&amp;"|"&amp;O21&amp;"-"&amp;P21)</f>
        <v>-</v>
      </c>
      <c r="N21" s="711" t="str">
        <f>IF(OR(WORLDCUP!AC61="",WORLDCUP!AD61=""),"",IF(WORLDCUP!AC61&gt;WORLDCUP!AD61,"1",IF(WORLDCUP!AC61&lt;WORLDCUP!AD61,"2","X")))</f>
        <v/>
      </c>
      <c r="O21" s="711">
        <f>WORLDCUP!AC61</f>
        <v>0</v>
      </c>
      <c r="P21" s="711">
        <f>WORLDCUP!AD61</f>
        <v>0</v>
      </c>
      <c r="Q21" s="711">
        <f t="shared" si="33"/>
        <v>0</v>
      </c>
      <c r="R21" s="43"/>
      <c r="S21" s="67" t="s">
        <v>1948</v>
      </c>
      <c r="T21" s="66">
        <f t="shared" si="34"/>
        <v>0</v>
      </c>
      <c r="U21" s="58"/>
      <c r="V21" s="67" t="s">
        <v>1955</v>
      </c>
      <c r="W21" s="66">
        <f t="shared" si="35"/>
        <v>0</v>
      </c>
      <c r="X21" s="58"/>
      <c r="Y21" s="67" t="s">
        <v>1955</v>
      </c>
      <c r="Z21" s="66">
        <f t="shared" si="36"/>
        <v>0</v>
      </c>
      <c r="AA21" s="58"/>
      <c r="AB21" s="67" t="s">
        <v>1955</v>
      </c>
      <c r="AC21" s="66">
        <f t="shared" si="37"/>
        <v>0</v>
      </c>
      <c r="AD21" s="58"/>
      <c r="AE21" s="67" t="s">
        <v>1960</v>
      </c>
      <c r="AF21" s="66">
        <f t="shared" si="38"/>
        <v>0</v>
      </c>
      <c r="AG21" s="58"/>
      <c r="AH21" s="67" t="s">
        <v>1960</v>
      </c>
      <c r="AI21" s="66">
        <f t="shared" si="39"/>
        <v>0</v>
      </c>
      <c r="AJ21" s="58"/>
      <c r="AK21" s="67" t="s">
        <v>1960</v>
      </c>
      <c r="AL21" s="66">
        <f t="shared" si="40"/>
        <v>0</v>
      </c>
      <c r="AM21" s="58"/>
      <c r="AN21" s="67" t="s">
        <v>1960</v>
      </c>
      <c r="AO21" s="66">
        <f t="shared" si="41"/>
        <v>0</v>
      </c>
      <c r="AP21" s="58"/>
      <c r="AQ21" s="67" t="s">
        <v>1955</v>
      </c>
      <c r="AR21" s="66">
        <f t="shared" si="42"/>
        <v>0</v>
      </c>
      <c r="AS21" s="58"/>
      <c r="AT21" s="67" t="s">
        <v>1950</v>
      </c>
      <c r="AU21" s="66">
        <f t="shared" si="43"/>
        <v>0</v>
      </c>
      <c r="AV21" s="58"/>
      <c r="AW21" s="67" t="s">
        <v>1955</v>
      </c>
      <c r="AX21" s="66">
        <f t="shared" si="44"/>
        <v>0</v>
      </c>
      <c r="AY21" s="58"/>
      <c r="AZ21" s="67" t="s">
        <v>1955</v>
      </c>
      <c r="BA21" s="66">
        <f t="shared" si="45"/>
        <v>0</v>
      </c>
      <c r="BB21" s="58"/>
      <c r="BC21" s="67" t="s">
        <v>1955</v>
      </c>
      <c r="BD21" s="66">
        <f t="shared" si="46"/>
        <v>0</v>
      </c>
      <c r="BE21" s="58"/>
      <c r="BF21" s="67" t="s">
        <v>1950</v>
      </c>
      <c r="BG21" s="66">
        <f t="shared" si="47"/>
        <v>0</v>
      </c>
      <c r="BH21" s="58"/>
      <c r="BI21" s="67" t="s">
        <v>1950</v>
      </c>
      <c r="BJ21" s="66">
        <f t="shared" si="48"/>
        <v>0</v>
      </c>
      <c r="BK21" s="58"/>
      <c r="BL21" s="67" t="s">
        <v>1950</v>
      </c>
      <c r="BM21" s="66">
        <f t="shared" si="49"/>
        <v>0</v>
      </c>
      <c r="BN21" s="58"/>
      <c r="BO21" s="67" t="s">
        <v>1948</v>
      </c>
      <c r="BP21" s="66">
        <f t="shared" si="50"/>
        <v>0</v>
      </c>
      <c r="BQ21" s="58"/>
      <c r="BR21" s="67" t="s">
        <v>1950</v>
      </c>
      <c r="BS21" s="66">
        <f t="shared" si="51"/>
        <v>0</v>
      </c>
      <c r="BT21" s="58"/>
      <c r="BU21" s="67"/>
      <c r="BV21" s="66">
        <f t="shared" si="52"/>
        <v>0</v>
      </c>
      <c r="BW21" s="58"/>
      <c r="BX21" s="67"/>
      <c r="BY21" s="66">
        <f t="shared" si="53"/>
        <v>0</v>
      </c>
      <c r="BZ21" s="58"/>
      <c r="CA21" s="67"/>
      <c r="CB21" s="66">
        <f t="shared" si="54"/>
        <v>0</v>
      </c>
      <c r="CC21" s="58"/>
      <c r="CD21" s="67"/>
      <c r="CE21" s="66">
        <f t="shared" si="55"/>
        <v>0</v>
      </c>
      <c r="CF21" s="58"/>
      <c r="CG21" s="67"/>
      <c r="CH21" s="66">
        <f t="shared" si="56"/>
        <v>0</v>
      </c>
      <c r="CI21" s="58"/>
      <c r="CJ21" s="67"/>
      <c r="CK21" s="66">
        <f t="shared" si="57"/>
        <v>0</v>
      </c>
      <c r="CL21" s="58"/>
      <c r="CM21" s="67"/>
      <c r="CN21" s="66">
        <f t="shared" si="58"/>
        <v>0</v>
      </c>
      <c r="CO21" s="58"/>
      <c r="CP21" s="67"/>
      <c r="CQ21" s="66">
        <f t="shared" si="59"/>
        <v>0</v>
      </c>
      <c r="CR21" s="58"/>
      <c r="CS21" s="67"/>
      <c r="CT21" s="66">
        <f t="shared" si="60"/>
        <v>0</v>
      </c>
      <c r="CU21" s="58"/>
      <c r="CV21" s="67"/>
      <c r="CW21" s="66">
        <f t="shared" si="61"/>
        <v>0</v>
      </c>
      <c r="CX21" s="58"/>
      <c r="CY21" s="67"/>
      <c r="CZ21" s="66">
        <f t="shared" si="62"/>
        <v>0</v>
      </c>
      <c r="DA21" s="58"/>
      <c r="DB21" s="67"/>
      <c r="DC21" s="66">
        <f t="shared" si="63"/>
        <v>0</v>
      </c>
      <c r="DD21" s="58"/>
      <c r="DE21" s="67"/>
      <c r="DF21" s="66">
        <f t="shared" si="64"/>
        <v>0</v>
      </c>
      <c r="DG21" s="58"/>
      <c r="DH21" s="67"/>
      <c r="DI21" s="66">
        <f t="shared" si="65"/>
        <v>0</v>
      </c>
      <c r="DJ21" s="58"/>
      <c r="DK21" s="67"/>
      <c r="DL21" s="66">
        <f t="shared" si="66"/>
        <v>0</v>
      </c>
      <c r="DM21" s="58"/>
      <c r="DN21" s="67"/>
      <c r="DO21" s="66">
        <f t="shared" si="67"/>
        <v>0</v>
      </c>
      <c r="DP21" s="58"/>
      <c r="DQ21" s="67"/>
      <c r="DR21" s="66">
        <f t="shared" si="68"/>
        <v>0</v>
      </c>
      <c r="DS21" s="58"/>
      <c r="DT21" s="67"/>
      <c r="DU21" s="66">
        <f t="shared" si="69"/>
        <v>0</v>
      </c>
      <c r="DV21" s="58"/>
      <c r="DW21" s="67"/>
      <c r="DX21" s="66">
        <f t="shared" si="70"/>
        <v>0</v>
      </c>
      <c r="DY21" s="58"/>
      <c r="DZ21" s="67"/>
      <c r="EA21" s="66">
        <f t="shared" si="71"/>
        <v>0</v>
      </c>
      <c r="EB21" s="58"/>
      <c r="EC21" s="67"/>
      <c r="ED21" s="66">
        <f t="shared" si="72"/>
        <v>0</v>
      </c>
      <c r="EE21" s="58"/>
      <c r="EF21" s="67"/>
      <c r="EG21" s="66">
        <f t="shared" si="73"/>
        <v>0</v>
      </c>
      <c r="EH21" s="58"/>
      <c r="EI21" s="58"/>
    </row>
    <row r="22" spans="1:139">
      <c r="A22" s="43"/>
      <c r="B22" s="43"/>
      <c r="C22" s="419" t="str">
        <f>Idiomas!D318</f>
        <v>OCTAVOS - Resultado exacto</v>
      </c>
      <c r="D22" s="55">
        <v>10</v>
      </c>
      <c r="E22" s="103"/>
      <c r="F22" s="426">
        <f t="shared" si="32"/>
        <v>17</v>
      </c>
      <c r="G22" s="426">
        <f ca="1">VLOOKUP(H22,Equipos!$Q$1:$R$25,2,0)</f>
        <v>6</v>
      </c>
      <c r="H22" s="427">
        <f ca="1">TRUNC(INDEX(WORLDCUP!$X$4:$X$147,MATCH(ADMIN!K22,WORLDCUP!$DT$4:$DT$147,0))+INDEX(Horarios!$R$3:$R$86,MATCH(Horarios!$C$3,Horarios!$P$3:$P$86,0))/24)</f>
        <v>46189</v>
      </c>
      <c r="I22" s="42">
        <v>1</v>
      </c>
      <c r="J22" s="87" t="s">
        <v>179</v>
      </c>
      <c r="K22" s="49" t="str">
        <f ca="1">CONCATENATE(WORLDCUP!AA68,"-",WORLDCUP!AF68)</f>
        <v>Francia-Senegal</v>
      </c>
      <c r="L22" s="46"/>
      <c r="M22" s="48" t="str">
        <f>IF(OR(WORLDCUP!AC68="",WORLDCUP!AD68=""),"-",N22&amp;"|"&amp;O22&amp;"-"&amp;P22)</f>
        <v>-</v>
      </c>
      <c r="N22" s="711" t="str">
        <f>IF(OR(WORLDCUP!AC68="",WORLDCUP!AD68=""),"",IF(WORLDCUP!AC68&gt;WORLDCUP!AD68,"1",IF(WORLDCUP!AC68&lt;WORLDCUP!AD68,"2","X")))</f>
        <v/>
      </c>
      <c r="O22" s="711">
        <f>WORLDCUP!AC68</f>
        <v>0</v>
      </c>
      <c r="P22" s="711">
        <f>WORLDCUP!AD68</f>
        <v>0</v>
      </c>
      <c r="Q22" s="711">
        <f t="shared" si="33"/>
        <v>0</v>
      </c>
      <c r="R22" s="43"/>
      <c r="S22" s="67" t="s">
        <v>1954</v>
      </c>
      <c r="T22" s="66">
        <f t="shared" si="34"/>
        <v>0</v>
      </c>
      <c r="U22" s="58"/>
      <c r="V22" s="67" t="s">
        <v>1953</v>
      </c>
      <c r="W22" s="66">
        <f t="shared" si="35"/>
        <v>0</v>
      </c>
      <c r="X22" s="58"/>
      <c r="Y22" s="67" t="s">
        <v>1947</v>
      </c>
      <c r="Z22" s="66">
        <f t="shared" si="36"/>
        <v>0</v>
      </c>
      <c r="AA22" s="58"/>
      <c r="AB22" s="67" t="s">
        <v>1959</v>
      </c>
      <c r="AC22" s="66">
        <f t="shared" si="37"/>
        <v>0</v>
      </c>
      <c r="AD22" s="58"/>
      <c r="AE22" s="67" t="s">
        <v>1954</v>
      </c>
      <c r="AF22" s="66">
        <f t="shared" si="38"/>
        <v>0</v>
      </c>
      <c r="AG22" s="58"/>
      <c r="AH22" s="67" t="s">
        <v>1953</v>
      </c>
      <c r="AI22" s="66">
        <f t="shared" si="39"/>
        <v>0</v>
      </c>
      <c r="AJ22" s="58"/>
      <c r="AK22" s="67" t="s">
        <v>1947</v>
      </c>
      <c r="AL22" s="66">
        <f t="shared" si="40"/>
        <v>0</v>
      </c>
      <c r="AM22" s="58"/>
      <c r="AN22" s="67" t="s">
        <v>1959</v>
      </c>
      <c r="AO22" s="66">
        <f t="shared" si="41"/>
        <v>0</v>
      </c>
      <c r="AP22" s="58"/>
      <c r="AQ22" s="67" t="s">
        <v>1950</v>
      </c>
      <c r="AR22" s="66">
        <f t="shared" si="42"/>
        <v>0</v>
      </c>
      <c r="AS22" s="58"/>
      <c r="AT22" s="67" t="s">
        <v>1954</v>
      </c>
      <c r="AU22" s="66">
        <f t="shared" si="43"/>
        <v>0</v>
      </c>
      <c r="AV22" s="58"/>
      <c r="AW22" s="67" t="s">
        <v>1947</v>
      </c>
      <c r="AX22" s="66">
        <f t="shared" si="44"/>
        <v>0</v>
      </c>
      <c r="AY22" s="58"/>
      <c r="AZ22" s="67" t="s">
        <v>1953</v>
      </c>
      <c r="BA22" s="66">
        <f t="shared" si="45"/>
        <v>0</v>
      </c>
      <c r="BB22" s="58"/>
      <c r="BC22" s="67" t="s">
        <v>1953</v>
      </c>
      <c r="BD22" s="66">
        <f t="shared" si="46"/>
        <v>0</v>
      </c>
      <c r="BE22" s="58"/>
      <c r="BF22" s="67" t="s">
        <v>1953</v>
      </c>
      <c r="BG22" s="66">
        <f t="shared" si="47"/>
        <v>0</v>
      </c>
      <c r="BH22" s="58"/>
      <c r="BI22" s="67" t="s">
        <v>1959</v>
      </c>
      <c r="BJ22" s="66">
        <f t="shared" si="48"/>
        <v>0</v>
      </c>
      <c r="BK22" s="58"/>
      <c r="BL22" s="67" t="s">
        <v>1959</v>
      </c>
      <c r="BM22" s="66">
        <f t="shared" si="49"/>
        <v>0</v>
      </c>
      <c r="BN22" s="58"/>
      <c r="BO22" s="67" t="s">
        <v>1947</v>
      </c>
      <c r="BP22" s="66">
        <f t="shared" si="50"/>
        <v>0</v>
      </c>
      <c r="BQ22" s="58"/>
      <c r="BR22" s="67" t="s">
        <v>1947</v>
      </c>
      <c r="BS22" s="66">
        <f t="shared" si="51"/>
        <v>0</v>
      </c>
      <c r="BT22" s="58"/>
      <c r="BU22" s="67"/>
      <c r="BV22" s="66">
        <f t="shared" si="52"/>
        <v>0</v>
      </c>
      <c r="BW22" s="58"/>
      <c r="BX22" s="67"/>
      <c r="BY22" s="66">
        <f t="shared" si="53"/>
        <v>0</v>
      </c>
      <c r="BZ22" s="58"/>
      <c r="CA22" s="67"/>
      <c r="CB22" s="66">
        <f t="shared" si="54"/>
        <v>0</v>
      </c>
      <c r="CC22" s="58"/>
      <c r="CD22" s="67"/>
      <c r="CE22" s="66">
        <f t="shared" si="55"/>
        <v>0</v>
      </c>
      <c r="CF22" s="58"/>
      <c r="CG22" s="67"/>
      <c r="CH22" s="66">
        <f t="shared" si="56"/>
        <v>0</v>
      </c>
      <c r="CI22" s="58"/>
      <c r="CJ22" s="67"/>
      <c r="CK22" s="66">
        <f t="shared" si="57"/>
        <v>0</v>
      </c>
      <c r="CL22" s="58"/>
      <c r="CM22" s="67"/>
      <c r="CN22" s="66">
        <f t="shared" si="58"/>
        <v>0</v>
      </c>
      <c r="CO22" s="58"/>
      <c r="CP22" s="67"/>
      <c r="CQ22" s="66">
        <f t="shared" si="59"/>
        <v>0</v>
      </c>
      <c r="CR22" s="58"/>
      <c r="CS22" s="67"/>
      <c r="CT22" s="66">
        <f t="shared" si="60"/>
        <v>0</v>
      </c>
      <c r="CU22" s="58"/>
      <c r="CV22" s="67"/>
      <c r="CW22" s="66">
        <f t="shared" si="61"/>
        <v>0</v>
      </c>
      <c r="CX22" s="58"/>
      <c r="CY22" s="67"/>
      <c r="CZ22" s="66">
        <f t="shared" si="62"/>
        <v>0</v>
      </c>
      <c r="DA22" s="58"/>
      <c r="DB22" s="67"/>
      <c r="DC22" s="66">
        <f t="shared" si="63"/>
        <v>0</v>
      </c>
      <c r="DD22" s="58"/>
      <c r="DE22" s="67"/>
      <c r="DF22" s="66">
        <f t="shared" si="64"/>
        <v>0</v>
      </c>
      <c r="DG22" s="58"/>
      <c r="DH22" s="67"/>
      <c r="DI22" s="66">
        <f t="shared" si="65"/>
        <v>0</v>
      </c>
      <c r="DJ22" s="58"/>
      <c r="DK22" s="67"/>
      <c r="DL22" s="66">
        <f t="shared" si="66"/>
        <v>0</v>
      </c>
      <c r="DM22" s="58"/>
      <c r="DN22" s="67"/>
      <c r="DO22" s="66">
        <f t="shared" si="67"/>
        <v>0</v>
      </c>
      <c r="DP22" s="58"/>
      <c r="DQ22" s="67"/>
      <c r="DR22" s="66">
        <f t="shared" si="68"/>
        <v>0</v>
      </c>
      <c r="DS22" s="58"/>
      <c r="DT22" s="67"/>
      <c r="DU22" s="66">
        <f t="shared" si="69"/>
        <v>0</v>
      </c>
      <c r="DV22" s="58"/>
      <c r="DW22" s="67"/>
      <c r="DX22" s="66">
        <f t="shared" si="70"/>
        <v>0</v>
      </c>
      <c r="DY22" s="58"/>
      <c r="DZ22" s="67"/>
      <c r="EA22" s="66">
        <f t="shared" si="71"/>
        <v>0</v>
      </c>
      <c r="EB22" s="58"/>
      <c r="EC22" s="67"/>
      <c r="ED22" s="66">
        <f t="shared" si="72"/>
        <v>0</v>
      </c>
      <c r="EE22" s="58"/>
      <c r="EF22" s="67"/>
      <c r="EG22" s="66">
        <f t="shared" si="73"/>
        <v>0</v>
      </c>
      <c r="EH22" s="58"/>
      <c r="EI22" s="58"/>
    </row>
    <row r="23" spans="1:139">
      <c r="A23" s="43"/>
      <c r="B23" s="43"/>
      <c r="C23" s="421" t="str">
        <f>Idiomas!D319</f>
        <v>Equipo clasificado para CUARTOS</v>
      </c>
      <c r="D23" s="39">
        <v>5</v>
      </c>
      <c r="E23" s="103"/>
      <c r="F23" s="426">
        <f t="shared" si="32"/>
        <v>17</v>
      </c>
      <c r="G23" s="426">
        <f ca="1">VLOOKUP(H23,Equipos!$Q$1:$R$25,2,0)</f>
        <v>7</v>
      </c>
      <c r="H23" s="427">
        <f ca="1">TRUNC(INDEX(WORLDCUP!$X$4:$X$147,MATCH(ADMIN!K23,WORLDCUP!$DT$4:$DT$147,0))+INDEX(Horarios!$R$3:$R$86,MATCH(Horarios!$C$3,Horarios!$P$3:$P$86,0))/24)</f>
        <v>46190</v>
      </c>
      <c r="I23" s="42">
        <v>1</v>
      </c>
      <c r="J23" s="87" t="s">
        <v>179</v>
      </c>
      <c r="K23" s="49" t="str">
        <f ca="1">CONCATENATE(WORLDCUP!AA69,"-",WORLDCUP!AF69)</f>
        <v>Irak-Noruega</v>
      </c>
      <c r="L23" s="46"/>
      <c r="M23" s="48" t="str">
        <f>IF(OR(WORLDCUP!AC69="",WORLDCUP!AD69=""),"-",N23&amp;"|"&amp;O23&amp;"-"&amp;P23)</f>
        <v>-</v>
      </c>
      <c r="N23" s="711" t="str">
        <f>IF(OR(WORLDCUP!AC69="",WORLDCUP!AD69=""),"",IF(WORLDCUP!AC69&gt;WORLDCUP!AD69,"1",IF(WORLDCUP!AC69&lt;WORLDCUP!AD69,"2","X")))</f>
        <v/>
      </c>
      <c r="O23" s="711">
        <f>WORLDCUP!AC69</f>
        <v>0</v>
      </c>
      <c r="P23" s="711">
        <f>WORLDCUP!AD69</f>
        <v>0</v>
      </c>
      <c r="Q23" s="711">
        <f t="shared" si="33"/>
        <v>0</v>
      </c>
      <c r="R23" s="43"/>
      <c r="S23" s="67" t="s">
        <v>1955</v>
      </c>
      <c r="T23" s="66">
        <f t="shared" si="34"/>
        <v>0</v>
      </c>
      <c r="U23" s="58"/>
      <c r="V23" s="67" t="s">
        <v>1950</v>
      </c>
      <c r="W23" s="66">
        <f t="shared" si="35"/>
        <v>0</v>
      </c>
      <c r="X23" s="58"/>
      <c r="Y23" s="67" t="s">
        <v>1960</v>
      </c>
      <c r="Z23" s="66">
        <f t="shared" si="36"/>
        <v>0</v>
      </c>
      <c r="AA23" s="58"/>
      <c r="AB23" s="67" t="s">
        <v>1950</v>
      </c>
      <c r="AC23" s="66">
        <f t="shared" si="37"/>
        <v>0</v>
      </c>
      <c r="AD23" s="58"/>
      <c r="AE23" s="67" t="s">
        <v>1960</v>
      </c>
      <c r="AF23" s="66">
        <f t="shared" si="38"/>
        <v>0</v>
      </c>
      <c r="AG23" s="58"/>
      <c r="AH23" s="67" t="s">
        <v>1960</v>
      </c>
      <c r="AI23" s="66">
        <f t="shared" si="39"/>
        <v>0</v>
      </c>
      <c r="AJ23" s="58"/>
      <c r="AK23" s="67" t="s">
        <v>1960</v>
      </c>
      <c r="AL23" s="66">
        <f t="shared" si="40"/>
        <v>0</v>
      </c>
      <c r="AM23" s="58"/>
      <c r="AN23" s="67" t="s">
        <v>1951</v>
      </c>
      <c r="AO23" s="66">
        <f t="shared" si="41"/>
        <v>0</v>
      </c>
      <c r="AP23" s="58"/>
      <c r="AQ23" s="67" t="s">
        <v>1950</v>
      </c>
      <c r="AR23" s="66">
        <f t="shared" si="42"/>
        <v>0</v>
      </c>
      <c r="AS23" s="58"/>
      <c r="AT23" s="67" t="s">
        <v>1949</v>
      </c>
      <c r="AU23" s="66">
        <f t="shared" si="43"/>
        <v>0</v>
      </c>
      <c r="AV23" s="58"/>
      <c r="AW23" s="67" t="s">
        <v>1949</v>
      </c>
      <c r="AX23" s="66">
        <f t="shared" si="44"/>
        <v>0</v>
      </c>
      <c r="AY23" s="58"/>
      <c r="AZ23" s="67" t="s">
        <v>1955</v>
      </c>
      <c r="BA23" s="66">
        <f t="shared" si="45"/>
        <v>0</v>
      </c>
      <c r="BB23" s="58"/>
      <c r="BC23" s="67" t="s">
        <v>1960</v>
      </c>
      <c r="BD23" s="66">
        <f t="shared" si="46"/>
        <v>0</v>
      </c>
      <c r="BE23" s="58"/>
      <c r="BF23" s="67" t="s">
        <v>1960</v>
      </c>
      <c r="BG23" s="66">
        <f t="shared" si="47"/>
        <v>0</v>
      </c>
      <c r="BH23" s="58"/>
      <c r="BI23" s="67" t="s">
        <v>1950</v>
      </c>
      <c r="BJ23" s="66">
        <f t="shared" si="48"/>
        <v>0</v>
      </c>
      <c r="BK23" s="58"/>
      <c r="BL23" s="67" t="s">
        <v>1960</v>
      </c>
      <c r="BM23" s="66">
        <f t="shared" si="49"/>
        <v>0</v>
      </c>
      <c r="BN23" s="58"/>
      <c r="BO23" s="67" t="s">
        <v>1955</v>
      </c>
      <c r="BP23" s="66">
        <f t="shared" si="50"/>
        <v>0</v>
      </c>
      <c r="BQ23" s="58"/>
      <c r="BR23" s="67" t="s">
        <v>1960</v>
      </c>
      <c r="BS23" s="66">
        <f t="shared" si="51"/>
        <v>0</v>
      </c>
      <c r="BT23" s="58"/>
      <c r="BU23" s="67"/>
      <c r="BV23" s="66">
        <f t="shared" si="52"/>
        <v>0</v>
      </c>
      <c r="BW23" s="58"/>
      <c r="BX23" s="67"/>
      <c r="BY23" s="66">
        <f t="shared" si="53"/>
        <v>0</v>
      </c>
      <c r="BZ23" s="58"/>
      <c r="CA23" s="67"/>
      <c r="CB23" s="66">
        <f t="shared" si="54"/>
        <v>0</v>
      </c>
      <c r="CC23" s="58"/>
      <c r="CD23" s="67"/>
      <c r="CE23" s="66">
        <f t="shared" si="55"/>
        <v>0</v>
      </c>
      <c r="CF23" s="58"/>
      <c r="CG23" s="67"/>
      <c r="CH23" s="66">
        <f t="shared" si="56"/>
        <v>0</v>
      </c>
      <c r="CI23" s="58"/>
      <c r="CJ23" s="67"/>
      <c r="CK23" s="66">
        <f t="shared" si="57"/>
        <v>0</v>
      </c>
      <c r="CL23" s="58"/>
      <c r="CM23" s="67"/>
      <c r="CN23" s="66">
        <f t="shared" si="58"/>
        <v>0</v>
      </c>
      <c r="CO23" s="58"/>
      <c r="CP23" s="67"/>
      <c r="CQ23" s="66">
        <f t="shared" si="59"/>
        <v>0</v>
      </c>
      <c r="CR23" s="58"/>
      <c r="CS23" s="67"/>
      <c r="CT23" s="66">
        <f t="shared" si="60"/>
        <v>0</v>
      </c>
      <c r="CU23" s="58"/>
      <c r="CV23" s="67"/>
      <c r="CW23" s="66">
        <f t="shared" si="61"/>
        <v>0</v>
      </c>
      <c r="CX23" s="58"/>
      <c r="CY23" s="67"/>
      <c r="CZ23" s="66">
        <f t="shared" si="62"/>
        <v>0</v>
      </c>
      <c r="DA23" s="58"/>
      <c r="DB23" s="67"/>
      <c r="DC23" s="66">
        <f t="shared" si="63"/>
        <v>0</v>
      </c>
      <c r="DD23" s="58"/>
      <c r="DE23" s="67"/>
      <c r="DF23" s="66">
        <f t="shared" si="64"/>
        <v>0</v>
      </c>
      <c r="DG23" s="58"/>
      <c r="DH23" s="67"/>
      <c r="DI23" s="66">
        <f t="shared" si="65"/>
        <v>0</v>
      </c>
      <c r="DJ23" s="58"/>
      <c r="DK23" s="67"/>
      <c r="DL23" s="66">
        <f t="shared" si="66"/>
        <v>0</v>
      </c>
      <c r="DM23" s="58"/>
      <c r="DN23" s="67"/>
      <c r="DO23" s="66">
        <f t="shared" si="67"/>
        <v>0</v>
      </c>
      <c r="DP23" s="58"/>
      <c r="DQ23" s="67"/>
      <c r="DR23" s="66">
        <f t="shared" si="68"/>
        <v>0</v>
      </c>
      <c r="DS23" s="58"/>
      <c r="DT23" s="67"/>
      <c r="DU23" s="66">
        <f t="shared" si="69"/>
        <v>0</v>
      </c>
      <c r="DV23" s="58"/>
      <c r="DW23" s="67"/>
      <c r="DX23" s="66">
        <f t="shared" si="70"/>
        <v>0</v>
      </c>
      <c r="DY23" s="58"/>
      <c r="DZ23" s="67"/>
      <c r="EA23" s="66">
        <f t="shared" si="71"/>
        <v>0</v>
      </c>
      <c r="EB23" s="58"/>
      <c r="EC23" s="67"/>
      <c r="ED23" s="66">
        <f t="shared" si="72"/>
        <v>0</v>
      </c>
      <c r="EE23" s="58"/>
      <c r="EF23" s="67"/>
      <c r="EG23" s="66">
        <f t="shared" si="73"/>
        <v>0</v>
      </c>
      <c r="EH23" s="58"/>
      <c r="EI23" s="58"/>
    </row>
    <row r="24" spans="1:139">
      <c r="A24" s="43"/>
      <c r="B24" s="43"/>
      <c r="C24" s="419" t="str">
        <f>Idiomas!D320</f>
        <v>CUARTOS - Signo 1X2  (local, empate, visitante)</v>
      </c>
      <c r="D24" s="55">
        <v>5</v>
      </c>
      <c r="E24" s="103"/>
      <c r="F24" s="426">
        <f t="shared" si="32"/>
        <v>17</v>
      </c>
      <c r="G24" s="426">
        <f ca="1">VLOOKUP(H24,Equipos!$Q$1:$R$25,2,0)</f>
        <v>7</v>
      </c>
      <c r="H24" s="427">
        <f ca="1">TRUNC(INDEX(WORLDCUP!$X$4:$X$147,MATCH(ADMIN!K24,WORLDCUP!$DT$4:$DT$147,0))+INDEX(Horarios!$R$3:$R$86,MATCH(Horarios!$C$3,Horarios!$P$3:$P$86,0))/24)</f>
        <v>46190</v>
      </c>
      <c r="I24" s="42">
        <v>1</v>
      </c>
      <c r="J24" s="88" t="s">
        <v>26</v>
      </c>
      <c r="K24" s="46" t="str">
        <f ca="1">CONCATENATE(WORLDCUP!AA76,"-",WORLDCUP!AF76)</f>
        <v>Argentina-Argelia</v>
      </c>
      <c r="L24" s="46"/>
      <c r="M24" s="48" t="str">
        <f>IF(OR(WORLDCUP!AC76="",WORLDCUP!AD76=""),"-",N24&amp;"|"&amp;O24&amp;"-"&amp;P24)</f>
        <v>-</v>
      </c>
      <c r="N24" s="711" t="str">
        <f>IF(OR(WORLDCUP!AC76="",WORLDCUP!AD76=""),"",IF(WORLDCUP!AC76&gt;WORLDCUP!AD76,"1",IF(WORLDCUP!AC76&lt;WORLDCUP!AD76,"2","X")))</f>
        <v/>
      </c>
      <c r="O24" s="711">
        <f>WORLDCUP!AC76</f>
        <v>0</v>
      </c>
      <c r="P24" s="711">
        <f>WORLDCUP!AD76</f>
        <v>0</v>
      </c>
      <c r="Q24" s="711">
        <f t="shared" si="33"/>
        <v>0</v>
      </c>
      <c r="R24" s="43"/>
      <c r="S24" s="69" t="s">
        <v>1953</v>
      </c>
      <c r="T24" s="70">
        <f t="shared" si="34"/>
        <v>0</v>
      </c>
      <c r="U24" s="58"/>
      <c r="V24" s="69" t="s">
        <v>1953</v>
      </c>
      <c r="W24" s="70">
        <f t="shared" si="35"/>
        <v>0</v>
      </c>
      <c r="X24" s="58"/>
      <c r="Y24" s="69" t="s">
        <v>1959</v>
      </c>
      <c r="Z24" s="70">
        <f t="shared" si="36"/>
        <v>0</v>
      </c>
      <c r="AA24" s="58"/>
      <c r="AB24" s="69" t="s">
        <v>1956</v>
      </c>
      <c r="AC24" s="70">
        <f t="shared" si="37"/>
        <v>0</v>
      </c>
      <c r="AD24" s="58"/>
      <c r="AE24" s="69" t="s">
        <v>1959</v>
      </c>
      <c r="AF24" s="70">
        <f t="shared" si="38"/>
        <v>0</v>
      </c>
      <c r="AG24" s="58"/>
      <c r="AH24" s="69" t="s">
        <v>1959</v>
      </c>
      <c r="AI24" s="70">
        <f t="shared" si="39"/>
        <v>0</v>
      </c>
      <c r="AJ24" s="58"/>
      <c r="AK24" s="69" t="s">
        <v>1954</v>
      </c>
      <c r="AL24" s="70">
        <f t="shared" si="40"/>
        <v>0</v>
      </c>
      <c r="AM24" s="58"/>
      <c r="AN24" s="69" t="s">
        <v>1947</v>
      </c>
      <c r="AO24" s="70">
        <f t="shared" si="41"/>
        <v>0</v>
      </c>
      <c r="AP24" s="58"/>
      <c r="AQ24" s="69" t="s">
        <v>1962</v>
      </c>
      <c r="AR24" s="70">
        <f t="shared" si="42"/>
        <v>0</v>
      </c>
      <c r="AS24" s="58"/>
      <c r="AT24" s="69" t="s">
        <v>1953</v>
      </c>
      <c r="AU24" s="70">
        <f t="shared" si="43"/>
        <v>0</v>
      </c>
      <c r="AV24" s="58"/>
      <c r="AW24" s="69" t="s">
        <v>1956</v>
      </c>
      <c r="AX24" s="70">
        <f t="shared" si="44"/>
        <v>0</v>
      </c>
      <c r="AY24" s="58"/>
      <c r="AZ24" s="69" t="s">
        <v>1959</v>
      </c>
      <c r="BA24" s="70">
        <f t="shared" si="45"/>
        <v>0</v>
      </c>
      <c r="BB24" s="58"/>
      <c r="BC24" s="69" t="s">
        <v>1953</v>
      </c>
      <c r="BD24" s="70">
        <f t="shared" si="46"/>
        <v>0</v>
      </c>
      <c r="BE24" s="58"/>
      <c r="BF24" s="69" t="s">
        <v>1952</v>
      </c>
      <c r="BG24" s="70">
        <f t="shared" si="47"/>
        <v>0</v>
      </c>
      <c r="BH24" s="58"/>
      <c r="BI24" s="69" t="s">
        <v>1953</v>
      </c>
      <c r="BJ24" s="70">
        <f t="shared" si="48"/>
        <v>0</v>
      </c>
      <c r="BK24" s="58"/>
      <c r="BL24" s="69" t="s">
        <v>1959</v>
      </c>
      <c r="BM24" s="70">
        <f t="shared" si="49"/>
        <v>0</v>
      </c>
      <c r="BN24" s="58"/>
      <c r="BO24" s="69" t="s">
        <v>1947</v>
      </c>
      <c r="BP24" s="70">
        <f t="shared" si="50"/>
        <v>0</v>
      </c>
      <c r="BQ24" s="58"/>
      <c r="BR24" s="69" t="s">
        <v>1959</v>
      </c>
      <c r="BS24" s="70">
        <f t="shared" si="51"/>
        <v>0</v>
      </c>
      <c r="BT24" s="58"/>
      <c r="BU24" s="69"/>
      <c r="BV24" s="70">
        <f t="shared" si="52"/>
        <v>0</v>
      </c>
      <c r="BW24" s="58"/>
      <c r="BX24" s="69"/>
      <c r="BY24" s="70">
        <f t="shared" si="53"/>
        <v>0</v>
      </c>
      <c r="BZ24" s="58"/>
      <c r="CA24" s="69"/>
      <c r="CB24" s="70">
        <f t="shared" si="54"/>
        <v>0</v>
      </c>
      <c r="CC24" s="58"/>
      <c r="CD24" s="69"/>
      <c r="CE24" s="70">
        <f t="shared" si="55"/>
        <v>0</v>
      </c>
      <c r="CF24" s="58"/>
      <c r="CG24" s="69"/>
      <c r="CH24" s="70">
        <f t="shared" si="56"/>
        <v>0</v>
      </c>
      <c r="CI24" s="58"/>
      <c r="CJ24" s="69"/>
      <c r="CK24" s="70">
        <f t="shared" si="57"/>
        <v>0</v>
      </c>
      <c r="CL24" s="58"/>
      <c r="CM24" s="69"/>
      <c r="CN24" s="70">
        <f t="shared" si="58"/>
        <v>0</v>
      </c>
      <c r="CO24" s="58"/>
      <c r="CP24" s="69"/>
      <c r="CQ24" s="70">
        <f t="shared" si="59"/>
        <v>0</v>
      </c>
      <c r="CR24" s="58"/>
      <c r="CS24" s="69"/>
      <c r="CT24" s="70">
        <f t="shared" si="60"/>
        <v>0</v>
      </c>
      <c r="CU24" s="58"/>
      <c r="CV24" s="69"/>
      <c r="CW24" s="70">
        <f t="shared" si="61"/>
        <v>0</v>
      </c>
      <c r="CX24" s="58"/>
      <c r="CY24" s="69"/>
      <c r="CZ24" s="70">
        <f t="shared" si="62"/>
        <v>0</v>
      </c>
      <c r="DA24" s="58"/>
      <c r="DB24" s="69"/>
      <c r="DC24" s="70">
        <f t="shared" si="63"/>
        <v>0</v>
      </c>
      <c r="DD24" s="58"/>
      <c r="DE24" s="69"/>
      <c r="DF24" s="70">
        <f t="shared" si="64"/>
        <v>0</v>
      </c>
      <c r="DG24" s="58"/>
      <c r="DH24" s="69"/>
      <c r="DI24" s="70">
        <f t="shared" si="65"/>
        <v>0</v>
      </c>
      <c r="DJ24" s="58"/>
      <c r="DK24" s="69"/>
      <c r="DL24" s="70">
        <f t="shared" si="66"/>
        <v>0</v>
      </c>
      <c r="DM24" s="58"/>
      <c r="DN24" s="69"/>
      <c r="DO24" s="70">
        <f t="shared" si="67"/>
        <v>0</v>
      </c>
      <c r="DP24" s="58"/>
      <c r="DQ24" s="69"/>
      <c r="DR24" s="70">
        <f t="shared" si="68"/>
        <v>0</v>
      </c>
      <c r="DS24" s="58"/>
      <c r="DT24" s="69"/>
      <c r="DU24" s="70">
        <f t="shared" si="69"/>
        <v>0</v>
      </c>
      <c r="DV24" s="58"/>
      <c r="DW24" s="69"/>
      <c r="DX24" s="70">
        <f t="shared" si="70"/>
        <v>0</v>
      </c>
      <c r="DY24" s="58"/>
      <c r="DZ24" s="69"/>
      <c r="EA24" s="70">
        <f t="shared" si="71"/>
        <v>0</v>
      </c>
      <c r="EB24" s="58"/>
      <c r="EC24" s="69"/>
      <c r="ED24" s="70">
        <f t="shared" si="72"/>
        <v>0</v>
      </c>
      <c r="EE24" s="58"/>
      <c r="EF24" s="69"/>
      <c r="EG24" s="70">
        <f t="shared" si="73"/>
        <v>0</v>
      </c>
      <c r="EH24" s="58"/>
      <c r="EI24" s="58"/>
    </row>
    <row r="25" spans="1:139">
      <c r="A25" s="43"/>
      <c r="B25" s="43"/>
      <c r="C25" s="420" t="str">
        <f>Idiomas!D321&amp;"**"</f>
        <v>CUARTOS -Diferencia/Distancia de goles (Con 1X2 acertado)**</v>
      </c>
      <c r="D25" s="38">
        <v>2</v>
      </c>
      <c r="E25" s="103"/>
      <c r="F25" s="426">
        <f t="shared" si="32"/>
        <v>17</v>
      </c>
      <c r="G25" s="426">
        <f ca="1">VLOOKUP(H25,Equipos!$Q$1:$R$25,2,0)</f>
        <v>7</v>
      </c>
      <c r="H25" s="427">
        <f ca="1">TRUNC(INDEX(WORLDCUP!$X$4:$X$147,MATCH(ADMIN!K25,WORLDCUP!$DT$4:$DT$147,0))+INDEX(Horarios!$R$3:$R$86,MATCH(Horarios!$C$3,Horarios!$P$3:$P$86,0))/24)</f>
        <v>46190</v>
      </c>
      <c r="I25" s="42">
        <v>1</v>
      </c>
      <c r="J25" s="88" t="s">
        <v>26</v>
      </c>
      <c r="K25" s="46" t="str">
        <f ca="1">CONCATENATE(WORLDCUP!AA77,"-",WORLDCUP!AF77)</f>
        <v>Austria-Jordania</v>
      </c>
      <c r="L25" s="46"/>
      <c r="M25" s="48" t="str">
        <f>IF(OR(WORLDCUP!AC77="",WORLDCUP!AD77=""),"-",N25&amp;"|"&amp;O25&amp;"-"&amp;P25)</f>
        <v>-</v>
      </c>
      <c r="N25" s="711" t="str">
        <f>IF(OR(WORLDCUP!AC77="",WORLDCUP!AD77=""),"",IF(WORLDCUP!AC77&gt;WORLDCUP!AD77,"1",IF(WORLDCUP!AC77&lt;WORLDCUP!AD77,"2","X")))</f>
        <v/>
      </c>
      <c r="O25" s="711">
        <f>WORLDCUP!AC77</f>
        <v>0</v>
      </c>
      <c r="P25" s="711">
        <f>WORLDCUP!AD77</f>
        <v>0</v>
      </c>
      <c r="Q25" s="711">
        <f t="shared" si="33"/>
        <v>0</v>
      </c>
      <c r="R25" s="43"/>
      <c r="S25" s="67" t="s">
        <v>1956</v>
      </c>
      <c r="T25" s="66">
        <f t="shared" si="34"/>
        <v>0</v>
      </c>
      <c r="U25" s="58"/>
      <c r="V25" s="67" t="s">
        <v>1953</v>
      </c>
      <c r="W25" s="66">
        <f t="shared" si="35"/>
        <v>0</v>
      </c>
      <c r="X25" s="58"/>
      <c r="Y25" s="67" t="s">
        <v>1953</v>
      </c>
      <c r="Z25" s="66">
        <f t="shared" si="36"/>
        <v>0</v>
      </c>
      <c r="AA25" s="58"/>
      <c r="AB25" s="67" t="s">
        <v>1953</v>
      </c>
      <c r="AC25" s="66">
        <f t="shared" si="37"/>
        <v>0</v>
      </c>
      <c r="AD25" s="58"/>
      <c r="AE25" s="67" t="s">
        <v>1953</v>
      </c>
      <c r="AF25" s="66">
        <f t="shared" si="38"/>
        <v>0</v>
      </c>
      <c r="AG25" s="58"/>
      <c r="AH25" s="67" t="s">
        <v>1953</v>
      </c>
      <c r="AI25" s="66">
        <f t="shared" si="39"/>
        <v>0</v>
      </c>
      <c r="AJ25" s="58"/>
      <c r="AK25" s="67" t="s">
        <v>1953</v>
      </c>
      <c r="AL25" s="66">
        <f t="shared" si="40"/>
        <v>0</v>
      </c>
      <c r="AM25" s="58"/>
      <c r="AN25" s="67" t="s">
        <v>1956</v>
      </c>
      <c r="AO25" s="66">
        <f t="shared" si="41"/>
        <v>0</v>
      </c>
      <c r="AP25" s="58"/>
      <c r="AQ25" s="67" t="s">
        <v>1953</v>
      </c>
      <c r="AR25" s="66">
        <f t="shared" si="42"/>
        <v>0</v>
      </c>
      <c r="AS25" s="58"/>
      <c r="AT25" s="67" t="s">
        <v>1953</v>
      </c>
      <c r="AU25" s="66">
        <f t="shared" si="43"/>
        <v>0</v>
      </c>
      <c r="AV25" s="58"/>
      <c r="AW25" s="67" t="s">
        <v>1956</v>
      </c>
      <c r="AX25" s="66">
        <f t="shared" si="44"/>
        <v>0</v>
      </c>
      <c r="AY25" s="58"/>
      <c r="AZ25" s="67" t="s">
        <v>1956</v>
      </c>
      <c r="BA25" s="66">
        <f t="shared" si="45"/>
        <v>0</v>
      </c>
      <c r="BB25" s="58"/>
      <c r="BC25" s="67" t="s">
        <v>1953</v>
      </c>
      <c r="BD25" s="66">
        <f t="shared" si="46"/>
        <v>0</v>
      </c>
      <c r="BE25" s="58"/>
      <c r="BF25" s="67" t="s">
        <v>1947</v>
      </c>
      <c r="BG25" s="66">
        <f t="shared" si="47"/>
        <v>0</v>
      </c>
      <c r="BH25" s="58"/>
      <c r="BI25" s="67" t="s">
        <v>1962</v>
      </c>
      <c r="BJ25" s="66">
        <f t="shared" si="48"/>
        <v>0</v>
      </c>
      <c r="BK25" s="58"/>
      <c r="BL25" s="67" t="s">
        <v>1953</v>
      </c>
      <c r="BM25" s="66">
        <f t="shared" si="49"/>
        <v>0</v>
      </c>
      <c r="BN25" s="58"/>
      <c r="BO25" s="67" t="s">
        <v>1956</v>
      </c>
      <c r="BP25" s="66">
        <f t="shared" si="50"/>
        <v>0</v>
      </c>
      <c r="BQ25" s="58"/>
      <c r="BR25" s="67" t="s">
        <v>1953</v>
      </c>
      <c r="BS25" s="66">
        <f t="shared" si="51"/>
        <v>0</v>
      </c>
      <c r="BT25" s="58"/>
      <c r="BU25" s="67"/>
      <c r="BV25" s="66">
        <f t="shared" si="52"/>
        <v>0</v>
      </c>
      <c r="BW25" s="58"/>
      <c r="BX25" s="67"/>
      <c r="BY25" s="66">
        <f t="shared" si="53"/>
        <v>0</v>
      </c>
      <c r="BZ25" s="58"/>
      <c r="CA25" s="67"/>
      <c r="CB25" s="66">
        <f t="shared" si="54"/>
        <v>0</v>
      </c>
      <c r="CC25" s="58"/>
      <c r="CD25" s="67"/>
      <c r="CE25" s="66">
        <f t="shared" si="55"/>
        <v>0</v>
      </c>
      <c r="CF25" s="58"/>
      <c r="CG25" s="67"/>
      <c r="CH25" s="66">
        <f t="shared" si="56"/>
        <v>0</v>
      </c>
      <c r="CI25" s="58"/>
      <c r="CJ25" s="67"/>
      <c r="CK25" s="66">
        <f t="shared" si="57"/>
        <v>0</v>
      </c>
      <c r="CL25" s="58"/>
      <c r="CM25" s="67"/>
      <c r="CN25" s="66">
        <f t="shared" si="58"/>
        <v>0</v>
      </c>
      <c r="CO25" s="58"/>
      <c r="CP25" s="67"/>
      <c r="CQ25" s="66">
        <f t="shared" si="59"/>
        <v>0</v>
      </c>
      <c r="CR25" s="58"/>
      <c r="CS25" s="67"/>
      <c r="CT25" s="66">
        <f t="shared" si="60"/>
        <v>0</v>
      </c>
      <c r="CU25" s="58"/>
      <c r="CV25" s="67"/>
      <c r="CW25" s="66">
        <f t="shared" si="61"/>
        <v>0</v>
      </c>
      <c r="CX25" s="58"/>
      <c r="CY25" s="67"/>
      <c r="CZ25" s="66">
        <f t="shared" si="62"/>
        <v>0</v>
      </c>
      <c r="DA25" s="58"/>
      <c r="DB25" s="67"/>
      <c r="DC25" s="66">
        <f t="shared" si="63"/>
        <v>0</v>
      </c>
      <c r="DD25" s="58"/>
      <c r="DE25" s="67"/>
      <c r="DF25" s="66">
        <f t="shared" si="64"/>
        <v>0</v>
      </c>
      <c r="DG25" s="58"/>
      <c r="DH25" s="67"/>
      <c r="DI25" s="66">
        <f t="shared" si="65"/>
        <v>0</v>
      </c>
      <c r="DJ25" s="58"/>
      <c r="DK25" s="67"/>
      <c r="DL25" s="66">
        <f t="shared" si="66"/>
        <v>0</v>
      </c>
      <c r="DM25" s="58"/>
      <c r="DN25" s="67"/>
      <c r="DO25" s="66">
        <f t="shared" si="67"/>
        <v>0</v>
      </c>
      <c r="DP25" s="58"/>
      <c r="DQ25" s="67"/>
      <c r="DR25" s="66">
        <f t="shared" si="68"/>
        <v>0</v>
      </c>
      <c r="DS25" s="58"/>
      <c r="DT25" s="67"/>
      <c r="DU25" s="66">
        <f t="shared" si="69"/>
        <v>0</v>
      </c>
      <c r="DV25" s="58"/>
      <c r="DW25" s="67"/>
      <c r="DX25" s="66">
        <f t="shared" si="70"/>
        <v>0</v>
      </c>
      <c r="DY25" s="58"/>
      <c r="DZ25" s="67"/>
      <c r="EA25" s="66">
        <f t="shared" si="71"/>
        <v>0</v>
      </c>
      <c r="EB25" s="58"/>
      <c r="EC25" s="67"/>
      <c r="ED25" s="66">
        <f t="shared" si="72"/>
        <v>0</v>
      </c>
      <c r="EE25" s="58"/>
      <c r="EF25" s="67"/>
      <c r="EG25" s="66">
        <f t="shared" si="73"/>
        <v>0</v>
      </c>
      <c r="EH25" s="58"/>
      <c r="EI25" s="58"/>
    </row>
    <row r="26" spans="1:139">
      <c r="A26" s="43"/>
      <c r="B26" s="43"/>
      <c r="C26" s="419" t="str">
        <f>Idiomas!D322</f>
        <v>CUARTOS - Resultado exacto</v>
      </c>
      <c r="D26" s="55">
        <v>10</v>
      </c>
      <c r="E26" s="103"/>
      <c r="F26" s="426">
        <f t="shared" si="32"/>
        <v>17</v>
      </c>
      <c r="G26" s="426">
        <f ca="1">VLOOKUP(H26,Equipos!$Q$1:$R$25,2,0)</f>
        <v>7</v>
      </c>
      <c r="H26" s="427">
        <f ca="1">TRUNC(INDEX(WORLDCUP!$X$4:$X$147,MATCH(ADMIN!K26,WORLDCUP!$DT$4:$DT$147,0))+INDEX(Horarios!$R$3:$R$86,MATCH(Horarios!$C$3,Horarios!$P$3:$P$86,0))/24)</f>
        <v>46190</v>
      </c>
      <c r="I26" s="42">
        <v>1</v>
      </c>
      <c r="J26" s="87" t="s">
        <v>515</v>
      </c>
      <c r="K26" s="49" t="str">
        <f ca="1">CONCATENATE(WORLDCUP!AA84,"-",WORLDCUP!AF84)</f>
        <v>Portugal-RD Congo</v>
      </c>
      <c r="L26" s="46"/>
      <c r="M26" s="48" t="str">
        <f>IF(OR(WORLDCUP!AC84="",WORLDCUP!AD84=""),"-",N26&amp;"|"&amp;O26&amp;"-"&amp;P26)</f>
        <v>-</v>
      </c>
      <c r="N26" s="711" t="str">
        <f>IF(OR(WORLDCUP!AC84="",WORLDCUP!AD84=""),"",IF(WORLDCUP!AC84&gt;WORLDCUP!AD84,"1",IF(WORLDCUP!AC84&lt;WORLDCUP!AD84,"2","X")))</f>
        <v/>
      </c>
      <c r="O26" s="711">
        <f>WORLDCUP!AC84</f>
        <v>0</v>
      </c>
      <c r="P26" s="711">
        <f>WORLDCUP!AD84</f>
        <v>0</v>
      </c>
      <c r="Q26" s="711">
        <f t="shared" si="33"/>
        <v>0</v>
      </c>
      <c r="R26" s="43"/>
      <c r="S26" s="67" t="s">
        <v>1952</v>
      </c>
      <c r="T26" s="66">
        <f t="shared" si="34"/>
        <v>0</v>
      </c>
      <c r="U26" s="58"/>
      <c r="V26" s="67" t="s">
        <v>1953</v>
      </c>
      <c r="W26" s="66">
        <f t="shared" si="35"/>
        <v>0</v>
      </c>
      <c r="X26" s="58"/>
      <c r="Y26" s="67" t="s">
        <v>1953</v>
      </c>
      <c r="Z26" s="66">
        <f t="shared" si="36"/>
        <v>0</v>
      </c>
      <c r="AA26" s="58"/>
      <c r="AB26" s="67" t="s">
        <v>1959</v>
      </c>
      <c r="AC26" s="66">
        <f t="shared" si="37"/>
        <v>0</v>
      </c>
      <c r="AD26" s="58"/>
      <c r="AE26" s="67" t="s">
        <v>1958</v>
      </c>
      <c r="AF26" s="66">
        <f t="shared" si="38"/>
        <v>0</v>
      </c>
      <c r="AG26" s="58"/>
      <c r="AH26" s="67" t="s">
        <v>1953</v>
      </c>
      <c r="AI26" s="66">
        <f t="shared" si="39"/>
        <v>0</v>
      </c>
      <c r="AJ26" s="58"/>
      <c r="AK26" s="67" t="s">
        <v>1953</v>
      </c>
      <c r="AL26" s="66">
        <f t="shared" si="40"/>
        <v>0</v>
      </c>
      <c r="AM26" s="58"/>
      <c r="AN26" s="67" t="s">
        <v>1959</v>
      </c>
      <c r="AO26" s="66">
        <f t="shared" si="41"/>
        <v>0</v>
      </c>
      <c r="AP26" s="58"/>
      <c r="AQ26" s="67" t="s">
        <v>1959</v>
      </c>
      <c r="AR26" s="66">
        <f t="shared" si="42"/>
        <v>0</v>
      </c>
      <c r="AS26" s="58"/>
      <c r="AT26" s="67" t="s">
        <v>1958</v>
      </c>
      <c r="AU26" s="66">
        <f t="shared" si="43"/>
        <v>0</v>
      </c>
      <c r="AV26" s="58"/>
      <c r="AW26" s="67" t="s">
        <v>1959</v>
      </c>
      <c r="AX26" s="66">
        <f t="shared" si="44"/>
        <v>0</v>
      </c>
      <c r="AY26" s="58"/>
      <c r="AZ26" s="67" t="s">
        <v>1953</v>
      </c>
      <c r="BA26" s="66">
        <f t="shared" si="45"/>
        <v>0</v>
      </c>
      <c r="BB26" s="58"/>
      <c r="BC26" s="67" t="s">
        <v>1961</v>
      </c>
      <c r="BD26" s="66">
        <f t="shared" si="46"/>
        <v>0</v>
      </c>
      <c r="BE26" s="58"/>
      <c r="BF26" s="67" t="s">
        <v>1959</v>
      </c>
      <c r="BG26" s="66">
        <f t="shared" si="47"/>
        <v>0</v>
      </c>
      <c r="BH26" s="58"/>
      <c r="BI26" s="67" t="s">
        <v>1956</v>
      </c>
      <c r="BJ26" s="66">
        <f t="shared" si="48"/>
        <v>0</v>
      </c>
      <c r="BK26" s="58"/>
      <c r="BL26" s="67" t="s">
        <v>1959</v>
      </c>
      <c r="BM26" s="66">
        <f t="shared" si="49"/>
        <v>0</v>
      </c>
      <c r="BN26" s="58"/>
      <c r="BO26" s="67" t="s">
        <v>1947</v>
      </c>
      <c r="BP26" s="66">
        <f t="shared" si="50"/>
        <v>0</v>
      </c>
      <c r="BQ26" s="58"/>
      <c r="BR26" s="67" t="s">
        <v>1953</v>
      </c>
      <c r="BS26" s="66">
        <f t="shared" si="51"/>
        <v>0</v>
      </c>
      <c r="BT26" s="58"/>
      <c r="BU26" s="67"/>
      <c r="BV26" s="66">
        <f t="shared" si="52"/>
        <v>0</v>
      </c>
      <c r="BW26" s="58"/>
      <c r="BX26" s="67"/>
      <c r="BY26" s="66">
        <f t="shared" si="53"/>
        <v>0</v>
      </c>
      <c r="BZ26" s="58"/>
      <c r="CA26" s="67"/>
      <c r="CB26" s="66">
        <f t="shared" si="54"/>
        <v>0</v>
      </c>
      <c r="CC26" s="58"/>
      <c r="CD26" s="67"/>
      <c r="CE26" s="66">
        <f t="shared" si="55"/>
        <v>0</v>
      </c>
      <c r="CF26" s="58"/>
      <c r="CG26" s="67"/>
      <c r="CH26" s="66">
        <f t="shared" si="56"/>
        <v>0</v>
      </c>
      <c r="CI26" s="58"/>
      <c r="CJ26" s="67"/>
      <c r="CK26" s="66">
        <f t="shared" si="57"/>
        <v>0</v>
      </c>
      <c r="CL26" s="58"/>
      <c r="CM26" s="67"/>
      <c r="CN26" s="66">
        <f t="shared" si="58"/>
        <v>0</v>
      </c>
      <c r="CO26" s="58"/>
      <c r="CP26" s="67"/>
      <c r="CQ26" s="66">
        <f t="shared" si="59"/>
        <v>0</v>
      </c>
      <c r="CR26" s="58"/>
      <c r="CS26" s="67"/>
      <c r="CT26" s="66">
        <f t="shared" si="60"/>
        <v>0</v>
      </c>
      <c r="CU26" s="58"/>
      <c r="CV26" s="67"/>
      <c r="CW26" s="66">
        <f t="shared" si="61"/>
        <v>0</v>
      </c>
      <c r="CX26" s="58"/>
      <c r="CY26" s="67"/>
      <c r="CZ26" s="66">
        <f t="shared" si="62"/>
        <v>0</v>
      </c>
      <c r="DA26" s="58"/>
      <c r="DB26" s="67"/>
      <c r="DC26" s="66">
        <f t="shared" si="63"/>
        <v>0</v>
      </c>
      <c r="DD26" s="58"/>
      <c r="DE26" s="67"/>
      <c r="DF26" s="66">
        <f t="shared" si="64"/>
        <v>0</v>
      </c>
      <c r="DG26" s="58"/>
      <c r="DH26" s="67"/>
      <c r="DI26" s="66">
        <f t="shared" si="65"/>
        <v>0</v>
      </c>
      <c r="DJ26" s="58"/>
      <c r="DK26" s="67"/>
      <c r="DL26" s="66">
        <f t="shared" si="66"/>
        <v>0</v>
      </c>
      <c r="DM26" s="58"/>
      <c r="DN26" s="67"/>
      <c r="DO26" s="66">
        <f t="shared" si="67"/>
        <v>0</v>
      </c>
      <c r="DP26" s="58"/>
      <c r="DQ26" s="67"/>
      <c r="DR26" s="66">
        <f t="shared" si="68"/>
        <v>0</v>
      </c>
      <c r="DS26" s="58"/>
      <c r="DT26" s="67"/>
      <c r="DU26" s="66">
        <f t="shared" si="69"/>
        <v>0</v>
      </c>
      <c r="DV26" s="58"/>
      <c r="DW26" s="67"/>
      <c r="DX26" s="66">
        <f t="shared" si="70"/>
        <v>0</v>
      </c>
      <c r="DY26" s="58"/>
      <c r="DZ26" s="67"/>
      <c r="EA26" s="66">
        <f t="shared" si="71"/>
        <v>0</v>
      </c>
      <c r="EB26" s="58"/>
      <c r="EC26" s="67"/>
      <c r="ED26" s="66">
        <f t="shared" si="72"/>
        <v>0</v>
      </c>
      <c r="EE26" s="58"/>
      <c r="EF26" s="67"/>
      <c r="EG26" s="66">
        <f t="shared" si="73"/>
        <v>0</v>
      </c>
      <c r="EH26" s="58"/>
      <c r="EI26" s="58"/>
    </row>
    <row r="27" spans="1:139">
      <c r="A27" s="43"/>
      <c r="B27" s="43"/>
      <c r="C27" s="421" t="str">
        <f>Idiomas!D323</f>
        <v>Equipo clasificado para SEMIFINALES</v>
      </c>
      <c r="D27" s="39">
        <v>6</v>
      </c>
      <c r="E27" s="103"/>
      <c r="F27" s="426">
        <f t="shared" si="32"/>
        <v>17</v>
      </c>
      <c r="G27" s="426">
        <f ca="1">VLOOKUP(H27,Equipos!$Q$1:$R$25,2,0)</f>
        <v>8</v>
      </c>
      <c r="H27" s="427">
        <f ca="1">TRUNC(INDEX(WORLDCUP!$X$4:$X$147,MATCH(ADMIN!K27,WORLDCUP!$DT$4:$DT$147,0))+INDEX(Horarios!$R$3:$R$86,MATCH(Horarios!$C$3,Horarios!$P$3:$P$86,0))/24)</f>
        <v>46191</v>
      </c>
      <c r="I27" s="42">
        <v>1</v>
      </c>
      <c r="J27" s="87" t="s">
        <v>515</v>
      </c>
      <c r="K27" s="46" t="str">
        <f ca="1">CONCATENATE(WORLDCUP!AA85,"-",WORLDCUP!AF85)</f>
        <v>Uzbekistán-Colombia</v>
      </c>
      <c r="L27" s="46"/>
      <c r="M27" s="46" t="str">
        <f>IF(OR(WORLDCUP!AC85="",WORLDCUP!AD85=""),"-",N27&amp;"|"&amp;O27&amp;"-"&amp;P27)</f>
        <v>-</v>
      </c>
      <c r="N27" s="711" t="str">
        <f>IF(OR(WORLDCUP!AC85="",WORLDCUP!AD85=""),"",IF(WORLDCUP!AC85&gt;WORLDCUP!AD85,"1",IF(WORLDCUP!AC85&lt;WORLDCUP!AD85,"2","X")))</f>
        <v/>
      </c>
      <c r="O27" s="711">
        <f>WORLDCUP!AC85</f>
        <v>0</v>
      </c>
      <c r="P27" s="711">
        <f>WORLDCUP!AD85</f>
        <v>0</v>
      </c>
      <c r="Q27" s="711">
        <f t="shared" si="33"/>
        <v>0</v>
      </c>
      <c r="R27" s="43"/>
      <c r="S27" s="67" t="s">
        <v>1957</v>
      </c>
      <c r="T27" s="66">
        <f t="shared" si="34"/>
        <v>0</v>
      </c>
      <c r="U27" s="58"/>
      <c r="V27" s="67" t="s">
        <v>1960</v>
      </c>
      <c r="W27" s="66">
        <f t="shared" si="35"/>
        <v>0</v>
      </c>
      <c r="X27" s="58"/>
      <c r="Y27" s="67" t="s">
        <v>1955</v>
      </c>
      <c r="Z27" s="66">
        <f t="shared" si="36"/>
        <v>0</v>
      </c>
      <c r="AA27" s="58"/>
      <c r="AB27" s="67" t="s">
        <v>1960</v>
      </c>
      <c r="AC27" s="66">
        <f t="shared" si="37"/>
        <v>0</v>
      </c>
      <c r="AD27" s="58"/>
      <c r="AE27" s="67" t="s">
        <v>1960</v>
      </c>
      <c r="AF27" s="66">
        <f t="shared" si="38"/>
        <v>0</v>
      </c>
      <c r="AG27" s="58"/>
      <c r="AH27" s="67" t="s">
        <v>1955</v>
      </c>
      <c r="AI27" s="66">
        <f t="shared" si="39"/>
        <v>0</v>
      </c>
      <c r="AJ27" s="58"/>
      <c r="AK27" s="67" t="s">
        <v>1955</v>
      </c>
      <c r="AL27" s="66">
        <f t="shared" si="40"/>
        <v>0</v>
      </c>
      <c r="AM27" s="58"/>
      <c r="AN27" s="67" t="s">
        <v>1960</v>
      </c>
      <c r="AO27" s="66">
        <f t="shared" si="41"/>
        <v>0</v>
      </c>
      <c r="AP27" s="58"/>
      <c r="AQ27" s="67" t="s">
        <v>1949</v>
      </c>
      <c r="AR27" s="66">
        <f t="shared" si="42"/>
        <v>0</v>
      </c>
      <c r="AS27" s="58"/>
      <c r="AT27" s="67" t="s">
        <v>1960</v>
      </c>
      <c r="AU27" s="66">
        <f t="shared" si="43"/>
        <v>0</v>
      </c>
      <c r="AV27" s="58"/>
      <c r="AW27" s="67" t="s">
        <v>1960</v>
      </c>
      <c r="AX27" s="66">
        <f t="shared" si="44"/>
        <v>0</v>
      </c>
      <c r="AY27" s="58"/>
      <c r="AZ27" s="67" t="s">
        <v>1955</v>
      </c>
      <c r="BA27" s="66">
        <f t="shared" si="45"/>
        <v>0</v>
      </c>
      <c r="BB27" s="58"/>
      <c r="BC27" s="67" t="s">
        <v>1949</v>
      </c>
      <c r="BD27" s="66">
        <f t="shared" si="46"/>
        <v>0</v>
      </c>
      <c r="BE27" s="58"/>
      <c r="BF27" s="67" t="s">
        <v>1960</v>
      </c>
      <c r="BG27" s="66">
        <f t="shared" si="47"/>
        <v>0</v>
      </c>
      <c r="BH27" s="58"/>
      <c r="BI27" s="67" t="s">
        <v>1950</v>
      </c>
      <c r="BJ27" s="66">
        <f t="shared" si="48"/>
        <v>0</v>
      </c>
      <c r="BK27" s="58"/>
      <c r="BL27" s="67" t="s">
        <v>1960</v>
      </c>
      <c r="BM27" s="66">
        <f t="shared" si="49"/>
        <v>0</v>
      </c>
      <c r="BN27" s="58"/>
      <c r="BO27" s="67" t="s">
        <v>1948</v>
      </c>
      <c r="BP27" s="66">
        <f t="shared" si="50"/>
        <v>0</v>
      </c>
      <c r="BQ27" s="58"/>
      <c r="BR27" s="67" t="s">
        <v>1960</v>
      </c>
      <c r="BS27" s="66">
        <f t="shared" si="51"/>
        <v>0</v>
      </c>
      <c r="BT27" s="58"/>
      <c r="BU27" s="67"/>
      <c r="BV27" s="66">
        <f t="shared" si="52"/>
        <v>0</v>
      </c>
      <c r="BW27" s="58"/>
      <c r="BX27" s="67"/>
      <c r="BY27" s="66">
        <f t="shared" si="53"/>
        <v>0</v>
      </c>
      <c r="BZ27" s="58"/>
      <c r="CA27" s="67"/>
      <c r="CB27" s="66">
        <f t="shared" si="54"/>
        <v>0</v>
      </c>
      <c r="CC27" s="58"/>
      <c r="CD27" s="67"/>
      <c r="CE27" s="66">
        <f t="shared" si="55"/>
        <v>0</v>
      </c>
      <c r="CF27" s="58"/>
      <c r="CG27" s="67"/>
      <c r="CH27" s="66">
        <f t="shared" si="56"/>
        <v>0</v>
      </c>
      <c r="CI27" s="58"/>
      <c r="CJ27" s="67"/>
      <c r="CK27" s="66">
        <f t="shared" si="57"/>
        <v>0</v>
      </c>
      <c r="CL27" s="58"/>
      <c r="CM27" s="67"/>
      <c r="CN27" s="66">
        <f t="shared" si="58"/>
        <v>0</v>
      </c>
      <c r="CO27" s="58"/>
      <c r="CP27" s="67"/>
      <c r="CQ27" s="66">
        <f t="shared" si="59"/>
        <v>0</v>
      </c>
      <c r="CR27" s="58"/>
      <c r="CS27" s="67"/>
      <c r="CT27" s="66">
        <f t="shared" si="60"/>
        <v>0</v>
      </c>
      <c r="CU27" s="58"/>
      <c r="CV27" s="67"/>
      <c r="CW27" s="66">
        <f t="shared" si="61"/>
        <v>0</v>
      </c>
      <c r="CX27" s="58"/>
      <c r="CY27" s="67"/>
      <c r="CZ27" s="66">
        <f t="shared" si="62"/>
        <v>0</v>
      </c>
      <c r="DA27" s="58"/>
      <c r="DB27" s="67"/>
      <c r="DC27" s="66">
        <f t="shared" si="63"/>
        <v>0</v>
      </c>
      <c r="DD27" s="58"/>
      <c r="DE27" s="67"/>
      <c r="DF27" s="66">
        <f t="shared" si="64"/>
        <v>0</v>
      </c>
      <c r="DG27" s="58"/>
      <c r="DH27" s="67"/>
      <c r="DI27" s="66">
        <f t="shared" si="65"/>
        <v>0</v>
      </c>
      <c r="DJ27" s="58"/>
      <c r="DK27" s="67"/>
      <c r="DL27" s="66">
        <f t="shared" si="66"/>
        <v>0</v>
      </c>
      <c r="DM27" s="58"/>
      <c r="DN27" s="67"/>
      <c r="DO27" s="66">
        <f t="shared" si="67"/>
        <v>0</v>
      </c>
      <c r="DP27" s="58"/>
      <c r="DQ27" s="67"/>
      <c r="DR27" s="66">
        <f t="shared" si="68"/>
        <v>0</v>
      </c>
      <c r="DS27" s="58"/>
      <c r="DT27" s="67"/>
      <c r="DU27" s="66">
        <f t="shared" si="69"/>
        <v>0</v>
      </c>
      <c r="DV27" s="58"/>
      <c r="DW27" s="67"/>
      <c r="DX27" s="66">
        <f t="shared" si="70"/>
        <v>0</v>
      </c>
      <c r="DY27" s="58"/>
      <c r="DZ27" s="67"/>
      <c r="EA27" s="66">
        <f t="shared" si="71"/>
        <v>0</v>
      </c>
      <c r="EB27" s="58"/>
      <c r="EC27" s="67"/>
      <c r="ED27" s="66">
        <f t="shared" si="72"/>
        <v>0</v>
      </c>
      <c r="EE27" s="58"/>
      <c r="EF27" s="67"/>
      <c r="EG27" s="66">
        <f t="shared" si="73"/>
        <v>0</v>
      </c>
      <c r="EH27" s="58"/>
      <c r="EI27" s="58"/>
    </row>
    <row r="28" spans="1:139">
      <c r="A28" s="43"/>
      <c r="B28" s="43"/>
      <c r="C28" s="419" t="str">
        <f>Idiomas!D324</f>
        <v>SEMIFINALES - Signo 1X2  (local, empate, visitante)</v>
      </c>
      <c r="D28" s="55">
        <v>6</v>
      </c>
      <c r="E28" s="103"/>
      <c r="F28" s="426">
        <f t="shared" si="32"/>
        <v>17</v>
      </c>
      <c r="G28" s="426">
        <f ca="1">VLOOKUP(H28,Equipos!$Q$1:$R$25,2,0)</f>
        <v>8</v>
      </c>
      <c r="H28" s="427">
        <f ca="1">TRUNC(INDEX(WORLDCUP!$X$4:$X$147,MATCH(ADMIN!K28,WORLDCUP!$DT$4:$DT$147,0))+INDEX(Horarios!$R$3:$R$86,MATCH(Horarios!$C$3,Horarios!$P$3:$P$86,0))/24)</f>
        <v>46191</v>
      </c>
      <c r="I28" s="42">
        <v>1</v>
      </c>
      <c r="J28" s="88" t="s">
        <v>1196</v>
      </c>
      <c r="K28" s="46" t="str">
        <f ca="1">CONCATENATE(WORLDCUP!AA92,"-",WORLDCUP!AF92)</f>
        <v>Inglaterra-Croacia</v>
      </c>
      <c r="L28" s="46"/>
      <c r="M28" s="48" t="str">
        <f>IF(OR(WORLDCUP!AC92="",WORLDCUP!AD92=""),"-",N28&amp;"|"&amp;O28&amp;"-"&amp;P28)</f>
        <v>-</v>
      </c>
      <c r="N28" s="711" t="str">
        <f>IF(OR(WORLDCUP!AC92="",WORLDCUP!AD92=""),"",IF(WORLDCUP!AC92&gt;WORLDCUP!AD92,"1",IF(WORLDCUP!AC92&lt;WORLDCUP!AD92,"2","X")))</f>
        <v/>
      </c>
      <c r="O28" s="711">
        <f>WORLDCUP!AC92</f>
        <v>0</v>
      </c>
      <c r="P28" s="711">
        <f>WORLDCUP!AD92</f>
        <v>0</v>
      </c>
      <c r="Q28" s="711">
        <f t="shared" si="33"/>
        <v>0</v>
      </c>
      <c r="R28" s="43"/>
      <c r="S28" s="67" t="s">
        <v>1954</v>
      </c>
      <c r="T28" s="66">
        <f t="shared" si="34"/>
        <v>0</v>
      </c>
      <c r="U28" s="58"/>
      <c r="V28" s="67" t="s">
        <v>1947</v>
      </c>
      <c r="W28" s="66">
        <f t="shared" si="35"/>
        <v>0</v>
      </c>
      <c r="X28" s="58"/>
      <c r="Y28" s="67" t="s">
        <v>1947</v>
      </c>
      <c r="Z28" s="66">
        <f t="shared" si="36"/>
        <v>0</v>
      </c>
      <c r="AA28" s="58"/>
      <c r="AB28" s="67" t="s">
        <v>1963</v>
      </c>
      <c r="AC28" s="66">
        <f t="shared" si="37"/>
        <v>0</v>
      </c>
      <c r="AD28" s="58"/>
      <c r="AE28" s="67" t="s">
        <v>1947</v>
      </c>
      <c r="AF28" s="66">
        <f t="shared" si="38"/>
        <v>0</v>
      </c>
      <c r="AG28" s="58"/>
      <c r="AH28" s="67" t="s">
        <v>1947</v>
      </c>
      <c r="AI28" s="66">
        <f t="shared" si="39"/>
        <v>0</v>
      </c>
      <c r="AJ28" s="58"/>
      <c r="AK28" s="67" t="s">
        <v>1947</v>
      </c>
      <c r="AL28" s="66">
        <f t="shared" si="40"/>
        <v>0</v>
      </c>
      <c r="AM28" s="58"/>
      <c r="AN28" s="67" t="s">
        <v>1956</v>
      </c>
      <c r="AO28" s="66">
        <f t="shared" si="41"/>
        <v>0</v>
      </c>
      <c r="AP28" s="58"/>
      <c r="AQ28" s="67" t="s">
        <v>1948</v>
      </c>
      <c r="AR28" s="66">
        <f t="shared" si="42"/>
        <v>0</v>
      </c>
      <c r="AS28" s="58"/>
      <c r="AT28" s="67" t="s">
        <v>1948</v>
      </c>
      <c r="AU28" s="66">
        <f t="shared" si="43"/>
        <v>0</v>
      </c>
      <c r="AV28" s="58"/>
      <c r="AW28" s="67" t="s">
        <v>1947</v>
      </c>
      <c r="AX28" s="66">
        <f t="shared" si="44"/>
        <v>0</v>
      </c>
      <c r="AY28" s="58"/>
      <c r="AZ28" s="67" t="s">
        <v>1954</v>
      </c>
      <c r="BA28" s="66">
        <f t="shared" si="45"/>
        <v>0</v>
      </c>
      <c r="BB28" s="58"/>
      <c r="BC28" s="67" t="s">
        <v>1948</v>
      </c>
      <c r="BD28" s="66">
        <f t="shared" si="46"/>
        <v>0</v>
      </c>
      <c r="BE28" s="58"/>
      <c r="BF28" s="67" t="s">
        <v>1956</v>
      </c>
      <c r="BG28" s="66">
        <f t="shared" si="47"/>
        <v>0</v>
      </c>
      <c r="BH28" s="58"/>
      <c r="BI28" s="67" t="s">
        <v>1956</v>
      </c>
      <c r="BJ28" s="66">
        <f t="shared" si="48"/>
        <v>0</v>
      </c>
      <c r="BK28" s="58"/>
      <c r="BL28" s="67" t="s">
        <v>1953</v>
      </c>
      <c r="BM28" s="66">
        <f t="shared" si="49"/>
        <v>0</v>
      </c>
      <c r="BN28" s="58"/>
      <c r="BO28" s="67" t="s">
        <v>1953</v>
      </c>
      <c r="BP28" s="66">
        <f t="shared" si="50"/>
        <v>0</v>
      </c>
      <c r="BQ28" s="58"/>
      <c r="BR28" s="67" t="s">
        <v>1947</v>
      </c>
      <c r="BS28" s="66">
        <f t="shared" si="51"/>
        <v>0</v>
      </c>
      <c r="BT28" s="58"/>
      <c r="BU28" s="67"/>
      <c r="BV28" s="66">
        <f t="shared" si="52"/>
        <v>0</v>
      </c>
      <c r="BW28" s="58"/>
      <c r="BX28" s="67"/>
      <c r="BY28" s="66">
        <f t="shared" si="53"/>
        <v>0</v>
      </c>
      <c r="BZ28" s="58"/>
      <c r="CA28" s="67"/>
      <c r="CB28" s="66">
        <f t="shared" si="54"/>
        <v>0</v>
      </c>
      <c r="CC28" s="58"/>
      <c r="CD28" s="67"/>
      <c r="CE28" s="66">
        <f t="shared" si="55"/>
        <v>0</v>
      </c>
      <c r="CF28" s="58"/>
      <c r="CG28" s="67"/>
      <c r="CH28" s="66">
        <f t="shared" si="56"/>
        <v>0</v>
      </c>
      <c r="CI28" s="58"/>
      <c r="CJ28" s="67"/>
      <c r="CK28" s="66">
        <f t="shared" si="57"/>
        <v>0</v>
      </c>
      <c r="CL28" s="58"/>
      <c r="CM28" s="67"/>
      <c r="CN28" s="66">
        <f t="shared" si="58"/>
        <v>0</v>
      </c>
      <c r="CO28" s="58"/>
      <c r="CP28" s="67"/>
      <c r="CQ28" s="66">
        <f t="shared" si="59"/>
        <v>0</v>
      </c>
      <c r="CR28" s="58"/>
      <c r="CS28" s="67"/>
      <c r="CT28" s="66">
        <f t="shared" si="60"/>
        <v>0</v>
      </c>
      <c r="CU28" s="58"/>
      <c r="CV28" s="67"/>
      <c r="CW28" s="66">
        <f t="shared" si="61"/>
        <v>0</v>
      </c>
      <c r="CX28" s="58"/>
      <c r="CY28" s="67"/>
      <c r="CZ28" s="66">
        <f t="shared" si="62"/>
        <v>0</v>
      </c>
      <c r="DA28" s="58"/>
      <c r="DB28" s="67"/>
      <c r="DC28" s="66">
        <f t="shared" si="63"/>
        <v>0</v>
      </c>
      <c r="DD28" s="58"/>
      <c r="DE28" s="67"/>
      <c r="DF28" s="66">
        <f t="shared" si="64"/>
        <v>0</v>
      </c>
      <c r="DG28" s="58"/>
      <c r="DH28" s="67"/>
      <c r="DI28" s="66">
        <f t="shared" si="65"/>
        <v>0</v>
      </c>
      <c r="DJ28" s="58"/>
      <c r="DK28" s="67"/>
      <c r="DL28" s="66">
        <f t="shared" si="66"/>
        <v>0</v>
      </c>
      <c r="DM28" s="58"/>
      <c r="DN28" s="67"/>
      <c r="DO28" s="66">
        <f t="shared" si="67"/>
        <v>0</v>
      </c>
      <c r="DP28" s="58"/>
      <c r="DQ28" s="67"/>
      <c r="DR28" s="66">
        <f t="shared" si="68"/>
        <v>0</v>
      </c>
      <c r="DS28" s="58"/>
      <c r="DT28" s="67"/>
      <c r="DU28" s="66">
        <f t="shared" si="69"/>
        <v>0</v>
      </c>
      <c r="DV28" s="58"/>
      <c r="DW28" s="67"/>
      <c r="DX28" s="66">
        <f t="shared" si="70"/>
        <v>0</v>
      </c>
      <c r="DY28" s="58"/>
      <c r="DZ28" s="67"/>
      <c r="EA28" s="66">
        <f t="shared" si="71"/>
        <v>0</v>
      </c>
      <c r="EB28" s="58"/>
      <c r="EC28" s="67"/>
      <c r="ED28" s="66">
        <f t="shared" si="72"/>
        <v>0</v>
      </c>
      <c r="EE28" s="58"/>
      <c r="EF28" s="67"/>
      <c r="EG28" s="66">
        <f t="shared" si="73"/>
        <v>0</v>
      </c>
      <c r="EH28" s="58"/>
      <c r="EI28" s="58"/>
    </row>
    <row r="29" spans="1:139">
      <c r="A29" s="43"/>
      <c r="B29" s="43"/>
      <c r="C29" s="420" t="str">
        <f>Idiomas!D325&amp;"**"</f>
        <v>SEMIFINALES -Diferencia/Distancia de goles (Con 1X2 acertado)**</v>
      </c>
      <c r="D29" s="38">
        <v>2</v>
      </c>
      <c r="E29" s="103"/>
      <c r="F29" s="426">
        <f t="shared" si="32"/>
        <v>17</v>
      </c>
      <c r="G29" s="426">
        <f ca="1">VLOOKUP(H29,Equipos!$Q$1:$R$25,2,0)</f>
        <v>8</v>
      </c>
      <c r="H29" s="427">
        <f ca="1">TRUNC(INDEX(WORLDCUP!$X$4:$X$147,MATCH(ADMIN!K29,WORLDCUP!$DT$4:$DT$147,0))+INDEX(Horarios!$R$3:$R$86,MATCH(Horarios!$C$3,Horarios!$P$3:$P$86,0))/24)</f>
        <v>46191</v>
      </c>
      <c r="I29" s="42">
        <v>1</v>
      </c>
      <c r="J29" s="88" t="s">
        <v>1196</v>
      </c>
      <c r="K29" s="50" t="str">
        <f ca="1">CONCATENATE(WORLDCUP!AA93,"-",WORLDCUP!AF93)</f>
        <v>Ghana-Panamá</v>
      </c>
      <c r="L29" s="51"/>
      <c r="M29" s="52" t="str">
        <f>IF(OR(WORLDCUP!AC93="",WORLDCUP!AD93=""),"-",N29&amp;"|"&amp;O29&amp;"-"&amp;P29)</f>
        <v>-</v>
      </c>
      <c r="N29" s="711" t="str">
        <f>IF(OR(WORLDCUP!AC93="",WORLDCUP!AD93=""),"",IF(WORLDCUP!AC93&gt;WORLDCUP!AD93,"1",IF(WORLDCUP!AC93&lt;WORLDCUP!AD93,"2","X")))</f>
        <v/>
      </c>
      <c r="O29" s="711">
        <f>WORLDCUP!AC93</f>
        <v>0</v>
      </c>
      <c r="P29" s="711">
        <f>WORLDCUP!AD93</f>
        <v>0</v>
      </c>
      <c r="Q29" s="711">
        <f t="shared" si="33"/>
        <v>0</v>
      </c>
      <c r="R29" s="43"/>
      <c r="S29" s="71" t="s">
        <v>1948</v>
      </c>
      <c r="T29" s="72">
        <f t="shared" si="34"/>
        <v>0</v>
      </c>
      <c r="U29" s="58"/>
      <c r="V29" s="71" t="s">
        <v>1953</v>
      </c>
      <c r="W29" s="72">
        <f t="shared" si="35"/>
        <v>0</v>
      </c>
      <c r="X29" s="58"/>
      <c r="Y29" s="71" t="s">
        <v>1953</v>
      </c>
      <c r="Z29" s="72">
        <f t="shared" si="36"/>
        <v>0</v>
      </c>
      <c r="AA29" s="58"/>
      <c r="AB29" s="71" t="s">
        <v>1948</v>
      </c>
      <c r="AC29" s="72">
        <f t="shared" si="37"/>
        <v>0</v>
      </c>
      <c r="AD29" s="58"/>
      <c r="AE29" s="71" t="s">
        <v>1954</v>
      </c>
      <c r="AF29" s="72">
        <f t="shared" si="38"/>
        <v>0</v>
      </c>
      <c r="AG29" s="58"/>
      <c r="AH29" s="71" t="s">
        <v>1947</v>
      </c>
      <c r="AI29" s="72">
        <f t="shared" si="39"/>
        <v>0</v>
      </c>
      <c r="AJ29" s="58"/>
      <c r="AK29" s="71" t="s">
        <v>1947</v>
      </c>
      <c r="AL29" s="72">
        <f t="shared" si="40"/>
        <v>0</v>
      </c>
      <c r="AM29" s="58"/>
      <c r="AN29" s="71" t="s">
        <v>1947</v>
      </c>
      <c r="AO29" s="72">
        <f t="shared" si="41"/>
        <v>0</v>
      </c>
      <c r="AP29" s="58"/>
      <c r="AQ29" s="71" t="s">
        <v>1947</v>
      </c>
      <c r="AR29" s="72">
        <f t="shared" si="42"/>
        <v>0</v>
      </c>
      <c r="AS29" s="58"/>
      <c r="AT29" s="71" t="s">
        <v>1948</v>
      </c>
      <c r="AU29" s="72">
        <f t="shared" si="43"/>
        <v>0</v>
      </c>
      <c r="AV29" s="58"/>
      <c r="AW29" s="71" t="s">
        <v>1947</v>
      </c>
      <c r="AX29" s="72">
        <f t="shared" si="44"/>
        <v>0</v>
      </c>
      <c r="AY29" s="58"/>
      <c r="AZ29" s="71" t="s">
        <v>1956</v>
      </c>
      <c r="BA29" s="72">
        <f t="shared" si="45"/>
        <v>0</v>
      </c>
      <c r="BB29" s="58"/>
      <c r="BC29" s="71" t="s">
        <v>1953</v>
      </c>
      <c r="BD29" s="72">
        <f t="shared" si="46"/>
        <v>0</v>
      </c>
      <c r="BE29" s="58"/>
      <c r="BF29" s="71" t="s">
        <v>1962</v>
      </c>
      <c r="BG29" s="72">
        <f t="shared" si="47"/>
        <v>0</v>
      </c>
      <c r="BH29" s="58"/>
      <c r="BI29" s="71" t="s">
        <v>1956</v>
      </c>
      <c r="BJ29" s="72">
        <f t="shared" si="48"/>
        <v>0</v>
      </c>
      <c r="BK29" s="58"/>
      <c r="BL29" s="71" t="s">
        <v>1956</v>
      </c>
      <c r="BM29" s="72">
        <f t="shared" si="49"/>
        <v>0</v>
      </c>
      <c r="BN29" s="58"/>
      <c r="BO29" s="71" t="s">
        <v>1962</v>
      </c>
      <c r="BP29" s="72">
        <f t="shared" si="50"/>
        <v>0</v>
      </c>
      <c r="BQ29" s="58"/>
      <c r="BR29" s="71" t="s">
        <v>1956</v>
      </c>
      <c r="BS29" s="72">
        <f t="shared" si="51"/>
        <v>0</v>
      </c>
      <c r="BT29" s="58"/>
      <c r="BU29" s="71"/>
      <c r="BV29" s="72">
        <f t="shared" si="52"/>
        <v>0</v>
      </c>
      <c r="BW29" s="58"/>
      <c r="BX29" s="71"/>
      <c r="BY29" s="72">
        <f t="shared" si="53"/>
        <v>0</v>
      </c>
      <c r="BZ29" s="58"/>
      <c r="CA29" s="71"/>
      <c r="CB29" s="72">
        <f t="shared" si="54"/>
        <v>0</v>
      </c>
      <c r="CC29" s="58"/>
      <c r="CD29" s="71"/>
      <c r="CE29" s="72">
        <f t="shared" si="55"/>
        <v>0</v>
      </c>
      <c r="CF29" s="58"/>
      <c r="CG29" s="71"/>
      <c r="CH29" s="72">
        <f t="shared" si="56"/>
        <v>0</v>
      </c>
      <c r="CI29" s="58"/>
      <c r="CJ29" s="71"/>
      <c r="CK29" s="72">
        <f t="shared" si="57"/>
        <v>0</v>
      </c>
      <c r="CL29" s="58"/>
      <c r="CM29" s="71"/>
      <c r="CN29" s="72">
        <f t="shared" si="58"/>
        <v>0</v>
      </c>
      <c r="CO29" s="58"/>
      <c r="CP29" s="71"/>
      <c r="CQ29" s="72">
        <f t="shared" si="59"/>
        <v>0</v>
      </c>
      <c r="CR29" s="58"/>
      <c r="CS29" s="71"/>
      <c r="CT29" s="72">
        <f t="shared" si="60"/>
        <v>0</v>
      </c>
      <c r="CU29" s="58"/>
      <c r="CV29" s="71"/>
      <c r="CW29" s="72">
        <f t="shared" si="61"/>
        <v>0</v>
      </c>
      <c r="CX29" s="58"/>
      <c r="CY29" s="71"/>
      <c r="CZ29" s="72">
        <f t="shared" si="62"/>
        <v>0</v>
      </c>
      <c r="DA29" s="58"/>
      <c r="DB29" s="71"/>
      <c r="DC29" s="72">
        <f t="shared" si="63"/>
        <v>0</v>
      </c>
      <c r="DD29" s="58"/>
      <c r="DE29" s="71"/>
      <c r="DF29" s="72">
        <f t="shared" si="64"/>
        <v>0</v>
      </c>
      <c r="DG29" s="58"/>
      <c r="DH29" s="71"/>
      <c r="DI29" s="72">
        <f t="shared" si="65"/>
        <v>0</v>
      </c>
      <c r="DJ29" s="58"/>
      <c r="DK29" s="71"/>
      <c r="DL29" s="72">
        <f t="shared" si="66"/>
        <v>0</v>
      </c>
      <c r="DM29" s="58"/>
      <c r="DN29" s="71"/>
      <c r="DO29" s="72">
        <f t="shared" si="67"/>
        <v>0</v>
      </c>
      <c r="DP29" s="58"/>
      <c r="DQ29" s="71"/>
      <c r="DR29" s="72">
        <f t="shared" si="68"/>
        <v>0</v>
      </c>
      <c r="DS29" s="58"/>
      <c r="DT29" s="71"/>
      <c r="DU29" s="72">
        <f t="shared" si="69"/>
        <v>0</v>
      </c>
      <c r="DV29" s="58"/>
      <c r="DW29" s="71"/>
      <c r="DX29" s="72">
        <f t="shared" si="70"/>
        <v>0</v>
      </c>
      <c r="DY29" s="58"/>
      <c r="DZ29" s="71"/>
      <c r="EA29" s="72">
        <f t="shared" si="71"/>
        <v>0</v>
      </c>
      <c r="EB29" s="58"/>
      <c r="EC29" s="71"/>
      <c r="ED29" s="72">
        <f t="shared" si="72"/>
        <v>0</v>
      </c>
      <c r="EE29" s="58"/>
      <c r="EF29" s="71"/>
      <c r="EG29" s="72">
        <f t="shared" si="73"/>
        <v>0</v>
      </c>
      <c r="EH29" s="58"/>
      <c r="EI29" s="58"/>
    </row>
    <row r="30" spans="1:139">
      <c r="A30" s="43"/>
      <c r="B30" s="43"/>
      <c r="C30" s="419" t="str">
        <f>Idiomas!D326</f>
        <v>SEMIFINALES - Resultado exacto</v>
      </c>
      <c r="D30" s="55">
        <v>10</v>
      </c>
      <c r="E30" s="103"/>
      <c r="F30" s="426">
        <f t="shared" si="32"/>
        <v>17</v>
      </c>
      <c r="G30" s="426">
        <f ca="1">VLOOKUP(H30,Equipos!$Q$1:$R$25,2,0)</f>
        <v>8</v>
      </c>
      <c r="H30" s="427">
        <f ca="1">TRUNC(INDEX(WORLDCUP!$X$4:$X$147,MATCH(ADMIN!K30,WORLDCUP!$DT$4:$DT$147,0))+INDEX(Horarios!$R$3:$R$86,MATCH(Horarios!$C$3,Horarios!$P$3:$P$86,0))/24)</f>
        <v>46191</v>
      </c>
      <c r="I30" s="42">
        <v>1</v>
      </c>
      <c r="J30" s="87" t="s">
        <v>118</v>
      </c>
      <c r="K30" s="46" t="str">
        <f ca="1">CONCATENATE(WORLDCUP!AA6,"-",WORLDCUP!AF6)</f>
        <v>República Checa-Sudáfrica</v>
      </c>
      <c r="L30" s="46"/>
      <c r="M30" s="48" t="str">
        <f>IF(OR(WORLDCUP!AC6="",WORLDCUP!AD6=""),"-",N30&amp;"|"&amp;O30&amp;"-"&amp;P30)</f>
        <v>-</v>
      </c>
      <c r="N30" s="711" t="str">
        <f>IF(OR(WORLDCUP!AC6="",WORLDCUP!AD6=""),"",IF(WORLDCUP!AC6&gt;WORLDCUP!AD6,"1",IF(WORLDCUP!AC6&lt;WORLDCUP!AD6,"2","X")))</f>
        <v/>
      </c>
      <c r="O30" s="711">
        <f>WORLDCUP!AC6</f>
        <v>0</v>
      </c>
      <c r="P30" s="711">
        <f>WORLDCUP!AD6</f>
        <v>0</v>
      </c>
      <c r="Q30" s="711">
        <f t="shared" si="33"/>
        <v>0</v>
      </c>
      <c r="R30" s="43"/>
      <c r="S30" s="69" t="s">
        <v>1948</v>
      </c>
      <c r="T30" s="70">
        <f t="shared" si="34"/>
        <v>0</v>
      </c>
      <c r="U30" s="58"/>
      <c r="V30" s="69" t="s">
        <v>1956</v>
      </c>
      <c r="W30" s="70">
        <f t="shared" si="35"/>
        <v>0</v>
      </c>
      <c r="X30" s="58"/>
      <c r="Y30" s="69" t="s">
        <v>1950</v>
      </c>
      <c r="Z30" s="70">
        <f t="shared" si="36"/>
        <v>0</v>
      </c>
      <c r="AA30" s="58"/>
      <c r="AB30" s="69" t="s">
        <v>1947</v>
      </c>
      <c r="AC30" s="70">
        <f t="shared" si="37"/>
        <v>0</v>
      </c>
      <c r="AD30" s="58"/>
      <c r="AE30" s="69" t="s">
        <v>1956</v>
      </c>
      <c r="AF30" s="70">
        <f t="shared" si="38"/>
        <v>0</v>
      </c>
      <c r="AG30" s="58"/>
      <c r="AH30" s="69" t="s">
        <v>1948</v>
      </c>
      <c r="AI30" s="70">
        <f t="shared" si="39"/>
        <v>0</v>
      </c>
      <c r="AJ30" s="58"/>
      <c r="AK30" s="69" t="s">
        <v>1947</v>
      </c>
      <c r="AL30" s="70">
        <f t="shared" si="40"/>
        <v>0</v>
      </c>
      <c r="AM30" s="58"/>
      <c r="AN30" s="69" t="s">
        <v>1956</v>
      </c>
      <c r="AO30" s="70">
        <f t="shared" si="41"/>
        <v>0</v>
      </c>
      <c r="AP30" s="58"/>
      <c r="AQ30" s="69" t="s">
        <v>1948</v>
      </c>
      <c r="AR30" s="70">
        <f t="shared" si="42"/>
        <v>0</v>
      </c>
      <c r="AS30" s="58"/>
      <c r="AT30" s="69" t="s">
        <v>1954</v>
      </c>
      <c r="AU30" s="70">
        <f t="shared" si="43"/>
        <v>0</v>
      </c>
      <c r="AV30" s="58"/>
      <c r="AW30" s="69" t="s">
        <v>1953</v>
      </c>
      <c r="AX30" s="70">
        <f t="shared" si="44"/>
        <v>0</v>
      </c>
      <c r="AY30" s="58"/>
      <c r="AZ30" s="69" t="s">
        <v>1947</v>
      </c>
      <c r="BA30" s="70">
        <f t="shared" si="45"/>
        <v>0</v>
      </c>
      <c r="BB30" s="58"/>
      <c r="BC30" s="69" t="s">
        <v>1953</v>
      </c>
      <c r="BD30" s="70">
        <f t="shared" si="46"/>
        <v>0</v>
      </c>
      <c r="BE30" s="58"/>
      <c r="BF30" s="69" t="s">
        <v>1947</v>
      </c>
      <c r="BG30" s="70">
        <f t="shared" si="47"/>
        <v>0</v>
      </c>
      <c r="BH30" s="58"/>
      <c r="BI30" s="69" t="s">
        <v>1950</v>
      </c>
      <c r="BJ30" s="70">
        <f t="shared" si="48"/>
        <v>0</v>
      </c>
      <c r="BK30" s="58"/>
      <c r="BL30" s="69" t="s">
        <v>1948</v>
      </c>
      <c r="BM30" s="70">
        <f t="shared" si="49"/>
        <v>0</v>
      </c>
      <c r="BN30" s="58"/>
      <c r="BO30" s="69" t="s">
        <v>1954</v>
      </c>
      <c r="BP30" s="70">
        <f t="shared" si="50"/>
        <v>0</v>
      </c>
      <c r="BQ30" s="58"/>
      <c r="BR30" s="69" t="s">
        <v>1956</v>
      </c>
      <c r="BS30" s="70">
        <f t="shared" si="51"/>
        <v>0</v>
      </c>
      <c r="BT30" s="58"/>
      <c r="BU30" s="69" t="str">
        <f>Idiomas!$D$365</f>
        <v>Pegar Valores (J2)</v>
      </c>
      <c r="BV30" s="70">
        <f t="shared" si="52"/>
        <v>0</v>
      </c>
      <c r="BW30" s="58"/>
      <c r="BX30" s="69" t="str">
        <f>Idiomas!$D$365</f>
        <v>Pegar Valores (J2)</v>
      </c>
      <c r="BY30" s="70">
        <f t="shared" si="53"/>
        <v>0</v>
      </c>
      <c r="BZ30" s="58"/>
      <c r="CA30" s="69" t="str">
        <f>Idiomas!$D$365</f>
        <v>Pegar Valores (J2)</v>
      </c>
      <c r="CB30" s="70">
        <f t="shared" si="54"/>
        <v>0</v>
      </c>
      <c r="CC30" s="58"/>
      <c r="CD30" s="69" t="str">
        <f>Idiomas!$D$365</f>
        <v>Pegar Valores (J2)</v>
      </c>
      <c r="CE30" s="70">
        <f t="shared" si="55"/>
        <v>0</v>
      </c>
      <c r="CF30" s="58"/>
      <c r="CG30" s="69" t="str">
        <f>Idiomas!$D$365</f>
        <v>Pegar Valores (J2)</v>
      </c>
      <c r="CH30" s="70">
        <f t="shared" si="56"/>
        <v>0</v>
      </c>
      <c r="CI30" s="58"/>
      <c r="CJ30" s="69" t="str">
        <f>Idiomas!$D$365</f>
        <v>Pegar Valores (J2)</v>
      </c>
      <c r="CK30" s="70">
        <f t="shared" si="57"/>
        <v>0</v>
      </c>
      <c r="CL30" s="58"/>
      <c r="CM30" s="69" t="str">
        <f>Idiomas!$D$365</f>
        <v>Pegar Valores (J2)</v>
      </c>
      <c r="CN30" s="70">
        <f t="shared" si="58"/>
        <v>0</v>
      </c>
      <c r="CO30" s="58"/>
      <c r="CP30" s="69" t="str">
        <f>Idiomas!$D$365</f>
        <v>Pegar Valores (J2)</v>
      </c>
      <c r="CQ30" s="70">
        <f t="shared" si="59"/>
        <v>0</v>
      </c>
      <c r="CR30" s="58"/>
      <c r="CS30" s="69" t="str">
        <f>Idiomas!$D$365</f>
        <v>Pegar Valores (J2)</v>
      </c>
      <c r="CT30" s="70">
        <f t="shared" si="60"/>
        <v>0</v>
      </c>
      <c r="CU30" s="58"/>
      <c r="CV30" s="69" t="str">
        <f>Idiomas!$D$365</f>
        <v>Pegar Valores (J2)</v>
      </c>
      <c r="CW30" s="70">
        <f t="shared" si="61"/>
        <v>0</v>
      </c>
      <c r="CX30" s="58"/>
      <c r="CY30" s="69" t="str">
        <f>Idiomas!$D$365</f>
        <v>Pegar Valores (J2)</v>
      </c>
      <c r="CZ30" s="70">
        <f t="shared" si="62"/>
        <v>0</v>
      </c>
      <c r="DA30" s="58"/>
      <c r="DB30" s="69" t="str">
        <f>Idiomas!$D$365</f>
        <v>Pegar Valores (J2)</v>
      </c>
      <c r="DC30" s="70">
        <f t="shared" si="63"/>
        <v>0</v>
      </c>
      <c r="DD30" s="58"/>
      <c r="DE30" s="69" t="str">
        <f>Idiomas!$D$365</f>
        <v>Pegar Valores (J2)</v>
      </c>
      <c r="DF30" s="70">
        <f t="shared" si="64"/>
        <v>0</v>
      </c>
      <c r="DG30" s="58"/>
      <c r="DH30" s="69" t="str">
        <f>Idiomas!$D$365</f>
        <v>Pegar Valores (J2)</v>
      </c>
      <c r="DI30" s="70">
        <f t="shared" si="65"/>
        <v>0</v>
      </c>
      <c r="DJ30" s="58"/>
      <c r="DK30" s="69" t="str">
        <f>Idiomas!$D$365</f>
        <v>Pegar Valores (J2)</v>
      </c>
      <c r="DL30" s="70">
        <f t="shared" si="66"/>
        <v>0</v>
      </c>
      <c r="DM30" s="58"/>
      <c r="DN30" s="69" t="str">
        <f>Idiomas!$D$365</f>
        <v>Pegar Valores (J2)</v>
      </c>
      <c r="DO30" s="70">
        <f t="shared" si="67"/>
        <v>0</v>
      </c>
      <c r="DP30" s="58"/>
      <c r="DQ30" s="69" t="str">
        <f>Idiomas!$D$365</f>
        <v>Pegar Valores (J2)</v>
      </c>
      <c r="DR30" s="70">
        <f t="shared" si="68"/>
        <v>0</v>
      </c>
      <c r="DS30" s="58"/>
      <c r="DT30" s="69" t="str">
        <f>Idiomas!$D$365</f>
        <v>Pegar Valores (J2)</v>
      </c>
      <c r="DU30" s="70">
        <f t="shared" si="69"/>
        <v>0</v>
      </c>
      <c r="DV30" s="58"/>
      <c r="DW30" s="69" t="str">
        <f>Idiomas!$D$365</f>
        <v>Pegar Valores (J2)</v>
      </c>
      <c r="DX30" s="70">
        <f t="shared" si="70"/>
        <v>0</v>
      </c>
      <c r="DY30" s="58"/>
      <c r="DZ30" s="69" t="str">
        <f>Idiomas!$D$365</f>
        <v>Pegar Valores (J2)</v>
      </c>
      <c r="EA30" s="70">
        <f t="shared" si="71"/>
        <v>0</v>
      </c>
      <c r="EB30" s="58"/>
      <c r="EC30" s="69" t="str">
        <f>Idiomas!$D$365</f>
        <v>Pegar Valores (J2)</v>
      </c>
      <c r="ED30" s="70">
        <f t="shared" si="72"/>
        <v>0</v>
      </c>
      <c r="EE30" s="58"/>
      <c r="EF30" s="69" t="str">
        <f>Idiomas!$D$365</f>
        <v>Pegar Valores (J2)</v>
      </c>
      <c r="EG30" s="70">
        <f t="shared" si="73"/>
        <v>0</v>
      </c>
      <c r="EH30" s="58"/>
      <c r="EI30" s="58"/>
    </row>
    <row r="31" spans="1:139">
      <c r="A31" s="43"/>
      <c r="B31" s="43"/>
      <c r="C31" s="420" t="str">
        <f>Idiomas!D327</f>
        <v>Equipo clasificado para 3º y 4º puesto</v>
      </c>
      <c r="D31" s="38">
        <v>7</v>
      </c>
      <c r="E31" s="103"/>
      <c r="F31" s="426">
        <f t="shared" si="32"/>
        <v>17</v>
      </c>
      <c r="G31" s="426">
        <f ca="1">VLOOKUP(H31,Equipos!$Q$1:$R$25,2,0)</f>
        <v>9</v>
      </c>
      <c r="H31" s="427">
        <f ca="1">TRUNC(INDEX(WORLDCUP!$X$4:$X$147,MATCH(ADMIN!K31,WORLDCUP!$DT$4:$DT$147,0))+INDEX(Horarios!$R$3:$R$86,MATCH(Horarios!$C$3,Horarios!$P$3:$P$86,0))/24)</f>
        <v>46192</v>
      </c>
      <c r="I31" s="42">
        <v>1</v>
      </c>
      <c r="J31" s="87" t="s">
        <v>118</v>
      </c>
      <c r="K31" s="49" t="str">
        <f ca="1">CONCATENATE(WORLDCUP!AA7,"-",WORLDCUP!AF7)</f>
        <v>México-Corea del Sur</v>
      </c>
      <c r="L31" s="46"/>
      <c r="M31" s="48" t="str">
        <f>IF(OR(WORLDCUP!AC7="",WORLDCUP!AD7=""),"-",N31&amp;"|"&amp;O31&amp;"-"&amp;P31)</f>
        <v>-</v>
      </c>
      <c r="N31" s="711" t="str">
        <f>IF(OR(WORLDCUP!AC7="",WORLDCUP!AD7=""),"",IF(WORLDCUP!AC7&gt;WORLDCUP!AD7,"1",IF(WORLDCUP!AC7&lt;WORLDCUP!AD7,"2","X")))</f>
        <v/>
      </c>
      <c r="O31" s="711">
        <f>WORLDCUP!AC7</f>
        <v>0</v>
      </c>
      <c r="P31" s="711">
        <f>WORLDCUP!AD7</f>
        <v>0</v>
      </c>
      <c r="Q31" s="711">
        <f t="shared" si="33"/>
        <v>0</v>
      </c>
      <c r="R31" s="43"/>
      <c r="S31" s="67" t="s">
        <v>1953</v>
      </c>
      <c r="T31" s="66">
        <f t="shared" si="34"/>
        <v>0</v>
      </c>
      <c r="U31" s="58"/>
      <c r="V31" s="67" t="s">
        <v>1948</v>
      </c>
      <c r="W31" s="66">
        <f t="shared" si="35"/>
        <v>0</v>
      </c>
      <c r="X31" s="58"/>
      <c r="Y31" s="67" t="s">
        <v>1947</v>
      </c>
      <c r="Z31" s="66">
        <f t="shared" si="36"/>
        <v>0</v>
      </c>
      <c r="AA31" s="58"/>
      <c r="AB31" s="67" t="s">
        <v>1948</v>
      </c>
      <c r="AC31" s="66">
        <f t="shared" si="37"/>
        <v>0</v>
      </c>
      <c r="AD31" s="58"/>
      <c r="AE31" s="67" t="s">
        <v>1963</v>
      </c>
      <c r="AF31" s="66">
        <f t="shared" si="38"/>
        <v>0</v>
      </c>
      <c r="AG31" s="58"/>
      <c r="AH31" s="67" t="s">
        <v>1948</v>
      </c>
      <c r="AI31" s="66">
        <f t="shared" si="39"/>
        <v>0</v>
      </c>
      <c r="AJ31" s="58"/>
      <c r="AK31" s="67" t="s">
        <v>1948</v>
      </c>
      <c r="AL31" s="66">
        <f t="shared" si="40"/>
        <v>0</v>
      </c>
      <c r="AM31" s="58"/>
      <c r="AN31" s="67" t="s">
        <v>1948</v>
      </c>
      <c r="AO31" s="66">
        <f t="shared" si="41"/>
        <v>0</v>
      </c>
      <c r="AP31" s="58"/>
      <c r="AQ31" s="67" t="s">
        <v>1955</v>
      </c>
      <c r="AR31" s="66">
        <f t="shared" si="42"/>
        <v>0</v>
      </c>
      <c r="AS31" s="58"/>
      <c r="AT31" s="67" t="s">
        <v>1948</v>
      </c>
      <c r="AU31" s="66">
        <f t="shared" si="43"/>
        <v>0</v>
      </c>
      <c r="AV31" s="58"/>
      <c r="AW31" s="67" t="s">
        <v>1948</v>
      </c>
      <c r="AX31" s="66">
        <f t="shared" si="44"/>
        <v>0</v>
      </c>
      <c r="AY31" s="58"/>
      <c r="AZ31" s="67" t="s">
        <v>1947</v>
      </c>
      <c r="BA31" s="66">
        <f t="shared" si="45"/>
        <v>0</v>
      </c>
      <c r="BB31" s="58"/>
      <c r="BC31" s="67" t="s">
        <v>1954</v>
      </c>
      <c r="BD31" s="66">
        <f t="shared" si="46"/>
        <v>0</v>
      </c>
      <c r="BE31" s="58"/>
      <c r="BF31" s="67" t="s">
        <v>1953</v>
      </c>
      <c r="BG31" s="66">
        <f t="shared" si="47"/>
        <v>0</v>
      </c>
      <c r="BH31" s="58"/>
      <c r="BI31" s="67" t="s">
        <v>1956</v>
      </c>
      <c r="BJ31" s="66">
        <f t="shared" si="48"/>
        <v>0</v>
      </c>
      <c r="BK31" s="58"/>
      <c r="BL31" s="67" t="s">
        <v>1960</v>
      </c>
      <c r="BM31" s="66">
        <f t="shared" si="49"/>
        <v>0</v>
      </c>
      <c r="BN31" s="58"/>
      <c r="BO31" s="67" t="s">
        <v>1947</v>
      </c>
      <c r="BP31" s="66">
        <f t="shared" si="50"/>
        <v>0</v>
      </c>
      <c r="BQ31" s="58"/>
      <c r="BR31" s="67" t="s">
        <v>1956</v>
      </c>
      <c r="BS31" s="66">
        <f t="shared" si="51"/>
        <v>0</v>
      </c>
      <c r="BT31" s="58"/>
      <c r="BU31" s="67"/>
      <c r="BV31" s="66">
        <f t="shared" si="52"/>
        <v>0</v>
      </c>
      <c r="BW31" s="58"/>
      <c r="BX31" s="67"/>
      <c r="BY31" s="66">
        <f t="shared" si="53"/>
        <v>0</v>
      </c>
      <c r="BZ31" s="58"/>
      <c r="CA31" s="67"/>
      <c r="CB31" s="66">
        <f t="shared" si="54"/>
        <v>0</v>
      </c>
      <c r="CC31" s="58"/>
      <c r="CD31" s="67"/>
      <c r="CE31" s="66">
        <f t="shared" si="55"/>
        <v>0</v>
      </c>
      <c r="CF31" s="58"/>
      <c r="CG31" s="67"/>
      <c r="CH31" s="66">
        <f t="shared" si="56"/>
        <v>0</v>
      </c>
      <c r="CI31" s="58"/>
      <c r="CJ31" s="67"/>
      <c r="CK31" s="66">
        <f t="shared" si="57"/>
        <v>0</v>
      </c>
      <c r="CL31" s="58"/>
      <c r="CM31" s="67"/>
      <c r="CN31" s="66">
        <f t="shared" si="58"/>
        <v>0</v>
      </c>
      <c r="CO31" s="58"/>
      <c r="CP31" s="67"/>
      <c r="CQ31" s="66">
        <f t="shared" si="59"/>
        <v>0</v>
      </c>
      <c r="CR31" s="58"/>
      <c r="CS31" s="67"/>
      <c r="CT31" s="66">
        <f t="shared" si="60"/>
        <v>0</v>
      </c>
      <c r="CU31" s="58"/>
      <c r="CV31" s="67"/>
      <c r="CW31" s="66">
        <f t="shared" si="61"/>
        <v>0</v>
      </c>
      <c r="CX31" s="58"/>
      <c r="CY31" s="67"/>
      <c r="CZ31" s="66">
        <f t="shared" si="62"/>
        <v>0</v>
      </c>
      <c r="DA31" s="58"/>
      <c r="DB31" s="67"/>
      <c r="DC31" s="66">
        <f t="shared" si="63"/>
        <v>0</v>
      </c>
      <c r="DD31" s="58"/>
      <c r="DE31" s="67"/>
      <c r="DF31" s="66">
        <f t="shared" si="64"/>
        <v>0</v>
      </c>
      <c r="DG31" s="58"/>
      <c r="DH31" s="67"/>
      <c r="DI31" s="66">
        <f t="shared" si="65"/>
        <v>0</v>
      </c>
      <c r="DJ31" s="58"/>
      <c r="DK31" s="67"/>
      <c r="DL31" s="66">
        <f t="shared" si="66"/>
        <v>0</v>
      </c>
      <c r="DM31" s="58"/>
      <c r="DN31" s="67"/>
      <c r="DO31" s="66">
        <f t="shared" si="67"/>
        <v>0</v>
      </c>
      <c r="DP31" s="58"/>
      <c r="DQ31" s="67"/>
      <c r="DR31" s="66">
        <f t="shared" si="68"/>
        <v>0</v>
      </c>
      <c r="DS31" s="58"/>
      <c r="DT31" s="67"/>
      <c r="DU31" s="66">
        <f t="shared" si="69"/>
        <v>0</v>
      </c>
      <c r="DV31" s="58"/>
      <c r="DW31" s="67"/>
      <c r="DX31" s="66">
        <f t="shared" si="70"/>
        <v>0</v>
      </c>
      <c r="DY31" s="58"/>
      <c r="DZ31" s="67"/>
      <c r="EA31" s="66">
        <f t="shared" si="71"/>
        <v>0</v>
      </c>
      <c r="EB31" s="58"/>
      <c r="EC31" s="67"/>
      <c r="ED31" s="66">
        <f t="shared" si="72"/>
        <v>0</v>
      </c>
      <c r="EE31" s="58"/>
      <c r="EF31" s="67"/>
      <c r="EG31" s="66">
        <f t="shared" si="73"/>
        <v>0</v>
      </c>
      <c r="EH31" s="58"/>
      <c r="EI31" s="58"/>
    </row>
    <row r="32" spans="1:139">
      <c r="A32" s="43"/>
      <c r="B32" s="43"/>
      <c r="C32" s="422" t="str">
        <f>Idiomas!D328</f>
        <v>Equipo clasificado para FINAL</v>
      </c>
      <c r="D32" s="56">
        <v>7</v>
      </c>
      <c r="E32" s="103"/>
      <c r="F32" s="426">
        <f t="shared" si="32"/>
        <v>17</v>
      </c>
      <c r="G32" s="426">
        <f ca="1">VLOOKUP(H32,Equipos!$Q$1:$R$25,2,0)</f>
        <v>8</v>
      </c>
      <c r="H32" s="427">
        <f ca="1">TRUNC(INDEX(WORLDCUP!$X$4:$X$147,MATCH(ADMIN!K32,WORLDCUP!$DT$4:$DT$147,0))+INDEX(Horarios!$R$3:$R$86,MATCH(Horarios!$C$3,Horarios!$P$3:$P$86,0))/24)</f>
        <v>46191</v>
      </c>
      <c r="I32" s="42">
        <v>1</v>
      </c>
      <c r="J32" s="88" t="s">
        <v>119</v>
      </c>
      <c r="K32" s="46" t="str">
        <f ca="1">CONCATENATE(WORLDCUP!AA14,"-",WORLDCUP!AF14)</f>
        <v>Suiza-Bosnia y Herzegovina</v>
      </c>
      <c r="L32" s="46"/>
      <c r="M32" s="48" t="str">
        <f>IF(OR(WORLDCUP!AC14="",WORLDCUP!AD14=""),"-",N32&amp;"|"&amp;O32&amp;"-"&amp;P32)</f>
        <v>-</v>
      </c>
      <c r="N32" s="711" t="str">
        <f>IF(OR(WORLDCUP!AC14="",WORLDCUP!AD14=""),"",IF(WORLDCUP!AC14&gt;WORLDCUP!AD14,"1",IF(WORLDCUP!AC14&lt;WORLDCUP!AD14,"2","X")))</f>
        <v/>
      </c>
      <c r="O32" s="711">
        <f>WORLDCUP!AC14</f>
        <v>0</v>
      </c>
      <c r="P32" s="711">
        <f>WORLDCUP!AD14</f>
        <v>0</v>
      </c>
      <c r="Q32" s="711">
        <f t="shared" si="33"/>
        <v>0</v>
      </c>
      <c r="R32" s="43"/>
      <c r="S32" s="67" t="s">
        <v>1948</v>
      </c>
      <c r="T32" s="66">
        <f t="shared" si="34"/>
        <v>0</v>
      </c>
      <c r="U32" s="58"/>
      <c r="V32" s="67" t="s">
        <v>1954</v>
      </c>
      <c r="W32" s="66">
        <f t="shared" si="35"/>
        <v>0</v>
      </c>
      <c r="X32" s="58"/>
      <c r="Y32" s="67" t="s">
        <v>1948</v>
      </c>
      <c r="Z32" s="66">
        <f t="shared" si="36"/>
        <v>0</v>
      </c>
      <c r="AA32" s="58"/>
      <c r="AB32" s="67" t="s">
        <v>1956</v>
      </c>
      <c r="AC32" s="66">
        <f t="shared" si="37"/>
        <v>0</v>
      </c>
      <c r="AD32" s="58"/>
      <c r="AE32" s="67" t="s">
        <v>1947</v>
      </c>
      <c r="AF32" s="66">
        <f t="shared" si="38"/>
        <v>0</v>
      </c>
      <c r="AG32" s="58"/>
      <c r="AH32" s="67" t="s">
        <v>1948</v>
      </c>
      <c r="AI32" s="66">
        <f t="shared" si="39"/>
        <v>0</v>
      </c>
      <c r="AJ32" s="58"/>
      <c r="AK32" s="67" t="s">
        <v>1956</v>
      </c>
      <c r="AL32" s="66">
        <f t="shared" si="40"/>
        <v>0</v>
      </c>
      <c r="AM32" s="58"/>
      <c r="AN32" s="67" t="s">
        <v>1953</v>
      </c>
      <c r="AO32" s="66">
        <f t="shared" si="41"/>
        <v>0</v>
      </c>
      <c r="AP32" s="58"/>
      <c r="AQ32" s="67" t="s">
        <v>1959</v>
      </c>
      <c r="AR32" s="66">
        <f t="shared" si="42"/>
        <v>0</v>
      </c>
      <c r="AS32" s="58"/>
      <c r="AT32" s="67" t="s">
        <v>1948</v>
      </c>
      <c r="AU32" s="66">
        <f t="shared" si="43"/>
        <v>0</v>
      </c>
      <c r="AV32" s="58"/>
      <c r="AW32" s="67" t="s">
        <v>1948</v>
      </c>
      <c r="AX32" s="66">
        <f t="shared" si="44"/>
        <v>0</v>
      </c>
      <c r="AY32" s="58"/>
      <c r="AZ32" s="67" t="s">
        <v>1947</v>
      </c>
      <c r="BA32" s="66">
        <f t="shared" si="45"/>
        <v>0</v>
      </c>
      <c r="BB32" s="58"/>
      <c r="BC32" s="67" t="s">
        <v>1947</v>
      </c>
      <c r="BD32" s="66">
        <f t="shared" si="46"/>
        <v>0</v>
      </c>
      <c r="BE32" s="58"/>
      <c r="BF32" s="67" t="s">
        <v>1956</v>
      </c>
      <c r="BG32" s="66">
        <f t="shared" si="47"/>
        <v>0</v>
      </c>
      <c r="BH32" s="58"/>
      <c r="BI32" s="67" t="s">
        <v>1948</v>
      </c>
      <c r="BJ32" s="66">
        <f t="shared" si="48"/>
        <v>0</v>
      </c>
      <c r="BK32" s="58"/>
      <c r="BL32" s="67" t="s">
        <v>1956</v>
      </c>
      <c r="BM32" s="66">
        <f t="shared" si="49"/>
        <v>0</v>
      </c>
      <c r="BN32" s="58"/>
      <c r="BO32" s="67" t="s">
        <v>1953</v>
      </c>
      <c r="BP32" s="66">
        <f t="shared" si="50"/>
        <v>0</v>
      </c>
      <c r="BQ32" s="58"/>
      <c r="BR32" s="67" t="s">
        <v>1953</v>
      </c>
      <c r="BS32" s="66">
        <f t="shared" si="51"/>
        <v>0</v>
      </c>
      <c r="BT32" s="58"/>
      <c r="BU32" s="67"/>
      <c r="BV32" s="66">
        <f t="shared" si="52"/>
        <v>0</v>
      </c>
      <c r="BW32" s="58"/>
      <c r="BX32" s="67"/>
      <c r="BY32" s="66">
        <f t="shared" si="53"/>
        <v>0</v>
      </c>
      <c r="BZ32" s="58"/>
      <c r="CA32" s="67"/>
      <c r="CB32" s="66">
        <f t="shared" si="54"/>
        <v>0</v>
      </c>
      <c r="CC32" s="58"/>
      <c r="CD32" s="67"/>
      <c r="CE32" s="66">
        <f t="shared" si="55"/>
        <v>0</v>
      </c>
      <c r="CF32" s="58"/>
      <c r="CG32" s="67"/>
      <c r="CH32" s="66">
        <f t="shared" si="56"/>
        <v>0</v>
      </c>
      <c r="CI32" s="58"/>
      <c r="CJ32" s="67"/>
      <c r="CK32" s="66">
        <f t="shared" si="57"/>
        <v>0</v>
      </c>
      <c r="CL32" s="58"/>
      <c r="CM32" s="67"/>
      <c r="CN32" s="66">
        <f t="shared" si="58"/>
        <v>0</v>
      </c>
      <c r="CO32" s="58"/>
      <c r="CP32" s="67"/>
      <c r="CQ32" s="66">
        <f t="shared" si="59"/>
        <v>0</v>
      </c>
      <c r="CR32" s="58"/>
      <c r="CS32" s="67"/>
      <c r="CT32" s="66">
        <f t="shared" si="60"/>
        <v>0</v>
      </c>
      <c r="CU32" s="58"/>
      <c r="CV32" s="67"/>
      <c r="CW32" s="66">
        <f t="shared" si="61"/>
        <v>0</v>
      </c>
      <c r="CX32" s="58"/>
      <c r="CY32" s="67"/>
      <c r="CZ32" s="66">
        <f t="shared" si="62"/>
        <v>0</v>
      </c>
      <c r="DA32" s="58"/>
      <c r="DB32" s="67"/>
      <c r="DC32" s="66">
        <f t="shared" si="63"/>
        <v>0</v>
      </c>
      <c r="DD32" s="58"/>
      <c r="DE32" s="67"/>
      <c r="DF32" s="66">
        <f t="shared" si="64"/>
        <v>0</v>
      </c>
      <c r="DG32" s="58"/>
      <c r="DH32" s="67"/>
      <c r="DI32" s="66">
        <f t="shared" si="65"/>
        <v>0</v>
      </c>
      <c r="DJ32" s="58"/>
      <c r="DK32" s="67"/>
      <c r="DL32" s="66">
        <f t="shared" si="66"/>
        <v>0</v>
      </c>
      <c r="DM32" s="58"/>
      <c r="DN32" s="67"/>
      <c r="DO32" s="66">
        <f t="shared" si="67"/>
        <v>0</v>
      </c>
      <c r="DP32" s="58"/>
      <c r="DQ32" s="67"/>
      <c r="DR32" s="66">
        <f t="shared" si="68"/>
        <v>0</v>
      </c>
      <c r="DS32" s="58"/>
      <c r="DT32" s="67"/>
      <c r="DU32" s="66">
        <f t="shared" si="69"/>
        <v>0</v>
      </c>
      <c r="DV32" s="58"/>
      <c r="DW32" s="67"/>
      <c r="DX32" s="66">
        <f t="shared" si="70"/>
        <v>0</v>
      </c>
      <c r="DY32" s="58"/>
      <c r="DZ32" s="67"/>
      <c r="EA32" s="66">
        <f t="shared" si="71"/>
        <v>0</v>
      </c>
      <c r="EB32" s="58"/>
      <c r="EC32" s="67"/>
      <c r="ED32" s="66">
        <f t="shared" si="72"/>
        <v>0</v>
      </c>
      <c r="EE32" s="58"/>
      <c r="EF32" s="67"/>
      <c r="EG32" s="66">
        <f t="shared" si="73"/>
        <v>0</v>
      </c>
      <c r="EH32" s="58"/>
      <c r="EI32" s="58"/>
    </row>
    <row r="33" spans="1:139">
      <c r="A33" s="43"/>
      <c r="B33" s="43"/>
      <c r="C33" s="420" t="str">
        <f>Idiomas!D329</f>
        <v>3ºy4º PUESTO - Signo 1X2  (local, empate, visitante)</v>
      </c>
      <c r="D33" s="38">
        <v>5</v>
      </c>
      <c r="E33" s="103"/>
      <c r="F33" s="426">
        <f t="shared" si="32"/>
        <v>17</v>
      </c>
      <c r="G33" s="426">
        <f ca="1">VLOOKUP(H33,Equipos!$Q$1:$R$25,2,0)</f>
        <v>9</v>
      </c>
      <c r="H33" s="427">
        <f ca="1">TRUNC(INDEX(WORLDCUP!$X$4:$X$147,MATCH(ADMIN!K33,WORLDCUP!$DT$4:$DT$147,0))+INDEX(Horarios!$R$3:$R$86,MATCH(Horarios!$C$3,Horarios!$P$3:$P$86,0))/24)</f>
        <v>46192</v>
      </c>
      <c r="I33" s="42">
        <v>1</v>
      </c>
      <c r="J33" s="88" t="s">
        <v>119</v>
      </c>
      <c r="K33" s="49" t="str">
        <f ca="1">CONCATENATE(WORLDCUP!AA15,"-",WORLDCUP!AF15)</f>
        <v>Canadá-Catar</v>
      </c>
      <c r="L33" s="46"/>
      <c r="M33" s="48" t="str">
        <f>IF(OR(WORLDCUP!AC15="",WORLDCUP!AD15=""),"-",N33&amp;"|"&amp;O33&amp;"-"&amp;P33)</f>
        <v>-</v>
      </c>
      <c r="N33" s="711" t="str">
        <f>IF(OR(WORLDCUP!AC15="",WORLDCUP!AD15=""),"",IF(WORLDCUP!AC15&gt;WORLDCUP!AD15,"1",IF(WORLDCUP!AC15&lt;WORLDCUP!AD15,"2","X")))</f>
        <v/>
      </c>
      <c r="O33" s="711">
        <f>WORLDCUP!AC15</f>
        <v>0</v>
      </c>
      <c r="P33" s="711">
        <f>WORLDCUP!AD15</f>
        <v>0</v>
      </c>
      <c r="Q33" s="711">
        <f t="shared" si="33"/>
        <v>0</v>
      </c>
      <c r="R33" s="43"/>
      <c r="S33" s="67" t="s">
        <v>1947</v>
      </c>
      <c r="T33" s="66">
        <f t="shared" si="34"/>
        <v>0</v>
      </c>
      <c r="U33" s="58"/>
      <c r="V33" s="67" t="s">
        <v>1953</v>
      </c>
      <c r="W33" s="66">
        <f t="shared" si="35"/>
        <v>0</v>
      </c>
      <c r="X33" s="58"/>
      <c r="Y33" s="67" t="s">
        <v>1947</v>
      </c>
      <c r="Z33" s="66">
        <f t="shared" si="36"/>
        <v>0</v>
      </c>
      <c r="AA33" s="58"/>
      <c r="AB33" s="67" t="s">
        <v>1956</v>
      </c>
      <c r="AC33" s="66">
        <f t="shared" si="37"/>
        <v>0</v>
      </c>
      <c r="AD33" s="58"/>
      <c r="AE33" s="67" t="s">
        <v>1953</v>
      </c>
      <c r="AF33" s="66">
        <f t="shared" si="38"/>
        <v>0</v>
      </c>
      <c r="AG33" s="58"/>
      <c r="AH33" s="67" t="s">
        <v>1959</v>
      </c>
      <c r="AI33" s="66">
        <f t="shared" si="39"/>
        <v>0</v>
      </c>
      <c r="AJ33" s="58"/>
      <c r="AK33" s="67" t="s">
        <v>1953</v>
      </c>
      <c r="AL33" s="66">
        <f t="shared" si="40"/>
        <v>0</v>
      </c>
      <c r="AM33" s="58"/>
      <c r="AN33" s="67" t="s">
        <v>1953</v>
      </c>
      <c r="AO33" s="66">
        <f t="shared" si="41"/>
        <v>0</v>
      </c>
      <c r="AP33" s="58"/>
      <c r="AQ33" s="67" t="s">
        <v>1956</v>
      </c>
      <c r="AR33" s="66">
        <f t="shared" si="42"/>
        <v>0</v>
      </c>
      <c r="AS33" s="58"/>
      <c r="AT33" s="67" t="s">
        <v>1953</v>
      </c>
      <c r="AU33" s="66">
        <f t="shared" si="43"/>
        <v>0</v>
      </c>
      <c r="AV33" s="58"/>
      <c r="AW33" s="67" t="s">
        <v>1953</v>
      </c>
      <c r="AX33" s="66">
        <f t="shared" si="44"/>
        <v>0</v>
      </c>
      <c r="AY33" s="58"/>
      <c r="AZ33" s="67" t="s">
        <v>1947</v>
      </c>
      <c r="BA33" s="66">
        <f t="shared" si="45"/>
        <v>0</v>
      </c>
      <c r="BB33" s="58"/>
      <c r="BC33" s="67" t="s">
        <v>1959</v>
      </c>
      <c r="BD33" s="66">
        <f t="shared" si="46"/>
        <v>0</v>
      </c>
      <c r="BE33" s="58"/>
      <c r="BF33" s="67" t="s">
        <v>1953</v>
      </c>
      <c r="BG33" s="66">
        <f t="shared" si="47"/>
        <v>0</v>
      </c>
      <c r="BH33" s="58"/>
      <c r="BI33" s="67" t="s">
        <v>1953</v>
      </c>
      <c r="BJ33" s="66">
        <f t="shared" si="48"/>
        <v>0</v>
      </c>
      <c r="BK33" s="58"/>
      <c r="BL33" s="67" t="s">
        <v>1963</v>
      </c>
      <c r="BM33" s="66">
        <f t="shared" si="49"/>
        <v>0</v>
      </c>
      <c r="BN33" s="58"/>
      <c r="BO33" s="67" t="s">
        <v>1947</v>
      </c>
      <c r="BP33" s="66">
        <f t="shared" si="50"/>
        <v>0</v>
      </c>
      <c r="BQ33" s="58"/>
      <c r="BR33" s="67" t="s">
        <v>1956</v>
      </c>
      <c r="BS33" s="66">
        <f t="shared" si="51"/>
        <v>0</v>
      </c>
      <c r="BT33" s="58"/>
      <c r="BU33" s="67"/>
      <c r="BV33" s="66">
        <f t="shared" si="52"/>
        <v>0</v>
      </c>
      <c r="BW33" s="58"/>
      <c r="BX33" s="67"/>
      <c r="BY33" s="66">
        <f t="shared" si="53"/>
        <v>0</v>
      </c>
      <c r="BZ33" s="58"/>
      <c r="CA33" s="67"/>
      <c r="CB33" s="66">
        <f t="shared" si="54"/>
        <v>0</v>
      </c>
      <c r="CC33" s="58"/>
      <c r="CD33" s="67"/>
      <c r="CE33" s="66">
        <f t="shared" si="55"/>
        <v>0</v>
      </c>
      <c r="CF33" s="58"/>
      <c r="CG33" s="67"/>
      <c r="CH33" s="66">
        <f t="shared" si="56"/>
        <v>0</v>
      </c>
      <c r="CI33" s="58"/>
      <c r="CJ33" s="67"/>
      <c r="CK33" s="66">
        <f t="shared" si="57"/>
        <v>0</v>
      </c>
      <c r="CL33" s="58"/>
      <c r="CM33" s="67"/>
      <c r="CN33" s="66">
        <f t="shared" si="58"/>
        <v>0</v>
      </c>
      <c r="CO33" s="58"/>
      <c r="CP33" s="67"/>
      <c r="CQ33" s="66">
        <f t="shared" si="59"/>
        <v>0</v>
      </c>
      <c r="CR33" s="58"/>
      <c r="CS33" s="67"/>
      <c r="CT33" s="66">
        <f t="shared" si="60"/>
        <v>0</v>
      </c>
      <c r="CU33" s="58"/>
      <c r="CV33" s="67"/>
      <c r="CW33" s="66">
        <f t="shared" si="61"/>
        <v>0</v>
      </c>
      <c r="CX33" s="58"/>
      <c r="CY33" s="67"/>
      <c r="CZ33" s="66">
        <f t="shared" si="62"/>
        <v>0</v>
      </c>
      <c r="DA33" s="58"/>
      <c r="DB33" s="67"/>
      <c r="DC33" s="66">
        <f t="shared" si="63"/>
        <v>0</v>
      </c>
      <c r="DD33" s="58"/>
      <c r="DE33" s="67"/>
      <c r="DF33" s="66">
        <f t="shared" si="64"/>
        <v>0</v>
      </c>
      <c r="DG33" s="58"/>
      <c r="DH33" s="67"/>
      <c r="DI33" s="66">
        <f t="shared" si="65"/>
        <v>0</v>
      </c>
      <c r="DJ33" s="58"/>
      <c r="DK33" s="67"/>
      <c r="DL33" s="66">
        <f t="shared" si="66"/>
        <v>0</v>
      </c>
      <c r="DM33" s="58"/>
      <c r="DN33" s="67"/>
      <c r="DO33" s="66">
        <f t="shared" si="67"/>
        <v>0</v>
      </c>
      <c r="DP33" s="58"/>
      <c r="DQ33" s="67"/>
      <c r="DR33" s="66">
        <f t="shared" si="68"/>
        <v>0</v>
      </c>
      <c r="DS33" s="58"/>
      <c r="DT33" s="67"/>
      <c r="DU33" s="66">
        <f t="shared" si="69"/>
        <v>0</v>
      </c>
      <c r="DV33" s="58"/>
      <c r="DW33" s="67"/>
      <c r="DX33" s="66">
        <f t="shared" si="70"/>
        <v>0</v>
      </c>
      <c r="DY33" s="58"/>
      <c r="DZ33" s="67"/>
      <c r="EA33" s="66">
        <f t="shared" si="71"/>
        <v>0</v>
      </c>
      <c r="EB33" s="58"/>
      <c r="EC33" s="67"/>
      <c r="ED33" s="66">
        <f t="shared" si="72"/>
        <v>0</v>
      </c>
      <c r="EE33" s="58"/>
      <c r="EF33" s="67"/>
      <c r="EG33" s="66">
        <f t="shared" si="73"/>
        <v>0</v>
      </c>
      <c r="EH33" s="58"/>
      <c r="EI33" s="58"/>
    </row>
    <row r="34" spans="1:139">
      <c r="A34" s="43"/>
      <c r="B34" s="43"/>
      <c r="C34" s="419" t="str">
        <f>Idiomas!D330&amp;"**"</f>
        <v>3ºy4º PUESTO - Diferencia/Distancia de goles (Con 1X2 acertado)**</v>
      </c>
      <c r="D34" s="55">
        <v>2</v>
      </c>
      <c r="E34" s="103"/>
      <c r="F34" s="426">
        <f t="shared" si="32"/>
        <v>17</v>
      </c>
      <c r="G34" s="426">
        <f ca="1">VLOOKUP(H34,Equipos!$Q$1:$R$25,2,0)</f>
        <v>10</v>
      </c>
      <c r="H34" s="427">
        <f ca="1">TRUNC(INDEX(WORLDCUP!$X$4:$X$147,MATCH(ADMIN!K34,WORLDCUP!$DT$4:$DT$147,0))+INDEX(Horarios!$R$3:$R$86,MATCH(Horarios!$C$3,Horarios!$P$3:$P$86,0))/24)</f>
        <v>46193</v>
      </c>
      <c r="I34" s="42">
        <v>1</v>
      </c>
      <c r="J34" s="87" t="s">
        <v>120</v>
      </c>
      <c r="K34" s="46" t="str">
        <f ca="1">CONCATENATE(WORLDCUP!AA22,"-",WORLDCUP!AF22)</f>
        <v>Escocia-Marruecos</v>
      </c>
      <c r="L34" s="46"/>
      <c r="M34" s="48" t="str">
        <f>IF(OR(WORLDCUP!AC22="",WORLDCUP!AD22=""),"-",N34&amp;"|"&amp;O34&amp;"-"&amp;P34)</f>
        <v>-</v>
      </c>
      <c r="N34" s="711" t="str">
        <f>IF(OR(WORLDCUP!AC22="",WORLDCUP!AD22=""),"",IF(WORLDCUP!AC22&gt;WORLDCUP!AD22,"1",IF(WORLDCUP!AC22&lt;WORLDCUP!AD22,"2","X")))</f>
        <v/>
      </c>
      <c r="O34" s="711">
        <f>WORLDCUP!AC22</f>
        <v>0</v>
      </c>
      <c r="P34" s="711">
        <f>WORLDCUP!AD22</f>
        <v>0</v>
      </c>
      <c r="Q34" s="711">
        <f t="shared" si="33"/>
        <v>0</v>
      </c>
      <c r="R34" s="43"/>
      <c r="S34" s="67" t="s">
        <v>1951</v>
      </c>
      <c r="T34" s="66">
        <f t="shared" si="34"/>
        <v>0</v>
      </c>
      <c r="U34" s="58"/>
      <c r="V34" s="67" t="s">
        <v>1960</v>
      </c>
      <c r="W34" s="66">
        <f t="shared" si="35"/>
        <v>0</v>
      </c>
      <c r="X34" s="58"/>
      <c r="Y34" s="67" t="s">
        <v>1950</v>
      </c>
      <c r="Z34" s="66">
        <f t="shared" si="36"/>
        <v>0</v>
      </c>
      <c r="AA34" s="58"/>
      <c r="AB34" s="67" t="s">
        <v>1948</v>
      </c>
      <c r="AC34" s="66">
        <f t="shared" si="37"/>
        <v>0</v>
      </c>
      <c r="AD34" s="58"/>
      <c r="AE34" s="67" t="s">
        <v>1955</v>
      </c>
      <c r="AF34" s="66">
        <f t="shared" si="38"/>
        <v>0</v>
      </c>
      <c r="AG34" s="58"/>
      <c r="AH34" s="67" t="s">
        <v>1948</v>
      </c>
      <c r="AI34" s="66">
        <f t="shared" si="39"/>
        <v>0</v>
      </c>
      <c r="AJ34" s="58"/>
      <c r="AK34" s="67" t="s">
        <v>1948</v>
      </c>
      <c r="AL34" s="66">
        <f t="shared" si="40"/>
        <v>0</v>
      </c>
      <c r="AM34" s="58"/>
      <c r="AN34" s="67" t="s">
        <v>1950</v>
      </c>
      <c r="AO34" s="66">
        <f t="shared" si="41"/>
        <v>0</v>
      </c>
      <c r="AP34" s="58"/>
      <c r="AQ34" s="67" t="s">
        <v>1955</v>
      </c>
      <c r="AR34" s="66">
        <f t="shared" si="42"/>
        <v>0</v>
      </c>
      <c r="AS34" s="58"/>
      <c r="AT34" s="67" t="s">
        <v>1955</v>
      </c>
      <c r="AU34" s="66">
        <f t="shared" si="43"/>
        <v>0</v>
      </c>
      <c r="AV34" s="58"/>
      <c r="AW34" s="67" t="s">
        <v>1955</v>
      </c>
      <c r="AX34" s="66">
        <f t="shared" si="44"/>
        <v>0</v>
      </c>
      <c r="AY34" s="58"/>
      <c r="AZ34" s="67" t="s">
        <v>1950</v>
      </c>
      <c r="BA34" s="66">
        <f t="shared" si="45"/>
        <v>0</v>
      </c>
      <c r="BB34" s="58"/>
      <c r="BC34" s="67" t="s">
        <v>1960</v>
      </c>
      <c r="BD34" s="66">
        <f t="shared" si="46"/>
        <v>0</v>
      </c>
      <c r="BE34" s="58"/>
      <c r="BF34" s="67" t="s">
        <v>1960</v>
      </c>
      <c r="BG34" s="66">
        <f t="shared" si="47"/>
        <v>0</v>
      </c>
      <c r="BH34" s="58"/>
      <c r="BI34" s="67" t="s">
        <v>1950</v>
      </c>
      <c r="BJ34" s="66">
        <f t="shared" si="48"/>
        <v>0</v>
      </c>
      <c r="BK34" s="58"/>
      <c r="BL34" s="67" t="s">
        <v>1960</v>
      </c>
      <c r="BM34" s="66">
        <f t="shared" si="49"/>
        <v>0</v>
      </c>
      <c r="BN34" s="58"/>
      <c r="BO34" s="67" t="s">
        <v>1948</v>
      </c>
      <c r="BP34" s="66">
        <f t="shared" si="50"/>
        <v>0</v>
      </c>
      <c r="BQ34" s="58"/>
      <c r="BR34" s="67" t="s">
        <v>1950</v>
      </c>
      <c r="BS34" s="66">
        <f t="shared" si="51"/>
        <v>0</v>
      </c>
      <c r="BT34" s="58"/>
      <c r="BU34" s="67"/>
      <c r="BV34" s="66">
        <f t="shared" si="52"/>
        <v>0</v>
      </c>
      <c r="BW34" s="58"/>
      <c r="BX34" s="67"/>
      <c r="BY34" s="66">
        <f t="shared" si="53"/>
        <v>0</v>
      </c>
      <c r="BZ34" s="58"/>
      <c r="CA34" s="67"/>
      <c r="CB34" s="66">
        <f t="shared" si="54"/>
        <v>0</v>
      </c>
      <c r="CC34" s="58"/>
      <c r="CD34" s="67"/>
      <c r="CE34" s="66">
        <f t="shared" si="55"/>
        <v>0</v>
      </c>
      <c r="CF34" s="58"/>
      <c r="CG34" s="67"/>
      <c r="CH34" s="66">
        <f t="shared" si="56"/>
        <v>0</v>
      </c>
      <c r="CI34" s="58"/>
      <c r="CJ34" s="67"/>
      <c r="CK34" s="66">
        <f t="shared" si="57"/>
        <v>0</v>
      </c>
      <c r="CL34" s="58"/>
      <c r="CM34" s="67"/>
      <c r="CN34" s="66">
        <f t="shared" si="58"/>
        <v>0</v>
      </c>
      <c r="CO34" s="58"/>
      <c r="CP34" s="67"/>
      <c r="CQ34" s="66">
        <f t="shared" si="59"/>
        <v>0</v>
      </c>
      <c r="CR34" s="58"/>
      <c r="CS34" s="67"/>
      <c r="CT34" s="66">
        <f t="shared" si="60"/>
        <v>0</v>
      </c>
      <c r="CU34" s="58"/>
      <c r="CV34" s="67"/>
      <c r="CW34" s="66">
        <f t="shared" si="61"/>
        <v>0</v>
      </c>
      <c r="CX34" s="58"/>
      <c r="CY34" s="67"/>
      <c r="CZ34" s="66">
        <f t="shared" si="62"/>
        <v>0</v>
      </c>
      <c r="DA34" s="58"/>
      <c r="DB34" s="67"/>
      <c r="DC34" s="66">
        <f t="shared" si="63"/>
        <v>0</v>
      </c>
      <c r="DD34" s="58"/>
      <c r="DE34" s="67"/>
      <c r="DF34" s="66">
        <f t="shared" si="64"/>
        <v>0</v>
      </c>
      <c r="DG34" s="58"/>
      <c r="DH34" s="67"/>
      <c r="DI34" s="66">
        <f t="shared" si="65"/>
        <v>0</v>
      </c>
      <c r="DJ34" s="58"/>
      <c r="DK34" s="67"/>
      <c r="DL34" s="66">
        <f t="shared" si="66"/>
        <v>0</v>
      </c>
      <c r="DM34" s="58"/>
      <c r="DN34" s="67"/>
      <c r="DO34" s="66">
        <f t="shared" si="67"/>
        <v>0</v>
      </c>
      <c r="DP34" s="58"/>
      <c r="DQ34" s="67"/>
      <c r="DR34" s="66">
        <f t="shared" si="68"/>
        <v>0</v>
      </c>
      <c r="DS34" s="58"/>
      <c r="DT34" s="67"/>
      <c r="DU34" s="66">
        <f t="shared" si="69"/>
        <v>0</v>
      </c>
      <c r="DV34" s="58"/>
      <c r="DW34" s="67"/>
      <c r="DX34" s="66">
        <f t="shared" si="70"/>
        <v>0</v>
      </c>
      <c r="DY34" s="58"/>
      <c r="DZ34" s="67"/>
      <c r="EA34" s="66">
        <f t="shared" si="71"/>
        <v>0</v>
      </c>
      <c r="EB34" s="58"/>
      <c r="EC34" s="67"/>
      <c r="ED34" s="66">
        <f t="shared" si="72"/>
        <v>0</v>
      </c>
      <c r="EE34" s="58"/>
      <c r="EF34" s="67"/>
      <c r="EG34" s="66">
        <f t="shared" si="73"/>
        <v>0</v>
      </c>
      <c r="EH34" s="58"/>
      <c r="EI34" s="58"/>
    </row>
    <row r="35" spans="1:139">
      <c r="A35" s="43"/>
      <c r="B35" s="43"/>
      <c r="C35" s="421" t="str">
        <f>Idiomas!D331</f>
        <v>3ºy4º PUESTO - Resultado exacto</v>
      </c>
      <c r="D35" s="39">
        <v>10</v>
      </c>
      <c r="E35" s="103"/>
      <c r="F35" s="426">
        <f t="shared" si="32"/>
        <v>17</v>
      </c>
      <c r="G35" s="426">
        <f ca="1">VLOOKUP(H35,Equipos!$Q$1:$R$25,2,0)</f>
        <v>10</v>
      </c>
      <c r="H35" s="427">
        <f ca="1">TRUNC(INDEX(WORLDCUP!$X$4:$X$147,MATCH(ADMIN!K35,WORLDCUP!$DT$4:$DT$147,0))+INDEX(Horarios!$R$3:$R$86,MATCH(Horarios!$C$3,Horarios!$P$3:$P$86,0))/24)</f>
        <v>46193</v>
      </c>
      <c r="I35" s="42">
        <v>1</v>
      </c>
      <c r="J35" s="87" t="s">
        <v>120</v>
      </c>
      <c r="K35" s="49" t="str">
        <f ca="1">CONCATENATE(WORLDCUP!AA23,"-",WORLDCUP!AF23)</f>
        <v>Brasil-Haití</v>
      </c>
      <c r="L35" s="46"/>
      <c r="M35" s="48" t="str">
        <f>IF(OR(WORLDCUP!AC23="",WORLDCUP!AD23=""),"-",N35&amp;"|"&amp;O35&amp;"-"&amp;P35)</f>
        <v>-</v>
      </c>
      <c r="N35" s="711" t="str">
        <f>IF(OR(WORLDCUP!AC23="",WORLDCUP!AD23=""),"",IF(WORLDCUP!AC23&gt;WORLDCUP!AD23,"1",IF(WORLDCUP!AC23&lt;WORLDCUP!AD23,"2","X")))</f>
        <v/>
      </c>
      <c r="O35" s="711">
        <f>WORLDCUP!AC23</f>
        <v>0</v>
      </c>
      <c r="P35" s="711">
        <f>WORLDCUP!AD23</f>
        <v>0</v>
      </c>
      <c r="Q35" s="711">
        <f t="shared" si="33"/>
        <v>0</v>
      </c>
      <c r="R35" s="43"/>
      <c r="S35" s="67" t="s">
        <v>1958</v>
      </c>
      <c r="T35" s="66">
        <f t="shared" si="34"/>
        <v>0</v>
      </c>
      <c r="U35" s="58"/>
      <c r="V35" s="67" t="s">
        <v>1952</v>
      </c>
      <c r="W35" s="66">
        <f t="shared" si="35"/>
        <v>0</v>
      </c>
      <c r="X35" s="58"/>
      <c r="Y35" s="67" t="s">
        <v>1952</v>
      </c>
      <c r="Z35" s="66">
        <f t="shared" si="36"/>
        <v>0</v>
      </c>
      <c r="AA35" s="58"/>
      <c r="AB35" s="67" t="s">
        <v>1959</v>
      </c>
      <c r="AC35" s="66">
        <f t="shared" si="37"/>
        <v>0</v>
      </c>
      <c r="AD35" s="58"/>
      <c r="AE35" s="67" t="s">
        <v>1952</v>
      </c>
      <c r="AF35" s="66">
        <f t="shared" si="38"/>
        <v>0</v>
      </c>
      <c r="AG35" s="58"/>
      <c r="AH35" s="67" t="s">
        <v>1952</v>
      </c>
      <c r="AI35" s="66">
        <f t="shared" si="39"/>
        <v>0</v>
      </c>
      <c r="AJ35" s="58"/>
      <c r="AK35" s="67" t="s">
        <v>1952</v>
      </c>
      <c r="AL35" s="66">
        <f t="shared" si="40"/>
        <v>0</v>
      </c>
      <c r="AM35" s="58"/>
      <c r="AN35" s="67" t="s">
        <v>1952</v>
      </c>
      <c r="AO35" s="66">
        <f t="shared" si="41"/>
        <v>0</v>
      </c>
      <c r="AP35" s="58"/>
      <c r="AQ35" s="67" t="s">
        <v>1988</v>
      </c>
      <c r="AR35" s="66">
        <f t="shared" si="42"/>
        <v>0</v>
      </c>
      <c r="AS35" s="58"/>
      <c r="AT35" s="67" t="s">
        <v>1959</v>
      </c>
      <c r="AU35" s="66">
        <f t="shared" si="43"/>
        <v>0</v>
      </c>
      <c r="AV35" s="58"/>
      <c r="AW35" s="67" t="s">
        <v>1952</v>
      </c>
      <c r="AX35" s="66">
        <f t="shared" si="44"/>
        <v>0</v>
      </c>
      <c r="AY35" s="58"/>
      <c r="AZ35" s="67" t="s">
        <v>1953</v>
      </c>
      <c r="BA35" s="66">
        <f t="shared" si="45"/>
        <v>0</v>
      </c>
      <c r="BB35" s="58"/>
      <c r="BC35" s="67" t="s">
        <v>1998</v>
      </c>
      <c r="BD35" s="66">
        <f t="shared" si="46"/>
        <v>0</v>
      </c>
      <c r="BE35" s="58"/>
      <c r="BF35" s="67" t="s">
        <v>1953</v>
      </c>
      <c r="BG35" s="66">
        <f t="shared" si="47"/>
        <v>0</v>
      </c>
      <c r="BH35" s="58"/>
      <c r="BI35" s="67" t="s">
        <v>1959</v>
      </c>
      <c r="BJ35" s="66">
        <f t="shared" si="48"/>
        <v>0</v>
      </c>
      <c r="BK35" s="58"/>
      <c r="BL35" s="67" t="s">
        <v>1952</v>
      </c>
      <c r="BM35" s="66">
        <f t="shared" si="49"/>
        <v>0</v>
      </c>
      <c r="BN35" s="58"/>
      <c r="BO35" s="67" t="s">
        <v>1959</v>
      </c>
      <c r="BP35" s="66">
        <f t="shared" si="50"/>
        <v>0</v>
      </c>
      <c r="BQ35" s="58"/>
      <c r="BR35" s="67" t="s">
        <v>1959</v>
      </c>
      <c r="BS35" s="66">
        <f t="shared" si="51"/>
        <v>0</v>
      </c>
      <c r="BT35" s="58"/>
      <c r="BU35" s="67"/>
      <c r="BV35" s="66">
        <f t="shared" si="52"/>
        <v>0</v>
      </c>
      <c r="BW35" s="58"/>
      <c r="BX35" s="67"/>
      <c r="BY35" s="66">
        <f t="shared" si="53"/>
        <v>0</v>
      </c>
      <c r="BZ35" s="58"/>
      <c r="CA35" s="67"/>
      <c r="CB35" s="66">
        <f t="shared" si="54"/>
        <v>0</v>
      </c>
      <c r="CC35" s="58"/>
      <c r="CD35" s="67"/>
      <c r="CE35" s="66">
        <f t="shared" si="55"/>
        <v>0</v>
      </c>
      <c r="CF35" s="58"/>
      <c r="CG35" s="67"/>
      <c r="CH35" s="66">
        <f t="shared" si="56"/>
        <v>0</v>
      </c>
      <c r="CI35" s="58"/>
      <c r="CJ35" s="67"/>
      <c r="CK35" s="66">
        <f t="shared" si="57"/>
        <v>0</v>
      </c>
      <c r="CL35" s="58"/>
      <c r="CM35" s="67"/>
      <c r="CN35" s="66">
        <f t="shared" si="58"/>
        <v>0</v>
      </c>
      <c r="CO35" s="58"/>
      <c r="CP35" s="67"/>
      <c r="CQ35" s="66">
        <f t="shared" si="59"/>
        <v>0</v>
      </c>
      <c r="CR35" s="58"/>
      <c r="CS35" s="67"/>
      <c r="CT35" s="66">
        <f t="shared" si="60"/>
        <v>0</v>
      </c>
      <c r="CU35" s="58"/>
      <c r="CV35" s="67"/>
      <c r="CW35" s="66">
        <f t="shared" si="61"/>
        <v>0</v>
      </c>
      <c r="CX35" s="58"/>
      <c r="CY35" s="67"/>
      <c r="CZ35" s="66">
        <f t="shared" si="62"/>
        <v>0</v>
      </c>
      <c r="DA35" s="58"/>
      <c r="DB35" s="67"/>
      <c r="DC35" s="66">
        <f t="shared" si="63"/>
        <v>0</v>
      </c>
      <c r="DD35" s="58"/>
      <c r="DE35" s="67"/>
      <c r="DF35" s="66">
        <f t="shared" si="64"/>
        <v>0</v>
      </c>
      <c r="DG35" s="58"/>
      <c r="DH35" s="67"/>
      <c r="DI35" s="66">
        <f t="shared" si="65"/>
        <v>0</v>
      </c>
      <c r="DJ35" s="58"/>
      <c r="DK35" s="67"/>
      <c r="DL35" s="66">
        <f t="shared" si="66"/>
        <v>0</v>
      </c>
      <c r="DM35" s="58"/>
      <c r="DN35" s="67"/>
      <c r="DO35" s="66">
        <f t="shared" si="67"/>
        <v>0</v>
      </c>
      <c r="DP35" s="58"/>
      <c r="DQ35" s="67"/>
      <c r="DR35" s="66">
        <f t="shared" si="68"/>
        <v>0</v>
      </c>
      <c r="DS35" s="58"/>
      <c r="DT35" s="67"/>
      <c r="DU35" s="66">
        <f t="shared" si="69"/>
        <v>0</v>
      </c>
      <c r="DV35" s="58"/>
      <c r="DW35" s="67"/>
      <c r="DX35" s="66">
        <f t="shared" si="70"/>
        <v>0</v>
      </c>
      <c r="DY35" s="58"/>
      <c r="DZ35" s="67"/>
      <c r="EA35" s="66">
        <f t="shared" si="71"/>
        <v>0</v>
      </c>
      <c r="EB35" s="58"/>
      <c r="EC35" s="67"/>
      <c r="ED35" s="66">
        <f t="shared" si="72"/>
        <v>0</v>
      </c>
      <c r="EE35" s="58"/>
      <c r="EF35" s="67"/>
      <c r="EG35" s="66">
        <f t="shared" si="73"/>
        <v>0</v>
      </c>
      <c r="EH35" s="58"/>
      <c r="EI35" s="58"/>
    </row>
    <row r="36" spans="1:139">
      <c r="A36" s="43"/>
      <c r="B36" s="43"/>
      <c r="C36" s="419" t="str">
        <f>Idiomas!D332</f>
        <v>FINAL - Signo 1X2  (local, empate, visitante)</v>
      </c>
      <c r="D36" s="55">
        <v>5</v>
      </c>
      <c r="E36" s="103"/>
      <c r="F36" s="426">
        <f t="shared" si="32"/>
        <v>17</v>
      </c>
      <c r="G36" s="426">
        <f ca="1">VLOOKUP(H36,Equipos!$Q$1:$R$25,2,0)</f>
        <v>9</v>
      </c>
      <c r="H36" s="427">
        <f ca="1">TRUNC(INDEX(WORLDCUP!$X$4:$X$147,MATCH(ADMIN!K36,WORLDCUP!$DT$4:$DT$147,0))+INDEX(Horarios!$R$3:$R$86,MATCH(Horarios!$C$3,Horarios!$P$3:$P$86,0))/24)</f>
        <v>46192</v>
      </c>
      <c r="I36" s="42">
        <v>1</v>
      </c>
      <c r="J36" s="88" t="s">
        <v>121</v>
      </c>
      <c r="K36" s="46" t="str">
        <f ca="1">CONCATENATE(WORLDCUP!AA30,"-",WORLDCUP!AF30)</f>
        <v>Estados Unidos-Australia</v>
      </c>
      <c r="L36" s="46"/>
      <c r="M36" s="48" t="str">
        <f>IF(OR(WORLDCUP!AC30="",WORLDCUP!AD30=""),"-",N36&amp;"|"&amp;O36&amp;"-"&amp;P36)</f>
        <v>-</v>
      </c>
      <c r="N36" s="711" t="str">
        <f>IF(OR(WORLDCUP!AC30="",WORLDCUP!AD30=""),"",IF(WORLDCUP!AC30&gt;WORLDCUP!AD30,"1",IF(WORLDCUP!AC30&lt;WORLDCUP!AD30,"2","X")))</f>
        <v/>
      </c>
      <c r="O36" s="711">
        <f>WORLDCUP!AC30</f>
        <v>0</v>
      </c>
      <c r="P36" s="711">
        <f>WORLDCUP!AD30</f>
        <v>0</v>
      </c>
      <c r="Q36" s="711">
        <f t="shared" si="33"/>
        <v>0</v>
      </c>
      <c r="R36" s="43"/>
      <c r="S36" s="67" t="s">
        <v>1956</v>
      </c>
      <c r="T36" s="66">
        <f t="shared" si="34"/>
        <v>0</v>
      </c>
      <c r="U36" s="58"/>
      <c r="V36" s="67" t="s">
        <v>1947</v>
      </c>
      <c r="W36" s="66">
        <f t="shared" si="35"/>
        <v>0</v>
      </c>
      <c r="X36" s="58"/>
      <c r="Y36" s="67" t="s">
        <v>1948</v>
      </c>
      <c r="Z36" s="66">
        <f t="shared" si="36"/>
        <v>0</v>
      </c>
      <c r="AA36" s="58"/>
      <c r="AB36" s="67" t="s">
        <v>1948</v>
      </c>
      <c r="AC36" s="66">
        <f t="shared" si="37"/>
        <v>0</v>
      </c>
      <c r="AD36" s="58"/>
      <c r="AE36" s="67" t="s">
        <v>1953</v>
      </c>
      <c r="AF36" s="66">
        <f t="shared" si="38"/>
        <v>0</v>
      </c>
      <c r="AG36" s="58"/>
      <c r="AH36" s="67" t="s">
        <v>1953</v>
      </c>
      <c r="AI36" s="66">
        <f t="shared" si="39"/>
        <v>0</v>
      </c>
      <c r="AJ36" s="58"/>
      <c r="AK36" s="67" t="s">
        <v>1953</v>
      </c>
      <c r="AL36" s="66">
        <f t="shared" si="40"/>
        <v>0</v>
      </c>
      <c r="AM36" s="58"/>
      <c r="AN36" s="67" t="s">
        <v>1947</v>
      </c>
      <c r="AO36" s="66">
        <f t="shared" si="41"/>
        <v>0</v>
      </c>
      <c r="AP36" s="58"/>
      <c r="AQ36" s="67" t="s">
        <v>1953</v>
      </c>
      <c r="AR36" s="66">
        <f t="shared" si="42"/>
        <v>0</v>
      </c>
      <c r="AS36" s="58"/>
      <c r="AT36" s="67" t="s">
        <v>1948</v>
      </c>
      <c r="AU36" s="66">
        <f t="shared" si="43"/>
        <v>0</v>
      </c>
      <c r="AV36" s="58"/>
      <c r="AW36" s="67" t="s">
        <v>1956</v>
      </c>
      <c r="AX36" s="66">
        <f t="shared" si="44"/>
        <v>0</v>
      </c>
      <c r="AY36" s="58"/>
      <c r="AZ36" s="67" t="s">
        <v>1948</v>
      </c>
      <c r="BA36" s="66">
        <f t="shared" si="45"/>
        <v>0</v>
      </c>
      <c r="BB36" s="58"/>
      <c r="BC36" s="67" t="s">
        <v>1947</v>
      </c>
      <c r="BD36" s="66">
        <f t="shared" si="46"/>
        <v>0</v>
      </c>
      <c r="BE36" s="58"/>
      <c r="BF36" s="67" t="s">
        <v>1962</v>
      </c>
      <c r="BG36" s="66">
        <f t="shared" si="47"/>
        <v>0</v>
      </c>
      <c r="BH36" s="58"/>
      <c r="BI36" s="67" t="s">
        <v>1956</v>
      </c>
      <c r="BJ36" s="66">
        <f t="shared" si="48"/>
        <v>0</v>
      </c>
      <c r="BK36" s="58"/>
      <c r="BL36" s="67" t="s">
        <v>1948</v>
      </c>
      <c r="BM36" s="66">
        <f t="shared" si="49"/>
        <v>0</v>
      </c>
      <c r="BN36" s="58"/>
      <c r="BO36" s="67" t="s">
        <v>1947</v>
      </c>
      <c r="BP36" s="66">
        <f t="shared" si="50"/>
        <v>0</v>
      </c>
      <c r="BQ36" s="58"/>
      <c r="BR36" s="67" t="s">
        <v>1953</v>
      </c>
      <c r="BS36" s="66">
        <f t="shared" si="51"/>
        <v>0</v>
      </c>
      <c r="BT36" s="58"/>
      <c r="BU36" s="67"/>
      <c r="BV36" s="66">
        <f t="shared" si="52"/>
        <v>0</v>
      </c>
      <c r="BW36" s="58"/>
      <c r="BX36" s="67"/>
      <c r="BY36" s="66">
        <f t="shared" si="53"/>
        <v>0</v>
      </c>
      <c r="BZ36" s="58"/>
      <c r="CA36" s="67"/>
      <c r="CB36" s="66">
        <f t="shared" si="54"/>
        <v>0</v>
      </c>
      <c r="CC36" s="58"/>
      <c r="CD36" s="67"/>
      <c r="CE36" s="66">
        <f t="shared" si="55"/>
        <v>0</v>
      </c>
      <c r="CF36" s="58"/>
      <c r="CG36" s="67"/>
      <c r="CH36" s="66">
        <f t="shared" si="56"/>
        <v>0</v>
      </c>
      <c r="CI36" s="58"/>
      <c r="CJ36" s="67"/>
      <c r="CK36" s="66">
        <f t="shared" si="57"/>
        <v>0</v>
      </c>
      <c r="CL36" s="58"/>
      <c r="CM36" s="67"/>
      <c r="CN36" s="66">
        <f t="shared" si="58"/>
        <v>0</v>
      </c>
      <c r="CO36" s="58"/>
      <c r="CP36" s="67"/>
      <c r="CQ36" s="66">
        <f t="shared" si="59"/>
        <v>0</v>
      </c>
      <c r="CR36" s="58"/>
      <c r="CS36" s="67"/>
      <c r="CT36" s="66">
        <f t="shared" si="60"/>
        <v>0</v>
      </c>
      <c r="CU36" s="58"/>
      <c r="CV36" s="67"/>
      <c r="CW36" s="66">
        <f t="shared" si="61"/>
        <v>0</v>
      </c>
      <c r="CX36" s="58"/>
      <c r="CY36" s="67"/>
      <c r="CZ36" s="66">
        <f t="shared" si="62"/>
        <v>0</v>
      </c>
      <c r="DA36" s="58"/>
      <c r="DB36" s="67"/>
      <c r="DC36" s="66">
        <f t="shared" si="63"/>
        <v>0</v>
      </c>
      <c r="DD36" s="58"/>
      <c r="DE36" s="67"/>
      <c r="DF36" s="66">
        <f t="shared" si="64"/>
        <v>0</v>
      </c>
      <c r="DG36" s="58"/>
      <c r="DH36" s="67"/>
      <c r="DI36" s="66">
        <f t="shared" si="65"/>
        <v>0</v>
      </c>
      <c r="DJ36" s="58"/>
      <c r="DK36" s="67"/>
      <c r="DL36" s="66">
        <f t="shared" si="66"/>
        <v>0</v>
      </c>
      <c r="DM36" s="58"/>
      <c r="DN36" s="67"/>
      <c r="DO36" s="66">
        <f t="shared" si="67"/>
        <v>0</v>
      </c>
      <c r="DP36" s="58"/>
      <c r="DQ36" s="67"/>
      <c r="DR36" s="66">
        <f t="shared" si="68"/>
        <v>0</v>
      </c>
      <c r="DS36" s="58"/>
      <c r="DT36" s="67"/>
      <c r="DU36" s="66">
        <f t="shared" si="69"/>
        <v>0</v>
      </c>
      <c r="DV36" s="58"/>
      <c r="DW36" s="67"/>
      <c r="DX36" s="66">
        <f t="shared" si="70"/>
        <v>0</v>
      </c>
      <c r="DY36" s="58"/>
      <c r="DZ36" s="67"/>
      <c r="EA36" s="66">
        <f t="shared" si="71"/>
        <v>0</v>
      </c>
      <c r="EB36" s="58"/>
      <c r="EC36" s="67"/>
      <c r="ED36" s="66">
        <f t="shared" si="72"/>
        <v>0</v>
      </c>
      <c r="EE36" s="58"/>
      <c r="EF36" s="67"/>
      <c r="EG36" s="66">
        <f t="shared" si="73"/>
        <v>0</v>
      </c>
      <c r="EH36" s="58"/>
      <c r="EI36" s="58"/>
    </row>
    <row r="37" spans="1:139">
      <c r="A37" s="43"/>
      <c r="B37" s="43"/>
      <c r="C37" s="420" t="str">
        <f>Idiomas!D333&amp;"**"</f>
        <v>FINAL - Diferencia/Distancia de goles (Con 1X2 acertado)**</v>
      </c>
      <c r="D37" s="38">
        <v>2</v>
      </c>
      <c r="E37" s="103"/>
      <c r="F37" s="426">
        <f t="shared" si="32"/>
        <v>17</v>
      </c>
      <c r="G37" s="426">
        <f ca="1">VLOOKUP(H37,Equipos!$Q$1:$R$25,2,0)</f>
        <v>10</v>
      </c>
      <c r="H37" s="427">
        <f ca="1">TRUNC(INDEX(WORLDCUP!$X$4:$X$147,MATCH(ADMIN!K37,WORLDCUP!$DT$4:$DT$147,0))+INDEX(Horarios!$R$3:$R$86,MATCH(Horarios!$C$3,Horarios!$P$3:$P$86,0))/24)</f>
        <v>46193</v>
      </c>
      <c r="I37" s="42">
        <v>1</v>
      </c>
      <c r="J37" s="88" t="s">
        <v>121</v>
      </c>
      <c r="K37" s="49" t="str">
        <f ca="1">CONCATENATE(WORLDCUP!AA31,"-",WORLDCUP!AF31)</f>
        <v>Turquía-Paraguay</v>
      </c>
      <c r="L37" s="46"/>
      <c r="M37" s="48" t="str">
        <f>IF(OR(WORLDCUP!AC31="",WORLDCUP!AD31=""),"-",N37&amp;"|"&amp;O37&amp;"-"&amp;P37)</f>
        <v>-</v>
      </c>
      <c r="N37" s="711" t="str">
        <f>IF(OR(WORLDCUP!AC31="",WORLDCUP!AD31=""),"",IF(WORLDCUP!AC31&gt;WORLDCUP!AD31,"1",IF(WORLDCUP!AC31&lt;WORLDCUP!AD31,"2","X")))</f>
        <v/>
      </c>
      <c r="O37" s="711">
        <f>WORLDCUP!AC31</f>
        <v>0</v>
      </c>
      <c r="P37" s="711">
        <f>WORLDCUP!AD31</f>
        <v>0</v>
      </c>
      <c r="Q37" s="711">
        <f t="shared" si="33"/>
        <v>0</v>
      </c>
      <c r="R37" s="43"/>
      <c r="S37" s="67" t="s">
        <v>1953</v>
      </c>
      <c r="T37" s="66">
        <f t="shared" si="34"/>
        <v>0</v>
      </c>
      <c r="U37" s="58"/>
      <c r="V37" s="67" t="s">
        <v>1948</v>
      </c>
      <c r="W37" s="66">
        <f t="shared" si="35"/>
        <v>0</v>
      </c>
      <c r="X37" s="58"/>
      <c r="Y37" s="67" t="s">
        <v>1956</v>
      </c>
      <c r="Z37" s="66">
        <f t="shared" si="36"/>
        <v>0</v>
      </c>
      <c r="AA37" s="58"/>
      <c r="AB37" s="67" t="s">
        <v>1953</v>
      </c>
      <c r="AC37" s="66">
        <f t="shared" si="37"/>
        <v>0</v>
      </c>
      <c r="AD37" s="58"/>
      <c r="AE37" s="67" t="s">
        <v>1953</v>
      </c>
      <c r="AF37" s="66">
        <f t="shared" si="38"/>
        <v>0</v>
      </c>
      <c r="AG37" s="58"/>
      <c r="AH37" s="67" t="s">
        <v>1947</v>
      </c>
      <c r="AI37" s="66">
        <f t="shared" si="39"/>
        <v>0</v>
      </c>
      <c r="AJ37" s="58"/>
      <c r="AK37" s="67" t="s">
        <v>1947</v>
      </c>
      <c r="AL37" s="66">
        <f t="shared" si="40"/>
        <v>0</v>
      </c>
      <c r="AM37" s="58"/>
      <c r="AN37" s="67" t="s">
        <v>1948</v>
      </c>
      <c r="AO37" s="66">
        <f t="shared" si="41"/>
        <v>0</v>
      </c>
      <c r="AP37" s="58"/>
      <c r="AQ37" s="67" t="s">
        <v>1947</v>
      </c>
      <c r="AR37" s="66">
        <f t="shared" si="42"/>
        <v>0</v>
      </c>
      <c r="AS37" s="58"/>
      <c r="AT37" s="67" t="s">
        <v>1947</v>
      </c>
      <c r="AU37" s="66">
        <f t="shared" si="43"/>
        <v>0</v>
      </c>
      <c r="AV37" s="58"/>
      <c r="AW37" s="67" t="s">
        <v>1956</v>
      </c>
      <c r="AX37" s="66">
        <f t="shared" si="44"/>
        <v>0</v>
      </c>
      <c r="AY37" s="58"/>
      <c r="AZ37" s="67" t="s">
        <v>1947</v>
      </c>
      <c r="BA37" s="66">
        <f t="shared" si="45"/>
        <v>0</v>
      </c>
      <c r="BB37" s="58"/>
      <c r="BC37" s="67" t="s">
        <v>1953</v>
      </c>
      <c r="BD37" s="66">
        <f t="shared" si="46"/>
        <v>0</v>
      </c>
      <c r="BE37" s="58"/>
      <c r="BF37" s="67" t="s">
        <v>1953</v>
      </c>
      <c r="BG37" s="66">
        <f t="shared" si="47"/>
        <v>0</v>
      </c>
      <c r="BH37" s="58"/>
      <c r="BI37" s="67" t="s">
        <v>1948</v>
      </c>
      <c r="BJ37" s="66">
        <f t="shared" si="48"/>
        <v>0</v>
      </c>
      <c r="BK37" s="58"/>
      <c r="BL37" s="67" t="s">
        <v>1947</v>
      </c>
      <c r="BM37" s="66">
        <f t="shared" si="49"/>
        <v>0</v>
      </c>
      <c r="BN37" s="58"/>
      <c r="BO37" s="67" t="s">
        <v>1956</v>
      </c>
      <c r="BP37" s="66">
        <f t="shared" si="50"/>
        <v>0</v>
      </c>
      <c r="BQ37" s="58"/>
      <c r="BR37" s="67" t="s">
        <v>1956</v>
      </c>
      <c r="BS37" s="66">
        <f t="shared" si="51"/>
        <v>0</v>
      </c>
      <c r="BT37" s="58"/>
      <c r="BU37" s="67"/>
      <c r="BV37" s="66">
        <f t="shared" si="52"/>
        <v>0</v>
      </c>
      <c r="BW37" s="58"/>
      <c r="BX37" s="67"/>
      <c r="BY37" s="66">
        <f t="shared" si="53"/>
        <v>0</v>
      </c>
      <c r="BZ37" s="58"/>
      <c r="CA37" s="67"/>
      <c r="CB37" s="66">
        <f t="shared" si="54"/>
        <v>0</v>
      </c>
      <c r="CC37" s="58"/>
      <c r="CD37" s="67"/>
      <c r="CE37" s="66">
        <f t="shared" si="55"/>
        <v>0</v>
      </c>
      <c r="CF37" s="58"/>
      <c r="CG37" s="67"/>
      <c r="CH37" s="66">
        <f t="shared" si="56"/>
        <v>0</v>
      </c>
      <c r="CI37" s="58"/>
      <c r="CJ37" s="67"/>
      <c r="CK37" s="66">
        <f t="shared" si="57"/>
        <v>0</v>
      </c>
      <c r="CL37" s="58"/>
      <c r="CM37" s="67"/>
      <c r="CN37" s="66">
        <f t="shared" si="58"/>
        <v>0</v>
      </c>
      <c r="CO37" s="58"/>
      <c r="CP37" s="67"/>
      <c r="CQ37" s="66">
        <f t="shared" si="59"/>
        <v>0</v>
      </c>
      <c r="CR37" s="58"/>
      <c r="CS37" s="67"/>
      <c r="CT37" s="66">
        <f t="shared" si="60"/>
        <v>0</v>
      </c>
      <c r="CU37" s="58"/>
      <c r="CV37" s="67"/>
      <c r="CW37" s="66">
        <f t="shared" si="61"/>
        <v>0</v>
      </c>
      <c r="CX37" s="58"/>
      <c r="CY37" s="67"/>
      <c r="CZ37" s="66">
        <f t="shared" si="62"/>
        <v>0</v>
      </c>
      <c r="DA37" s="58"/>
      <c r="DB37" s="67"/>
      <c r="DC37" s="66">
        <f t="shared" si="63"/>
        <v>0</v>
      </c>
      <c r="DD37" s="58"/>
      <c r="DE37" s="67"/>
      <c r="DF37" s="66">
        <f t="shared" si="64"/>
        <v>0</v>
      </c>
      <c r="DG37" s="58"/>
      <c r="DH37" s="67"/>
      <c r="DI37" s="66">
        <f t="shared" si="65"/>
        <v>0</v>
      </c>
      <c r="DJ37" s="58"/>
      <c r="DK37" s="67"/>
      <c r="DL37" s="66">
        <f t="shared" si="66"/>
        <v>0</v>
      </c>
      <c r="DM37" s="58"/>
      <c r="DN37" s="67"/>
      <c r="DO37" s="66">
        <f t="shared" si="67"/>
        <v>0</v>
      </c>
      <c r="DP37" s="58"/>
      <c r="DQ37" s="67"/>
      <c r="DR37" s="66">
        <f t="shared" si="68"/>
        <v>0</v>
      </c>
      <c r="DS37" s="58"/>
      <c r="DT37" s="67"/>
      <c r="DU37" s="66">
        <f t="shared" si="69"/>
        <v>0</v>
      </c>
      <c r="DV37" s="58"/>
      <c r="DW37" s="67"/>
      <c r="DX37" s="66">
        <f t="shared" si="70"/>
        <v>0</v>
      </c>
      <c r="DY37" s="58"/>
      <c r="DZ37" s="67"/>
      <c r="EA37" s="66">
        <f t="shared" si="71"/>
        <v>0</v>
      </c>
      <c r="EB37" s="58"/>
      <c r="EC37" s="67"/>
      <c r="ED37" s="66">
        <f t="shared" si="72"/>
        <v>0</v>
      </c>
      <c r="EE37" s="58"/>
      <c r="EF37" s="67"/>
      <c r="EG37" s="66">
        <f t="shared" si="73"/>
        <v>0</v>
      </c>
      <c r="EH37" s="58"/>
      <c r="EI37" s="58"/>
    </row>
    <row r="38" spans="1:139">
      <c r="A38" s="43"/>
      <c r="B38" s="43"/>
      <c r="C38" s="422" t="str">
        <f>Idiomas!D334</f>
        <v>FINAL - Resultado exacto</v>
      </c>
      <c r="D38" s="56">
        <v>10</v>
      </c>
      <c r="E38" s="103"/>
      <c r="F38" s="426">
        <f t="shared" si="32"/>
        <v>17</v>
      </c>
      <c r="G38" s="426">
        <f ca="1">VLOOKUP(H38,Equipos!$Q$1:$R$25,2,0)</f>
        <v>11</v>
      </c>
      <c r="H38" s="427">
        <f ca="1">TRUNC(INDEX(WORLDCUP!$X$4:$X$147,MATCH(ADMIN!K38,WORLDCUP!$DT$4:$DT$147,0))+INDEX(Horarios!$R$3:$R$86,MATCH(Horarios!$C$3,Horarios!$P$3:$P$86,0))/24)</f>
        <v>46194</v>
      </c>
      <c r="I38" s="42">
        <v>1</v>
      </c>
      <c r="J38" s="87" t="s">
        <v>122</v>
      </c>
      <c r="K38" s="46" t="str">
        <f ca="1">CONCATENATE(WORLDCUP!AA38,"-",WORLDCUP!AF38)</f>
        <v>Alemania-Costa de Marfil</v>
      </c>
      <c r="L38" s="46"/>
      <c r="M38" s="48" t="str">
        <f>IF(OR(WORLDCUP!AC38="",WORLDCUP!AD38=""),"-",N38&amp;"|"&amp;O38&amp;"-"&amp;P38)</f>
        <v>-</v>
      </c>
      <c r="N38" s="711" t="str">
        <f>IF(OR(WORLDCUP!AC38="",WORLDCUP!AD38=""),"",IF(WORLDCUP!AC38&gt;WORLDCUP!AD38,"1",IF(WORLDCUP!AC38&lt;WORLDCUP!AD38,"2","X")))</f>
        <v/>
      </c>
      <c r="O38" s="711">
        <f>WORLDCUP!AC38</f>
        <v>0</v>
      </c>
      <c r="P38" s="711">
        <f>WORLDCUP!AD38</f>
        <v>0</v>
      </c>
      <c r="Q38" s="711">
        <f t="shared" si="33"/>
        <v>0</v>
      </c>
      <c r="R38" s="43"/>
      <c r="S38" s="67" t="s">
        <v>1952</v>
      </c>
      <c r="T38" s="66">
        <f t="shared" ref="T38:T69" si="74">IFERROR(IF($M38=S38,($D$8+$D$9+$D$10)*$I38,IF($N38=LEFT(S38,1),($D$8+MAX(0,IF($D$50=1,$D$9*(1-(ABS($Q38-ABS(VALUE(MID(S38,FIND("|",S38)+1,FIND("-",S38)-FIND("|",S38)-1))-VALUE(MID(S38,FIND("-",S38)+1,10)))))*$D$50),$D$9*(1-(IF($N38="X",ABS($O38-VALUE(MID(S38,FIND("|",S38)+1,FIND("-",S38)-FIND("|",S38)-1))),ABS($Q38-ABS(VALUE(MID(S38,FIND("|",S38)+1,FIND("-",S38)-FIND("|",S38)-1))-VALUE(MID(S38,FIND("-",S38)+1,10)))))*$D$50)))))*$I38,0)),0)</f>
        <v>0</v>
      </c>
      <c r="U38" s="58"/>
      <c r="V38" s="67" t="s">
        <v>1947</v>
      </c>
      <c r="W38" s="66">
        <f t="shared" si="35"/>
        <v>0</v>
      </c>
      <c r="X38" s="58"/>
      <c r="Y38" s="67" t="s">
        <v>1947</v>
      </c>
      <c r="Z38" s="66">
        <f t="shared" si="36"/>
        <v>0</v>
      </c>
      <c r="AA38" s="58"/>
      <c r="AB38" s="67" t="s">
        <v>1947</v>
      </c>
      <c r="AC38" s="66">
        <f t="shared" si="37"/>
        <v>0</v>
      </c>
      <c r="AD38" s="58"/>
      <c r="AE38" s="67" t="s">
        <v>1948</v>
      </c>
      <c r="AF38" s="66">
        <f t="shared" si="38"/>
        <v>0</v>
      </c>
      <c r="AG38" s="58"/>
      <c r="AH38" s="67" t="s">
        <v>1953</v>
      </c>
      <c r="AI38" s="66">
        <f t="shared" si="39"/>
        <v>0</v>
      </c>
      <c r="AJ38" s="58"/>
      <c r="AK38" s="67" t="s">
        <v>1948</v>
      </c>
      <c r="AL38" s="66">
        <f t="shared" si="40"/>
        <v>0</v>
      </c>
      <c r="AM38" s="58"/>
      <c r="AN38" s="67" t="s">
        <v>1953</v>
      </c>
      <c r="AO38" s="66">
        <f t="shared" si="41"/>
        <v>0</v>
      </c>
      <c r="AP38" s="58"/>
      <c r="AQ38" s="67" t="s">
        <v>1948</v>
      </c>
      <c r="AR38" s="66">
        <f t="shared" si="42"/>
        <v>0</v>
      </c>
      <c r="AS38" s="58"/>
      <c r="AT38" s="67" t="s">
        <v>1953</v>
      </c>
      <c r="AU38" s="66">
        <f t="shared" si="43"/>
        <v>0</v>
      </c>
      <c r="AV38" s="58"/>
      <c r="AW38" s="67" t="s">
        <v>1947</v>
      </c>
      <c r="AX38" s="66">
        <f t="shared" si="44"/>
        <v>0</v>
      </c>
      <c r="AY38" s="58"/>
      <c r="AZ38" s="67" t="s">
        <v>1953</v>
      </c>
      <c r="BA38" s="66">
        <f t="shared" si="45"/>
        <v>0</v>
      </c>
      <c r="BB38" s="58"/>
      <c r="BC38" s="67" t="s">
        <v>1947</v>
      </c>
      <c r="BD38" s="66">
        <f t="shared" si="46"/>
        <v>0</v>
      </c>
      <c r="BE38" s="58"/>
      <c r="BF38" s="67" t="s">
        <v>1959</v>
      </c>
      <c r="BG38" s="66">
        <f t="shared" si="47"/>
        <v>0</v>
      </c>
      <c r="BH38" s="58"/>
      <c r="BI38" s="67" t="s">
        <v>1953</v>
      </c>
      <c r="BJ38" s="66">
        <f t="shared" si="48"/>
        <v>0</v>
      </c>
      <c r="BK38" s="58"/>
      <c r="BL38" s="67" t="s">
        <v>1954</v>
      </c>
      <c r="BM38" s="66">
        <f t="shared" si="49"/>
        <v>0</v>
      </c>
      <c r="BN38" s="58"/>
      <c r="BO38" s="67" t="s">
        <v>1948</v>
      </c>
      <c r="BP38" s="66">
        <f t="shared" si="50"/>
        <v>0</v>
      </c>
      <c r="BQ38" s="58"/>
      <c r="BR38" s="67" t="s">
        <v>1953</v>
      </c>
      <c r="BS38" s="66">
        <f t="shared" si="51"/>
        <v>0</v>
      </c>
      <c r="BT38" s="58"/>
      <c r="BU38" s="67"/>
      <c r="BV38" s="66">
        <f t="shared" si="52"/>
        <v>0</v>
      </c>
      <c r="BW38" s="58"/>
      <c r="BX38" s="67"/>
      <c r="BY38" s="66">
        <f t="shared" si="53"/>
        <v>0</v>
      </c>
      <c r="BZ38" s="58"/>
      <c r="CA38" s="67"/>
      <c r="CB38" s="66">
        <f t="shared" si="54"/>
        <v>0</v>
      </c>
      <c r="CC38" s="58"/>
      <c r="CD38" s="67"/>
      <c r="CE38" s="66">
        <f t="shared" si="55"/>
        <v>0</v>
      </c>
      <c r="CF38" s="58"/>
      <c r="CG38" s="67"/>
      <c r="CH38" s="66">
        <f t="shared" si="56"/>
        <v>0</v>
      </c>
      <c r="CI38" s="58"/>
      <c r="CJ38" s="67"/>
      <c r="CK38" s="66">
        <f t="shared" si="57"/>
        <v>0</v>
      </c>
      <c r="CL38" s="58"/>
      <c r="CM38" s="67"/>
      <c r="CN38" s="66">
        <f t="shared" si="58"/>
        <v>0</v>
      </c>
      <c r="CO38" s="58"/>
      <c r="CP38" s="67"/>
      <c r="CQ38" s="66">
        <f t="shared" si="59"/>
        <v>0</v>
      </c>
      <c r="CR38" s="58"/>
      <c r="CS38" s="67"/>
      <c r="CT38" s="66">
        <f t="shared" si="60"/>
        <v>0</v>
      </c>
      <c r="CU38" s="58"/>
      <c r="CV38" s="67"/>
      <c r="CW38" s="66">
        <f t="shared" si="61"/>
        <v>0</v>
      </c>
      <c r="CX38" s="58"/>
      <c r="CY38" s="67"/>
      <c r="CZ38" s="66">
        <f t="shared" si="62"/>
        <v>0</v>
      </c>
      <c r="DA38" s="58"/>
      <c r="DB38" s="67"/>
      <c r="DC38" s="66">
        <f t="shared" si="63"/>
        <v>0</v>
      </c>
      <c r="DD38" s="58"/>
      <c r="DE38" s="67"/>
      <c r="DF38" s="66">
        <f t="shared" si="64"/>
        <v>0</v>
      </c>
      <c r="DG38" s="58"/>
      <c r="DH38" s="67"/>
      <c r="DI38" s="66">
        <f t="shared" si="65"/>
        <v>0</v>
      </c>
      <c r="DJ38" s="58"/>
      <c r="DK38" s="67"/>
      <c r="DL38" s="66">
        <f t="shared" si="66"/>
        <v>0</v>
      </c>
      <c r="DM38" s="58"/>
      <c r="DN38" s="67"/>
      <c r="DO38" s="66">
        <f t="shared" si="67"/>
        <v>0</v>
      </c>
      <c r="DP38" s="58"/>
      <c r="DQ38" s="67"/>
      <c r="DR38" s="66">
        <f t="shared" si="68"/>
        <v>0</v>
      </c>
      <c r="DS38" s="58"/>
      <c r="DT38" s="67"/>
      <c r="DU38" s="66">
        <f t="shared" si="69"/>
        <v>0</v>
      </c>
      <c r="DV38" s="58"/>
      <c r="DW38" s="67"/>
      <c r="DX38" s="66">
        <f t="shared" si="70"/>
        <v>0</v>
      </c>
      <c r="DY38" s="58"/>
      <c r="DZ38" s="67"/>
      <c r="EA38" s="66">
        <f t="shared" si="71"/>
        <v>0</v>
      </c>
      <c r="EB38" s="58"/>
      <c r="EC38" s="67"/>
      <c r="ED38" s="66">
        <f t="shared" si="72"/>
        <v>0</v>
      </c>
      <c r="EE38" s="58"/>
      <c r="EF38" s="67"/>
      <c r="EG38" s="66">
        <f t="shared" si="73"/>
        <v>0</v>
      </c>
      <c r="EH38" s="58"/>
      <c r="EI38" s="58"/>
    </row>
    <row r="39" spans="1:139">
      <c r="A39" s="43"/>
      <c r="B39" s="43"/>
      <c r="C39" s="420" t="str">
        <f>Idiomas!D335</f>
        <v>Campeón</v>
      </c>
      <c r="D39" s="38">
        <v>25</v>
      </c>
      <c r="E39" s="103"/>
      <c r="F39" s="426">
        <f t="shared" si="32"/>
        <v>17</v>
      </c>
      <c r="G39" s="426">
        <f ca="1">VLOOKUP(H39,Equipos!$Q$1:$R$25,2,0)</f>
        <v>11</v>
      </c>
      <c r="H39" s="427">
        <f ca="1">TRUNC(INDEX(WORLDCUP!$X$4:$X$147,MATCH(ADMIN!K39,WORLDCUP!$DT$4:$DT$147,0))+INDEX(Horarios!$R$3:$R$86,MATCH(Horarios!$C$3,Horarios!$P$3:$P$86,0))/24)</f>
        <v>46194</v>
      </c>
      <c r="I39" s="42">
        <v>1</v>
      </c>
      <c r="J39" s="87" t="s">
        <v>122</v>
      </c>
      <c r="K39" s="49" t="str">
        <f ca="1">CONCATENATE(WORLDCUP!AA39,"-",WORLDCUP!AF39)</f>
        <v>Ecuador-Curazao</v>
      </c>
      <c r="L39" s="46"/>
      <c r="M39" s="48" t="str">
        <f>IF(OR(WORLDCUP!AC39="",WORLDCUP!AD39=""),"-",N39&amp;"|"&amp;O39&amp;"-"&amp;P39)</f>
        <v>-</v>
      </c>
      <c r="N39" s="711" t="str">
        <f>IF(OR(WORLDCUP!AC39="",WORLDCUP!AD39=""),"",IF(WORLDCUP!AC39&gt;WORLDCUP!AD39,"1",IF(WORLDCUP!AC39&lt;WORLDCUP!AD39,"2","X")))</f>
        <v/>
      </c>
      <c r="O39" s="711">
        <f>WORLDCUP!AC39</f>
        <v>0</v>
      </c>
      <c r="P39" s="711">
        <f>WORLDCUP!AD39</f>
        <v>0</v>
      </c>
      <c r="Q39" s="711">
        <f t="shared" si="33"/>
        <v>0</v>
      </c>
      <c r="R39" s="43"/>
      <c r="S39" s="67" t="s">
        <v>1959</v>
      </c>
      <c r="T39" s="66">
        <f t="shared" si="74"/>
        <v>0</v>
      </c>
      <c r="U39" s="58"/>
      <c r="V39" s="67" t="s">
        <v>1953</v>
      </c>
      <c r="W39" s="66">
        <f t="shared" si="35"/>
        <v>0</v>
      </c>
      <c r="X39" s="58"/>
      <c r="Y39" s="67" t="s">
        <v>1953</v>
      </c>
      <c r="Z39" s="66">
        <f t="shared" si="36"/>
        <v>0</v>
      </c>
      <c r="AA39" s="58"/>
      <c r="AB39" s="67" t="s">
        <v>1956</v>
      </c>
      <c r="AC39" s="66">
        <f t="shared" si="37"/>
        <v>0</v>
      </c>
      <c r="AD39" s="58"/>
      <c r="AE39" s="67" t="s">
        <v>1952</v>
      </c>
      <c r="AF39" s="66">
        <f t="shared" si="38"/>
        <v>0</v>
      </c>
      <c r="AG39" s="58"/>
      <c r="AH39" s="67" t="s">
        <v>1953</v>
      </c>
      <c r="AI39" s="66">
        <f t="shared" si="39"/>
        <v>0</v>
      </c>
      <c r="AJ39" s="58"/>
      <c r="AK39" s="67" t="s">
        <v>1953</v>
      </c>
      <c r="AL39" s="66">
        <f t="shared" si="40"/>
        <v>0</v>
      </c>
      <c r="AM39" s="58"/>
      <c r="AN39" s="67" t="s">
        <v>1959</v>
      </c>
      <c r="AO39" s="66">
        <f t="shared" si="41"/>
        <v>0</v>
      </c>
      <c r="AP39" s="58"/>
      <c r="AQ39" s="67" t="s">
        <v>1959</v>
      </c>
      <c r="AR39" s="66">
        <f t="shared" si="42"/>
        <v>0</v>
      </c>
      <c r="AS39" s="58"/>
      <c r="AT39" s="67" t="s">
        <v>1953</v>
      </c>
      <c r="AU39" s="66">
        <f t="shared" si="43"/>
        <v>0</v>
      </c>
      <c r="AV39" s="58"/>
      <c r="AW39" s="67" t="s">
        <v>1956</v>
      </c>
      <c r="AX39" s="66">
        <f t="shared" si="44"/>
        <v>0</v>
      </c>
      <c r="AY39" s="58"/>
      <c r="AZ39" s="67" t="s">
        <v>1953</v>
      </c>
      <c r="BA39" s="66">
        <f t="shared" si="45"/>
        <v>0</v>
      </c>
      <c r="BB39" s="58"/>
      <c r="BC39" s="67" t="s">
        <v>1979</v>
      </c>
      <c r="BD39" s="66">
        <f t="shared" si="46"/>
        <v>0</v>
      </c>
      <c r="BE39" s="58"/>
      <c r="BF39" s="67" t="s">
        <v>1953</v>
      </c>
      <c r="BG39" s="66">
        <f t="shared" si="47"/>
        <v>0</v>
      </c>
      <c r="BH39" s="58"/>
      <c r="BI39" s="67" t="s">
        <v>1956</v>
      </c>
      <c r="BJ39" s="66">
        <f t="shared" si="48"/>
        <v>0</v>
      </c>
      <c r="BK39" s="58"/>
      <c r="BL39" s="67" t="s">
        <v>1947</v>
      </c>
      <c r="BM39" s="66">
        <f t="shared" si="49"/>
        <v>0</v>
      </c>
      <c r="BN39" s="58"/>
      <c r="BO39" s="67" t="s">
        <v>1959</v>
      </c>
      <c r="BP39" s="66">
        <f t="shared" si="50"/>
        <v>0</v>
      </c>
      <c r="BQ39" s="58"/>
      <c r="BR39" s="67" t="s">
        <v>1953</v>
      </c>
      <c r="BS39" s="66">
        <f t="shared" si="51"/>
        <v>0</v>
      </c>
      <c r="BT39" s="58"/>
      <c r="BU39" s="67"/>
      <c r="BV39" s="66">
        <f t="shared" si="52"/>
        <v>0</v>
      </c>
      <c r="BW39" s="58"/>
      <c r="BX39" s="67"/>
      <c r="BY39" s="66">
        <f t="shared" si="53"/>
        <v>0</v>
      </c>
      <c r="BZ39" s="58"/>
      <c r="CA39" s="67"/>
      <c r="CB39" s="66">
        <f t="shared" si="54"/>
        <v>0</v>
      </c>
      <c r="CC39" s="58"/>
      <c r="CD39" s="67"/>
      <c r="CE39" s="66">
        <f t="shared" si="55"/>
        <v>0</v>
      </c>
      <c r="CF39" s="58"/>
      <c r="CG39" s="67"/>
      <c r="CH39" s="66">
        <f t="shared" si="56"/>
        <v>0</v>
      </c>
      <c r="CI39" s="58"/>
      <c r="CJ39" s="67"/>
      <c r="CK39" s="66">
        <f t="shared" si="57"/>
        <v>0</v>
      </c>
      <c r="CL39" s="58"/>
      <c r="CM39" s="67"/>
      <c r="CN39" s="66">
        <f t="shared" si="58"/>
        <v>0</v>
      </c>
      <c r="CO39" s="58"/>
      <c r="CP39" s="67"/>
      <c r="CQ39" s="66">
        <f t="shared" si="59"/>
        <v>0</v>
      </c>
      <c r="CR39" s="58"/>
      <c r="CS39" s="67"/>
      <c r="CT39" s="66">
        <f t="shared" si="60"/>
        <v>0</v>
      </c>
      <c r="CU39" s="58"/>
      <c r="CV39" s="67"/>
      <c r="CW39" s="66">
        <f t="shared" si="61"/>
        <v>0</v>
      </c>
      <c r="CX39" s="58"/>
      <c r="CY39" s="67"/>
      <c r="CZ39" s="66">
        <f t="shared" si="62"/>
        <v>0</v>
      </c>
      <c r="DA39" s="58"/>
      <c r="DB39" s="67"/>
      <c r="DC39" s="66">
        <f t="shared" si="63"/>
        <v>0</v>
      </c>
      <c r="DD39" s="58"/>
      <c r="DE39" s="67"/>
      <c r="DF39" s="66">
        <f t="shared" si="64"/>
        <v>0</v>
      </c>
      <c r="DG39" s="58"/>
      <c r="DH39" s="67"/>
      <c r="DI39" s="66">
        <f t="shared" si="65"/>
        <v>0</v>
      </c>
      <c r="DJ39" s="58"/>
      <c r="DK39" s="67"/>
      <c r="DL39" s="66">
        <f t="shared" si="66"/>
        <v>0</v>
      </c>
      <c r="DM39" s="58"/>
      <c r="DN39" s="67"/>
      <c r="DO39" s="66">
        <f t="shared" si="67"/>
        <v>0</v>
      </c>
      <c r="DP39" s="58"/>
      <c r="DQ39" s="67"/>
      <c r="DR39" s="66">
        <f t="shared" si="68"/>
        <v>0</v>
      </c>
      <c r="DS39" s="58"/>
      <c r="DT39" s="67"/>
      <c r="DU39" s="66">
        <f t="shared" si="69"/>
        <v>0</v>
      </c>
      <c r="DV39" s="58"/>
      <c r="DW39" s="67"/>
      <c r="DX39" s="66">
        <f t="shared" si="70"/>
        <v>0</v>
      </c>
      <c r="DY39" s="58"/>
      <c r="DZ39" s="67"/>
      <c r="EA39" s="66">
        <f t="shared" si="71"/>
        <v>0</v>
      </c>
      <c r="EB39" s="58"/>
      <c r="EC39" s="67"/>
      <c r="ED39" s="66">
        <f t="shared" si="72"/>
        <v>0</v>
      </c>
      <c r="EE39" s="58"/>
      <c r="EF39" s="67"/>
      <c r="EG39" s="66">
        <f t="shared" si="73"/>
        <v>0</v>
      </c>
      <c r="EH39" s="58"/>
      <c r="EI39" s="58"/>
    </row>
    <row r="40" spans="1:139">
      <c r="A40" s="43"/>
      <c r="B40" s="43"/>
      <c r="C40" s="419" t="str">
        <f>Idiomas!D336</f>
        <v>Subcampeón</v>
      </c>
      <c r="D40" s="55">
        <v>20</v>
      </c>
      <c r="E40" s="103"/>
      <c r="F40" s="426">
        <f t="shared" si="32"/>
        <v>17</v>
      </c>
      <c r="G40" s="426">
        <f ca="1">VLOOKUP(H40,Equipos!$Q$1:$R$25,2,0)</f>
        <v>10</v>
      </c>
      <c r="H40" s="427">
        <f ca="1">TRUNC(INDEX(WORLDCUP!$X$4:$X$147,MATCH(ADMIN!K40,WORLDCUP!$DT$4:$DT$147,0))+INDEX(Horarios!$R$3:$R$86,MATCH(Horarios!$C$3,Horarios!$P$3:$P$86,0))/24)</f>
        <v>46193</v>
      </c>
      <c r="I40" s="42">
        <v>1</v>
      </c>
      <c r="J40" s="88" t="s">
        <v>123</v>
      </c>
      <c r="K40" s="46" t="str">
        <f ca="1">CONCATENATE(WORLDCUP!AA46,"-",WORLDCUP!AF46)</f>
        <v>Países Bajos-Suecia</v>
      </c>
      <c r="L40" s="46"/>
      <c r="M40" s="48" t="str">
        <f>IF(OR(WORLDCUP!AC46="",WORLDCUP!AD46=""),"-",N40&amp;"|"&amp;O40&amp;"-"&amp;P40)</f>
        <v>-</v>
      </c>
      <c r="N40" s="711" t="str">
        <f>IF(OR(WORLDCUP!AC46="",WORLDCUP!AD46=""),"",IF(WORLDCUP!AC46&gt;WORLDCUP!AD46,"1",IF(WORLDCUP!AC46&lt;WORLDCUP!AD46,"2","X")))</f>
        <v/>
      </c>
      <c r="O40" s="711">
        <f>WORLDCUP!AC46</f>
        <v>0</v>
      </c>
      <c r="P40" s="711">
        <f>WORLDCUP!AD46</f>
        <v>0</v>
      </c>
      <c r="Q40" s="711">
        <f t="shared" si="33"/>
        <v>0</v>
      </c>
      <c r="R40" s="43"/>
      <c r="S40" s="67" t="s">
        <v>1953</v>
      </c>
      <c r="T40" s="66">
        <f t="shared" si="74"/>
        <v>0</v>
      </c>
      <c r="U40" s="58"/>
      <c r="V40" s="67" t="s">
        <v>1947</v>
      </c>
      <c r="W40" s="66">
        <f t="shared" si="35"/>
        <v>0</v>
      </c>
      <c r="X40" s="58"/>
      <c r="Y40" s="67" t="s">
        <v>1948</v>
      </c>
      <c r="Z40" s="66">
        <f t="shared" si="36"/>
        <v>0</v>
      </c>
      <c r="AA40" s="58"/>
      <c r="AB40" s="67" t="s">
        <v>1947</v>
      </c>
      <c r="AC40" s="66">
        <f t="shared" si="37"/>
        <v>0</v>
      </c>
      <c r="AD40" s="58"/>
      <c r="AE40" s="67" t="s">
        <v>1947</v>
      </c>
      <c r="AF40" s="66">
        <f t="shared" si="38"/>
        <v>0</v>
      </c>
      <c r="AG40" s="58"/>
      <c r="AH40" s="67" t="s">
        <v>1947</v>
      </c>
      <c r="AI40" s="66">
        <f t="shared" si="39"/>
        <v>0</v>
      </c>
      <c r="AJ40" s="58"/>
      <c r="AK40" s="67" t="s">
        <v>1953</v>
      </c>
      <c r="AL40" s="66">
        <f t="shared" si="40"/>
        <v>0</v>
      </c>
      <c r="AM40" s="58"/>
      <c r="AN40" s="67" t="s">
        <v>1956</v>
      </c>
      <c r="AO40" s="66">
        <f t="shared" si="41"/>
        <v>0</v>
      </c>
      <c r="AP40" s="58"/>
      <c r="AQ40" s="67" t="s">
        <v>1953</v>
      </c>
      <c r="AR40" s="66">
        <f t="shared" si="42"/>
        <v>0</v>
      </c>
      <c r="AS40" s="58"/>
      <c r="AT40" s="67" t="s">
        <v>1954</v>
      </c>
      <c r="AU40" s="66">
        <f t="shared" si="43"/>
        <v>0</v>
      </c>
      <c r="AV40" s="58"/>
      <c r="AW40" s="67" t="s">
        <v>1947</v>
      </c>
      <c r="AX40" s="66">
        <f t="shared" si="44"/>
        <v>0</v>
      </c>
      <c r="AY40" s="58"/>
      <c r="AZ40" s="67" t="s">
        <v>1947</v>
      </c>
      <c r="BA40" s="66">
        <f t="shared" si="45"/>
        <v>0</v>
      </c>
      <c r="BB40" s="58"/>
      <c r="BC40" s="67" t="s">
        <v>1953</v>
      </c>
      <c r="BD40" s="66">
        <f t="shared" si="46"/>
        <v>0</v>
      </c>
      <c r="BE40" s="58"/>
      <c r="BF40" s="67" t="s">
        <v>2003</v>
      </c>
      <c r="BG40" s="66">
        <f t="shared" si="47"/>
        <v>0</v>
      </c>
      <c r="BH40" s="58"/>
      <c r="BI40" s="67" t="s">
        <v>1947</v>
      </c>
      <c r="BJ40" s="66">
        <f t="shared" si="48"/>
        <v>0</v>
      </c>
      <c r="BK40" s="58"/>
      <c r="BL40" s="67" t="s">
        <v>1948</v>
      </c>
      <c r="BM40" s="66">
        <f t="shared" si="49"/>
        <v>0</v>
      </c>
      <c r="BN40" s="58"/>
      <c r="BO40" s="67" t="s">
        <v>1956</v>
      </c>
      <c r="BP40" s="66">
        <f t="shared" si="50"/>
        <v>0</v>
      </c>
      <c r="BQ40" s="58"/>
      <c r="BR40" s="67" t="s">
        <v>1953</v>
      </c>
      <c r="BS40" s="66">
        <f t="shared" si="51"/>
        <v>0</v>
      </c>
      <c r="BT40" s="58"/>
      <c r="BU40" s="67"/>
      <c r="BV40" s="66">
        <f t="shared" si="52"/>
        <v>0</v>
      </c>
      <c r="BW40" s="58"/>
      <c r="BX40" s="67"/>
      <c r="BY40" s="66">
        <f t="shared" si="53"/>
        <v>0</v>
      </c>
      <c r="BZ40" s="58"/>
      <c r="CA40" s="67"/>
      <c r="CB40" s="66">
        <f t="shared" si="54"/>
        <v>0</v>
      </c>
      <c r="CC40" s="58"/>
      <c r="CD40" s="67"/>
      <c r="CE40" s="66">
        <f t="shared" si="55"/>
        <v>0</v>
      </c>
      <c r="CF40" s="58"/>
      <c r="CG40" s="67"/>
      <c r="CH40" s="66">
        <f t="shared" si="56"/>
        <v>0</v>
      </c>
      <c r="CI40" s="58"/>
      <c r="CJ40" s="67"/>
      <c r="CK40" s="66">
        <f t="shared" si="57"/>
        <v>0</v>
      </c>
      <c r="CL40" s="58"/>
      <c r="CM40" s="67"/>
      <c r="CN40" s="66">
        <f t="shared" si="58"/>
        <v>0</v>
      </c>
      <c r="CO40" s="58"/>
      <c r="CP40" s="67"/>
      <c r="CQ40" s="66">
        <f t="shared" si="59"/>
        <v>0</v>
      </c>
      <c r="CR40" s="58"/>
      <c r="CS40" s="67"/>
      <c r="CT40" s="66">
        <f t="shared" si="60"/>
        <v>0</v>
      </c>
      <c r="CU40" s="58"/>
      <c r="CV40" s="67"/>
      <c r="CW40" s="66">
        <f t="shared" si="61"/>
        <v>0</v>
      </c>
      <c r="CX40" s="58"/>
      <c r="CY40" s="67"/>
      <c r="CZ40" s="66">
        <f t="shared" si="62"/>
        <v>0</v>
      </c>
      <c r="DA40" s="58"/>
      <c r="DB40" s="67"/>
      <c r="DC40" s="66">
        <f t="shared" si="63"/>
        <v>0</v>
      </c>
      <c r="DD40" s="58"/>
      <c r="DE40" s="67"/>
      <c r="DF40" s="66">
        <f t="shared" si="64"/>
        <v>0</v>
      </c>
      <c r="DG40" s="58"/>
      <c r="DH40" s="67"/>
      <c r="DI40" s="66">
        <f t="shared" si="65"/>
        <v>0</v>
      </c>
      <c r="DJ40" s="58"/>
      <c r="DK40" s="67"/>
      <c r="DL40" s="66">
        <f t="shared" si="66"/>
        <v>0</v>
      </c>
      <c r="DM40" s="58"/>
      <c r="DN40" s="67"/>
      <c r="DO40" s="66">
        <f t="shared" si="67"/>
        <v>0</v>
      </c>
      <c r="DP40" s="58"/>
      <c r="DQ40" s="67"/>
      <c r="DR40" s="66">
        <f t="shared" si="68"/>
        <v>0</v>
      </c>
      <c r="DS40" s="58"/>
      <c r="DT40" s="67"/>
      <c r="DU40" s="66">
        <f t="shared" si="69"/>
        <v>0</v>
      </c>
      <c r="DV40" s="58"/>
      <c r="DW40" s="67"/>
      <c r="DX40" s="66">
        <f t="shared" si="70"/>
        <v>0</v>
      </c>
      <c r="DY40" s="58"/>
      <c r="DZ40" s="67"/>
      <c r="EA40" s="66">
        <f t="shared" si="71"/>
        <v>0</v>
      </c>
      <c r="EB40" s="58"/>
      <c r="EC40" s="67"/>
      <c r="ED40" s="66">
        <f t="shared" si="72"/>
        <v>0</v>
      </c>
      <c r="EE40" s="58"/>
      <c r="EF40" s="67"/>
      <c r="EG40" s="66">
        <f t="shared" si="73"/>
        <v>0</v>
      </c>
      <c r="EH40" s="58"/>
      <c r="EI40" s="58"/>
    </row>
    <row r="41" spans="1:139">
      <c r="A41" s="43"/>
      <c r="B41" s="43"/>
      <c r="C41" s="420" t="str">
        <f>Idiomas!D337</f>
        <v>3º puesto</v>
      </c>
      <c r="D41" s="38">
        <v>15</v>
      </c>
      <c r="E41" s="103"/>
      <c r="F41" s="426">
        <f t="shared" si="32"/>
        <v>17</v>
      </c>
      <c r="G41" s="426">
        <f ca="1">VLOOKUP(H41,Equipos!$Q$1:$R$25,2,0)</f>
        <v>11</v>
      </c>
      <c r="H41" s="427">
        <f ca="1">TRUNC(INDEX(WORLDCUP!$X$4:$X$147,MATCH(ADMIN!K41,WORLDCUP!$DT$4:$DT$147,0))+INDEX(Horarios!$R$3:$R$86,MATCH(Horarios!$C$3,Horarios!$P$3:$P$86,0))/24)</f>
        <v>46194</v>
      </c>
      <c r="I41" s="42">
        <v>1</v>
      </c>
      <c r="J41" s="88" t="s">
        <v>123</v>
      </c>
      <c r="K41" s="49" t="str">
        <f ca="1">CONCATENATE(WORLDCUP!AA47,"-",WORLDCUP!AF47)</f>
        <v>Túnez-Japón</v>
      </c>
      <c r="L41" s="46"/>
      <c r="M41" s="48" t="str">
        <f>IF(OR(WORLDCUP!AC47="",WORLDCUP!AD47=""),"-",N41&amp;"|"&amp;O41&amp;"-"&amp;P41)</f>
        <v>-</v>
      </c>
      <c r="N41" s="711" t="str">
        <f>IF(OR(WORLDCUP!AC47="",WORLDCUP!AD47=""),"",IF(WORLDCUP!AC47&gt;WORLDCUP!AD47,"1",IF(WORLDCUP!AC47&lt;WORLDCUP!AD47,"2","X")))</f>
        <v/>
      </c>
      <c r="O41" s="711">
        <f>WORLDCUP!AC47</f>
        <v>0</v>
      </c>
      <c r="P41" s="711">
        <f>WORLDCUP!AD47</f>
        <v>0</v>
      </c>
      <c r="Q41" s="711">
        <f t="shared" si="33"/>
        <v>0</v>
      </c>
      <c r="R41" s="43"/>
      <c r="S41" s="67" t="s">
        <v>1955</v>
      </c>
      <c r="T41" s="66">
        <f t="shared" si="74"/>
        <v>0</v>
      </c>
      <c r="U41" s="58"/>
      <c r="V41" s="67" t="s">
        <v>1960</v>
      </c>
      <c r="W41" s="66">
        <f t="shared" si="35"/>
        <v>0</v>
      </c>
      <c r="X41" s="58"/>
      <c r="Y41" s="67" t="s">
        <v>1950</v>
      </c>
      <c r="Z41" s="66">
        <f t="shared" si="36"/>
        <v>0</v>
      </c>
      <c r="AA41" s="58"/>
      <c r="AB41" s="67" t="s">
        <v>1960</v>
      </c>
      <c r="AC41" s="66">
        <f t="shared" si="37"/>
        <v>0</v>
      </c>
      <c r="AD41" s="58"/>
      <c r="AE41" s="67" t="s">
        <v>1960</v>
      </c>
      <c r="AF41" s="66">
        <f t="shared" si="38"/>
        <v>0</v>
      </c>
      <c r="AG41" s="58"/>
      <c r="AH41" s="67" t="s">
        <v>1955</v>
      </c>
      <c r="AI41" s="66">
        <f t="shared" si="39"/>
        <v>0</v>
      </c>
      <c r="AJ41" s="58"/>
      <c r="AK41" s="67" t="s">
        <v>1955</v>
      </c>
      <c r="AL41" s="66">
        <f t="shared" si="40"/>
        <v>0</v>
      </c>
      <c r="AM41" s="58"/>
      <c r="AN41" s="67" t="s">
        <v>1960</v>
      </c>
      <c r="AO41" s="66">
        <f t="shared" si="41"/>
        <v>0</v>
      </c>
      <c r="AP41" s="58"/>
      <c r="AQ41" s="67" t="s">
        <v>1960</v>
      </c>
      <c r="AR41" s="66">
        <f t="shared" si="42"/>
        <v>0</v>
      </c>
      <c r="AS41" s="58"/>
      <c r="AT41" s="67" t="s">
        <v>1960</v>
      </c>
      <c r="AU41" s="66">
        <f t="shared" si="43"/>
        <v>0</v>
      </c>
      <c r="AV41" s="58"/>
      <c r="AW41" s="67" t="s">
        <v>1948</v>
      </c>
      <c r="AX41" s="66">
        <f t="shared" si="44"/>
        <v>0</v>
      </c>
      <c r="AY41" s="58"/>
      <c r="AZ41" s="67" t="s">
        <v>1955</v>
      </c>
      <c r="BA41" s="66">
        <f t="shared" si="45"/>
        <v>0</v>
      </c>
      <c r="BB41" s="58"/>
      <c r="BC41" s="67" t="s">
        <v>1948</v>
      </c>
      <c r="BD41" s="66">
        <f t="shared" si="46"/>
        <v>0</v>
      </c>
      <c r="BE41" s="58"/>
      <c r="BF41" s="67" t="s">
        <v>1960</v>
      </c>
      <c r="BG41" s="66">
        <f t="shared" si="47"/>
        <v>0</v>
      </c>
      <c r="BH41" s="58"/>
      <c r="BI41" s="67" t="s">
        <v>1950</v>
      </c>
      <c r="BJ41" s="66">
        <f t="shared" si="48"/>
        <v>0</v>
      </c>
      <c r="BK41" s="58"/>
      <c r="BL41" s="67" t="s">
        <v>1949</v>
      </c>
      <c r="BM41" s="66">
        <f t="shared" si="49"/>
        <v>0</v>
      </c>
      <c r="BN41" s="58"/>
      <c r="BO41" s="67" t="s">
        <v>1955</v>
      </c>
      <c r="BP41" s="66">
        <f t="shared" si="50"/>
        <v>0</v>
      </c>
      <c r="BQ41" s="58"/>
      <c r="BR41" s="67" t="s">
        <v>1950</v>
      </c>
      <c r="BS41" s="66">
        <f t="shared" si="51"/>
        <v>0</v>
      </c>
      <c r="BT41" s="58"/>
      <c r="BU41" s="67"/>
      <c r="BV41" s="66">
        <f t="shared" si="52"/>
        <v>0</v>
      </c>
      <c r="BW41" s="58"/>
      <c r="BX41" s="67"/>
      <c r="BY41" s="66">
        <f t="shared" si="53"/>
        <v>0</v>
      </c>
      <c r="BZ41" s="58"/>
      <c r="CA41" s="67"/>
      <c r="CB41" s="66">
        <f t="shared" si="54"/>
        <v>0</v>
      </c>
      <c r="CC41" s="58"/>
      <c r="CD41" s="67"/>
      <c r="CE41" s="66">
        <f t="shared" si="55"/>
        <v>0</v>
      </c>
      <c r="CF41" s="58"/>
      <c r="CG41" s="67"/>
      <c r="CH41" s="66">
        <f t="shared" si="56"/>
        <v>0</v>
      </c>
      <c r="CI41" s="58"/>
      <c r="CJ41" s="67"/>
      <c r="CK41" s="66">
        <f t="shared" si="57"/>
        <v>0</v>
      </c>
      <c r="CL41" s="58"/>
      <c r="CM41" s="67"/>
      <c r="CN41" s="66">
        <f t="shared" si="58"/>
        <v>0</v>
      </c>
      <c r="CO41" s="58"/>
      <c r="CP41" s="67"/>
      <c r="CQ41" s="66">
        <f t="shared" si="59"/>
        <v>0</v>
      </c>
      <c r="CR41" s="58"/>
      <c r="CS41" s="67"/>
      <c r="CT41" s="66">
        <f t="shared" si="60"/>
        <v>0</v>
      </c>
      <c r="CU41" s="58"/>
      <c r="CV41" s="67"/>
      <c r="CW41" s="66">
        <f t="shared" si="61"/>
        <v>0</v>
      </c>
      <c r="CX41" s="58"/>
      <c r="CY41" s="67"/>
      <c r="CZ41" s="66">
        <f t="shared" si="62"/>
        <v>0</v>
      </c>
      <c r="DA41" s="58"/>
      <c r="DB41" s="67"/>
      <c r="DC41" s="66">
        <f t="shared" si="63"/>
        <v>0</v>
      </c>
      <c r="DD41" s="58"/>
      <c r="DE41" s="67"/>
      <c r="DF41" s="66">
        <f t="shared" si="64"/>
        <v>0</v>
      </c>
      <c r="DG41" s="58"/>
      <c r="DH41" s="67"/>
      <c r="DI41" s="66">
        <f t="shared" si="65"/>
        <v>0</v>
      </c>
      <c r="DJ41" s="58"/>
      <c r="DK41" s="67"/>
      <c r="DL41" s="66">
        <f t="shared" si="66"/>
        <v>0</v>
      </c>
      <c r="DM41" s="58"/>
      <c r="DN41" s="67"/>
      <c r="DO41" s="66">
        <f t="shared" si="67"/>
        <v>0</v>
      </c>
      <c r="DP41" s="58"/>
      <c r="DQ41" s="67"/>
      <c r="DR41" s="66">
        <f t="shared" si="68"/>
        <v>0</v>
      </c>
      <c r="DS41" s="58"/>
      <c r="DT41" s="67"/>
      <c r="DU41" s="66">
        <f t="shared" si="69"/>
        <v>0</v>
      </c>
      <c r="DV41" s="58"/>
      <c r="DW41" s="67"/>
      <c r="DX41" s="66">
        <f t="shared" si="70"/>
        <v>0</v>
      </c>
      <c r="DY41" s="58"/>
      <c r="DZ41" s="67"/>
      <c r="EA41" s="66">
        <f t="shared" si="71"/>
        <v>0</v>
      </c>
      <c r="EB41" s="58"/>
      <c r="EC41" s="67"/>
      <c r="ED41" s="66">
        <f t="shared" si="72"/>
        <v>0</v>
      </c>
      <c r="EE41" s="58"/>
      <c r="EF41" s="67"/>
      <c r="EG41" s="66">
        <f t="shared" si="73"/>
        <v>0</v>
      </c>
      <c r="EH41" s="58"/>
      <c r="EI41" s="58"/>
    </row>
    <row r="42" spans="1:139">
      <c r="A42" s="43"/>
      <c r="B42" s="43"/>
      <c r="C42" s="419" t="str">
        <f>Idiomas!D338</f>
        <v>Bota de Oro  (máximo goleador)</v>
      </c>
      <c r="D42" s="55">
        <v>20</v>
      </c>
      <c r="E42" s="103"/>
      <c r="F42" s="426">
        <f t="shared" si="32"/>
        <v>17</v>
      </c>
      <c r="G42" s="426">
        <f ca="1">VLOOKUP(H42,Equipos!$Q$1:$R$25,2,0)</f>
        <v>11</v>
      </c>
      <c r="H42" s="427">
        <f ca="1">TRUNC(INDEX(WORLDCUP!$X$4:$X$147,MATCH(ADMIN!K42,WORLDCUP!$DT$4:$DT$147,0))+INDEX(Horarios!$R$3:$R$86,MATCH(Horarios!$C$3,Horarios!$P$3:$P$86,0))/24)</f>
        <v>46194</v>
      </c>
      <c r="I42" s="42">
        <v>1</v>
      </c>
      <c r="J42" s="87" t="s">
        <v>511</v>
      </c>
      <c r="K42" s="46" t="str">
        <f ca="1">CONCATENATE(WORLDCUP!AA54,"-",WORLDCUP!AF54)</f>
        <v>Bélgica-Irán</v>
      </c>
      <c r="L42" s="46"/>
      <c r="M42" s="48" t="str">
        <f>IF(OR(WORLDCUP!AC54="",WORLDCUP!AD54=""),"-",N42&amp;"|"&amp;O42&amp;"-"&amp;P42)</f>
        <v>-</v>
      </c>
      <c r="N42" s="711" t="str">
        <f>IF(OR(WORLDCUP!AC54="",WORLDCUP!AD54=""),"",IF(WORLDCUP!AC54&gt;WORLDCUP!AD54,"1",IF(WORLDCUP!AC54&lt;WORLDCUP!AD54,"2","X")))</f>
        <v/>
      </c>
      <c r="O42" s="711">
        <f>WORLDCUP!AC54</f>
        <v>0</v>
      </c>
      <c r="P42" s="711">
        <f>WORLDCUP!AD54</f>
        <v>0</v>
      </c>
      <c r="Q42" s="711">
        <f t="shared" si="33"/>
        <v>0</v>
      </c>
      <c r="R42" s="43"/>
      <c r="S42" s="69" t="s">
        <v>1954</v>
      </c>
      <c r="T42" s="70">
        <f t="shared" si="74"/>
        <v>0</v>
      </c>
      <c r="U42" s="58"/>
      <c r="V42" s="69" t="s">
        <v>1947</v>
      </c>
      <c r="W42" s="70">
        <f t="shared" si="35"/>
        <v>0</v>
      </c>
      <c r="X42" s="58"/>
      <c r="Y42" s="69" t="s">
        <v>1953</v>
      </c>
      <c r="Z42" s="70">
        <f t="shared" si="36"/>
        <v>0</v>
      </c>
      <c r="AA42" s="58"/>
      <c r="AB42" s="69" t="s">
        <v>1948</v>
      </c>
      <c r="AC42" s="70">
        <f t="shared" si="37"/>
        <v>0</v>
      </c>
      <c r="AD42" s="58"/>
      <c r="AE42" s="69" t="s">
        <v>1959</v>
      </c>
      <c r="AF42" s="70">
        <f t="shared" si="38"/>
        <v>0</v>
      </c>
      <c r="AG42" s="58"/>
      <c r="AH42" s="69" t="s">
        <v>1959</v>
      </c>
      <c r="AI42" s="70">
        <f t="shared" si="39"/>
        <v>0</v>
      </c>
      <c r="AJ42" s="58"/>
      <c r="AK42" s="69" t="s">
        <v>1948</v>
      </c>
      <c r="AL42" s="70">
        <f t="shared" si="40"/>
        <v>0</v>
      </c>
      <c r="AM42" s="58"/>
      <c r="AN42" s="69" t="s">
        <v>1947</v>
      </c>
      <c r="AO42" s="70">
        <f t="shared" si="41"/>
        <v>0</v>
      </c>
      <c r="AP42" s="58"/>
      <c r="AQ42" s="69" t="s">
        <v>1952</v>
      </c>
      <c r="AR42" s="70">
        <f t="shared" si="42"/>
        <v>0</v>
      </c>
      <c r="AS42" s="58"/>
      <c r="AT42" s="69" t="s">
        <v>1954</v>
      </c>
      <c r="AU42" s="70">
        <f t="shared" si="43"/>
        <v>0</v>
      </c>
      <c r="AV42" s="58"/>
      <c r="AW42" s="69" t="s">
        <v>1953</v>
      </c>
      <c r="AX42" s="70">
        <f t="shared" si="44"/>
        <v>0</v>
      </c>
      <c r="AY42" s="58"/>
      <c r="AZ42" s="69" t="s">
        <v>1953</v>
      </c>
      <c r="BA42" s="70">
        <f t="shared" si="45"/>
        <v>0</v>
      </c>
      <c r="BB42" s="58"/>
      <c r="BC42" s="69" t="s">
        <v>1959</v>
      </c>
      <c r="BD42" s="70">
        <f t="shared" si="46"/>
        <v>0</v>
      </c>
      <c r="BE42" s="58"/>
      <c r="BF42" s="69" t="s">
        <v>1953</v>
      </c>
      <c r="BG42" s="70">
        <f t="shared" si="47"/>
        <v>0</v>
      </c>
      <c r="BH42" s="58"/>
      <c r="BI42" s="69" t="s">
        <v>1956</v>
      </c>
      <c r="BJ42" s="70">
        <f t="shared" si="48"/>
        <v>0</v>
      </c>
      <c r="BK42" s="58"/>
      <c r="BL42" s="69" t="s">
        <v>1954</v>
      </c>
      <c r="BM42" s="70">
        <f t="shared" si="49"/>
        <v>0</v>
      </c>
      <c r="BN42" s="58"/>
      <c r="BO42" s="69" t="s">
        <v>1966</v>
      </c>
      <c r="BP42" s="70">
        <f t="shared" si="50"/>
        <v>0</v>
      </c>
      <c r="BQ42" s="58"/>
      <c r="BR42" s="69" t="s">
        <v>1956</v>
      </c>
      <c r="BS42" s="70">
        <f t="shared" si="51"/>
        <v>0</v>
      </c>
      <c r="BT42" s="58"/>
      <c r="BU42" s="69"/>
      <c r="BV42" s="70">
        <f t="shared" si="52"/>
        <v>0</v>
      </c>
      <c r="BW42" s="58"/>
      <c r="BX42" s="69"/>
      <c r="BY42" s="70">
        <f t="shared" si="53"/>
        <v>0</v>
      </c>
      <c r="BZ42" s="58"/>
      <c r="CA42" s="69"/>
      <c r="CB42" s="70">
        <f t="shared" si="54"/>
        <v>0</v>
      </c>
      <c r="CC42" s="58"/>
      <c r="CD42" s="69"/>
      <c r="CE42" s="70">
        <f t="shared" si="55"/>
        <v>0</v>
      </c>
      <c r="CF42" s="58"/>
      <c r="CG42" s="69"/>
      <c r="CH42" s="70">
        <f t="shared" si="56"/>
        <v>0</v>
      </c>
      <c r="CI42" s="58"/>
      <c r="CJ42" s="69"/>
      <c r="CK42" s="70">
        <f t="shared" si="57"/>
        <v>0</v>
      </c>
      <c r="CL42" s="58"/>
      <c r="CM42" s="69"/>
      <c r="CN42" s="70">
        <f t="shared" si="58"/>
        <v>0</v>
      </c>
      <c r="CO42" s="58"/>
      <c r="CP42" s="69"/>
      <c r="CQ42" s="70">
        <f t="shared" si="59"/>
        <v>0</v>
      </c>
      <c r="CR42" s="58"/>
      <c r="CS42" s="69"/>
      <c r="CT42" s="70">
        <f t="shared" si="60"/>
        <v>0</v>
      </c>
      <c r="CU42" s="58"/>
      <c r="CV42" s="69"/>
      <c r="CW42" s="70">
        <f t="shared" si="61"/>
        <v>0</v>
      </c>
      <c r="CX42" s="58"/>
      <c r="CY42" s="69"/>
      <c r="CZ42" s="70">
        <f t="shared" si="62"/>
        <v>0</v>
      </c>
      <c r="DA42" s="58"/>
      <c r="DB42" s="69"/>
      <c r="DC42" s="70">
        <f t="shared" si="63"/>
        <v>0</v>
      </c>
      <c r="DD42" s="58"/>
      <c r="DE42" s="69"/>
      <c r="DF42" s="70">
        <f t="shared" si="64"/>
        <v>0</v>
      </c>
      <c r="DG42" s="58"/>
      <c r="DH42" s="69"/>
      <c r="DI42" s="70">
        <f t="shared" si="65"/>
        <v>0</v>
      </c>
      <c r="DJ42" s="58"/>
      <c r="DK42" s="69"/>
      <c r="DL42" s="70">
        <f t="shared" si="66"/>
        <v>0</v>
      </c>
      <c r="DM42" s="58"/>
      <c r="DN42" s="69"/>
      <c r="DO42" s="70">
        <f t="shared" si="67"/>
        <v>0</v>
      </c>
      <c r="DP42" s="58"/>
      <c r="DQ42" s="69"/>
      <c r="DR42" s="70">
        <f t="shared" si="68"/>
        <v>0</v>
      </c>
      <c r="DS42" s="58"/>
      <c r="DT42" s="69"/>
      <c r="DU42" s="70">
        <f t="shared" si="69"/>
        <v>0</v>
      </c>
      <c r="DV42" s="58"/>
      <c r="DW42" s="69"/>
      <c r="DX42" s="70">
        <f t="shared" si="70"/>
        <v>0</v>
      </c>
      <c r="DY42" s="58"/>
      <c r="DZ42" s="69"/>
      <c r="EA42" s="70">
        <f t="shared" si="71"/>
        <v>0</v>
      </c>
      <c r="EB42" s="58"/>
      <c r="EC42" s="69"/>
      <c r="ED42" s="70">
        <f t="shared" si="72"/>
        <v>0</v>
      </c>
      <c r="EE42" s="58"/>
      <c r="EF42" s="69"/>
      <c r="EG42" s="70">
        <f t="shared" si="73"/>
        <v>0</v>
      </c>
      <c r="EH42" s="58"/>
      <c r="EI42" s="58"/>
    </row>
    <row r="43" spans="1:139">
      <c r="A43" s="43"/>
      <c r="B43" s="43"/>
      <c r="C43" s="420" t="str">
        <f>Idiomas!D338</f>
        <v>Bota de Oro  (máximo goleador)</v>
      </c>
      <c r="D43" s="38">
        <v>20</v>
      </c>
      <c r="E43" s="103"/>
      <c r="F43" s="426">
        <f t="shared" si="32"/>
        <v>17</v>
      </c>
      <c r="G43" s="426">
        <f ca="1">VLOOKUP(H43,Equipos!$Q$1:$R$25,2,0)</f>
        <v>12</v>
      </c>
      <c r="H43" s="427">
        <f ca="1">TRUNC(INDEX(WORLDCUP!$X$4:$X$147,MATCH(ADMIN!K43,WORLDCUP!$DT$4:$DT$147,0))+INDEX(Horarios!$R$3:$R$86,MATCH(Horarios!$C$3,Horarios!$P$3:$P$86,0))/24)</f>
        <v>46195</v>
      </c>
      <c r="I43" s="42">
        <v>1</v>
      </c>
      <c r="J43" s="87" t="s">
        <v>511</v>
      </c>
      <c r="K43" s="49" t="str">
        <f ca="1">CONCATENATE(WORLDCUP!AA55,"-",WORLDCUP!AF55)</f>
        <v>Nueva Zelanda-Egipto</v>
      </c>
      <c r="L43" s="46"/>
      <c r="M43" s="48" t="str">
        <f>IF(OR(WORLDCUP!AC55="",WORLDCUP!AD55=""),"-",N43&amp;"|"&amp;O43&amp;"-"&amp;P43)</f>
        <v>-</v>
      </c>
      <c r="N43" s="711" t="str">
        <f>IF(OR(WORLDCUP!AC55="",WORLDCUP!AD55=""),"",IF(WORLDCUP!AC55&gt;WORLDCUP!AD55,"1",IF(WORLDCUP!AC55&lt;WORLDCUP!AD55,"2","X")))</f>
        <v/>
      </c>
      <c r="O43" s="711">
        <f>WORLDCUP!AC55</f>
        <v>0</v>
      </c>
      <c r="P43" s="711">
        <f>WORLDCUP!AD55</f>
        <v>0</v>
      </c>
      <c r="Q43" s="711">
        <f t="shared" si="33"/>
        <v>0</v>
      </c>
      <c r="R43" s="43"/>
      <c r="S43" s="67" t="s">
        <v>1948</v>
      </c>
      <c r="T43" s="66">
        <f t="shared" si="74"/>
        <v>0</v>
      </c>
      <c r="U43" s="58"/>
      <c r="V43" s="67" t="s">
        <v>1960</v>
      </c>
      <c r="W43" s="66">
        <f t="shared" si="35"/>
        <v>0</v>
      </c>
      <c r="X43" s="58"/>
      <c r="Y43" s="67" t="s">
        <v>1955</v>
      </c>
      <c r="Z43" s="66">
        <f t="shared" si="36"/>
        <v>0</v>
      </c>
      <c r="AA43" s="58"/>
      <c r="AB43" s="67" t="s">
        <v>1955</v>
      </c>
      <c r="AC43" s="66">
        <f t="shared" si="37"/>
        <v>0</v>
      </c>
      <c r="AD43" s="58"/>
      <c r="AE43" s="67" t="s">
        <v>1960</v>
      </c>
      <c r="AF43" s="66">
        <f t="shared" si="38"/>
        <v>0</v>
      </c>
      <c r="AG43" s="58"/>
      <c r="AH43" s="67" t="s">
        <v>1960</v>
      </c>
      <c r="AI43" s="66">
        <f t="shared" si="39"/>
        <v>0</v>
      </c>
      <c r="AJ43" s="58"/>
      <c r="AK43" s="67" t="s">
        <v>1960</v>
      </c>
      <c r="AL43" s="66">
        <f t="shared" si="40"/>
        <v>0</v>
      </c>
      <c r="AM43" s="58"/>
      <c r="AN43" s="67" t="s">
        <v>1960</v>
      </c>
      <c r="AO43" s="66">
        <f t="shared" si="41"/>
        <v>0</v>
      </c>
      <c r="AP43" s="58"/>
      <c r="AQ43" s="67" t="s">
        <v>1974</v>
      </c>
      <c r="AR43" s="66">
        <f t="shared" si="42"/>
        <v>0</v>
      </c>
      <c r="AS43" s="58"/>
      <c r="AT43" s="67" t="s">
        <v>1948</v>
      </c>
      <c r="AU43" s="66">
        <f t="shared" si="43"/>
        <v>0</v>
      </c>
      <c r="AV43" s="58"/>
      <c r="AW43" s="67" t="s">
        <v>1962</v>
      </c>
      <c r="AX43" s="66">
        <f t="shared" si="44"/>
        <v>0</v>
      </c>
      <c r="AY43" s="58"/>
      <c r="AZ43" s="67" t="s">
        <v>1960</v>
      </c>
      <c r="BA43" s="66">
        <f t="shared" si="45"/>
        <v>0</v>
      </c>
      <c r="BB43" s="58"/>
      <c r="BC43" s="67" t="s">
        <v>1955</v>
      </c>
      <c r="BD43" s="66">
        <f t="shared" si="46"/>
        <v>0</v>
      </c>
      <c r="BE43" s="58"/>
      <c r="BF43" s="67" t="s">
        <v>1950</v>
      </c>
      <c r="BG43" s="66">
        <f t="shared" si="47"/>
        <v>0</v>
      </c>
      <c r="BH43" s="58"/>
      <c r="BI43" s="67" t="s">
        <v>1950</v>
      </c>
      <c r="BJ43" s="66">
        <f t="shared" si="48"/>
        <v>0</v>
      </c>
      <c r="BK43" s="58"/>
      <c r="BL43" s="67" t="s">
        <v>1948</v>
      </c>
      <c r="BM43" s="66">
        <f t="shared" si="49"/>
        <v>0</v>
      </c>
      <c r="BN43" s="58"/>
      <c r="BO43" s="67" t="s">
        <v>1948</v>
      </c>
      <c r="BP43" s="66">
        <f t="shared" si="50"/>
        <v>0</v>
      </c>
      <c r="BQ43" s="58"/>
      <c r="BR43" s="67" t="s">
        <v>1950</v>
      </c>
      <c r="BS43" s="66">
        <f t="shared" si="51"/>
        <v>0</v>
      </c>
      <c r="BT43" s="58"/>
      <c r="BU43" s="67"/>
      <c r="BV43" s="66">
        <f t="shared" si="52"/>
        <v>0</v>
      </c>
      <c r="BW43" s="58"/>
      <c r="BX43" s="67"/>
      <c r="BY43" s="66">
        <f t="shared" si="53"/>
        <v>0</v>
      </c>
      <c r="BZ43" s="58"/>
      <c r="CA43" s="67"/>
      <c r="CB43" s="66">
        <f t="shared" si="54"/>
        <v>0</v>
      </c>
      <c r="CC43" s="58"/>
      <c r="CD43" s="67"/>
      <c r="CE43" s="66">
        <f t="shared" si="55"/>
        <v>0</v>
      </c>
      <c r="CF43" s="58"/>
      <c r="CG43" s="67"/>
      <c r="CH43" s="66">
        <f t="shared" si="56"/>
        <v>0</v>
      </c>
      <c r="CI43" s="58"/>
      <c r="CJ43" s="67"/>
      <c r="CK43" s="66">
        <f t="shared" si="57"/>
        <v>0</v>
      </c>
      <c r="CL43" s="58"/>
      <c r="CM43" s="67"/>
      <c r="CN43" s="66">
        <f t="shared" si="58"/>
        <v>0</v>
      </c>
      <c r="CO43" s="58"/>
      <c r="CP43" s="67"/>
      <c r="CQ43" s="66">
        <f t="shared" si="59"/>
        <v>0</v>
      </c>
      <c r="CR43" s="58"/>
      <c r="CS43" s="67"/>
      <c r="CT43" s="66">
        <f t="shared" si="60"/>
        <v>0</v>
      </c>
      <c r="CU43" s="58"/>
      <c r="CV43" s="67"/>
      <c r="CW43" s="66">
        <f t="shared" si="61"/>
        <v>0</v>
      </c>
      <c r="CX43" s="58"/>
      <c r="CY43" s="67"/>
      <c r="CZ43" s="66">
        <f t="shared" si="62"/>
        <v>0</v>
      </c>
      <c r="DA43" s="58"/>
      <c r="DB43" s="67"/>
      <c r="DC43" s="66">
        <f t="shared" si="63"/>
        <v>0</v>
      </c>
      <c r="DD43" s="58"/>
      <c r="DE43" s="67"/>
      <c r="DF43" s="66">
        <f t="shared" si="64"/>
        <v>0</v>
      </c>
      <c r="DG43" s="58"/>
      <c r="DH43" s="67"/>
      <c r="DI43" s="66">
        <f t="shared" si="65"/>
        <v>0</v>
      </c>
      <c r="DJ43" s="58"/>
      <c r="DK43" s="67"/>
      <c r="DL43" s="66">
        <f t="shared" si="66"/>
        <v>0</v>
      </c>
      <c r="DM43" s="58"/>
      <c r="DN43" s="67"/>
      <c r="DO43" s="66">
        <f t="shared" si="67"/>
        <v>0</v>
      </c>
      <c r="DP43" s="58"/>
      <c r="DQ43" s="67"/>
      <c r="DR43" s="66">
        <f t="shared" si="68"/>
        <v>0</v>
      </c>
      <c r="DS43" s="58"/>
      <c r="DT43" s="67"/>
      <c r="DU43" s="66">
        <f t="shared" si="69"/>
        <v>0</v>
      </c>
      <c r="DV43" s="58"/>
      <c r="DW43" s="67"/>
      <c r="DX43" s="66">
        <f t="shared" si="70"/>
        <v>0</v>
      </c>
      <c r="DY43" s="58"/>
      <c r="DZ43" s="67"/>
      <c r="EA43" s="66">
        <f t="shared" si="71"/>
        <v>0</v>
      </c>
      <c r="EB43" s="58"/>
      <c r="EC43" s="67"/>
      <c r="ED43" s="66">
        <f t="shared" si="72"/>
        <v>0</v>
      </c>
      <c r="EE43" s="58"/>
      <c r="EF43" s="67"/>
      <c r="EG43" s="66">
        <f t="shared" si="73"/>
        <v>0</v>
      </c>
      <c r="EH43" s="58"/>
      <c r="EI43" s="58"/>
    </row>
    <row r="44" spans="1:139">
      <c r="A44" s="43"/>
      <c r="B44" s="43"/>
      <c r="C44" s="419" t="str">
        <f>Idiomas!D338</f>
        <v>Bota de Oro  (máximo goleador)</v>
      </c>
      <c r="D44" s="55">
        <v>20</v>
      </c>
      <c r="E44" s="103"/>
      <c r="F44" s="426">
        <f t="shared" si="32"/>
        <v>17</v>
      </c>
      <c r="G44" s="426">
        <f ca="1">VLOOKUP(H44,Equipos!$Q$1:$R$25,2,0)</f>
        <v>11</v>
      </c>
      <c r="H44" s="427">
        <f ca="1">TRUNC(INDEX(WORLDCUP!$X$4:$X$147,MATCH(ADMIN!K44,WORLDCUP!$DT$4:$DT$147,0))+INDEX(Horarios!$R$3:$R$86,MATCH(Horarios!$C$3,Horarios!$P$3:$P$86,0))/24)</f>
        <v>46194</v>
      </c>
      <c r="I44" s="42">
        <v>1</v>
      </c>
      <c r="J44" s="88" t="s">
        <v>513</v>
      </c>
      <c r="K44" s="49" t="str">
        <f ca="1">CONCATENATE(WORLDCUP!AA62,"-",WORLDCUP!AF62)</f>
        <v>España-Arabia Saudita</v>
      </c>
      <c r="L44" s="46"/>
      <c r="M44" s="48" t="str">
        <f>IF(OR(WORLDCUP!AC62="",WORLDCUP!AD62=""),"-",N44&amp;"|"&amp;O44&amp;"-"&amp;P44)</f>
        <v>-</v>
      </c>
      <c r="N44" s="711" t="str">
        <f>IF(OR(WORLDCUP!AC62="",WORLDCUP!AD62=""),"",IF(WORLDCUP!AC62&gt;WORLDCUP!AD62,"1",IF(WORLDCUP!AC62&lt;WORLDCUP!AD62,"2","X")))</f>
        <v/>
      </c>
      <c r="O44" s="711">
        <f>WORLDCUP!AC62</f>
        <v>0</v>
      </c>
      <c r="P44" s="711">
        <f>WORLDCUP!AD62</f>
        <v>0</v>
      </c>
      <c r="Q44" s="711">
        <f t="shared" si="33"/>
        <v>0</v>
      </c>
      <c r="R44" s="43"/>
      <c r="S44" s="67" t="s">
        <v>1959</v>
      </c>
      <c r="T44" s="66">
        <f t="shared" si="74"/>
        <v>0</v>
      </c>
      <c r="U44" s="58"/>
      <c r="V44" s="67" t="s">
        <v>1953</v>
      </c>
      <c r="W44" s="66">
        <f t="shared" si="35"/>
        <v>0</v>
      </c>
      <c r="X44" s="58"/>
      <c r="Y44" s="67" t="s">
        <v>1953</v>
      </c>
      <c r="Z44" s="66">
        <f t="shared" si="36"/>
        <v>0</v>
      </c>
      <c r="AA44" s="58"/>
      <c r="AB44" s="67" t="s">
        <v>1947</v>
      </c>
      <c r="AC44" s="66">
        <f t="shared" si="37"/>
        <v>0</v>
      </c>
      <c r="AD44" s="58"/>
      <c r="AE44" s="67" t="s">
        <v>1959</v>
      </c>
      <c r="AF44" s="66">
        <f t="shared" si="38"/>
        <v>0</v>
      </c>
      <c r="AG44" s="58"/>
      <c r="AH44" s="67" t="s">
        <v>1953</v>
      </c>
      <c r="AI44" s="66">
        <f t="shared" si="39"/>
        <v>0</v>
      </c>
      <c r="AJ44" s="58"/>
      <c r="AK44" s="67" t="s">
        <v>1953</v>
      </c>
      <c r="AL44" s="66">
        <f t="shared" si="40"/>
        <v>0</v>
      </c>
      <c r="AM44" s="58"/>
      <c r="AN44" s="67" t="s">
        <v>1959</v>
      </c>
      <c r="AO44" s="66">
        <f t="shared" si="41"/>
        <v>0</v>
      </c>
      <c r="AP44" s="58"/>
      <c r="AQ44" s="67" t="s">
        <v>1947</v>
      </c>
      <c r="AR44" s="66">
        <f t="shared" si="42"/>
        <v>0</v>
      </c>
      <c r="AS44" s="58"/>
      <c r="AT44" s="67" t="s">
        <v>1959</v>
      </c>
      <c r="AU44" s="66">
        <f t="shared" si="43"/>
        <v>0</v>
      </c>
      <c r="AV44" s="58"/>
      <c r="AW44" s="67" t="s">
        <v>1953</v>
      </c>
      <c r="AX44" s="66">
        <f t="shared" si="44"/>
        <v>0</v>
      </c>
      <c r="AY44" s="58"/>
      <c r="AZ44" s="67" t="s">
        <v>1953</v>
      </c>
      <c r="BA44" s="66">
        <f t="shared" si="45"/>
        <v>0</v>
      </c>
      <c r="BB44" s="58"/>
      <c r="BC44" s="67" t="s">
        <v>1953</v>
      </c>
      <c r="BD44" s="66">
        <f t="shared" si="46"/>
        <v>0</v>
      </c>
      <c r="BE44" s="58"/>
      <c r="BF44" s="67" t="s">
        <v>1953</v>
      </c>
      <c r="BG44" s="66">
        <f t="shared" si="47"/>
        <v>0</v>
      </c>
      <c r="BH44" s="58"/>
      <c r="BI44" s="67" t="s">
        <v>1947</v>
      </c>
      <c r="BJ44" s="66">
        <f t="shared" si="48"/>
        <v>0</v>
      </c>
      <c r="BK44" s="58"/>
      <c r="BL44" s="67" t="s">
        <v>1954</v>
      </c>
      <c r="BM44" s="66">
        <f t="shared" si="49"/>
        <v>0</v>
      </c>
      <c r="BN44" s="58"/>
      <c r="BO44" s="67" t="s">
        <v>1953</v>
      </c>
      <c r="BP44" s="66">
        <f t="shared" si="50"/>
        <v>0</v>
      </c>
      <c r="BQ44" s="58"/>
      <c r="BR44" s="67" t="s">
        <v>1953</v>
      </c>
      <c r="BS44" s="66">
        <f t="shared" si="51"/>
        <v>0</v>
      </c>
      <c r="BT44" s="58"/>
      <c r="BU44" s="67"/>
      <c r="BV44" s="66">
        <f t="shared" si="52"/>
        <v>0</v>
      </c>
      <c r="BW44" s="58"/>
      <c r="BX44" s="67"/>
      <c r="BY44" s="66">
        <f t="shared" si="53"/>
        <v>0</v>
      </c>
      <c r="BZ44" s="58"/>
      <c r="CA44" s="67"/>
      <c r="CB44" s="66">
        <f t="shared" si="54"/>
        <v>0</v>
      </c>
      <c r="CC44" s="58"/>
      <c r="CD44" s="67"/>
      <c r="CE44" s="66">
        <f t="shared" si="55"/>
        <v>0</v>
      </c>
      <c r="CF44" s="58"/>
      <c r="CG44" s="67"/>
      <c r="CH44" s="66">
        <f t="shared" si="56"/>
        <v>0</v>
      </c>
      <c r="CI44" s="58"/>
      <c r="CJ44" s="67"/>
      <c r="CK44" s="66">
        <f t="shared" si="57"/>
        <v>0</v>
      </c>
      <c r="CL44" s="58"/>
      <c r="CM44" s="67"/>
      <c r="CN44" s="66">
        <f t="shared" si="58"/>
        <v>0</v>
      </c>
      <c r="CO44" s="58"/>
      <c r="CP44" s="67"/>
      <c r="CQ44" s="66">
        <f t="shared" si="59"/>
        <v>0</v>
      </c>
      <c r="CR44" s="58"/>
      <c r="CS44" s="67"/>
      <c r="CT44" s="66">
        <f t="shared" si="60"/>
        <v>0</v>
      </c>
      <c r="CU44" s="58"/>
      <c r="CV44" s="67"/>
      <c r="CW44" s="66">
        <f t="shared" si="61"/>
        <v>0</v>
      </c>
      <c r="CX44" s="58"/>
      <c r="CY44" s="67"/>
      <c r="CZ44" s="66">
        <f t="shared" si="62"/>
        <v>0</v>
      </c>
      <c r="DA44" s="58"/>
      <c r="DB44" s="67"/>
      <c r="DC44" s="66">
        <f t="shared" si="63"/>
        <v>0</v>
      </c>
      <c r="DD44" s="58"/>
      <c r="DE44" s="67"/>
      <c r="DF44" s="66">
        <f t="shared" si="64"/>
        <v>0</v>
      </c>
      <c r="DG44" s="58"/>
      <c r="DH44" s="67"/>
      <c r="DI44" s="66">
        <f t="shared" si="65"/>
        <v>0</v>
      </c>
      <c r="DJ44" s="58"/>
      <c r="DK44" s="67"/>
      <c r="DL44" s="66">
        <f t="shared" si="66"/>
        <v>0</v>
      </c>
      <c r="DM44" s="58"/>
      <c r="DN44" s="67"/>
      <c r="DO44" s="66">
        <f t="shared" si="67"/>
        <v>0</v>
      </c>
      <c r="DP44" s="58"/>
      <c r="DQ44" s="67"/>
      <c r="DR44" s="66">
        <f t="shared" si="68"/>
        <v>0</v>
      </c>
      <c r="DS44" s="58"/>
      <c r="DT44" s="67"/>
      <c r="DU44" s="66">
        <f t="shared" si="69"/>
        <v>0</v>
      </c>
      <c r="DV44" s="58"/>
      <c r="DW44" s="67"/>
      <c r="DX44" s="66">
        <f t="shared" si="70"/>
        <v>0</v>
      </c>
      <c r="DY44" s="58"/>
      <c r="DZ44" s="67"/>
      <c r="EA44" s="66">
        <f t="shared" si="71"/>
        <v>0</v>
      </c>
      <c r="EB44" s="58"/>
      <c r="EC44" s="67"/>
      <c r="ED44" s="66">
        <f t="shared" si="72"/>
        <v>0</v>
      </c>
      <c r="EE44" s="58"/>
      <c r="EF44" s="67"/>
      <c r="EG44" s="66">
        <f t="shared" si="73"/>
        <v>0</v>
      </c>
      <c r="EH44" s="58"/>
      <c r="EI44" s="58"/>
    </row>
    <row r="45" spans="1:139">
      <c r="A45" s="43"/>
      <c r="B45" s="43"/>
      <c r="C45" s="420" t="str">
        <f>Idiomas!D341</f>
        <v>Equipo máximo goleador</v>
      </c>
      <c r="D45" s="38">
        <v>20</v>
      </c>
      <c r="E45" s="103"/>
      <c r="F45" s="426">
        <f t="shared" si="32"/>
        <v>17</v>
      </c>
      <c r="G45" s="426">
        <f ca="1">VLOOKUP(H45,Equipos!$Q$1:$R$25,2,0)</f>
        <v>12</v>
      </c>
      <c r="H45" s="427">
        <f ca="1">TRUNC(INDEX(WORLDCUP!$X$4:$X$147,MATCH(ADMIN!K45,WORLDCUP!$DT$4:$DT$147,0))+INDEX(Horarios!$R$3:$R$86,MATCH(Horarios!$C$3,Horarios!$P$3:$P$86,0))/24)</f>
        <v>46195</v>
      </c>
      <c r="I45" s="42">
        <v>1</v>
      </c>
      <c r="J45" s="88" t="s">
        <v>513</v>
      </c>
      <c r="K45" s="46" t="str">
        <f ca="1">CONCATENATE(WORLDCUP!AA63,"-",WORLDCUP!AF63)</f>
        <v>Uruguay-Cabo Verde</v>
      </c>
      <c r="L45" s="46"/>
      <c r="M45" s="48" t="str">
        <f>IF(OR(WORLDCUP!AC63="",WORLDCUP!AD63=""),"-",N45&amp;"|"&amp;O45&amp;"-"&amp;P45)</f>
        <v>-</v>
      </c>
      <c r="N45" s="711" t="str">
        <f>IF(OR(WORLDCUP!AC63="",WORLDCUP!AD63=""),"",IF(WORLDCUP!AC63&gt;WORLDCUP!AD63,"1",IF(WORLDCUP!AC63&lt;WORLDCUP!AD63,"2","X")))</f>
        <v/>
      </c>
      <c r="O45" s="711">
        <f>WORLDCUP!AC63</f>
        <v>0</v>
      </c>
      <c r="P45" s="711">
        <f>WORLDCUP!AD63</f>
        <v>0</v>
      </c>
      <c r="Q45" s="711">
        <f t="shared" si="33"/>
        <v>0</v>
      </c>
      <c r="R45" s="43"/>
      <c r="S45" s="67" t="s">
        <v>1954</v>
      </c>
      <c r="T45" s="66">
        <f t="shared" si="74"/>
        <v>0</v>
      </c>
      <c r="U45" s="58"/>
      <c r="V45" s="67" t="s">
        <v>1953</v>
      </c>
      <c r="W45" s="66">
        <f t="shared" si="35"/>
        <v>0</v>
      </c>
      <c r="X45" s="58"/>
      <c r="Y45" s="67" t="s">
        <v>1953</v>
      </c>
      <c r="Z45" s="66">
        <f t="shared" si="36"/>
        <v>0</v>
      </c>
      <c r="AA45" s="58"/>
      <c r="AB45" s="67" t="s">
        <v>1947</v>
      </c>
      <c r="AC45" s="66">
        <f t="shared" si="37"/>
        <v>0</v>
      </c>
      <c r="AD45" s="58"/>
      <c r="AE45" s="67" t="s">
        <v>1952</v>
      </c>
      <c r="AF45" s="66">
        <f t="shared" si="38"/>
        <v>0</v>
      </c>
      <c r="AG45" s="58"/>
      <c r="AH45" s="67" t="s">
        <v>1953</v>
      </c>
      <c r="AI45" s="66">
        <f t="shared" si="39"/>
        <v>0</v>
      </c>
      <c r="AJ45" s="58"/>
      <c r="AK45" s="67" t="s">
        <v>1947</v>
      </c>
      <c r="AL45" s="66">
        <f t="shared" si="40"/>
        <v>0</v>
      </c>
      <c r="AM45" s="58"/>
      <c r="AN45" s="67" t="s">
        <v>1959</v>
      </c>
      <c r="AO45" s="66">
        <f t="shared" si="41"/>
        <v>0</v>
      </c>
      <c r="AP45" s="58"/>
      <c r="AQ45" s="67" t="s">
        <v>1953</v>
      </c>
      <c r="AR45" s="66">
        <f t="shared" si="42"/>
        <v>0</v>
      </c>
      <c r="AS45" s="58"/>
      <c r="AT45" s="67" t="s">
        <v>1953</v>
      </c>
      <c r="AU45" s="66">
        <f t="shared" si="43"/>
        <v>0</v>
      </c>
      <c r="AV45" s="58"/>
      <c r="AW45" s="67" t="s">
        <v>1956</v>
      </c>
      <c r="AX45" s="66">
        <f t="shared" si="44"/>
        <v>0</v>
      </c>
      <c r="AY45" s="58"/>
      <c r="AZ45" s="67" t="s">
        <v>1953</v>
      </c>
      <c r="BA45" s="66">
        <f t="shared" si="45"/>
        <v>0</v>
      </c>
      <c r="BB45" s="58"/>
      <c r="BC45" s="67" t="s">
        <v>1953</v>
      </c>
      <c r="BD45" s="66">
        <f t="shared" si="46"/>
        <v>0</v>
      </c>
      <c r="BE45" s="58"/>
      <c r="BF45" s="67" t="s">
        <v>1956</v>
      </c>
      <c r="BG45" s="66">
        <f t="shared" si="47"/>
        <v>0</v>
      </c>
      <c r="BH45" s="58"/>
      <c r="BI45" s="67" t="s">
        <v>1948</v>
      </c>
      <c r="BJ45" s="66">
        <f t="shared" si="48"/>
        <v>0</v>
      </c>
      <c r="BK45" s="58"/>
      <c r="BL45" s="67" t="s">
        <v>1953</v>
      </c>
      <c r="BM45" s="66">
        <f t="shared" si="49"/>
        <v>0</v>
      </c>
      <c r="BN45" s="58"/>
      <c r="BO45" s="67" t="s">
        <v>1959</v>
      </c>
      <c r="BP45" s="66">
        <f t="shared" si="50"/>
        <v>0</v>
      </c>
      <c r="BQ45" s="58"/>
      <c r="BR45" s="67" t="s">
        <v>1953</v>
      </c>
      <c r="BS45" s="66">
        <f t="shared" si="51"/>
        <v>0</v>
      </c>
      <c r="BT45" s="58"/>
      <c r="BU45" s="67"/>
      <c r="BV45" s="66">
        <f t="shared" si="52"/>
        <v>0</v>
      </c>
      <c r="BW45" s="58"/>
      <c r="BX45" s="67"/>
      <c r="BY45" s="66">
        <f t="shared" si="53"/>
        <v>0</v>
      </c>
      <c r="BZ45" s="58"/>
      <c r="CA45" s="67"/>
      <c r="CB45" s="66">
        <f t="shared" si="54"/>
        <v>0</v>
      </c>
      <c r="CC45" s="58"/>
      <c r="CD45" s="67"/>
      <c r="CE45" s="66">
        <f t="shared" si="55"/>
        <v>0</v>
      </c>
      <c r="CF45" s="58"/>
      <c r="CG45" s="67"/>
      <c r="CH45" s="66">
        <f t="shared" si="56"/>
        <v>0</v>
      </c>
      <c r="CI45" s="58"/>
      <c r="CJ45" s="67"/>
      <c r="CK45" s="66">
        <f t="shared" si="57"/>
        <v>0</v>
      </c>
      <c r="CL45" s="58"/>
      <c r="CM45" s="67"/>
      <c r="CN45" s="66">
        <f t="shared" si="58"/>
        <v>0</v>
      </c>
      <c r="CO45" s="58"/>
      <c r="CP45" s="67"/>
      <c r="CQ45" s="66">
        <f t="shared" si="59"/>
        <v>0</v>
      </c>
      <c r="CR45" s="58"/>
      <c r="CS45" s="67"/>
      <c r="CT45" s="66">
        <f t="shared" si="60"/>
        <v>0</v>
      </c>
      <c r="CU45" s="58"/>
      <c r="CV45" s="67"/>
      <c r="CW45" s="66">
        <f t="shared" si="61"/>
        <v>0</v>
      </c>
      <c r="CX45" s="58"/>
      <c r="CY45" s="67"/>
      <c r="CZ45" s="66">
        <f t="shared" si="62"/>
        <v>0</v>
      </c>
      <c r="DA45" s="58"/>
      <c r="DB45" s="67"/>
      <c r="DC45" s="66">
        <f t="shared" si="63"/>
        <v>0</v>
      </c>
      <c r="DD45" s="58"/>
      <c r="DE45" s="67"/>
      <c r="DF45" s="66">
        <f t="shared" si="64"/>
        <v>0</v>
      </c>
      <c r="DG45" s="58"/>
      <c r="DH45" s="67"/>
      <c r="DI45" s="66">
        <f t="shared" si="65"/>
        <v>0</v>
      </c>
      <c r="DJ45" s="58"/>
      <c r="DK45" s="67"/>
      <c r="DL45" s="66">
        <f t="shared" si="66"/>
        <v>0</v>
      </c>
      <c r="DM45" s="58"/>
      <c r="DN45" s="67"/>
      <c r="DO45" s="66">
        <f t="shared" si="67"/>
        <v>0</v>
      </c>
      <c r="DP45" s="58"/>
      <c r="DQ45" s="67"/>
      <c r="DR45" s="66">
        <f t="shared" si="68"/>
        <v>0</v>
      </c>
      <c r="DS45" s="58"/>
      <c r="DT45" s="67"/>
      <c r="DU45" s="66">
        <f t="shared" si="69"/>
        <v>0</v>
      </c>
      <c r="DV45" s="58"/>
      <c r="DW45" s="67"/>
      <c r="DX45" s="66">
        <f t="shared" si="70"/>
        <v>0</v>
      </c>
      <c r="DY45" s="58"/>
      <c r="DZ45" s="67"/>
      <c r="EA45" s="66">
        <f t="shared" si="71"/>
        <v>0</v>
      </c>
      <c r="EB45" s="58"/>
      <c r="EC45" s="67"/>
      <c r="ED45" s="66">
        <f t="shared" si="72"/>
        <v>0</v>
      </c>
      <c r="EE45" s="58"/>
      <c r="EF45" s="67"/>
      <c r="EG45" s="66">
        <f t="shared" si="73"/>
        <v>0</v>
      </c>
      <c r="EH45" s="58"/>
      <c r="EI45" s="58"/>
    </row>
    <row r="46" spans="1:139">
      <c r="A46" s="43"/>
      <c r="B46" s="43"/>
      <c r="C46" s="419" t="str">
        <f>Idiomas!D341</f>
        <v>Equipo máximo goleador</v>
      </c>
      <c r="D46" s="55">
        <v>20</v>
      </c>
      <c r="E46" s="103"/>
      <c r="F46" s="426">
        <f t="shared" si="32"/>
        <v>17</v>
      </c>
      <c r="G46" s="426">
        <f ca="1">VLOOKUP(H46,Equipos!$Q$1:$R$25,2,0)</f>
        <v>13</v>
      </c>
      <c r="H46" s="427">
        <f ca="1">TRUNC(INDEX(WORLDCUP!$X$4:$X$147,MATCH(ADMIN!K46,WORLDCUP!$DT$4:$DT$147,0))+INDEX(Horarios!$R$3:$R$86,MATCH(Horarios!$C$3,Horarios!$P$3:$P$86,0))/24)</f>
        <v>46196</v>
      </c>
      <c r="I46" s="42">
        <v>1</v>
      </c>
      <c r="J46" s="87" t="s">
        <v>514</v>
      </c>
      <c r="K46" s="46" t="str">
        <f ca="1">CONCATENATE(WORLDCUP!AA70,"-",WORLDCUP!AF70)</f>
        <v>Francia-Irak</v>
      </c>
      <c r="L46" s="46"/>
      <c r="M46" s="48" t="str">
        <f>IF(OR(WORLDCUP!AC70="",WORLDCUP!AD70=""),"-",N46&amp;"|"&amp;O46&amp;"-"&amp;P46)</f>
        <v>-</v>
      </c>
      <c r="N46" s="711" t="str">
        <f>IF(OR(WORLDCUP!AC70="",WORLDCUP!AD70=""),"",IF(WORLDCUP!AC70&gt;WORLDCUP!AD70,"1",IF(WORLDCUP!AC70&lt;WORLDCUP!AD70,"2","X")))</f>
        <v/>
      </c>
      <c r="O46" s="711">
        <f>WORLDCUP!AC70</f>
        <v>0</v>
      </c>
      <c r="P46" s="711">
        <f>WORLDCUP!AD70</f>
        <v>0</v>
      </c>
      <c r="Q46" s="711">
        <f t="shared" si="33"/>
        <v>0</v>
      </c>
      <c r="R46" s="43"/>
      <c r="S46" s="67" t="s">
        <v>1959</v>
      </c>
      <c r="T46" s="66">
        <f t="shared" si="74"/>
        <v>0</v>
      </c>
      <c r="U46" s="58"/>
      <c r="V46" s="67" t="s">
        <v>1953</v>
      </c>
      <c r="W46" s="66">
        <f t="shared" si="35"/>
        <v>0</v>
      </c>
      <c r="X46" s="58"/>
      <c r="Y46" s="67" t="s">
        <v>1959</v>
      </c>
      <c r="Z46" s="66">
        <f t="shared" si="36"/>
        <v>0</v>
      </c>
      <c r="AA46" s="58"/>
      <c r="AB46" s="67" t="s">
        <v>1953</v>
      </c>
      <c r="AC46" s="66">
        <f t="shared" si="37"/>
        <v>0</v>
      </c>
      <c r="AD46" s="58"/>
      <c r="AE46" s="67" t="s">
        <v>1959</v>
      </c>
      <c r="AF46" s="66">
        <f t="shared" si="38"/>
        <v>0</v>
      </c>
      <c r="AG46" s="58"/>
      <c r="AH46" s="67" t="s">
        <v>1959</v>
      </c>
      <c r="AI46" s="66">
        <f t="shared" si="39"/>
        <v>0</v>
      </c>
      <c r="AJ46" s="58"/>
      <c r="AK46" s="67" t="s">
        <v>1959</v>
      </c>
      <c r="AL46" s="66">
        <f t="shared" si="40"/>
        <v>0</v>
      </c>
      <c r="AM46" s="58"/>
      <c r="AN46" s="67" t="s">
        <v>1952</v>
      </c>
      <c r="AO46" s="66">
        <f t="shared" si="41"/>
        <v>0</v>
      </c>
      <c r="AP46" s="58"/>
      <c r="AQ46" s="67" t="s">
        <v>1953</v>
      </c>
      <c r="AR46" s="66">
        <f t="shared" si="42"/>
        <v>0</v>
      </c>
      <c r="AS46" s="58"/>
      <c r="AT46" s="67" t="s">
        <v>1959</v>
      </c>
      <c r="AU46" s="66">
        <f t="shared" si="43"/>
        <v>0</v>
      </c>
      <c r="AV46" s="58"/>
      <c r="AW46" s="67" t="s">
        <v>1959</v>
      </c>
      <c r="AX46" s="66">
        <f t="shared" si="44"/>
        <v>0</v>
      </c>
      <c r="AY46" s="58"/>
      <c r="AZ46" s="67" t="s">
        <v>1947</v>
      </c>
      <c r="BA46" s="66">
        <f t="shared" si="45"/>
        <v>0</v>
      </c>
      <c r="BB46" s="58"/>
      <c r="BC46" s="67" t="s">
        <v>1954</v>
      </c>
      <c r="BD46" s="66">
        <f t="shared" si="46"/>
        <v>0</v>
      </c>
      <c r="BE46" s="58"/>
      <c r="BF46" s="67" t="s">
        <v>1956</v>
      </c>
      <c r="BG46" s="66">
        <f t="shared" si="47"/>
        <v>0</v>
      </c>
      <c r="BH46" s="58"/>
      <c r="BI46" s="67" t="s">
        <v>1953</v>
      </c>
      <c r="BJ46" s="66">
        <f t="shared" si="48"/>
        <v>0</v>
      </c>
      <c r="BK46" s="58"/>
      <c r="BL46" s="67" t="s">
        <v>1954</v>
      </c>
      <c r="BM46" s="66">
        <f t="shared" si="49"/>
        <v>0</v>
      </c>
      <c r="BN46" s="58"/>
      <c r="BO46" s="67" t="s">
        <v>1953</v>
      </c>
      <c r="BP46" s="66">
        <f t="shared" si="50"/>
        <v>0</v>
      </c>
      <c r="BQ46" s="58"/>
      <c r="BR46" s="67" t="s">
        <v>1959</v>
      </c>
      <c r="BS46" s="66">
        <f t="shared" si="51"/>
        <v>0</v>
      </c>
      <c r="BT46" s="58"/>
      <c r="BU46" s="67"/>
      <c r="BV46" s="66">
        <f t="shared" si="52"/>
        <v>0</v>
      </c>
      <c r="BW46" s="58"/>
      <c r="BX46" s="67"/>
      <c r="BY46" s="66">
        <f t="shared" si="53"/>
        <v>0</v>
      </c>
      <c r="BZ46" s="58"/>
      <c r="CA46" s="67"/>
      <c r="CB46" s="66">
        <f t="shared" si="54"/>
        <v>0</v>
      </c>
      <c r="CC46" s="58"/>
      <c r="CD46" s="67"/>
      <c r="CE46" s="66">
        <f t="shared" si="55"/>
        <v>0</v>
      </c>
      <c r="CF46" s="58"/>
      <c r="CG46" s="67"/>
      <c r="CH46" s="66">
        <f t="shared" si="56"/>
        <v>0</v>
      </c>
      <c r="CI46" s="58"/>
      <c r="CJ46" s="67"/>
      <c r="CK46" s="66">
        <f t="shared" si="57"/>
        <v>0</v>
      </c>
      <c r="CL46" s="58"/>
      <c r="CM46" s="67"/>
      <c r="CN46" s="66">
        <f t="shared" si="58"/>
        <v>0</v>
      </c>
      <c r="CO46" s="58"/>
      <c r="CP46" s="67"/>
      <c r="CQ46" s="66">
        <f t="shared" si="59"/>
        <v>0</v>
      </c>
      <c r="CR46" s="58"/>
      <c r="CS46" s="67"/>
      <c r="CT46" s="66">
        <f t="shared" si="60"/>
        <v>0</v>
      </c>
      <c r="CU46" s="58"/>
      <c r="CV46" s="67"/>
      <c r="CW46" s="66">
        <f t="shared" si="61"/>
        <v>0</v>
      </c>
      <c r="CX46" s="58"/>
      <c r="CY46" s="67"/>
      <c r="CZ46" s="66">
        <f t="shared" si="62"/>
        <v>0</v>
      </c>
      <c r="DA46" s="58"/>
      <c r="DB46" s="67"/>
      <c r="DC46" s="66">
        <f t="shared" si="63"/>
        <v>0</v>
      </c>
      <c r="DD46" s="58"/>
      <c r="DE46" s="67"/>
      <c r="DF46" s="66">
        <f t="shared" si="64"/>
        <v>0</v>
      </c>
      <c r="DG46" s="58"/>
      <c r="DH46" s="67"/>
      <c r="DI46" s="66">
        <f t="shared" si="65"/>
        <v>0</v>
      </c>
      <c r="DJ46" s="58"/>
      <c r="DK46" s="67"/>
      <c r="DL46" s="66">
        <f t="shared" si="66"/>
        <v>0</v>
      </c>
      <c r="DM46" s="58"/>
      <c r="DN46" s="67"/>
      <c r="DO46" s="66">
        <f t="shared" si="67"/>
        <v>0</v>
      </c>
      <c r="DP46" s="58"/>
      <c r="DQ46" s="67"/>
      <c r="DR46" s="66">
        <f t="shared" si="68"/>
        <v>0</v>
      </c>
      <c r="DS46" s="58"/>
      <c r="DT46" s="67"/>
      <c r="DU46" s="66">
        <f t="shared" si="69"/>
        <v>0</v>
      </c>
      <c r="DV46" s="58"/>
      <c r="DW46" s="67"/>
      <c r="DX46" s="66">
        <f t="shared" si="70"/>
        <v>0</v>
      </c>
      <c r="DY46" s="58"/>
      <c r="DZ46" s="67"/>
      <c r="EA46" s="66">
        <f t="shared" si="71"/>
        <v>0</v>
      </c>
      <c r="EB46" s="58"/>
      <c r="EC46" s="67"/>
      <c r="ED46" s="66">
        <f t="shared" si="72"/>
        <v>0</v>
      </c>
      <c r="EE46" s="58"/>
      <c r="EF46" s="67"/>
      <c r="EG46" s="66">
        <f t="shared" si="73"/>
        <v>0</v>
      </c>
      <c r="EH46" s="58"/>
      <c r="EI46" s="58"/>
    </row>
    <row r="47" spans="1:139">
      <c r="A47" s="43"/>
      <c r="B47" s="43"/>
      <c r="C47" s="421" t="str">
        <f>Idiomas!D341</f>
        <v>Equipo máximo goleador</v>
      </c>
      <c r="D47" s="39">
        <v>20</v>
      </c>
      <c r="E47" s="103"/>
      <c r="F47" s="426">
        <f t="shared" si="32"/>
        <v>17</v>
      </c>
      <c r="G47" s="426">
        <f ca="1">VLOOKUP(H47,Equipos!$Q$1:$R$25,2,0)</f>
        <v>13</v>
      </c>
      <c r="H47" s="427">
        <f ca="1">TRUNC(INDEX(WORLDCUP!$X$4:$X$147,MATCH(ADMIN!K47,WORLDCUP!$DT$4:$DT$147,0))+INDEX(Horarios!$R$3:$R$86,MATCH(Horarios!$C$3,Horarios!$P$3:$P$86,0))/24)</f>
        <v>46196</v>
      </c>
      <c r="I47" s="42">
        <v>1</v>
      </c>
      <c r="J47" s="87" t="s">
        <v>514</v>
      </c>
      <c r="K47" s="49" t="str">
        <f ca="1">CONCATENATE(WORLDCUP!AA71,"-",WORLDCUP!AF71)</f>
        <v>Noruega-Senegal</v>
      </c>
      <c r="L47" s="46"/>
      <c r="M47" s="48" t="str">
        <f>IF(OR(WORLDCUP!AC71="",WORLDCUP!AD71=""),"-",N47&amp;"|"&amp;O47&amp;"-"&amp;P47)</f>
        <v>-</v>
      </c>
      <c r="N47" s="711" t="str">
        <f>IF(OR(WORLDCUP!AC71="",WORLDCUP!AD71=""),"",IF(WORLDCUP!AC71&gt;WORLDCUP!AD71,"1",IF(WORLDCUP!AC71&lt;WORLDCUP!AD71,"2","X")))</f>
        <v/>
      </c>
      <c r="O47" s="711">
        <f>WORLDCUP!AC71</f>
        <v>0</v>
      </c>
      <c r="P47" s="711">
        <f>WORLDCUP!AD71</f>
        <v>0</v>
      </c>
      <c r="Q47" s="711">
        <f t="shared" si="33"/>
        <v>0</v>
      </c>
      <c r="R47" s="43"/>
      <c r="S47" s="67" t="s">
        <v>1955</v>
      </c>
      <c r="T47" s="66">
        <f t="shared" si="74"/>
        <v>0</v>
      </c>
      <c r="U47" s="58"/>
      <c r="V47" s="67" t="s">
        <v>1948</v>
      </c>
      <c r="W47" s="66">
        <f t="shared" si="35"/>
        <v>0</v>
      </c>
      <c r="X47" s="58"/>
      <c r="Y47" s="67" t="s">
        <v>1948</v>
      </c>
      <c r="Z47" s="66">
        <f t="shared" si="36"/>
        <v>0</v>
      </c>
      <c r="AA47" s="58"/>
      <c r="AB47" s="67" t="s">
        <v>1948</v>
      </c>
      <c r="AC47" s="66">
        <f t="shared" si="37"/>
        <v>0</v>
      </c>
      <c r="AD47" s="58"/>
      <c r="AE47" s="67" t="s">
        <v>1947</v>
      </c>
      <c r="AF47" s="66">
        <f t="shared" si="38"/>
        <v>0</v>
      </c>
      <c r="AG47" s="58"/>
      <c r="AH47" s="67" t="s">
        <v>1948</v>
      </c>
      <c r="AI47" s="66">
        <f t="shared" si="39"/>
        <v>0</v>
      </c>
      <c r="AJ47" s="58"/>
      <c r="AK47" s="67" t="s">
        <v>1948</v>
      </c>
      <c r="AL47" s="66">
        <f t="shared" si="40"/>
        <v>0</v>
      </c>
      <c r="AM47" s="58"/>
      <c r="AN47" s="67" t="s">
        <v>1956</v>
      </c>
      <c r="AO47" s="66">
        <f t="shared" si="41"/>
        <v>0</v>
      </c>
      <c r="AP47" s="58"/>
      <c r="AQ47" s="67" t="s">
        <v>1948</v>
      </c>
      <c r="AR47" s="66">
        <f t="shared" si="42"/>
        <v>0</v>
      </c>
      <c r="AS47" s="58"/>
      <c r="AT47" s="67" t="s">
        <v>1963</v>
      </c>
      <c r="AU47" s="66">
        <f t="shared" si="43"/>
        <v>0</v>
      </c>
      <c r="AV47" s="58"/>
      <c r="AW47" s="67" t="s">
        <v>1947</v>
      </c>
      <c r="AX47" s="66">
        <f t="shared" si="44"/>
        <v>0</v>
      </c>
      <c r="AY47" s="58"/>
      <c r="AZ47" s="67" t="s">
        <v>1947</v>
      </c>
      <c r="BA47" s="66">
        <f t="shared" si="45"/>
        <v>0</v>
      </c>
      <c r="BB47" s="58"/>
      <c r="BC47" s="67" t="s">
        <v>1948</v>
      </c>
      <c r="BD47" s="66">
        <f t="shared" si="46"/>
        <v>0</v>
      </c>
      <c r="BE47" s="58"/>
      <c r="BF47" s="67" t="s">
        <v>1959</v>
      </c>
      <c r="BG47" s="66">
        <f t="shared" si="47"/>
        <v>0</v>
      </c>
      <c r="BH47" s="58"/>
      <c r="BI47" s="67" t="s">
        <v>1948</v>
      </c>
      <c r="BJ47" s="66">
        <f t="shared" si="48"/>
        <v>0</v>
      </c>
      <c r="BK47" s="58"/>
      <c r="BL47" s="67" t="s">
        <v>1948</v>
      </c>
      <c r="BM47" s="66">
        <f t="shared" si="49"/>
        <v>0</v>
      </c>
      <c r="BN47" s="58"/>
      <c r="BO47" s="67" t="s">
        <v>1948</v>
      </c>
      <c r="BP47" s="66">
        <f t="shared" si="50"/>
        <v>0</v>
      </c>
      <c r="BQ47" s="58"/>
      <c r="BR47" s="67" t="s">
        <v>1955</v>
      </c>
      <c r="BS47" s="66">
        <f t="shared" si="51"/>
        <v>0</v>
      </c>
      <c r="BT47" s="58"/>
      <c r="BU47" s="67"/>
      <c r="BV47" s="66">
        <f t="shared" si="52"/>
        <v>0</v>
      </c>
      <c r="BW47" s="58"/>
      <c r="BX47" s="67"/>
      <c r="BY47" s="66">
        <f t="shared" si="53"/>
        <v>0</v>
      </c>
      <c r="BZ47" s="58"/>
      <c r="CA47" s="67"/>
      <c r="CB47" s="66">
        <f t="shared" si="54"/>
        <v>0</v>
      </c>
      <c r="CC47" s="58"/>
      <c r="CD47" s="67"/>
      <c r="CE47" s="66">
        <f t="shared" si="55"/>
        <v>0</v>
      </c>
      <c r="CF47" s="58"/>
      <c r="CG47" s="67"/>
      <c r="CH47" s="66">
        <f t="shared" si="56"/>
        <v>0</v>
      </c>
      <c r="CI47" s="58"/>
      <c r="CJ47" s="67"/>
      <c r="CK47" s="66">
        <f t="shared" si="57"/>
        <v>0</v>
      </c>
      <c r="CL47" s="58"/>
      <c r="CM47" s="67"/>
      <c r="CN47" s="66">
        <f t="shared" si="58"/>
        <v>0</v>
      </c>
      <c r="CO47" s="58"/>
      <c r="CP47" s="67"/>
      <c r="CQ47" s="66">
        <f t="shared" si="59"/>
        <v>0</v>
      </c>
      <c r="CR47" s="58"/>
      <c r="CS47" s="67"/>
      <c r="CT47" s="66">
        <f t="shared" si="60"/>
        <v>0</v>
      </c>
      <c r="CU47" s="58"/>
      <c r="CV47" s="67"/>
      <c r="CW47" s="66">
        <f t="shared" si="61"/>
        <v>0</v>
      </c>
      <c r="CX47" s="58"/>
      <c r="CY47" s="67"/>
      <c r="CZ47" s="66">
        <f t="shared" si="62"/>
        <v>0</v>
      </c>
      <c r="DA47" s="58"/>
      <c r="DB47" s="67"/>
      <c r="DC47" s="66">
        <f t="shared" si="63"/>
        <v>0</v>
      </c>
      <c r="DD47" s="58"/>
      <c r="DE47" s="67"/>
      <c r="DF47" s="66">
        <f t="shared" si="64"/>
        <v>0</v>
      </c>
      <c r="DG47" s="58"/>
      <c r="DH47" s="67"/>
      <c r="DI47" s="66">
        <f t="shared" si="65"/>
        <v>0</v>
      </c>
      <c r="DJ47" s="58"/>
      <c r="DK47" s="67"/>
      <c r="DL47" s="66">
        <f t="shared" si="66"/>
        <v>0</v>
      </c>
      <c r="DM47" s="58"/>
      <c r="DN47" s="67"/>
      <c r="DO47" s="66">
        <f t="shared" si="67"/>
        <v>0</v>
      </c>
      <c r="DP47" s="58"/>
      <c r="DQ47" s="67"/>
      <c r="DR47" s="66">
        <f t="shared" si="68"/>
        <v>0</v>
      </c>
      <c r="DS47" s="58"/>
      <c r="DT47" s="67"/>
      <c r="DU47" s="66">
        <f t="shared" si="69"/>
        <v>0</v>
      </c>
      <c r="DV47" s="58"/>
      <c r="DW47" s="67"/>
      <c r="DX47" s="66">
        <f t="shared" si="70"/>
        <v>0</v>
      </c>
      <c r="DY47" s="58"/>
      <c r="DZ47" s="67"/>
      <c r="EA47" s="66">
        <f t="shared" si="71"/>
        <v>0</v>
      </c>
      <c r="EB47" s="58"/>
      <c r="EC47" s="67"/>
      <c r="ED47" s="66">
        <f t="shared" si="72"/>
        <v>0</v>
      </c>
      <c r="EE47" s="58"/>
      <c r="EF47" s="67"/>
      <c r="EG47" s="66">
        <f t="shared" si="73"/>
        <v>0</v>
      </c>
      <c r="EH47" s="58"/>
      <c r="EI47" s="58"/>
    </row>
    <row r="48" spans="1:139">
      <c r="A48" s="43"/>
      <c r="B48" s="43"/>
      <c r="C48" s="13"/>
      <c r="D48" s="13"/>
      <c r="E48" s="81"/>
      <c r="F48" s="426">
        <f t="shared" si="32"/>
        <v>17</v>
      </c>
      <c r="G48" s="426">
        <f ca="1">VLOOKUP(H48,Equipos!$Q$1:$R$25,2,0)</f>
        <v>12</v>
      </c>
      <c r="H48" s="427">
        <f ca="1">TRUNC(INDEX(WORLDCUP!$X$4:$X$147,MATCH(ADMIN!K48,WORLDCUP!$DT$4:$DT$147,0))+INDEX(Horarios!$R$3:$R$86,MATCH(Horarios!$C$3,Horarios!$P$3:$P$86,0))/24)</f>
        <v>46195</v>
      </c>
      <c r="I48" s="42">
        <v>1</v>
      </c>
      <c r="J48" s="88" t="s">
        <v>27</v>
      </c>
      <c r="K48" s="46" t="str">
        <f ca="1">CONCATENATE(WORLDCUP!AA78,"-",WORLDCUP!AF78)</f>
        <v>Argentina-Austria</v>
      </c>
      <c r="L48" s="46"/>
      <c r="M48" s="46" t="str">
        <f>IF(OR(WORLDCUP!AC78="",WORLDCUP!AD78=""),"-",N48&amp;"|"&amp;O48&amp;"-"&amp;P48)</f>
        <v>-</v>
      </c>
      <c r="N48" s="711" t="str">
        <f>IF(OR(WORLDCUP!AC78="",WORLDCUP!AD78=""),"",IF(WORLDCUP!AC78&gt;WORLDCUP!AD78,"1",IF(WORLDCUP!AC78&lt;WORLDCUP!AD78,"2","X")))</f>
        <v/>
      </c>
      <c r="O48" s="711">
        <f>WORLDCUP!AC78</f>
        <v>0</v>
      </c>
      <c r="P48" s="711">
        <f>WORLDCUP!AD78</f>
        <v>0</v>
      </c>
      <c r="Q48" s="711">
        <f t="shared" si="33"/>
        <v>0</v>
      </c>
      <c r="R48" s="43"/>
      <c r="S48" s="67" t="s">
        <v>1948</v>
      </c>
      <c r="T48" s="66">
        <f t="shared" si="74"/>
        <v>0</v>
      </c>
      <c r="U48" s="58"/>
      <c r="V48" s="67" t="s">
        <v>1953</v>
      </c>
      <c r="W48" s="66">
        <f t="shared" si="35"/>
        <v>0</v>
      </c>
      <c r="X48" s="58"/>
      <c r="Y48" s="67" t="s">
        <v>1947</v>
      </c>
      <c r="Z48" s="66">
        <f t="shared" si="36"/>
        <v>0</v>
      </c>
      <c r="AA48" s="58"/>
      <c r="AB48" s="67" t="s">
        <v>1954</v>
      </c>
      <c r="AC48" s="66">
        <f t="shared" si="37"/>
        <v>0</v>
      </c>
      <c r="AD48" s="58"/>
      <c r="AE48" s="67" t="s">
        <v>1954</v>
      </c>
      <c r="AF48" s="66">
        <f t="shared" si="38"/>
        <v>0</v>
      </c>
      <c r="AG48" s="58"/>
      <c r="AH48" s="67" t="s">
        <v>1947</v>
      </c>
      <c r="AI48" s="66">
        <f t="shared" si="39"/>
        <v>0</v>
      </c>
      <c r="AJ48" s="58"/>
      <c r="AK48" s="67" t="s">
        <v>1947</v>
      </c>
      <c r="AL48" s="66">
        <f t="shared" si="40"/>
        <v>0</v>
      </c>
      <c r="AM48" s="58"/>
      <c r="AN48" s="67" t="s">
        <v>1956</v>
      </c>
      <c r="AO48" s="66">
        <f t="shared" si="41"/>
        <v>0</v>
      </c>
      <c r="AP48" s="58"/>
      <c r="AQ48" s="67" t="s">
        <v>1950</v>
      </c>
      <c r="AR48" s="66">
        <f t="shared" si="42"/>
        <v>0</v>
      </c>
      <c r="AS48" s="58"/>
      <c r="AT48" s="67" t="s">
        <v>1948</v>
      </c>
      <c r="AU48" s="66">
        <f t="shared" si="43"/>
        <v>0</v>
      </c>
      <c r="AV48" s="58"/>
      <c r="AW48" s="67" t="s">
        <v>1953</v>
      </c>
      <c r="AX48" s="66">
        <f t="shared" si="44"/>
        <v>0</v>
      </c>
      <c r="AY48" s="58"/>
      <c r="AZ48" s="67" t="s">
        <v>1947</v>
      </c>
      <c r="BA48" s="66">
        <f t="shared" si="45"/>
        <v>0</v>
      </c>
      <c r="BB48" s="58"/>
      <c r="BC48" s="67" t="s">
        <v>1954</v>
      </c>
      <c r="BD48" s="66">
        <f t="shared" si="46"/>
        <v>0</v>
      </c>
      <c r="BE48" s="58"/>
      <c r="BF48" s="67" t="s">
        <v>1953</v>
      </c>
      <c r="BG48" s="66">
        <f t="shared" si="47"/>
        <v>0</v>
      </c>
      <c r="BH48" s="58"/>
      <c r="BI48" s="67" t="s">
        <v>1953</v>
      </c>
      <c r="BJ48" s="66">
        <f t="shared" si="48"/>
        <v>0</v>
      </c>
      <c r="BK48" s="58"/>
      <c r="BL48" s="67" t="s">
        <v>1947</v>
      </c>
      <c r="BM48" s="66">
        <f t="shared" si="49"/>
        <v>0</v>
      </c>
      <c r="BN48" s="58"/>
      <c r="BO48" s="67" t="s">
        <v>1948</v>
      </c>
      <c r="BP48" s="66">
        <f t="shared" si="50"/>
        <v>0</v>
      </c>
      <c r="BQ48" s="58"/>
      <c r="BR48" s="67" t="s">
        <v>1953</v>
      </c>
      <c r="BS48" s="66">
        <f t="shared" si="51"/>
        <v>0</v>
      </c>
      <c r="BT48" s="58"/>
      <c r="BU48" s="67"/>
      <c r="BV48" s="66">
        <f t="shared" si="52"/>
        <v>0</v>
      </c>
      <c r="BW48" s="58"/>
      <c r="BX48" s="67"/>
      <c r="BY48" s="66">
        <f t="shared" si="53"/>
        <v>0</v>
      </c>
      <c r="BZ48" s="58"/>
      <c r="CA48" s="67"/>
      <c r="CB48" s="66">
        <f t="shared" si="54"/>
        <v>0</v>
      </c>
      <c r="CC48" s="58"/>
      <c r="CD48" s="67"/>
      <c r="CE48" s="66">
        <f t="shared" si="55"/>
        <v>0</v>
      </c>
      <c r="CF48" s="58"/>
      <c r="CG48" s="67"/>
      <c r="CH48" s="66">
        <f t="shared" si="56"/>
        <v>0</v>
      </c>
      <c r="CI48" s="58"/>
      <c r="CJ48" s="67"/>
      <c r="CK48" s="66">
        <f t="shared" si="57"/>
        <v>0</v>
      </c>
      <c r="CL48" s="58"/>
      <c r="CM48" s="67"/>
      <c r="CN48" s="66">
        <f t="shared" si="58"/>
        <v>0</v>
      </c>
      <c r="CO48" s="58"/>
      <c r="CP48" s="67"/>
      <c r="CQ48" s="66">
        <f t="shared" si="59"/>
        <v>0</v>
      </c>
      <c r="CR48" s="58"/>
      <c r="CS48" s="67"/>
      <c r="CT48" s="66">
        <f t="shared" si="60"/>
        <v>0</v>
      </c>
      <c r="CU48" s="58"/>
      <c r="CV48" s="67"/>
      <c r="CW48" s="66">
        <f t="shared" si="61"/>
        <v>0</v>
      </c>
      <c r="CX48" s="58"/>
      <c r="CY48" s="67"/>
      <c r="CZ48" s="66">
        <f t="shared" si="62"/>
        <v>0</v>
      </c>
      <c r="DA48" s="58"/>
      <c r="DB48" s="67"/>
      <c r="DC48" s="66">
        <f t="shared" si="63"/>
        <v>0</v>
      </c>
      <c r="DD48" s="58"/>
      <c r="DE48" s="67"/>
      <c r="DF48" s="66">
        <f t="shared" si="64"/>
        <v>0</v>
      </c>
      <c r="DG48" s="58"/>
      <c r="DH48" s="67"/>
      <c r="DI48" s="66">
        <f t="shared" si="65"/>
        <v>0</v>
      </c>
      <c r="DJ48" s="58"/>
      <c r="DK48" s="67"/>
      <c r="DL48" s="66">
        <f t="shared" si="66"/>
        <v>0</v>
      </c>
      <c r="DM48" s="58"/>
      <c r="DN48" s="67"/>
      <c r="DO48" s="66">
        <f t="shared" si="67"/>
        <v>0</v>
      </c>
      <c r="DP48" s="58"/>
      <c r="DQ48" s="67"/>
      <c r="DR48" s="66">
        <f t="shared" si="68"/>
        <v>0</v>
      </c>
      <c r="DS48" s="58"/>
      <c r="DT48" s="67"/>
      <c r="DU48" s="66">
        <f t="shared" si="69"/>
        <v>0</v>
      </c>
      <c r="DV48" s="58"/>
      <c r="DW48" s="67"/>
      <c r="DX48" s="66">
        <f t="shared" si="70"/>
        <v>0</v>
      </c>
      <c r="DY48" s="58"/>
      <c r="DZ48" s="67"/>
      <c r="EA48" s="66">
        <f t="shared" si="71"/>
        <v>0</v>
      </c>
      <c r="EB48" s="58"/>
      <c r="EC48" s="67"/>
      <c r="ED48" s="66">
        <f t="shared" si="72"/>
        <v>0</v>
      </c>
      <c r="EE48" s="58"/>
      <c r="EF48" s="67"/>
      <c r="EG48" s="66">
        <f t="shared" si="73"/>
        <v>0</v>
      </c>
      <c r="EH48" s="58"/>
      <c r="EI48" s="58"/>
    </row>
    <row r="49" spans="1:139" ht="15.75" thickBot="1">
      <c r="A49" s="43"/>
      <c r="B49" s="418"/>
      <c r="C49" s="645" t="str">
        <f>"**"&amp;Idiomas!D441&amp;": -&gt;"</f>
        <v>**% Ajuste por desvío en Diferencia/Distancia de goles: -&gt;</v>
      </c>
      <c r="D49" s="646" t="s">
        <v>1921</v>
      </c>
      <c r="E49" s="81"/>
      <c r="F49" s="426">
        <f t="shared" si="32"/>
        <v>17</v>
      </c>
      <c r="G49" s="426">
        <f ca="1">VLOOKUP(H49,Equipos!$Q$1:$R$25,2,0)</f>
        <v>13</v>
      </c>
      <c r="H49" s="427">
        <f ca="1">TRUNC(INDEX(WORLDCUP!$X$4:$X$147,MATCH(ADMIN!K49,WORLDCUP!$DT$4:$DT$147,0))+INDEX(Horarios!$R$3:$R$86,MATCH(Horarios!$C$3,Horarios!$P$3:$P$86,0))/24)</f>
        <v>46196</v>
      </c>
      <c r="I49" s="42">
        <v>1</v>
      </c>
      <c r="J49" s="88" t="s">
        <v>27</v>
      </c>
      <c r="K49" s="46" t="str">
        <f ca="1">CONCATENATE(WORLDCUP!AA79,"-",WORLDCUP!AF79)</f>
        <v>Jordania-Argelia</v>
      </c>
      <c r="L49" s="46"/>
      <c r="M49" s="48" t="str">
        <f>IF(OR(WORLDCUP!AC79="",WORLDCUP!AD79=""),"-",N49&amp;"|"&amp;O49&amp;"-"&amp;P49)</f>
        <v>-</v>
      </c>
      <c r="N49" s="711" t="str">
        <f>IF(OR(WORLDCUP!AC79="",WORLDCUP!AD79=""),"",IF(WORLDCUP!AC79&gt;WORLDCUP!AD79,"1",IF(WORLDCUP!AC79&lt;WORLDCUP!AD79,"2","X")))</f>
        <v/>
      </c>
      <c r="O49" s="711">
        <f>WORLDCUP!AC79</f>
        <v>0</v>
      </c>
      <c r="P49" s="711">
        <f>WORLDCUP!AD79</f>
        <v>0</v>
      </c>
      <c r="Q49" s="711">
        <f t="shared" si="33"/>
        <v>0</v>
      </c>
      <c r="R49" s="43"/>
      <c r="S49" s="67" t="s">
        <v>1960</v>
      </c>
      <c r="T49" s="66">
        <f t="shared" si="74"/>
        <v>0</v>
      </c>
      <c r="U49" s="58"/>
      <c r="V49" s="67" t="s">
        <v>1948</v>
      </c>
      <c r="W49" s="66">
        <f t="shared" si="35"/>
        <v>0</v>
      </c>
      <c r="X49" s="58"/>
      <c r="Y49" s="67" t="s">
        <v>1960</v>
      </c>
      <c r="Z49" s="66">
        <f t="shared" si="36"/>
        <v>0</v>
      </c>
      <c r="AA49" s="58"/>
      <c r="AB49" s="67" t="s">
        <v>1950</v>
      </c>
      <c r="AC49" s="66">
        <f t="shared" si="37"/>
        <v>0</v>
      </c>
      <c r="AD49" s="58"/>
      <c r="AE49" s="67" t="s">
        <v>1960</v>
      </c>
      <c r="AF49" s="66">
        <f t="shared" si="38"/>
        <v>0</v>
      </c>
      <c r="AG49" s="58"/>
      <c r="AH49" s="67" t="s">
        <v>1948</v>
      </c>
      <c r="AI49" s="66">
        <f t="shared" si="39"/>
        <v>0</v>
      </c>
      <c r="AJ49" s="58"/>
      <c r="AK49" s="67" t="s">
        <v>1948</v>
      </c>
      <c r="AL49" s="66">
        <f t="shared" si="40"/>
        <v>0</v>
      </c>
      <c r="AM49" s="58"/>
      <c r="AN49" s="67" t="s">
        <v>1950</v>
      </c>
      <c r="AO49" s="66">
        <f t="shared" si="41"/>
        <v>0</v>
      </c>
      <c r="AP49" s="58"/>
      <c r="AQ49" s="67" t="s">
        <v>1949</v>
      </c>
      <c r="AR49" s="66">
        <f t="shared" si="42"/>
        <v>0</v>
      </c>
      <c r="AS49" s="58"/>
      <c r="AT49" s="67" t="s">
        <v>1962</v>
      </c>
      <c r="AU49" s="66">
        <f t="shared" si="43"/>
        <v>0</v>
      </c>
      <c r="AV49" s="58"/>
      <c r="AW49" s="67" t="s">
        <v>1950</v>
      </c>
      <c r="AX49" s="66">
        <f t="shared" si="44"/>
        <v>0</v>
      </c>
      <c r="AY49" s="58"/>
      <c r="AZ49" s="67" t="s">
        <v>1948</v>
      </c>
      <c r="BA49" s="66">
        <f t="shared" si="45"/>
        <v>0</v>
      </c>
      <c r="BB49" s="58"/>
      <c r="BC49" s="67" t="s">
        <v>1960</v>
      </c>
      <c r="BD49" s="66">
        <f t="shared" si="46"/>
        <v>0</v>
      </c>
      <c r="BE49" s="58"/>
      <c r="BF49" s="67" t="s">
        <v>1950</v>
      </c>
      <c r="BG49" s="66">
        <f t="shared" si="47"/>
        <v>0</v>
      </c>
      <c r="BH49" s="58"/>
      <c r="BI49" s="67" t="s">
        <v>1950</v>
      </c>
      <c r="BJ49" s="66">
        <f t="shared" si="48"/>
        <v>0</v>
      </c>
      <c r="BK49" s="58"/>
      <c r="BL49" s="67" t="s">
        <v>1960</v>
      </c>
      <c r="BM49" s="66">
        <f t="shared" si="49"/>
        <v>0</v>
      </c>
      <c r="BN49" s="58"/>
      <c r="BO49" s="67" t="s">
        <v>1955</v>
      </c>
      <c r="BP49" s="66">
        <f t="shared" si="50"/>
        <v>0</v>
      </c>
      <c r="BQ49" s="58"/>
      <c r="BR49" s="67" t="s">
        <v>1950</v>
      </c>
      <c r="BS49" s="66">
        <f t="shared" si="51"/>
        <v>0</v>
      </c>
      <c r="BT49" s="58"/>
      <c r="BU49" s="67"/>
      <c r="BV49" s="66">
        <f t="shared" si="52"/>
        <v>0</v>
      </c>
      <c r="BW49" s="58"/>
      <c r="BX49" s="67"/>
      <c r="BY49" s="66">
        <f t="shared" si="53"/>
        <v>0</v>
      </c>
      <c r="BZ49" s="58"/>
      <c r="CA49" s="67"/>
      <c r="CB49" s="66">
        <f t="shared" si="54"/>
        <v>0</v>
      </c>
      <c r="CC49" s="58"/>
      <c r="CD49" s="67"/>
      <c r="CE49" s="66">
        <f t="shared" si="55"/>
        <v>0</v>
      </c>
      <c r="CF49" s="58"/>
      <c r="CG49" s="67"/>
      <c r="CH49" s="66">
        <f t="shared" si="56"/>
        <v>0</v>
      </c>
      <c r="CI49" s="58"/>
      <c r="CJ49" s="67"/>
      <c r="CK49" s="66">
        <f t="shared" si="57"/>
        <v>0</v>
      </c>
      <c r="CL49" s="58"/>
      <c r="CM49" s="67"/>
      <c r="CN49" s="66">
        <f t="shared" si="58"/>
        <v>0</v>
      </c>
      <c r="CO49" s="58"/>
      <c r="CP49" s="67"/>
      <c r="CQ49" s="66">
        <f t="shared" si="59"/>
        <v>0</v>
      </c>
      <c r="CR49" s="58"/>
      <c r="CS49" s="67"/>
      <c r="CT49" s="66">
        <f t="shared" si="60"/>
        <v>0</v>
      </c>
      <c r="CU49" s="58"/>
      <c r="CV49" s="67"/>
      <c r="CW49" s="66">
        <f t="shared" si="61"/>
        <v>0</v>
      </c>
      <c r="CX49" s="58"/>
      <c r="CY49" s="67"/>
      <c r="CZ49" s="66">
        <f t="shared" si="62"/>
        <v>0</v>
      </c>
      <c r="DA49" s="58"/>
      <c r="DB49" s="67"/>
      <c r="DC49" s="66">
        <f t="shared" si="63"/>
        <v>0</v>
      </c>
      <c r="DD49" s="58"/>
      <c r="DE49" s="67"/>
      <c r="DF49" s="66">
        <f t="shared" si="64"/>
        <v>0</v>
      </c>
      <c r="DG49" s="58"/>
      <c r="DH49" s="67"/>
      <c r="DI49" s="66">
        <f t="shared" si="65"/>
        <v>0</v>
      </c>
      <c r="DJ49" s="58"/>
      <c r="DK49" s="67"/>
      <c r="DL49" s="66">
        <f t="shared" si="66"/>
        <v>0</v>
      </c>
      <c r="DM49" s="58"/>
      <c r="DN49" s="67"/>
      <c r="DO49" s="66">
        <f t="shared" si="67"/>
        <v>0</v>
      </c>
      <c r="DP49" s="58"/>
      <c r="DQ49" s="67"/>
      <c r="DR49" s="66">
        <f t="shared" si="68"/>
        <v>0</v>
      </c>
      <c r="DS49" s="58"/>
      <c r="DT49" s="67"/>
      <c r="DU49" s="66">
        <f t="shared" si="69"/>
        <v>0</v>
      </c>
      <c r="DV49" s="58"/>
      <c r="DW49" s="67"/>
      <c r="DX49" s="66">
        <f t="shared" si="70"/>
        <v>0</v>
      </c>
      <c r="DY49" s="58"/>
      <c r="DZ49" s="67"/>
      <c r="EA49" s="66">
        <f t="shared" si="71"/>
        <v>0</v>
      </c>
      <c r="EB49" s="58"/>
      <c r="EC49" s="67"/>
      <c r="ED49" s="66">
        <f t="shared" si="72"/>
        <v>0</v>
      </c>
      <c r="EE49" s="58"/>
      <c r="EF49" s="67"/>
      <c r="EG49" s="66">
        <f t="shared" si="73"/>
        <v>0</v>
      </c>
      <c r="EH49" s="58"/>
      <c r="EI49" s="58"/>
    </row>
    <row r="50" spans="1:139" ht="15.75" thickBot="1">
      <c r="A50" s="43"/>
      <c r="B50" s="43"/>
      <c r="C50" s="649" t="str">
        <f>HYPERLINK(Idiomas!D444,Idiomas!D443)</f>
        <v>**¿Qué es esto y cómo funciona?</v>
      </c>
      <c r="D50" s="412">
        <f>IF(D49=Idiomas!$D$442,1,D49)</f>
        <v>1</v>
      </c>
      <c r="E50" s="81"/>
      <c r="F50" s="426">
        <f t="shared" si="32"/>
        <v>17</v>
      </c>
      <c r="G50" s="426">
        <f ca="1">VLOOKUP(H50,Equipos!$Q$1:$R$25,2,0)</f>
        <v>13</v>
      </c>
      <c r="H50" s="427">
        <f ca="1">TRUNC(INDEX(WORLDCUP!$X$4:$X$147,MATCH(ADMIN!K50,WORLDCUP!$DT$4:$DT$147,0))+INDEX(Horarios!$R$3:$R$86,MATCH(Horarios!$C$3,Horarios!$P$3:$P$86,0))/24)</f>
        <v>46196</v>
      </c>
      <c r="I50" s="42">
        <v>1</v>
      </c>
      <c r="J50" s="87" t="s">
        <v>300</v>
      </c>
      <c r="K50" s="49" t="str">
        <f ca="1">CONCATENATE(WORLDCUP!AA86,"-",WORLDCUP!AF86)</f>
        <v>Portugal-Uzbekistán</v>
      </c>
      <c r="L50" s="46"/>
      <c r="M50" s="48" t="str">
        <f>IF(OR(WORLDCUP!AC86="",WORLDCUP!AD86=""),"-",N50&amp;"|"&amp;O50&amp;"-"&amp;P50)</f>
        <v>-</v>
      </c>
      <c r="N50" s="711" t="str">
        <f>IF(OR(WORLDCUP!AC86="",WORLDCUP!AD86=""),"",IF(WORLDCUP!AC86&gt;WORLDCUP!AD86,"1",IF(WORLDCUP!AC86&lt;WORLDCUP!AD86,"2","X")))</f>
        <v/>
      </c>
      <c r="O50" s="711">
        <f>WORLDCUP!AC86</f>
        <v>0</v>
      </c>
      <c r="P50" s="711">
        <f>WORLDCUP!AD86</f>
        <v>0</v>
      </c>
      <c r="Q50" s="711">
        <f t="shared" si="33"/>
        <v>0</v>
      </c>
      <c r="R50" s="43"/>
      <c r="S50" s="67" t="s">
        <v>1961</v>
      </c>
      <c r="T50" s="66">
        <f t="shared" si="74"/>
        <v>0</v>
      </c>
      <c r="U50" s="58"/>
      <c r="V50" s="67" t="s">
        <v>1953</v>
      </c>
      <c r="W50" s="66">
        <f t="shared" si="35"/>
        <v>0</v>
      </c>
      <c r="X50" s="58"/>
      <c r="Y50" s="67" t="s">
        <v>1954</v>
      </c>
      <c r="Z50" s="66">
        <f t="shared" si="36"/>
        <v>0</v>
      </c>
      <c r="AA50" s="58"/>
      <c r="AB50" s="67" t="s">
        <v>1947</v>
      </c>
      <c r="AC50" s="66">
        <f t="shared" si="37"/>
        <v>0</v>
      </c>
      <c r="AD50" s="58"/>
      <c r="AE50" s="67" t="s">
        <v>1958</v>
      </c>
      <c r="AF50" s="66">
        <f t="shared" si="38"/>
        <v>0</v>
      </c>
      <c r="AG50" s="58"/>
      <c r="AH50" s="67" t="s">
        <v>1953</v>
      </c>
      <c r="AI50" s="66">
        <f t="shared" si="39"/>
        <v>0</v>
      </c>
      <c r="AJ50" s="58"/>
      <c r="AK50" s="67" t="s">
        <v>1954</v>
      </c>
      <c r="AL50" s="66">
        <f t="shared" si="40"/>
        <v>0</v>
      </c>
      <c r="AM50" s="58"/>
      <c r="AN50" s="67" t="s">
        <v>1953</v>
      </c>
      <c r="AO50" s="66">
        <f t="shared" si="41"/>
        <v>0</v>
      </c>
      <c r="AP50" s="58"/>
      <c r="AQ50" s="67" t="s">
        <v>1947</v>
      </c>
      <c r="AR50" s="66">
        <f t="shared" si="42"/>
        <v>0</v>
      </c>
      <c r="AS50" s="58"/>
      <c r="AT50" s="67" t="s">
        <v>1954</v>
      </c>
      <c r="AU50" s="66">
        <f t="shared" si="43"/>
        <v>0</v>
      </c>
      <c r="AV50" s="58"/>
      <c r="AW50" s="67" t="s">
        <v>1953</v>
      </c>
      <c r="AX50" s="66">
        <f t="shared" si="44"/>
        <v>0</v>
      </c>
      <c r="AY50" s="58"/>
      <c r="AZ50" s="67" t="s">
        <v>1953</v>
      </c>
      <c r="BA50" s="66">
        <f t="shared" si="45"/>
        <v>0</v>
      </c>
      <c r="BB50" s="58"/>
      <c r="BC50" s="67" t="s">
        <v>1958</v>
      </c>
      <c r="BD50" s="66">
        <f t="shared" si="46"/>
        <v>0</v>
      </c>
      <c r="BE50" s="58"/>
      <c r="BF50" s="67" t="s">
        <v>1952</v>
      </c>
      <c r="BG50" s="66">
        <f t="shared" si="47"/>
        <v>0</v>
      </c>
      <c r="BH50" s="58"/>
      <c r="BI50" s="67" t="s">
        <v>1956</v>
      </c>
      <c r="BJ50" s="66">
        <f t="shared" si="48"/>
        <v>0</v>
      </c>
      <c r="BK50" s="58"/>
      <c r="BL50" s="67" t="s">
        <v>1953</v>
      </c>
      <c r="BM50" s="66">
        <f t="shared" si="49"/>
        <v>0</v>
      </c>
      <c r="BN50" s="58"/>
      <c r="BO50" s="67" t="s">
        <v>1959</v>
      </c>
      <c r="BP50" s="66">
        <f t="shared" si="50"/>
        <v>0</v>
      </c>
      <c r="BQ50" s="58"/>
      <c r="BR50" s="67" t="s">
        <v>1959</v>
      </c>
      <c r="BS50" s="66">
        <f t="shared" si="51"/>
        <v>0</v>
      </c>
      <c r="BT50" s="58"/>
      <c r="BU50" s="67"/>
      <c r="BV50" s="66">
        <f t="shared" si="52"/>
        <v>0</v>
      </c>
      <c r="BW50" s="58"/>
      <c r="BX50" s="67"/>
      <c r="BY50" s="66">
        <f t="shared" si="53"/>
        <v>0</v>
      </c>
      <c r="BZ50" s="58"/>
      <c r="CA50" s="67"/>
      <c r="CB50" s="66">
        <f t="shared" si="54"/>
        <v>0</v>
      </c>
      <c r="CC50" s="58"/>
      <c r="CD50" s="67"/>
      <c r="CE50" s="66">
        <f t="shared" si="55"/>
        <v>0</v>
      </c>
      <c r="CF50" s="58"/>
      <c r="CG50" s="67"/>
      <c r="CH50" s="66">
        <f t="shared" si="56"/>
        <v>0</v>
      </c>
      <c r="CI50" s="58"/>
      <c r="CJ50" s="67"/>
      <c r="CK50" s="66">
        <f t="shared" si="57"/>
        <v>0</v>
      </c>
      <c r="CL50" s="58"/>
      <c r="CM50" s="67"/>
      <c r="CN50" s="66">
        <f t="shared" si="58"/>
        <v>0</v>
      </c>
      <c r="CO50" s="58"/>
      <c r="CP50" s="67"/>
      <c r="CQ50" s="66">
        <f t="shared" si="59"/>
        <v>0</v>
      </c>
      <c r="CR50" s="58"/>
      <c r="CS50" s="67"/>
      <c r="CT50" s="66">
        <f t="shared" si="60"/>
        <v>0</v>
      </c>
      <c r="CU50" s="58"/>
      <c r="CV50" s="67"/>
      <c r="CW50" s="66">
        <f t="shared" si="61"/>
        <v>0</v>
      </c>
      <c r="CX50" s="58"/>
      <c r="CY50" s="67"/>
      <c r="CZ50" s="66">
        <f t="shared" si="62"/>
        <v>0</v>
      </c>
      <c r="DA50" s="58"/>
      <c r="DB50" s="67"/>
      <c r="DC50" s="66">
        <f t="shared" si="63"/>
        <v>0</v>
      </c>
      <c r="DD50" s="58"/>
      <c r="DE50" s="67"/>
      <c r="DF50" s="66">
        <f t="shared" si="64"/>
        <v>0</v>
      </c>
      <c r="DG50" s="58"/>
      <c r="DH50" s="67"/>
      <c r="DI50" s="66">
        <f t="shared" si="65"/>
        <v>0</v>
      </c>
      <c r="DJ50" s="58"/>
      <c r="DK50" s="67"/>
      <c r="DL50" s="66">
        <f t="shared" si="66"/>
        <v>0</v>
      </c>
      <c r="DM50" s="58"/>
      <c r="DN50" s="67"/>
      <c r="DO50" s="66">
        <f t="shared" si="67"/>
        <v>0</v>
      </c>
      <c r="DP50" s="58"/>
      <c r="DQ50" s="67"/>
      <c r="DR50" s="66">
        <f t="shared" si="68"/>
        <v>0</v>
      </c>
      <c r="DS50" s="58"/>
      <c r="DT50" s="67"/>
      <c r="DU50" s="66">
        <f t="shared" si="69"/>
        <v>0</v>
      </c>
      <c r="DV50" s="58"/>
      <c r="DW50" s="67"/>
      <c r="DX50" s="66">
        <f t="shared" si="70"/>
        <v>0</v>
      </c>
      <c r="DY50" s="58"/>
      <c r="DZ50" s="67"/>
      <c r="EA50" s="66">
        <f t="shared" si="71"/>
        <v>0</v>
      </c>
      <c r="EB50" s="58"/>
      <c r="EC50" s="67"/>
      <c r="ED50" s="66">
        <f t="shared" si="72"/>
        <v>0</v>
      </c>
      <c r="EE50" s="58"/>
      <c r="EF50" s="67"/>
      <c r="EG50" s="66">
        <f t="shared" si="73"/>
        <v>0</v>
      </c>
      <c r="EH50" s="58"/>
      <c r="EI50" s="58"/>
    </row>
    <row r="51" spans="1:139">
      <c r="A51" s="43"/>
      <c r="B51" s="43"/>
      <c r="C51" s="13"/>
      <c r="D51" s="13"/>
      <c r="E51" s="81"/>
      <c r="F51" s="426">
        <f t="shared" si="32"/>
        <v>17</v>
      </c>
      <c r="G51" s="426">
        <f ca="1">VLOOKUP(H51,Equipos!$Q$1:$R$25,2,0)</f>
        <v>14</v>
      </c>
      <c r="H51" s="427">
        <f ca="1">TRUNC(INDEX(WORLDCUP!$X$4:$X$147,MATCH(ADMIN!K51,WORLDCUP!$DT$4:$DT$147,0))+INDEX(Horarios!$R$3:$R$86,MATCH(Horarios!$C$3,Horarios!$P$3:$P$86,0))/24)</f>
        <v>46197</v>
      </c>
      <c r="I51" s="42">
        <v>1</v>
      </c>
      <c r="J51" s="87" t="s">
        <v>300</v>
      </c>
      <c r="K51" s="46" t="str">
        <f ca="1">CONCATENATE(WORLDCUP!AA87,"-",WORLDCUP!AF87)</f>
        <v>Colombia-RD Congo</v>
      </c>
      <c r="L51" s="46"/>
      <c r="M51" s="48" t="str">
        <f>IF(OR(WORLDCUP!AC87="",WORLDCUP!AD87=""),"-",N51&amp;"|"&amp;O51&amp;"-"&amp;P51)</f>
        <v>-</v>
      </c>
      <c r="N51" s="711" t="str">
        <f>IF(OR(WORLDCUP!AC87="",WORLDCUP!AD87=""),"",IF(WORLDCUP!AC87&gt;WORLDCUP!AD87,"1",IF(WORLDCUP!AC87&lt;WORLDCUP!AD87,"2","X")))</f>
        <v/>
      </c>
      <c r="O51" s="711">
        <f>WORLDCUP!AC87</f>
        <v>0</v>
      </c>
      <c r="P51" s="711">
        <f>WORLDCUP!AD87</f>
        <v>0</v>
      </c>
      <c r="Q51" s="711">
        <f t="shared" si="33"/>
        <v>0</v>
      </c>
      <c r="R51" s="43"/>
      <c r="S51" s="67" t="s">
        <v>1952</v>
      </c>
      <c r="T51" s="66">
        <f t="shared" si="74"/>
        <v>0</v>
      </c>
      <c r="U51" s="58"/>
      <c r="V51" s="67" t="s">
        <v>1953</v>
      </c>
      <c r="W51" s="66">
        <f t="shared" si="35"/>
        <v>0</v>
      </c>
      <c r="X51" s="58"/>
      <c r="Y51" s="67" t="s">
        <v>1948</v>
      </c>
      <c r="Z51" s="66">
        <f t="shared" si="36"/>
        <v>0</v>
      </c>
      <c r="AA51" s="58"/>
      <c r="AB51" s="67" t="s">
        <v>1956</v>
      </c>
      <c r="AC51" s="66">
        <f t="shared" si="37"/>
        <v>0</v>
      </c>
      <c r="AD51" s="58"/>
      <c r="AE51" s="67" t="s">
        <v>1953</v>
      </c>
      <c r="AF51" s="66">
        <f t="shared" si="38"/>
        <v>0</v>
      </c>
      <c r="AG51" s="58"/>
      <c r="AH51" s="67" t="s">
        <v>1953</v>
      </c>
      <c r="AI51" s="66">
        <f t="shared" si="39"/>
        <v>0</v>
      </c>
      <c r="AJ51" s="58"/>
      <c r="AK51" s="67" t="s">
        <v>1953</v>
      </c>
      <c r="AL51" s="66">
        <f t="shared" si="40"/>
        <v>0</v>
      </c>
      <c r="AM51" s="58"/>
      <c r="AN51" s="67" t="s">
        <v>1947</v>
      </c>
      <c r="AO51" s="66">
        <f t="shared" si="41"/>
        <v>0</v>
      </c>
      <c r="AP51" s="58"/>
      <c r="AQ51" s="67" t="s">
        <v>1954</v>
      </c>
      <c r="AR51" s="66">
        <f t="shared" si="42"/>
        <v>0</v>
      </c>
      <c r="AS51" s="58"/>
      <c r="AT51" s="67" t="s">
        <v>1953</v>
      </c>
      <c r="AU51" s="66">
        <f t="shared" si="43"/>
        <v>0</v>
      </c>
      <c r="AV51" s="58"/>
      <c r="AW51" s="67" t="s">
        <v>1953</v>
      </c>
      <c r="AX51" s="66">
        <f t="shared" si="44"/>
        <v>0</v>
      </c>
      <c r="AY51" s="58"/>
      <c r="AZ51" s="67" t="s">
        <v>1953</v>
      </c>
      <c r="BA51" s="66">
        <f t="shared" si="45"/>
        <v>0</v>
      </c>
      <c r="BB51" s="58"/>
      <c r="BC51" s="67" t="s">
        <v>1953</v>
      </c>
      <c r="BD51" s="66">
        <f t="shared" si="46"/>
        <v>0</v>
      </c>
      <c r="BE51" s="58"/>
      <c r="BF51" s="67" t="s">
        <v>1953</v>
      </c>
      <c r="BG51" s="66">
        <f t="shared" si="47"/>
        <v>0</v>
      </c>
      <c r="BH51" s="58"/>
      <c r="BI51" s="67" t="s">
        <v>1962</v>
      </c>
      <c r="BJ51" s="66">
        <f t="shared" si="48"/>
        <v>0</v>
      </c>
      <c r="BK51" s="58"/>
      <c r="BL51" s="67" t="s">
        <v>1956</v>
      </c>
      <c r="BM51" s="66">
        <f t="shared" si="49"/>
        <v>0</v>
      </c>
      <c r="BN51" s="58"/>
      <c r="BO51" s="67" t="s">
        <v>1954</v>
      </c>
      <c r="BP51" s="66">
        <f t="shared" si="50"/>
        <v>0</v>
      </c>
      <c r="BQ51" s="58"/>
      <c r="BR51" s="67" t="s">
        <v>1953</v>
      </c>
      <c r="BS51" s="66">
        <f t="shared" si="51"/>
        <v>0</v>
      </c>
      <c r="BT51" s="58"/>
      <c r="BU51" s="67"/>
      <c r="BV51" s="66">
        <f t="shared" si="52"/>
        <v>0</v>
      </c>
      <c r="BW51" s="58"/>
      <c r="BX51" s="67"/>
      <c r="BY51" s="66">
        <f t="shared" si="53"/>
        <v>0</v>
      </c>
      <c r="BZ51" s="58"/>
      <c r="CA51" s="67"/>
      <c r="CB51" s="66">
        <f t="shared" si="54"/>
        <v>0</v>
      </c>
      <c r="CC51" s="58"/>
      <c r="CD51" s="67"/>
      <c r="CE51" s="66">
        <f t="shared" si="55"/>
        <v>0</v>
      </c>
      <c r="CF51" s="58"/>
      <c r="CG51" s="67"/>
      <c r="CH51" s="66">
        <f t="shared" si="56"/>
        <v>0</v>
      </c>
      <c r="CI51" s="58"/>
      <c r="CJ51" s="67"/>
      <c r="CK51" s="66">
        <f t="shared" si="57"/>
        <v>0</v>
      </c>
      <c r="CL51" s="58"/>
      <c r="CM51" s="67"/>
      <c r="CN51" s="66">
        <f t="shared" si="58"/>
        <v>0</v>
      </c>
      <c r="CO51" s="58"/>
      <c r="CP51" s="67"/>
      <c r="CQ51" s="66">
        <f t="shared" si="59"/>
        <v>0</v>
      </c>
      <c r="CR51" s="58"/>
      <c r="CS51" s="67"/>
      <c r="CT51" s="66">
        <f t="shared" si="60"/>
        <v>0</v>
      </c>
      <c r="CU51" s="58"/>
      <c r="CV51" s="67"/>
      <c r="CW51" s="66">
        <f t="shared" si="61"/>
        <v>0</v>
      </c>
      <c r="CX51" s="58"/>
      <c r="CY51" s="67"/>
      <c r="CZ51" s="66">
        <f t="shared" si="62"/>
        <v>0</v>
      </c>
      <c r="DA51" s="58"/>
      <c r="DB51" s="67"/>
      <c r="DC51" s="66">
        <f t="shared" si="63"/>
        <v>0</v>
      </c>
      <c r="DD51" s="58"/>
      <c r="DE51" s="67"/>
      <c r="DF51" s="66">
        <f t="shared" si="64"/>
        <v>0</v>
      </c>
      <c r="DG51" s="58"/>
      <c r="DH51" s="67"/>
      <c r="DI51" s="66">
        <f t="shared" si="65"/>
        <v>0</v>
      </c>
      <c r="DJ51" s="58"/>
      <c r="DK51" s="67"/>
      <c r="DL51" s="66">
        <f t="shared" si="66"/>
        <v>0</v>
      </c>
      <c r="DM51" s="58"/>
      <c r="DN51" s="67"/>
      <c r="DO51" s="66">
        <f t="shared" si="67"/>
        <v>0</v>
      </c>
      <c r="DP51" s="58"/>
      <c r="DQ51" s="67"/>
      <c r="DR51" s="66">
        <f t="shared" si="68"/>
        <v>0</v>
      </c>
      <c r="DS51" s="58"/>
      <c r="DT51" s="67"/>
      <c r="DU51" s="66">
        <f t="shared" si="69"/>
        <v>0</v>
      </c>
      <c r="DV51" s="58"/>
      <c r="DW51" s="67"/>
      <c r="DX51" s="66">
        <f t="shared" si="70"/>
        <v>0</v>
      </c>
      <c r="DY51" s="58"/>
      <c r="DZ51" s="67"/>
      <c r="EA51" s="66">
        <f t="shared" si="71"/>
        <v>0</v>
      </c>
      <c r="EB51" s="58"/>
      <c r="EC51" s="67"/>
      <c r="ED51" s="66">
        <f t="shared" si="72"/>
        <v>0</v>
      </c>
      <c r="EE51" s="58"/>
      <c r="EF51" s="67"/>
      <c r="EG51" s="66">
        <f t="shared" si="73"/>
        <v>0</v>
      </c>
      <c r="EH51" s="58"/>
      <c r="EI51" s="58"/>
    </row>
    <row r="52" spans="1:139">
      <c r="A52" s="43"/>
      <c r="B52" s="43"/>
      <c r="C52" s="13"/>
      <c r="D52" s="13"/>
      <c r="E52" s="81"/>
      <c r="F52" s="426">
        <f t="shared" si="32"/>
        <v>17</v>
      </c>
      <c r="G52" s="426">
        <f ca="1">VLOOKUP(H52,Equipos!$Q$1:$R$25,2,0)</f>
        <v>14</v>
      </c>
      <c r="H52" s="427">
        <f ca="1">TRUNC(INDEX(WORLDCUP!$X$4:$X$147,MATCH(ADMIN!K52,WORLDCUP!$DT$4:$DT$147,0))+INDEX(Horarios!$R$3:$R$86,MATCH(Horarios!$C$3,Horarios!$P$3:$P$86,0))/24)</f>
        <v>46197</v>
      </c>
      <c r="I52" s="42">
        <v>1</v>
      </c>
      <c r="J52" s="88" t="s">
        <v>1197</v>
      </c>
      <c r="K52" s="49" t="str">
        <f ca="1">CONCATENATE(WORLDCUP!AA94,"-",WORLDCUP!AF94)</f>
        <v>Inglaterra-Ghana</v>
      </c>
      <c r="L52" s="46"/>
      <c r="M52" s="48" t="str">
        <f>IF(OR(WORLDCUP!AC94="",WORLDCUP!AD94=""),"-",N52&amp;"|"&amp;O52&amp;"-"&amp;P52)</f>
        <v>-</v>
      </c>
      <c r="N52" s="711" t="str">
        <f>IF(OR(WORLDCUP!AC94="",WORLDCUP!AD94=""),"",IF(WORLDCUP!AC94&gt;WORLDCUP!AD94,"1",IF(WORLDCUP!AC94&lt;WORLDCUP!AD94,"2","X")))</f>
        <v/>
      </c>
      <c r="O52" s="711">
        <f>WORLDCUP!AC94</f>
        <v>0</v>
      </c>
      <c r="P52" s="711">
        <f>WORLDCUP!AD94</f>
        <v>0</v>
      </c>
      <c r="Q52" s="711">
        <f t="shared" si="33"/>
        <v>0</v>
      </c>
      <c r="R52" s="43"/>
      <c r="S52" s="67" t="s">
        <v>1954</v>
      </c>
      <c r="T52" s="66">
        <f t="shared" si="74"/>
        <v>0</v>
      </c>
      <c r="U52" s="58"/>
      <c r="V52" s="67" t="s">
        <v>1953</v>
      </c>
      <c r="W52" s="66">
        <f t="shared" si="35"/>
        <v>0</v>
      </c>
      <c r="X52" s="58"/>
      <c r="Y52" s="67" t="s">
        <v>1954</v>
      </c>
      <c r="Z52" s="66">
        <f t="shared" si="36"/>
        <v>0</v>
      </c>
      <c r="AA52" s="58"/>
      <c r="AB52" s="67" t="s">
        <v>1947</v>
      </c>
      <c r="AC52" s="66">
        <f t="shared" si="37"/>
        <v>0</v>
      </c>
      <c r="AD52" s="58"/>
      <c r="AE52" s="67" t="s">
        <v>1953</v>
      </c>
      <c r="AF52" s="66">
        <f t="shared" si="38"/>
        <v>0</v>
      </c>
      <c r="AG52" s="58"/>
      <c r="AH52" s="67" t="s">
        <v>1953</v>
      </c>
      <c r="AI52" s="66">
        <f t="shared" si="39"/>
        <v>0</v>
      </c>
      <c r="AJ52" s="58"/>
      <c r="AK52" s="67" t="s">
        <v>1953</v>
      </c>
      <c r="AL52" s="66">
        <f t="shared" si="40"/>
        <v>0</v>
      </c>
      <c r="AM52" s="58"/>
      <c r="AN52" s="67" t="s">
        <v>1954</v>
      </c>
      <c r="AO52" s="66">
        <f t="shared" si="41"/>
        <v>0</v>
      </c>
      <c r="AP52" s="58"/>
      <c r="AQ52" s="67" t="s">
        <v>1947</v>
      </c>
      <c r="AR52" s="66">
        <f t="shared" si="42"/>
        <v>0</v>
      </c>
      <c r="AS52" s="58"/>
      <c r="AT52" s="67" t="s">
        <v>1953</v>
      </c>
      <c r="AU52" s="66">
        <f t="shared" si="43"/>
        <v>0</v>
      </c>
      <c r="AV52" s="58"/>
      <c r="AW52" s="67" t="s">
        <v>1953</v>
      </c>
      <c r="AX52" s="66">
        <f t="shared" si="44"/>
        <v>0</v>
      </c>
      <c r="AY52" s="58"/>
      <c r="AZ52" s="67" t="s">
        <v>1947</v>
      </c>
      <c r="BA52" s="66">
        <f t="shared" si="45"/>
        <v>0</v>
      </c>
      <c r="BB52" s="58"/>
      <c r="BC52" s="67" t="s">
        <v>1948</v>
      </c>
      <c r="BD52" s="66">
        <f t="shared" si="46"/>
        <v>0</v>
      </c>
      <c r="BE52" s="58"/>
      <c r="BF52" s="67" t="s">
        <v>1953</v>
      </c>
      <c r="BG52" s="66">
        <f t="shared" si="47"/>
        <v>0</v>
      </c>
      <c r="BH52" s="58"/>
      <c r="BI52" s="67" t="s">
        <v>1953</v>
      </c>
      <c r="BJ52" s="66">
        <f t="shared" si="48"/>
        <v>0</v>
      </c>
      <c r="BK52" s="58"/>
      <c r="BL52" s="67" t="s">
        <v>1959</v>
      </c>
      <c r="BM52" s="66">
        <f t="shared" si="49"/>
        <v>0</v>
      </c>
      <c r="BN52" s="58"/>
      <c r="BO52" s="67" t="s">
        <v>1948</v>
      </c>
      <c r="BP52" s="66">
        <f t="shared" si="50"/>
        <v>0</v>
      </c>
      <c r="BQ52" s="58"/>
      <c r="BR52" s="67" t="s">
        <v>1953</v>
      </c>
      <c r="BS52" s="66">
        <f t="shared" si="51"/>
        <v>0</v>
      </c>
      <c r="BT52" s="58"/>
      <c r="BU52" s="67"/>
      <c r="BV52" s="66">
        <f t="shared" si="52"/>
        <v>0</v>
      </c>
      <c r="BW52" s="58"/>
      <c r="BX52" s="67"/>
      <c r="BY52" s="66">
        <f t="shared" si="53"/>
        <v>0</v>
      </c>
      <c r="BZ52" s="58"/>
      <c r="CA52" s="67"/>
      <c r="CB52" s="66">
        <f t="shared" si="54"/>
        <v>0</v>
      </c>
      <c r="CC52" s="58"/>
      <c r="CD52" s="67"/>
      <c r="CE52" s="66">
        <f t="shared" si="55"/>
        <v>0</v>
      </c>
      <c r="CF52" s="58"/>
      <c r="CG52" s="67"/>
      <c r="CH52" s="66">
        <f t="shared" si="56"/>
        <v>0</v>
      </c>
      <c r="CI52" s="58"/>
      <c r="CJ52" s="67"/>
      <c r="CK52" s="66">
        <f t="shared" si="57"/>
        <v>0</v>
      </c>
      <c r="CL52" s="58"/>
      <c r="CM52" s="67"/>
      <c r="CN52" s="66">
        <f t="shared" si="58"/>
        <v>0</v>
      </c>
      <c r="CO52" s="58"/>
      <c r="CP52" s="67"/>
      <c r="CQ52" s="66">
        <f t="shared" si="59"/>
        <v>0</v>
      </c>
      <c r="CR52" s="58"/>
      <c r="CS52" s="67"/>
      <c r="CT52" s="66">
        <f t="shared" si="60"/>
        <v>0</v>
      </c>
      <c r="CU52" s="58"/>
      <c r="CV52" s="67"/>
      <c r="CW52" s="66">
        <f t="shared" si="61"/>
        <v>0</v>
      </c>
      <c r="CX52" s="58"/>
      <c r="CY52" s="67"/>
      <c r="CZ52" s="66">
        <f t="shared" si="62"/>
        <v>0</v>
      </c>
      <c r="DA52" s="58"/>
      <c r="DB52" s="67"/>
      <c r="DC52" s="66">
        <f t="shared" si="63"/>
        <v>0</v>
      </c>
      <c r="DD52" s="58"/>
      <c r="DE52" s="67"/>
      <c r="DF52" s="66">
        <f t="shared" si="64"/>
        <v>0</v>
      </c>
      <c r="DG52" s="58"/>
      <c r="DH52" s="67"/>
      <c r="DI52" s="66">
        <f t="shared" si="65"/>
        <v>0</v>
      </c>
      <c r="DJ52" s="58"/>
      <c r="DK52" s="67"/>
      <c r="DL52" s="66">
        <f t="shared" si="66"/>
        <v>0</v>
      </c>
      <c r="DM52" s="58"/>
      <c r="DN52" s="67"/>
      <c r="DO52" s="66">
        <f t="shared" si="67"/>
        <v>0</v>
      </c>
      <c r="DP52" s="58"/>
      <c r="DQ52" s="67"/>
      <c r="DR52" s="66">
        <f t="shared" si="68"/>
        <v>0</v>
      </c>
      <c r="DS52" s="58"/>
      <c r="DT52" s="67"/>
      <c r="DU52" s="66">
        <f t="shared" si="69"/>
        <v>0</v>
      </c>
      <c r="DV52" s="58"/>
      <c r="DW52" s="67"/>
      <c r="DX52" s="66">
        <f t="shared" si="70"/>
        <v>0</v>
      </c>
      <c r="DY52" s="58"/>
      <c r="DZ52" s="67"/>
      <c r="EA52" s="66">
        <f t="shared" si="71"/>
        <v>0</v>
      </c>
      <c r="EB52" s="58"/>
      <c r="EC52" s="67"/>
      <c r="ED52" s="66">
        <f t="shared" si="72"/>
        <v>0</v>
      </c>
      <c r="EE52" s="58"/>
      <c r="EF52" s="67"/>
      <c r="EG52" s="66">
        <f t="shared" si="73"/>
        <v>0</v>
      </c>
      <c r="EH52" s="58"/>
      <c r="EI52" s="58"/>
    </row>
    <row r="53" spans="1:139">
      <c r="A53" s="43"/>
      <c r="B53" s="43"/>
      <c r="C53" s="13"/>
      <c r="D53" s="193"/>
      <c r="E53" s="81"/>
      <c r="F53" s="426">
        <f t="shared" si="32"/>
        <v>17</v>
      </c>
      <c r="G53" s="426">
        <f ca="1">VLOOKUP(H53,Equipos!$Q$1:$R$25,2,0)</f>
        <v>14</v>
      </c>
      <c r="H53" s="427">
        <f ca="1">TRUNC(INDEX(WORLDCUP!$X$4:$X$147,MATCH(ADMIN!K53,WORLDCUP!$DT$4:$DT$147,0))+INDEX(Horarios!$R$3:$R$86,MATCH(Horarios!$C$3,Horarios!$P$3:$P$86,0))/24)</f>
        <v>46197</v>
      </c>
      <c r="I53" s="42">
        <v>1</v>
      </c>
      <c r="J53" s="88" t="s">
        <v>1197</v>
      </c>
      <c r="K53" s="50" t="str">
        <f ca="1">CONCATENATE(WORLDCUP!AA95,"-",WORLDCUP!AF95)</f>
        <v>Panamá-Croacia</v>
      </c>
      <c r="L53" s="51"/>
      <c r="M53" s="52" t="str">
        <f>IF(OR(WORLDCUP!AC95="",WORLDCUP!AD95=""),"-",N53&amp;"|"&amp;O53&amp;"-"&amp;P53)</f>
        <v>-</v>
      </c>
      <c r="N53" s="711" t="str">
        <f>IF(OR(WORLDCUP!AC95="",WORLDCUP!AD95=""),"",IF(WORLDCUP!AC95&gt;WORLDCUP!AD95,"1",IF(WORLDCUP!AC95&lt;WORLDCUP!AD95,"2","X")))</f>
        <v/>
      </c>
      <c r="O53" s="711">
        <f>WORLDCUP!AC95</f>
        <v>0</v>
      </c>
      <c r="P53" s="711">
        <f>WORLDCUP!AD95</f>
        <v>0</v>
      </c>
      <c r="Q53" s="711">
        <f t="shared" si="33"/>
        <v>0</v>
      </c>
      <c r="R53" s="43"/>
      <c r="S53" s="71" t="s">
        <v>1960</v>
      </c>
      <c r="T53" s="72">
        <f t="shared" si="74"/>
        <v>0</v>
      </c>
      <c r="U53" s="58"/>
      <c r="V53" s="71" t="s">
        <v>1950</v>
      </c>
      <c r="W53" s="72">
        <f t="shared" si="35"/>
        <v>0</v>
      </c>
      <c r="X53" s="58"/>
      <c r="Y53" s="71" t="s">
        <v>1960</v>
      </c>
      <c r="Z53" s="72">
        <f t="shared" si="36"/>
        <v>0</v>
      </c>
      <c r="AA53" s="58"/>
      <c r="AB53" s="71" t="s">
        <v>1960</v>
      </c>
      <c r="AC53" s="72">
        <f t="shared" si="37"/>
        <v>0</v>
      </c>
      <c r="AD53" s="58"/>
      <c r="AE53" s="71" t="s">
        <v>1949</v>
      </c>
      <c r="AF53" s="72">
        <f t="shared" si="38"/>
        <v>0</v>
      </c>
      <c r="AG53" s="58"/>
      <c r="AH53" s="71" t="s">
        <v>1950</v>
      </c>
      <c r="AI53" s="72">
        <f t="shared" si="39"/>
        <v>0</v>
      </c>
      <c r="AJ53" s="58"/>
      <c r="AK53" s="71" t="s">
        <v>1960</v>
      </c>
      <c r="AL53" s="72">
        <f t="shared" si="40"/>
        <v>0</v>
      </c>
      <c r="AM53" s="58"/>
      <c r="AN53" s="71" t="s">
        <v>1960</v>
      </c>
      <c r="AO53" s="72">
        <f t="shared" si="41"/>
        <v>0</v>
      </c>
      <c r="AP53" s="58"/>
      <c r="AQ53" s="71" t="s">
        <v>1955</v>
      </c>
      <c r="AR53" s="72">
        <f t="shared" si="42"/>
        <v>0</v>
      </c>
      <c r="AS53" s="58"/>
      <c r="AT53" s="71" t="s">
        <v>1960</v>
      </c>
      <c r="AU53" s="72">
        <f t="shared" si="43"/>
        <v>0</v>
      </c>
      <c r="AV53" s="58"/>
      <c r="AW53" s="71" t="s">
        <v>1955</v>
      </c>
      <c r="AX53" s="72">
        <f t="shared" si="44"/>
        <v>0</v>
      </c>
      <c r="AY53" s="58"/>
      <c r="AZ53" s="71" t="s">
        <v>1951</v>
      </c>
      <c r="BA53" s="72">
        <f t="shared" si="45"/>
        <v>0</v>
      </c>
      <c r="BB53" s="58"/>
      <c r="BC53" s="71" t="s">
        <v>1960</v>
      </c>
      <c r="BD53" s="72">
        <f t="shared" si="46"/>
        <v>0</v>
      </c>
      <c r="BE53" s="58"/>
      <c r="BF53" s="71" t="s">
        <v>1953</v>
      </c>
      <c r="BG53" s="72">
        <f t="shared" si="47"/>
        <v>0</v>
      </c>
      <c r="BH53" s="58"/>
      <c r="BI53" s="71" t="s">
        <v>1955</v>
      </c>
      <c r="BJ53" s="72">
        <f t="shared" si="48"/>
        <v>0</v>
      </c>
      <c r="BK53" s="58"/>
      <c r="BL53" s="71" t="s">
        <v>1955</v>
      </c>
      <c r="BM53" s="72">
        <f t="shared" si="49"/>
        <v>0</v>
      </c>
      <c r="BN53" s="58"/>
      <c r="BO53" s="71" t="s">
        <v>1965</v>
      </c>
      <c r="BP53" s="72">
        <f t="shared" si="50"/>
        <v>0</v>
      </c>
      <c r="BQ53" s="58"/>
      <c r="BR53" s="71" t="s">
        <v>1950</v>
      </c>
      <c r="BS53" s="72">
        <f t="shared" si="51"/>
        <v>0</v>
      </c>
      <c r="BT53" s="58"/>
      <c r="BU53" s="71"/>
      <c r="BV53" s="72">
        <f t="shared" si="52"/>
        <v>0</v>
      </c>
      <c r="BW53" s="58"/>
      <c r="BX53" s="71"/>
      <c r="BY53" s="72">
        <f t="shared" si="53"/>
        <v>0</v>
      </c>
      <c r="BZ53" s="58"/>
      <c r="CA53" s="71"/>
      <c r="CB53" s="72">
        <f t="shared" si="54"/>
        <v>0</v>
      </c>
      <c r="CC53" s="58"/>
      <c r="CD53" s="71"/>
      <c r="CE53" s="72">
        <f t="shared" si="55"/>
        <v>0</v>
      </c>
      <c r="CF53" s="58"/>
      <c r="CG53" s="71"/>
      <c r="CH53" s="72">
        <f t="shared" si="56"/>
        <v>0</v>
      </c>
      <c r="CI53" s="58"/>
      <c r="CJ53" s="71"/>
      <c r="CK53" s="72">
        <f t="shared" si="57"/>
        <v>0</v>
      </c>
      <c r="CL53" s="58"/>
      <c r="CM53" s="71"/>
      <c r="CN53" s="72">
        <f t="shared" si="58"/>
        <v>0</v>
      </c>
      <c r="CO53" s="58"/>
      <c r="CP53" s="71"/>
      <c r="CQ53" s="72">
        <f t="shared" si="59"/>
        <v>0</v>
      </c>
      <c r="CR53" s="58"/>
      <c r="CS53" s="71"/>
      <c r="CT53" s="72">
        <f t="shared" si="60"/>
        <v>0</v>
      </c>
      <c r="CU53" s="58"/>
      <c r="CV53" s="71"/>
      <c r="CW53" s="72">
        <f t="shared" si="61"/>
        <v>0</v>
      </c>
      <c r="CX53" s="58"/>
      <c r="CY53" s="71"/>
      <c r="CZ53" s="72">
        <f t="shared" si="62"/>
        <v>0</v>
      </c>
      <c r="DA53" s="58"/>
      <c r="DB53" s="71"/>
      <c r="DC53" s="72">
        <f t="shared" si="63"/>
        <v>0</v>
      </c>
      <c r="DD53" s="58"/>
      <c r="DE53" s="71"/>
      <c r="DF53" s="72">
        <f t="shared" si="64"/>
        <v>0</v>
      </c>
      <c r="DG53" s="58"/>
      <c r="DH53" s="71"/>
      <c r="DI53" s="72">
        <f t="shared" si="65"/>
        <v>0</v>
      </c>
      <c r="DJ53" s="58"/>
      <c r="DK53" s="71"/>
      <c r="DL53" s="72">
        <f t="shared" si="66"/>
        <v>0</v>
      </c>
      <c r="DM53" s="58"/>
      <c r="DN53" s="71"/>
      <c r="DO53" s="72">
        <f t="shared" si="67"/>
        <v>0</v>
      </c>
      <c r="DP53" s="58"/>
      <c r="DQ53" s="71"/>
      <c r="DR53" s="72">
        <f t="shared" si="68"/>
        <v>0</v>
      </c>
      <c r="DS53" s="58"/>
      <c r="DT53" s="71"/>
      <c r="DU53" s="72">
        <f t="shared" si="69"/>
        <v>0</v>
      </c>
      <c r="DV53" s="58"/>
      <c r="DW53" s="71"/>
      <c r="DX53" s="72">
        <f t="shared" si="70"/>
        <v>0</v>
      </c>
      <c r="DY53" s="58"/>
      <c r="DZ53" s="71"/>
      <c r="EA53" s="72">
        <f t="shared" si="71"/>
        <v>0</v>
      </c>
      <c r="EB53" s="58"/>
      <c r="EC53" s="71"/>
      <c r="ED53" s="72">
        <f t="shared" si="72"/>
        <v>0</v>
      </c>
      <c r="EE53" s="58"/>
      <c r="EF53" s="71"/>
      <c r="EG53" s="72">
        <f t="shared" si="73"/>
        <v>0</v>
      </c>
      <c r="EH53" s="58"/>
      <c r="EI53" s="58"/>
    </row>
    <row r="54" spans="1:139">
      <c r="A54" s="43"/>
      <c r="B54" s="43"/>
      <c r="C54" s="13"/>
      <c r="D54" s="193"/>
      <c r="E54" s="81"/>
      <c r="F54" s="426">
        <f t="shared" si="32"/>
        <v>17</v>
      </c>
      <c r="G54" s="426">
        <f ca="1">VLOOKUP(H54,Equipos!$Q$1:$R$25,2,0)</f>
        <v>15</v>
      </c>
      <c r="H54" s="427">
        <f ca="1">TRUNC(INDEX(WORLDCUP!$X$4:$X$147,MATCH(ADMIN!K54,WORLDCUP!$DT$4:$DT$147,0))+INDEX(Horarios!$R$3:$R$86,MATCH(Horarios!$C$3,Horarios!$P$3:$P$86,0))/24)</f>
        <v>46198</v>
      </c>
      <c r="I54" s="42">
        <v>1</v>
      </c>
      <c r="J54" s="87" t="s">
        <v>124</v>
      </c>
      <c r="K54" s="46" t="str">
        <f ca="1">CONCATENATE(WORLDCUP!AA8,"-",WORLDCUP!AF8)</f>
        <v>República Checa-México</v>
      </c>
      <c r="L54" s="46"/>
      <c r="M54" s="48" t="str">
        <f>IF(OR(WORLDCUP!AC8="",WORLDCUP!AD8=""),"-",N54&amp;"|"&amp;O54&amp;"-"&amp;P54)</f>
        <v>-</v>
      </c>
      <c r="N54" s="711" t="str">
        <f>IF(OR(WORLDCUP!AC8="",WORLDCUP!AD8=""),"",IF(WORLDCUP!AC8&gt;WORLDCUP!AD8,"1",IF(WORLDCUP!AC8&lt;WORLDCUP!AD8,"2","X")))</f>
        <v/>
      </c>
      <c r="O54" s="711">
        <f>WORLDCUP!AC8</f>
        <v>0</v>
      </c>
      <c r="P54" s="711">
        <f>WORLDCUP!AD8</f>
        <v>0</v>
      </c>
      <c r="Q54" s="711">
        <f t="shared" si="33"/>
        <v>0</v>
      </c>
      <c r="R54" s="43"/>
      <c r="S54" s="69" t="s">
        <v>1956</v>
      </c>
      <c r="T54" s="70">
        <f t="shared" si="74"/>
        <v>0</v>
      </c>
      <c r="U54" s="58"/>
      <c r="V54" s="69" t="s">
        <v>1953</v>
      </c>
      <c r="W54" s="70">
        <f t="shared" si="35"/>
        <v>0</v>
      </c>
      <c r="X54" s="58"/>
      <c r="Y54" s="69" t="s">
        <v>1955</v>
      </c>
      <c r="Z54" s="70">
        <f t="shared" si="36"/>
        <v>0</v>
      </c>
      <c r="AA54" s="58"/>
      <c r="AB54" s="69" t="s">
        <v>1948</v>
      </c>
      <c r="AC54" s="70">
        <f t="shared" si="37"/>
        <v>0</v>
      </c>
      <c r="AD54" s="58"/>
      <c r="AE54" s="69" t="s">
        <v>1950</v>
      </c>
      <c r="AF54" s="70">
        <f t="shared" si="38"/>
        <v>0</v>
      </c>
      <c r="AG54" s="58"/>
      <c r="AH54" s="69" t="s">
        <v>1955</v>
      </c>
      <c r="AI54" s="70">
        <f t="shared" si="39"/>
        <v>0</v>
      </c>
      <c r="AJ54" s="58"/>
      <c r="AK54" s="69" t="s">
        <v>1948</v>
      </c>
      <c r="AL54" s="70">
        <f t="shared" si="40"/>
        <v>0</v>
      </c>
      <c r="AM54" s="58"/>
      <c r="AN54" s="69" t="s">
        <v>1950</v>
      </c>
      <c r="AO54" s="70">
        <f t="shared" si="41"/>
        <v>0</v>
      </c>
      <c r="AP54" s="58"/>
      <c r="AQ54" s="69" t="s">
        <v>1948</v>
      </c>
      <c r="AR54" s="70">
        <f t="shared" si="42"/>
        <v>0</v>
      </c>
      <c r="AS54" s="58"/>
      <c r="AT54" s="69" t="s">
        <v>1956</v>
      </c>
      <c r="AU54" s="70">
        <f t="shared" si="43"/>
        <v>0</v>
      </c>
      <c r="AV54" s="58"/>
      <c r="AW54" s="69" t="s">
        <v>1948</v>
      </c>
      <c r="AX54" s="70">
        <f t="shared" si="44"/>
        <v>0</v>
      </c>
      <c r="AY54" s="58"/>
      <c r="AZ54" s="69" t="s">
        <v>1950</v>
      </c>
      <c r="BA54" s="70">
        <f t="shared" si="45"/>
        <v>0</v>
      </c>
      <c r="BB54" s="58"/>
      <c r="BC54" s="69" t="s">
        <v>1960</v>
      </c>
      <c r="BD54" s="70">
        <f t="shared" si="46"/>
        <v>0</v>
      </c>
      <c r="BE54" s="58"/>
      <c r="BF54" s="69" t="s">
        <v>1955</v>
      </c>
      <c r="BG54" s="70">
        <f t="shared" si="47"/>
        <v>0</v>
      </c>
      <c r="BH54" s="58"/>
      <c r="BI54" s="69" t="s">
        <v>1960</v>
      </c>
      <c r="BJ54" s="70">
        <f t="shared" si="48"/>
        <v>0</v>
      </c>
      <c r="BK54" s="58"/>
      <c r="BL54" s="69" t="s">
        <v>1955</v>
      </c>
      <c r="BM54" s="70">
        <f t="shared" si="49"/>
        <v>0</v>
      </c>
      <c r="BN54" s="58"/>
      <c r="BO54" s="69" t="s">
        <v>1963</v>
      </c>
      <c r="BP54" s="70">
        <f t="shared" si="50"/>
        <v>0</v>
      </c>
      <c r="BQ54" s="58"/>
      <c r="BR54" s="69" t="s">
        <v>1950</v>
      </c>
      <c r="BS54" s="70">
        <f t="shared" si="51"/>
        <v>0</v>
      </c>
      <c r="BT54" s="58"/>
      <c r="BU54" s="69" t="str">
        <f>Idiomas!$D$366</f>
        <v>Pegar Valores (J3)</v>
      </c>
      <c r="BV54" s="70">
        <f t="shared" si="52"/>
        <v>0</v>
      </c>
      <c r="BW54" s="58"/>
      <c r="BX54" s="69" t="str">
        <f>Idiomas!$D$366</f>
        <v>Pegar Valores (J3)</v>
      </c>
      <c r="BY54" s="70">
        <f t="shared" si="53"/>
        <v>0</v>
      </c>
      <c r="BZ54" s="58"/>
      <c r="CA54" s="69" t="str">
        <f>Idiomas!$D$366</f>
        <v>Pegar Valores (J3)</v>
      </c>
      <c r="CB54" s="70">
        <f t="shared" si="54"/>
        <v>0</v>
      </c>
      <c r="CC54" s="58"/>
      <c r="CD54" s="69" t="str">
        <f>Idiomas!$D$366</f>
        <v>Pegar Valores (J3)</v>
      </c>
      <c r="CE54" s="70">
        <f t="shared" si="55"/>
        <v>0</v>
      </c>
      <c r="CF54" s="58"/>
      <c r="CG54" s="69" t="str">
        <f>Idiomas!$D$366</f>
        <v>Pegar Valores (J3)</v>
      </c>
      <c r="CH54" s="70">
        <f t="shared" si="56"/>
        <v>0</v>
      </c>
      <c r="CI54" s="58"/>
      <c r="CJ54" s="69" t="str">
        <f>Idiomas!$D$366</f>
        <v>Pegar Valores (J3)</v>
      </c>
      <c r="CK54" s="70">
        <f t="shared" si="57"/>
        <v>0</v>
      </c>
      <c r="CL54" s="58"/>
      <c r="CM54" s="69" t="str">
        <f>Idiomas!$D$366</f>
        <v>Pegar Valores (J3)</v>
      </c>
      <c r="CN54" s="70">
        <f t="shared" si="58"/>
        <v>0</v>
      </c>
      <c r="CO54" s="58"/>
      <c r="CP54" s="69" t="str">
        <f>Idiomas!$D$366</f>
        <v>Pegar Valores (J3)</v>
      </c>
      <c r="CQ54" s="70">
        <f t="shared" si="59"/>
        <v>0</v>
      </c>
      <c r="CR54" s="58"/>
      <c r="CS54" s="69" t="str">
        <f>Idiomas!$D$366</f>
        <v>Pegar Valores (J3)</v>
      </c>
      <c r="CT54" s="70">
        <f t="shared" si="60"/>
        <v>0</v>
      </c>
      <c r="CU54" s="58"/>
      <c r="CV54" s="69" t="str">
        <f>Idiomas!$D$366</f>
        <v>Pegar Valores (J3)</v>
      </c>
      <c r="CW54" s="70">
        <f t="shared" si="61"/>
        <v>0</v>
      </c>
      <c r="CX54" s="58"/>
      <c r="CY54" s="69" t="str">
        <f>Idiomas!$D$366</f>
        <v>Pegar Valores (J3)</v>
      </c>
      <c r="CZ54" s="70">
        <f t="shared" si="62"/>
        <v>0</v>
      </c>
      <c r="DA54" s="58"/>
      <c r="DB54" s="69" t="str">
        <f>Idiomas!$D$366</f>
        <v>Pegar Valores (J3)</v>
      </c>
      <c r="DC54" s="70">
        <f t="shared" si="63"/>
        <v>0</v>
      </c>
      <c r="DD54" s="58"/>
      <c r="DE54" s="69" t="str">
        <f>Idiomas!$D$366</f>
        <v>Pegar Valores (J3)</v>
      </c>
      <c r="DF54" s="70">
        <f t="shared" si="64"/>
        <v>0</v>
      </c>
      <c r="DG54" s="58"/>
      <c r="DH54" s="69" t="str">
        <f>Idiomas!$D$366</f>
        <v>Pegar Valores (J3)</v>
      </c>
      <c r="DI54" s="70">
        <f t="shared" si="65"/>
        <v>0</v>
      </c>
      <c r="DJ54" s="58"/>
      <c r="DK54" s="69" t="str">
        <f>Idiomas!$D$366</f>
        <v>Pegar Valores (J3)</v>
      </c>
      <c r="DL54" s="70">
        <f t="shared" si="66"/>
        <v>0</v>
      </c>
      <c r="DM54" s="58"/>
      <c r="DN54" s="69" t="str">
        <f>Idiomas!$D$366</f>
        <v>Pegar Valores (J3)</v>
      </c>
      <c r="DO54" s="70">
        <f t="shared" si="67"/>
        <v>0</v>
      </c>
      <c r="DP54" s="58"/>
      <c r="DQ54" s="69" t="str">
        <f>Idiomas!$D$366</f>
        <v>Pegar Valores (J3)</v>
      </c>
      <c r="DR54" s="70">
        <f t="shared" si="68"/>
        <v>0</v>
      </c>
      <c r="DS54" s="58"/>
      <c r="DT54" s="69" t="str">
        <f>Idiomas!$D$366</f>
        <v>Pegar Valores (J3)</v>
      </c>
      <c r="DU54" s="70">
        <f t="shared" si="69"/>
        <v>0</v>
      </c>
      <c r="DV54" s="58"/>
      <c r="DW54" s="69" t="str">
        <f>Idiomas!$D$366</f>
        <v>Pegar Valores (J3)</v>
      </c>
      <c r="DX54" s="70">
        <f t="shared" si="70"/>
        <v>0</v>
      </c>
      <c r="DY54" s="58"/>
      <c r="DZ54" s="69" t="str">
        <f>Idiomas!$D$366</f>
        <v>Pegar Valores (J3)</v>
      </c>
      <c r="EA54" s="70">
        <f t="shared" si="71"/>
        <v>0</v>
      </c>
      <c r="EB54" s="58"/>
      <c r="EC54" s="69" t="str">
        <f>Idiomas!$D$366</f>
        <v>Pegar Valores (J3)</v>
      </c>
      <c r="ED54" s="70">
        <f t="shared" si="72"/>
        <v>0</v>
      </c>
      <c r="EE54" s="58"/>
      <c r="EF54" s="69" t="str">
        <f>Idiomas!$D$366</f>
        <v>Pegar Valores (J3)</v>
      </c>
      <c r="EG54" s="70">
        <f t="shared" si="73"/>
        <v>0</v>
      </c>
      <c r="EH54" s="58"/>
      <c r="EI54" s="58"/>
    </row>
    <row r="55" spans="1:139">
      <c r="A55" s="43"/>
      <c r="B55" s="43"/>
      <c r="C55" s="13"/>
      <c r="D55" s="13"/>
      <c r="E55" s="81"/>
      <c r="F55" s="426">
        <f t="shared" si="32"/>
        <v>17</v>
      </c>
      <c r="G55" s="426">
        <f ca="1">VLOOKUP(H55,Equipos!$Q$1:$R$25,2,0)</f>
        <v>15</v>
      </c>
      <c r="H55" s="427">
        <f ca="1">TRUNC(INDEX(WORLDCUP!$X$4:$X$147,MATCH(ADMIN!K55,WORLDCUP!$DT$4:$DT$147,0))+INDEX(Horarios!$R$3:$R$86,MATCH(Horarios!$C$3,Horarios!$P$3:$P$86,0))/24)</f>
        <v>46198</v>
      </c>
      <c r="I55" s="42">
        <v>1</v>
      </c>
      <c r="J55" s="87" t="s">
        <v>124</v>
      </c>
      <c r="K55" s="46" t="str">
        <f ca="1">CONCATENATE(WORLDCUP!AA9,"-",WORLDCUP!AF9)</f>
        <v>Sudáfrica-Corea del Sur</v>
      </c>
      <c r="L55" s="46"/>
      <c r="M55" s="48" t="str">
        <f>IF(OR(WORLDCUP!AC9="",WORLDCUP!AD9=""),"-",N55&amp;"|"&amp;O55&amp;"-"&amp;P55)</f>
        <v>-</v>
      </c>
      <c r="N55" s="711" t="str">
        <f>IF(OR(WORLDCUP!AC9="",WORLDCUP!AD9=""),"",IF(WORLDCUP!AC9&gt;WORLDCUP!AD9,"1",IF(WORLDCUP!AC9&lt;WORLDCUP!AD9,"2","X")))</f>
        <v/>
      </c>
      <c r="O55" s="711">
        <f>WORLDCUP!AC9</f>
        <v>0</v>
      </c>
      <c r="P55" s="711">
        <f>WORLDCUP!AD9</f>
        <v>0</v>
      </c>
      <c r="Q55" s="711">
        <f t="shared" si="33"/>
        <v>0</v>
      </c>
      <c r="R55" s="43"/>
      <c r="S55" s="67" t="s">
        <v>1962</v>
      </c>
      <c r="T55" s="66">
        <f t="shared" si="74"/>
        <v>0</v>
      </c>
      <c r="U55" s="58"/>
      <c r="V55" s="67" t="s">
        <v>1955</v>
      </c>
      <c r="W55" s="66">
        <f t="shared" si="35"/>
        <v>0</v>
      </c>
      <c r="X55" s="58"/>
      <c r="Y55" s="67" t="s">
        <v>1948</v>
      </c>
      <c r="Z55" s="66">
        <f t="shared" si="36"/>
        <v>0</v>
      </c>
      <c r="AA55" s="58"/>
      <c r="AB55" s="67" t="s">
        <v>1950</v>
      </c>
      <c r="AC55" s="66">
        <f t="shared" si="37"/>
        <v>0</v>
      </c>
      <c r="AD55" s="58"/>
      <c r="AE55" s="67" t="s">
        <v>1960</v>
      </c>
      <c r="AF55" s="66">
        <f t="shared" si="38"/>
        <v>0</v>
      </c>
      <c r="AG55" s="58"/>
      <c r="AH55" s="67" t="s">
        <v>1955</v>
      </c>
      <c r="AI55" s="66">
        <f t="shared" si="39"/>
        <v>0</v>
      </c>
      <c r="AJ55" s="58"/>
      <c r="AK55" s="67" t="s">
        <v>1955</v>
      </c>
      <c r="AL55" s="66">
        <f t="shared" si="40"/>
        <v>0</v>
      </c>
      <c r="AM55" s="58"/>
      <c r="AN55" s="67" t="s">
        <v>1955</v>
      </c>
      <c r="AO55" s="66">
        <f t="shared" si="41"/>
        <v>0</v>
      </c>
      <c r="AP55" s="58"/>
      <c r="AQ55" s="67" t="s">
        <v>1951</v>
      </c>
      <c r="AR55" s="66">
        <f t="shared" si="42"/>
        <v>0</v>
      </c>
      <c r="AS55" s="58"/>
      <c r="AT55" s="67" t="s">
        <v>1962</v>
      </c>
      <c r="AU55" s="66">
        <f t="shared" si="43"/>
        <v>0</v>
      </c>
      <c r="AV55" s="58"/>
      <c r="AW55" s="67" t="s">
        <v>1950</v>
      </c>
      <c r="AX55" s="66">
        <f t="shared" si="44"/>
        <v>0</v>
      </c>
      <c r="AY55" s="58"/>
      <c r="AZ55" s="67" t="s">
        <v>1950</v>
      </c>
      <c r="BA55" s="66">
        <f t="shared" si="45"/>
        <v>0</v>
      </c>
      <c r="BB55" s="58"/>
      <c r="BC55" s="67" t="s">
        <v>1948</v>
      </c>
      <c r="BD55" s="66">
        <f t="shared" si="46"/>
        <v>0</v>
      </c>
      <c r="BE55" s="58"/>
      <c r="BF55" s="67" t="s">
        <v>1956</v>
      </c>
      <c r="BG55" s="66">
        <f t="shared" si="47"/>
        <v>0</v>
      </c>
      <c r="BH55" s="58"/>
      <c r="BI55" s="67" t="s">
        <v>1950</v>
      </c>
      <c r="BJ55" s="66">
        <f t="shared" si="48"/>
        <v>0</v>
      </c>
      <c r="BK55" s="58"/>
      <c r="BL55" s="67" t="s">
        <v>1949</v>
      </c>
      <c r="BM55" s="66">
        <f t="shared" si="49"/>
        <v>0</v>
      </c>
      <c r="BN55" s="58"/>
      <c r="BO55" s="67" t="s">
        <v>1948</v>
      </c>
      <c r="BP55" s="66">
        <f t="shared" si="50"/>
        <v>0</v>
      </c>
      <c r="BQ55" s="58"/>
      <c r="BR55" s="67" t="s">
        <v>1950</v>
      </c>
      <c r="BS55" s="66">
        <f t="shared" si="51"/>
        <v>0</v>
      </c>
      <c r="BT55" s="58"/>
      <c r="BU55" s="67"/>
      <c r="BV55" s="66">
        <f t="shared" si="52"/>
        <v>0</v>
      </c>
      <c r="BW55" s="58"/>
      <c r="BX55" s="67"/>
      <c r="BY55" s="66">
        <f t="shared" si="53"/>
        <v>0</v>
      </c>
      <c r="BZ55" s="58"/>
      <c r="CA55" s="67"/>
      <c r="CB55" s="66">
        <f t="shared" si="54"/>
        <v>0</v>
      </c>
      <c r="CC55" s="58"/>
      <c r="CD55" s="67"/>
      <c r="CE55" s="66">
        <f t="shared" si="55"/>
        <v>0</v>
      </c>
      <c r="CF55" s="58"/>
      <c r="CG55" s="67"/>
      <c r="CH55" s="66">
        <f t="shared" si="56"/>
        <v>0</v>
      </c>
      <c r="CI55" s="58"/>
      <c r="CJ55" s="67"/>
      <c r="CK55" s="66">
        <f t="shared" si="57"/>
        <v>0</v>
      </c>
      <c r="CL55" s="58"/>
      <c r="CM55" s="67"/>
      <c r="CN55" s="66">
        <f t="shared" si="58"/>
        <v>0</v>
      </c>
      <c r="CO55" s="58"/>
      <c r="CP55" s="67"/>
      <c r="CQ55" s="66">
        <f t="shared" si="59"/>
        <v>0</v>
      </c>
      <c r="CR55" s="58"/>
      <c r="CS55" s="67"/>
      <c r="CT55" s="66">
        <f t="shared" si="60"/>
        <v>0</v>
      </c>
      <c r="CU55" s="58"/>
      <c r="CV55" s="67"/>
      <c r="CW55" s="66">
        <f t="shared" si="61"/>
        <v>0</v>
      </c>
      <c r="CX55" s="58"/>
      <c r="CY55" s="67"/>
      <c r="CZ55" s="66">
        <f t="shared" si="62"/>
        <v>0</v>
      </c>
      <c r="DA55" s="58"/>
      <c r="DB55" s="67"/>
      <c r="DC55" s="66">
        <f t="shared" si="63"/>
        <v>0</v>
      </c>
      <c r="DD55" s="58"/>
      <c r="DE55" s="67"/>
      <c r="DF55" s="66">
        <f t="shared" si="64"/>
        <v>0</v>
      </c>
      <c r="DG55" s="58"/>
      <c r="DH55" s="67"/>
      <c r="DI55" s="66">
        <f t="shared" si="65"/>
        <v>0</v>
      </c>
      <c r="DJ55" s="58"/>
      <c r="DK55" s="67"/>
      <c r="DL55" s="66">
        <f t="shared" si="66"/>
        <v>0</v>
      </c>
      <c r="DM55" s="58"/>
      <c r="DN55" s="67"/>
      <c r="DO55" s="66">
        <f t="shared" si="67"/>
        <v>0</v>
      </c>
      <c r="DP55" s="58"/>
      <c r="DQ55" s="67"/>
      <c r="DR55" s="66">
        <f t="shared" si="68"/>
        <v>0</v>
      </c>
      <c r="DS55" s="58"/>
      <c r="DT55" s="67"/>
      <c r="DU55" s="66">
        <f t="shared" si="69"/>
        <v>0</v>
      </c>
      <c r="DV55" s="58"/>
      <c r="DW55" s="67"/>
      <c r="DX55" s="66">
        <f t="shared" si="70"/>
        <v>0</v>
      </c>
      <c r="DY55" s="58"/>
      <c r="DZ55" s="67"/>
      <c r="EA55" s="66">
        <f t="shared" si="71"/>
        <v>0</v>
      </c>
      <c r="EB55" s="58"/>
      <c r="EC55" s="67"/>
      <c r="ED55" s="66">
        <f t="shared" si="72"/>
        <v>0</v>
      </c>
      <c r="EE55" s="58"/>
      <c r="EF55" s="67"/>
      <c r="EG55" s="66">
        <f t="shared" si="73"/>
        <v>0</v>
      </c>
      <c r="EH55" s="58"/>
      <c r="EI55" s="58"/>
    </row>
    <row r="56" spans="1:139">
      <c r="A56" s="43"/>
      <c r="B56" s="43"/>
      <c r="C56" s="110" t="str">
        <f>"MAX. "&amp;K5</f>
        <v>MAX. FASE DE GRUPOS</v>
      </c>
      <c r="D56" s="113">
        <f>SUM($D$8:$D$10)*SUM($I$6:$I$77)+SUM($D$11:$D$14)*12+$D$15*32</f>
        <v>1560</v>
      </c>
      <c r="E56" s="103"/>
      <c r="F56" s="426">
        <f t="shared" si="32"/>
        <v>17</v>
      </c>
      <c r="G56" s="426">
        <f ca="1">VLOOKUP(H56,Equipos!$Q$1:$R$25,2,0)</f>
        <v>14</v>
      </c>
      <c r="H56" s="427">
        <f ca="1">TRUNC(INDEX(WORLDCUP!$X$4:$X$147,MATCH(ADMIN!K56,WORLDCUP!$DT$4:$DT$147,0))+INDEX(Horarios!$R$3:$R$86,MATCH(Horarios!$C$3,Horarios!$P$3:$P$86,0))/24)</f>
        <v>46197</v>
      </c>
      <c r="I56" s="42">
        <v>1</v>
      </c>
      <c r="J56" s="88" t="s">
        <v>125</v>
      </c>
      <c r="K56" s="49" t="str">
        <f ca="1">CONCATENATE(WORLDCUP!AA16,"-",WORLDCUP!AF16)</f>
        <v>Suiza-Canadá</v>
      </c>
      <c r="L56" s="46"/>
      <c r="M56" s="48" t="str">
        <f>IF(OR(WORLDCUP!AC16="",WORLDCUP!AD16=""),"-",N56&amp;"|"&amp;O56&amp;"-"&amp;P56)</f>
        <v>-</v>
      </c>
      <c r="N56" s="711" t="str">
        <f>IF(OR(WORLDCUP!AC16="",WORLDCUP!AD16=""),"",IF(WORLDCUP!AC16&gt;WORLDCUP!AD16,"1",IF(WORLDCUP!AC16&lt;WORLDCUP!AD16,"2","X")))</f>
        <v/>
      </c>
      <c r="O56" s="711">
        <f>WORLDCUP!AC16</f>
        <v>0</v>
      </c>
      <c r="P56" s="711">
        <f>WORLDCUP!AD16</f>
        <v>0</v>
      </c>
      <c r="Q56" s="711">
        <f t="shared" si="33"/>
        <v>0</v>
      </c>
      <c r="R56" s="43"/>
      <c r="S56" s="67" t="s">
        <v>1962</v>
      </c>
      <c r="T56" s="66">
        <f t="shared" si="74"/>
        <v>0</v>
      </c>
      <c r="U56" s="58"/>
      <c r="V56" s="67" t="s">
        <v>1948</v>
      </c>
      <c r="W56" s="66">
        <f t="shared" si="35"/>
        <v>0</v>
      </c>
      <c r="X56" s="58"/>
      <c r="Y56" s="67" t="s">
        <v>1966</v>
      </c>
      <c r="Z56" s="66">
        <f t="shared" si="36"/>
        <v>0</v>
      </c>
      <c r="AA56" s="58"/>
      <c r="AB56" s="67" t="s">
        <v>1948</v>
      </c>
      <c r="AC56" s="66">
        <f t="shared" si="37"/>
        <v>0</v>
      </c>
      <c r="AD56" s="58"/>
      <c r="AE56" s="67" t="s">
        <v>1948</v>
      </c>
      <c r="AF56" s="66">
        <f t="shared" si="38"/>
        <v>0</v>
      </c>
      <c r="AG56" s="58"/>
      <c r="AH56" s="67" t="s">
        <v>1948</v>
      </c>
      <c r="AI56" s="66">
        <f t="shared" si="39"/>
        <v>0</v>
      </c>
      <c r="AJ56" s="58"/>
      <c r="AK56" s="67" t="s">
        <v>1948</v>
      </c>
      <c r="AL56" s="66">
        <f t="shared" si="40"/>
        <v>0</v>
      </c>
      <c r="AM56" s="58"/>
      <c r="AN56" s="67" t="s">
        <v>1948</v>
      </c>
      <c r="AO56" s="66">
        <f t="shared" si="41"/>
        <v>0</v>
      </c>
      <c r="AP56" s="58"/>
      <c r="AQ56" s="67" t="s">
        <v>1948</v>
      </c>
      <c r="AR56" s="66">
        <f t="shared" si="42"/>
        <v>0</v>
      </c>
      <c r="AS56" s="58"/>
      <c r="AT56" s="67" t="s">
        <v>1954</v>
      </c>
      <c r="AU56" s="66">
        <f t="shared" si="43"/>
        <v>0</v>
      </c>
      <c r="AV56" s="58"/>
      <c r="AW56" s="67" t="s">
        <v>1948</v>
      </c>
      <c r="AX56" s="66">
        <f t="shared" si="44"/>
        <v>0</v>
      </c>
      <c r="AY56" s="58"/>
      <c r="AZ56" s="67" t="s">
        <v>1956</v>
      </c>
      <c r="BA56" s="66">
        <f t="shared" si="45"/>
        <v>0</v>
      </c>
      <c r="BB56" s="58"/>
      <c r="BC56" s="67" t="s">
        <v>1948</v>
      </c>
      <c r="BD56" s="66">
        <f t="shared" si="46"/>
        <v>0</v>
      </c>
      <c r="BE56" s="58"/>
      <c r="BF56" s="67" t="s">
        <v>1956</v>
      </c>
      <c r="BG56" s="66">
        <f t="shared" si="47"/>
        <v>0</v>
      </c>
      <c r="BH56" s="58"/>
      <c r="BI56" s="67" t="s">
        <v>1948</v>
      </c>
      <c r="BJ56" s="66">
        <f t="shared" si="48"/>
        <v>0</v>
      </c>
      <c r="BK56" s="58"/>
      <c r="BL56" s="67" t="s">
        <v>1948</v>
      </c>
      <c r="BM56" s="66">
        <f t="shared" si="49"/>
        <v>0</v>
      </c>
      <c r="BN56" s="58"/>
      <c r="BO56" s="67" t="s">
        <v>1947</v>
      </c>
      <c r="BP56" s="66">
        <f t="shared" si="50"/>
        <v>0</v>
      </c>
      <c r="BQ56" s="58"/>
      <c r="BR56" s="67" t="s">
        <v>1956</v>
      </c>
      <c r="BS56" s="66">
        <f t="shared" si="51"/>
        <v>0</v>
      </c>
      <c r="BT56" s="58"/>
      <c r="BU56" s="67"/>
      <c r="BV56" s="66">
        <f t="shared" si="52"/>
        <v>0</v>
      </c>
      <c r="BW56" s="58"/>
      <c r="BX56" s="67"/>
      <c r="BY56" s="66">
        <f t="shared" si="53"/>
        <v>0</v>
      </c>
      <c r="BZ56" s="58"/>
      <c r="CA56" s="67"/>
      <c r="CB56" s="66">
        <f t="shared" si="54"/>
        <v>0</v>
      </c>
      <c r="CC56" s="58"/>
      <c r="CD56" s="67"/>
      <c r="CE56" s="66">
        <f t="shared" si="55"/>
        <v>0</v>
      </c>
      <c r="CF56" s="58"/>
      <c r="CG56" s="67"/>
      <c r="CH56" s="66">
        <f t="shared" si="56"/>
        <v>0</v>
      </c>
      <c r="CI56" s="58"/>
      <c r="CJ56" s="67"/>
      <c r="CK56" s="66">
        <f t="shared" si="57"/>
        <v>0</v>
      </c>
      <c r="CL56" s="58"/>
      <c r="CM56" s="67"/>
      <c r="CN56" s="66">
        <f t="shared" si="58"/>
        <v>0</v>
      </c>
      <c r="CO56" s="58"/>
      <c r="CP56" s="67"/>
      <c r="CQ56" s="66">
        <f t="shared" si="59"/>
        <v>0</v>
      </c>
      <c r="CR56" s="58"/>
      <c r="CS56" s="67"/>
      <c r="CT56" s="66">
        <f t="shared" si="60"/>
        <v>0</v>
      </c>
      <c r="CU56" s="58"/>
      <c r="CV56" s="67"/>
      <c r="CW56" s="66">
        <f t="shared" si="61"/>
        <v>0</v>
      </c>
      <c r="CX56" s="58"/>
      <c r="CY56" s="67"/>
      <c r="CZ56" s="66">
        <f t="shared" si="62"/>
        <v>0</v>
      </c>
      <c r="DA56" s="58"/>
      <c r="DB56" s="67"/>
      <c r="DC56" s="66">
        <f t="shared" si="63"/>
        <v>0</v>
      </c>
      <c r="DD56" s="58"/>
      <c r="DE56" s="67"/>
      <c r="DF56" s="66">
        <f t="shared" si="64"/>
        <v>0</v>
      </c>
      <c r="DG56" s="58"/>
      <c r="DH56" s="67"/>
      <c r="DI56" s="66">
        <f t="shared" si="65"/>
        <v>0</v>
      </c>
      <c r="DJ56" s="58"/>
      <c r="DK56" s="67"/>
      <c r="DL56" s="66">
        <f t="shared" si="66"/>
        <v>0</v>
      </c>
      <c r="DM56" s="58"/>
      <c r="DN56" s="67"/>
      <c r="DO56" s="66">
        <f t="shared" si="67"/>
        <v>0</v>
      </c>
      <c r="DP56" s="58"/>
      <c r="DQ56" s="67"/>
      <c r="DR56" s="66">
        <f t="shared" si="68"/>
        <v>0</v>
      </c>
      <c r="DS56" s="58"/>
      <c r="DT56" s="67"/>
      <c r="DU56" s="66">
        <f t="shared" si="69"/>
        <v>0</v>
      </c>
      <c r="DV56" s="58"/>
      <c r="DW56" s="67"/>
      <c r="DX56" s="66">
        <f t="shared" si="70"/>
        <v>0</v>
      </c>
      <c r="DY56" s="58"/>
      <c r="DZ56" s="67"/>
      <c r="EA56" s="66">
        <f t="shared" si="71"/>
        <v>0</v>
      </c>
      <c r="EB56" s="58"/>
      <c r="EC56" s="67"/>
      <c r="ED56" s="66">
        <f t="shared" si="72"/>
        <v>0</v>
      </c>
      <c r="EE56" s="58"/>
      <c r="EF56" s="67"/>
      <c r="EG56" s="66">
        <f t="shared" si="73"/>
        <v>0</v>
      </c>
      <c r="EH56" s="58"/>
      <c r="EI56" s="58"/>
    </row>
    <row r="57" spans="1:139">
      <c r="A57" s="43"/>
      <c r="B57" s="43"/>
      <c r="C57" s="111" t="str">
        <f>"MAX. "&amp;UPPER(Idiomas!D260)</f>
        <v>MAX. DIECISEISAVOS DE FINAL</v>
      </c>
      <c r="D57" s="114">
        <f>SUM($D$16:$D$18)*SUM($I$164:$I$179)+$D$19*16</f>
        <v>336</v>
      </c>
      <c r="E57" s="103"/>
      <c r="F57" s="426">
        <f t="shared" si="32"/>
        <v>17</v>
      </c>
      <c r="G57" s="426">
        <f ca="1">VLOOKUP(H57,Equipos!$Q$1:$R$25,2,0)</f>
        <v>14</v>
      </c>
      <c r="H57" s="427">
        <f ca="1">TRUNC(INDEX(WORLDCUP!$X$4:$X$147,MATCH(ADMIN!K57,WORLDCUP!$DT$4:$DT$147,0))+INDEX(Horarios!$R$3:$R$86,MATCH(Horarios!$C$3,Horarios!$P$3:$P$86,0))/24)</f>
        <v>46197</v>
      </c>
      <c r="I57" s="42">
        <v>1</v>
      </c>
      <c r="J57" s="88" t="s">
        <v>125</v>
      </c>
      <c r="K57" s="46" t="str">
        <f ca="1">CONCATENATE(WORLDCUP!AA17,"-",WORLDCUP!AF17)</f>
        <v>Bosnia y Herzegovina-Catar</v>
      </c>
      <c r="L57" s="46"/>
      <c r="M57" s="48" t="str">
        <f>IF(OR(WORLDCUP!AC17="",WORLDCUP!AD17=""),"-",N57&amp;"|"&amp;O57&amp;"-"&amp;P57)</f>
        <v>-</v>
      </c>
      <c r="N57" s="711" t="str">
        <f>IF(OR(WORLDCUP!AC17="",WORLDCUP!AD17=""),"",IF(WORLDCUP!AC17&gt;WORLDCUP!AD17,"1",IF(WORLDCUP!AC17&lt;WORLDCUP!AD17,"2","X")))</f>
        <v/>
      </c>
      <c r="O57" s="711">
        <f>WORLDCUP!AC17</f>
        <v>0</v>
      </c>
      <c r="P57" s="711">
        <f>WORLDCUP!AD17</f>
        <v>0</v>
      </c>
      <c r="Q57" s="711">
        <f t="shared" si="33"/>
        <v>0</v>
      </c>
      <c r="R57" s="43"/>
      <c r="S57" s="67" t="s">
        <v>1959</v>
      </c>
      <c r="T57" s="66">
        <f t="shared" si="74"/>
        <v>0</v>
      </c>
      <c r="U57" s="58"/>
      <c r="V57" s="67" t="s">
        <v>1956</v>
      </c>
      <c r="W57" s="66">
        <f t="shared" si="35"/>
        <v>0</v>
      </c>
      <c r="X57" s="58"/>
      <c r="Y57" s="67" t="s">
        <v>1947</v>
      </c>
      <c r="Z57" s="66">
        <f t="shared" si="36"/>
        <v>0</v>
      </c>
      <c r="AA57" s="58"/>
      <c r="AB57" s="67" t="s">
        <v>1956</v>
      </c>
      <c r="AC57" s="66">
        <f t="shared" si="37"/>
        <v>0</v>
      </c>
      <c r="AD57" s="58"/>
      <c r="AE57" s="67" t="s">
        <v>1953</v>
      </c>
      <c r="AF57" s="66">
        <f t="shared" si="38"/>
        <v>0</v>
      </c>
      <c r="AG57" s="58"/>
      <c r="AH57" s="67" t="s">
        <v>1953</v>
      </c>
      <c r="AI57" s="66">
        <f t="shared" si="39"/>
        <v>0</v>
      </c>
      <c r="AJ57" s="58"/>
      <c r="AK57" s="67" t="s">
        <v>1948</v>
      </c>
      <c r="AL57" s="66">
        <f t="shared" si="40"/>
        <v>0</v>
      </c>
      <c r="AM57" s="58"/>
      <c r="AN57" s="67" t="s">
        <v>1956</v>
      </c>
      <c r="AO57" s="66">
        <f t="shared" si="41"/>
        <v>0</v>
      </c>
      <c r="AP57" s="58"/>
      <c r="AQ57" s="67" t="s">
        <v>1947</v>
      </c>
      <c r="AR57" s="66">
        <f t="shared" si="42"/>
        <v>0</v>
      </c>
      <c r="AS57" s="58"/>
      <c r="AT57" s="67" t="s">
        <v>1953</v>
      </c>
      <c r="AU57" s="66">
        <f t="shared" si="43"/>
        <v>0</v>
      </c>
      <c r="AV57" s="58"/>
      <c r="AW57" s="67" t="s">
        <v>1956</v>
      </c>
      <c r="AX57" s="66">
        <f t="shared" si="44"/>
        <v>0</v>
      </c>
      <c r="AY57" s="58"/>
      <c r="AZ57" s="67" t="s">
        <v>1947</v>
      </c>
      <c r="BA57" s="66">
        <f t="shared" si="45"/>
        <v>0</v>
      </c>
      <c r="BB57" s="58"/>
      <c r="BC57" s="67" t="s">
        <v>1953</v>
      </c>
      <c r="BD57" s="66">
        <f t="shared" si="46"/>
        <v>0</v>
      </c>
      <c r="BE57" s="58"/>
      <c r="BF57" s="67" t="s">
        <v>1956</v>
      </c>
      <c r="BG57" s="66">
        <f t="shared" si="47"/>
        <v>0</v>
      </c>
      <c r="BH57" s="58"/>
      <c r="BI57" s="67" t="s">
        <v>1956</v>
      </c>
      <c r="BJ57" s="66">
        <f t="shared" si="48"/>
        <v>0</v>
      </c>
      <c r="BK57" s="58"/>
      <c r="BL57" s="67" t="s">
        <v>1947</v>
      </c>
      <c r="BM57" s="66">
        <f t="shared" si="49"/>
        <v>0</v>
      </c>
      <c r="BN57" s="58"/>
      <c r="BO57" s="67" t="s">
        <v>1954</v>
      </c>
      <c r="BP57" s="66">
        <f t="shared" si="50"/>
        <v>0</v>
      </c>
      <c r="BQ57" s="58"/>
      <c r="BR57" s="67" t="s">
        <v>1956</v>
      </c>
      <c r="BS57" s="66">
        <f t="shared" si="51"/>
        <v>0</v>
      </c>
      <c r="BT57" s="58"/>
      <c r="BU57" s="67"/>
      <c r="BV57" s="66">
        <f t="shared" si="52"/>
        <v>0</v>
      </c>
      <c r="BW57" s="58"/>
      <c r="BX57" s="67"/>
      <c r="BY57" s="66">
        <f t="shared" si="53"/>
        <v>0</v>
      </c>
      <c r="BZ57" s="58"/>
      <c r="CA57" s="67"/>
      <c r="CB57" s="66">
        <f t="shared" si="54"/>
        <v>0</v>
      </c>
      <c r="CC57" s="58"/>
      <c r="CD57" s="67"/>
      <c r="CE57" s="66">
        <f t="shared" si="55"/>
        <v>0</v>
      </c>
      <c r="CF57" s="58"/>
      <c r="CG57" s="67"/>
      <c r="CH57" s="66">
        <f t="shared" si="56"/>
        <v>0</v>
      </c>
      <c r="CI57" s="58"/>
      <c r="CJ57" s="67"/>
      <c r="CK57" s="66">
        <f t="shared" si="57"/>
        <v>0</v>
      </c>
      <c r="CL57" s="58"/>
      <c r="CM57" s="67"/>
      <c r="CN57" s="66">
        <f t="shared" si="58"/>
        <v>0</v>
      </c>
      <c r="CO57" s="58"/>
      <c r="CP57" s="67"/>
      <c r="CQ57" s="66">
        <f t="shared" si="59"/>
        <v>0</v>
      </c>
      <c r="CR57" s="58"/>
      <c r="CS57" s="67"/>
      <c r="CT57" s="66">
        <f t="shared" si="60"/>
        <v>0</v>
      </c>
      <c r="CU57" s="58"/>
      <c r="CV57" s="67"/>
      <c r="CW57" s="66">
        <f t="shared" si="61"/>
        <v>0</v>
      </c>
      <c r="CX57" s="58"/>
      <c r="CY57" s="67"/>
      <c r="CZ57" s="66">
        <f t="shared" si="62"/>
        <v>0</v>
      </c>
      <c r="DA57" s="58"/>
      <c r="DB57" s="67"/>
      <c r="DC57" s="66">
        <f t="shared" si="63"/>
        <v>0</v>
      </c>
      <c r="DD57" s="58"/>
      <c r="DE57" s="67"/>
      <c r="DF57" s="66">
        <f t="shared" si="64"/>
        <v>0</v>
      </c>
      <c r="DG57" s="58"/>
      <c r="DH57" s="67"/>
      <c r="DI57" s="66">
        <f t="shared" si="65"/>
        <v>0</v>
      </c>
      <c r="DJ57" s="58"/>
      <c r="DK57" s="67"/>
      <c r="DL57" s="66">
        <f t="shared" si="66"/>
        <v>0</v>
      </c>
      <c r="DM57" s="58"/>
      <c r="DN57" s="67"/>
      <c r="DO57" s="66">
        <f t="shared" si="67"/>
        <v>0</v>
      </c>
      <c r="DP57" s="58"/>
      <c r="DQ57" s="67"/>
      <c r="DR57" s="66">
        <f t="shared" si="68"/>
        <v>0</v>
      </c>
      <c r="DS57" s="58"/>
      <c r="DT57" s="67"/>
      <c r="DU57" s="66">
        <f t="shared" si="69"/>
        <v>0</v>
      </c>
      <c r="DV57" s="58"/>
      <c r="DW57" s="67"/>
      <c r="DX57" s="66">
        <f t="shared" si="70"/>
        <v>0</v>
      </c>
      <c r="DY57" s="58"/>
      <c r="DZ57" s="67"/>
      <c r="EA57" s="66">
        <f t="shared" si="71"/>
        <v>0</v>
      </c>
      <c r="EB57" s="58"/>
      <c r="EC57" s="67"/>
      <c r="ED57" s="66">
        <f t="shared" si="72"/>
        <v>0</v>
      </c>
      <c r="EE57" s="58"/>
      <c r="EF57" s="67"/>
      <c r="EG57" s="66">
        <f t="shared" si="73"/>
        <v>0</v>
      </c>
      <c r="EH57" s="58"/>
      <c r="EI57" s="58"/>
    </row>
    <row r="58" spans="1:139">
      <c r="A58" s="43"/>
      <c r="B58" s="43"/>
      <c r="C58" s="112" t="str">
        <f>"MAX. "&amp;UPPER(Idiomas!D261)</f>
        <v>MAX. OCTAVOS DE FINAL</v>
      </c>
      <c r="D58" s="115">
        <f>SUM($D$20:$D$22)*SUM($I$200:$I$207)+$D$23*8</f>
        <v>176</v>
      </c>
      <c r="E58" s="103"/>
      <c r="F58" s="426">
        <f t="shared" si="32"/>
        <v>17</v>
      </c>
      <c r="G58" s="426">
        <f ca="1">VLOOKUP(H58,Equipos!$Q$1:$R$25,2,0)</f>
        <v>15</v>
      </c>
      <c r="H58" s="427">
        <f ca="1">TRUNC(INDEX(WORLDCUP!$X$4:$X$147,MATCH(ADMIN!K58,WORLDCUP!$DT$4:$DT$147,0))+INDEX(Horarios!$R$3:$R$86,MATCH(Horarios!$C$3,Horarios!$P$3:$P$86,0))/24)</f>
        <v>46198</v>
      </c>
      <c r="I58" s="42">
        <v>1</v>
      </c>
      <c r="J58" s="87" t="s">
        <v>126</v>
      </c>
      <c r="K58" s="49" t="str">
        <f ca="1">CONCATENATE(WORLDCUP!AA24,"-",WORLDCUP!AF24)</f>
        <v>Escocia-Brasil</v>
      </c>
      <c r="L58" s="46"/>
      <c r="M58" s="48" t="str">
        <f>IF(OR(WORLDCUP!AC24="",WORLDCUP!AD24=""),"-",N58&amp;"|"&amp;O58&amp;"-"&amp;P58)</f>
        <v>-</v>
      </c>
      <c r="N58" s="711" t="str">
        <f>IF(OR(WORLDCUP!AC24="",WORLDCUP!AD24=""),"",IF(WORLDCUP!AC24&gt;WORLDCUP!AD24,"1",IF(WORLDCUP!AC24&lt;WORLDCUP!AD24,"2","X")))</f>
        <v/>
      </c>
      <c r="O58" s="711">
        <f>WORLDCUP!AC24</f>
        <v>0</v>
      </c>
      <c r="P58" s="711">
        <f>WORLDCUP!AD24</f>
        <v>0</v>
      </c>
      <c r="Q58" s="711">
        <f t="shared" si="33"/>
        <v>0</v>
      </c>
      <c r="R58" s="43"/>
      <c r="S58" s="67" t="s">
        <v>1960</v>
      </c>
      <c r="T58" s="66">
        <f t="shared" si="74"/>
        <v>0</v>
      </c>
      <c r="U58" s="58"/>
      <c r="V58" s="67" t="s">
        <v>1960</v>
      </c>
      <c r="W58" s="66">
        <f t="shared" si="35"/>
        <v>0</v>
      </c>
      <c r="X58" s="58"/>
      <c r="Y58" s="67" t="s">
        <v>1960</v>
      </c>
      <c r="Z58" s="66">
        <f t="shared" si="36"/>
        <v>0</v>
      </c>
      <c r="AA58" s="58"/>
      <c r="AB58" s="67" t="s">
        <v>1951</v>
      </c>
      <c r="AC58" s="66">
        <f t="shared" si="37"/>
        <v>0</v>
      </c>
      <c r="AD58" s="58"/>
      <c r="AE58" s="67" t="s">
        <v>1950</v>
      </c>
      <c r="AF58" s="66">
        <f t="shared" si="38"/>
        <v>0</v>
      </c>
      <c r="AG58" s="58"/>
      <c r="AH58" s="67" t="s">
        <v>1955</v>
      </c>
      <c r="AI58" s="66">
        <f t="shared" si="39"/>
        <v>0</v>
      </c>
      <c r="AJ58" s="58"/>
      <c r="AK58" s="67" t="s">
        <v>1960</v>
      </c>
      <c r="AL58" s="66">
        <f t="shared" si="40"/>
        <v>0</v>
      </c>
      <c r="AM58" s="58"/>
      <c r="AN58" s="67" t="s">
        <v>1951</v>
      </c>
      <c r="AO58" s="66">
        <f t="shared" si="41"/>
        <v>0</v>
      </c>
      <c r="AP58" s="58"/>
      <c r="AQ58" s="67" t="s">
        <v>1955</v>
      </c>
      <c r="AR58" s="66">
        <f t="shared" si="42"/>
        <v>0</v>
      </c>
      <c r="AS58" s="58"/>
      <c r="AT58" s="67" t="s">
        <v>1950</v>
      </c>
      <c r="AU58" s="66">
        <f t="shared" si="43"/>
        <v>0</v>
      </c>
      <c r="AV58" s="58"/>
      <c r="AW58" s="67" t="s">
        <v>1960</v>
      </c>
      <c r="AX58" s="66">
        <f t="shared" si="44"/>
        <v>0</v>
      </c>
      <c r="AY58" s="58"/>
      <c r="AZ58" s="67" t="s">
        <v>1948</v>
      </c>
      <c r="BA58" s="66">
        <f t="shared" si="45"/>
        <v>0</v>
      </c>
      <c r="BB58" s="58"/>
      <c r="BC58" s="67" t="s">
        <v>1949</v>
      </c>
      <c r="BD58" s="66">
        <f t="shared" si="46"/>
        <v>0</v>
      </c>
      <c r="BE58" s="58"/>
      <c r="BF58" s="67" t="s">
        <v>1950</v>
      </c>
      <c r="BG58" s="66">
        <f t="shared" si="47"/>
        <v>0</v>
      </c>
      <c r="BH58" s="58"/>
      <c r="BI58" s="67" t="s">
        <v>1955</v>
      </c>
      <c r="BJ58" s="66">
        <f t="shared" si="48"/>
        <v>0</v>
      </c>
      <c r="BK58" s="58"/>
      <c r="BL58" s="67" t="s">
        <v>1951</v>
      </c>
      <c r="BM58" s="66">
        <f t="shared" si="49"/>
        <v>0</v>
      </c>
      <c r="BN58" s="58"/>
      <c r="BO58" s="67" t="s">
        <v>1955</v>
      </c>
      <c r="BP58" s="66">
        <f t="shared" si="50"/>
        <v>0</v>
      </c>
      <c r="BQ58" s="58"/>
      <c r="BR58" s="67" t="s">
        <v>1960</v>
      </c>
      <c r="BS58" s="66">
        <f t="shared" si="51"/>
        <v>0</v>
      </c>
      <c r="BT58" s="58"/>
      <c r="BU58" s="67"/>
      <c r="BV58" s="66">
        <f t="shared" si="52"/>
        <v>0</v>
      </c>
      <c r="BW58" s="58"/>
      <c r="BX58" s="67"/>
      <c r="BY58" s="66">
        <f t="shared" si="53"/>
        <v>0</v>
      </c>
      <c r="BZ58" s="58"/>
      <c r="CA58" s="67"/>
      <c r="CB58" s="66">
        <f t="shared" si="54"/>
        <v>0</v>
      </c>
      <c r="CC58" s="58"/>
      <c r="CD58" s="67"/>
      <c r="CE58" s="66">
        <f t="shared" si="55"/>
        <v>0</v>
      </c>
      <c r="CF58" s="58"/>
      <c r="CG58" s="67"/>
      <c r="CH58" s="66">
        <f t="shared" si="56"/>
        <v>0</v>
      </c>
      <c r="CI58" s="58"/>
      <c r="CJ58" s="67"/>
      <c r="CK58" s="66">
        <f t="shared" si="57"/>
        <v>0</v>
      </c>
      <c r="CL58" s="58"/>
      <c r="CM58" s="67"/>
      <c r="CN58" s="66">
        <f t="shared" si="58"/>
        <v>0</v>
      </c>
      <c r="CO58" s="58"/>
      <c r="CP58" s="67"/>
      <c r="CQ58" s="66">
        <f t="shared" si="59"/>
        <v>0</v>
      </c>
      <c r="CR58" s="58"/>
      <c r="CS58" s="67"/>
      <c r="CT58" s="66">
        <f t="shared" si="60"/>
        <v>0</v>
      </c>
      <c r="CU58" s="58"/>
      <c r="CV58" s="67"/>
      <c r="CW58" s="66">
        <f t="shared" si="61"/>
        <v>0</v>
      </c>
      <c r="CX58" s="58"/>
      <c r="CY58" s="67"/>
      <c r="CZ58" s="66">
        <f t="shared" si="62"/>
        <v>0</v>
      </c>
      <c r="DA58" s="58"/>
      <c r="DB58" s="67"/>
      <c r="DC58" s="66">
        <f t="shared" si="63"/>
        <v>0</v>
      </c>
      <c r="DD58" s="58"/>
      <c r="DE58" s="67"/>
      <c r="DF58" s="66">
        <f t="shared" si="64"/>
        <v>0</v>
      </c>
      <c r="DG58" s="58"/>
      <c r="DH58" s="67"/>
      <c r="DI58" s="66">
        <f t="shared" si="65"/>
        <v>0</v>
      </c>
      <c r="DJ58" s="58"/>
      <c r="DK58" s="67"/>
      <c r="DL58" s="66">
        <f t="shared" si="66"/>
        <v>0</v>
      </c>
      <c r="DM58" s="58"/>
      <c r="DN58" s="67"/>
      <c r="DO58" s="66">
        <f t="shared" si="67"/>
        <v>0</v>
      </c>
      <c r="DP58" s="58"/>
      <c r="DQ58" s="67"/>
      <c r="DR58" s="66">
        <f t="shared" si="68"/>
        <v>0</v>
      </c>
      <c r="DS58" s="58"/>
      <c r="DT58" s="67"/>
      <c r="DU58" s="66">
        <f t="shared" si="69"/>
        <v>0</v>
      </c>
      <c r="DV58" s="58"/>
      <c r="DW58" s="67"/>
      <c r="DX58" s="66">
        <f t="shared" si="70"/>
        <v>0</v>
      </c>
      <c r="DY58" s="58"/>
      <c r="DZ58" s="67"/>
      <c r="EA58" s="66">
        <f t="shared" si="71"/>
        <v>0</v>
      </c>
      <c r="EB58" s="58"/>
      <c r="EC58" s="67"/>
      <c r="ED58" s="66">
        <f t="shared" si="72"/>
        <v>0</v>
      </c>
      <c r="EE58" s="58"/>
      <c r="EF58" s="67"/>
      <c r="EG58" s="66">
        <f t="shared" si="73"/>
        <v>0</v>
      </c>
      <c r="EH58" s="58"/>
      <c r="EI58" s="58"/>
    </row>
    <row r="59" spans="1:139">
      <c r="A59" s="43"/>
      <c r="B59" s="43"/>
      <c r="C59" s="111" t="str">
        <f>"MAX. "&amp;UPPER(Idiomas!D262)</f>
        <v>MAX. CUARTOS DE FINAL</v>
      </c>
      <c r="D59" s="114">
        <f>SUM($D$24:$D$26)*SUM($I$220:$I$223)+$D$27*4</f>
        <v>92</v>
      </c>
      <c r="E59" s="103"/>
      <c r="F59" s="426">
        <f t="shared" si="32"/>
        <v>17</v>
      </c>
      <c r="G59" s="426">
        <f ca="1">VLOOKUP(H59,Equipos!$Q$1:$R$25,2,0)</f>
        <v>15</v>
      </c>
      <c r="H59" s="427">
        <f ca="1">TRUNC(INDEX(WORLDCUP!$X$4:$X$147,MATCH(ADMIN!K59,WORLDCUP!$DT$4:$DT$147,0))+INDEX(Horarios!$R$3:$R$86,MATCH(Horarios!$C$3,Horarios!$P$3:$P$86,0))/24)</f>
        <v>46198</v>
      </c>
      <c r="I59" s="42">
        <v>1</v>
      </c>
      <c r="J59" s="87" t="s">
        <v>126</v>
      </c>
      <c r="K59" s="46" t="str">
        <f ca="1">CONCATENATE(WORLDCUP!AA25,"-",WORLDCUP!AF25)</f>
        <v>Marruecos-Haití</v>
      </c>
      <c r="L59" s="46"/>
      <c r="M59" s="48" t="str">
        <f>IF(OR(WORLDCUP!AC25="",WORLDCUP!AD25=""),"-",N59&amp;"|"&amp;O59&amp;"-"&amp;P59)</f>
        <v>-</v>
      </c>
      <c r="N59" s="711" t="str">
        <f>IF(OR(WORLDCUP!AC25="",WORLDCUP!AD25=""),"",IF(WORLDCUP!AC25&gt;WORLDCUP!AD25,"1",IF(WORLDCUP!AC25&lt;WORLDCUP!AD25,"2","X")))</f>
        <v/>
      </c>
      <c r="O59" s="711">
        <f>WORLDCUP!AC25</f>
        <v>0</v>
      </c>
      <c r="P59" s="711">
        <f>WORLDCUP!AD25</f>
        <v>0</v>
      </c>
      <c r="Q59" s="711">
        <f t="shared" si="33"/>
        <v>0</v>
      </c>
      <c r="R59" s="43"/>
      <c r="S59" s="67" t="s">
        <v>1959</v>
      </c>
      <c r="T59" s="66">
        <f t="shared" si="74"/>
        <v>0</v>
      </c>
      <c r="U59" s="58"/>
      <c r="V59" s="67" t="s">
        <v>1953</v>
      </c>
      <c r="W59" s="66">
        <f t="shared" si="35"/>
        <v>0</v>
      </c>
      <c r="X59" s="58"/>
      <c r="Y59" s="67" t="s">
        <v>1959</v>
      </c>
      <c r="Z59" s="66">
        <f t="shared" si="36"/>
        <v>0</v>
      </c>
      <c r="AA59" s="58"/>
      <c r="AB59" s="67" t="s">
        <v>1953</v>
      </c>
      <c r="AC59" s="66">
        <f t="shared" si="37"/>
        <v>0</v>
      </c>
      <c r="AD59" s="58"/>
      <c r="AE59" s="67" t="s">
        <v>1952</v>
      </c>
      <c r="AF59" s="66">
        <f t="shared" si="38"/>
        <v>0</v>
      </c>
      <c r="AG59" s="58"/>
      <c r="AH59" s="67" t="s">
        <v>1959</v>
      </c>
      <c r="AI59" s="66">
        <f t="shared" si="39"/>
        <v>0</v>
      </c>
      <c r="AJ59" s="58"/>
      <c r="AK59" s="67" t="s">
        <v>1959</v>
      </c>
      <c r="AL59" s="66">
        <f t="shared" si="40"/>
        <v>0</v>
      </c>
      <c r="AM59" s="58"/>
      <c r="AN59" s="67" t="s">
        <v>1959</v>
      </c>
      <c r="AO59" s="66">
        <f t="shared" si="41"/>
        <v>0</v>
      </c>
      <c r="AP59" s="58"/>
      <c r="AQ59" s="67" t="s">
        <v>1952</v>
      </c>
      <c r="AR59" s="66">
        <f t="shared" si="42"/>
        <v>0</v>
      </c>
      <c r="AS59" s="58"/>
      <c r="AT59" s="67" t="s">
        <v>1952</v>
      </c>
      <c r="AU59" s="66">
        <f t="shared" si="43"/>
        <v>0</v>
      </c>
      <c r="AV59" s="58"/>
      <c r="AW59" s="67" t="s">
        <v>1959</v>
      </c>
      <c r="AX59" s="66">
        <f t="shared" si="44"/>
        <v>0</v>
      </c>
      <c r="AY59" s="58"/>
      <c r="AZ59" s="67" t="s">
        <v>1953</v>
      </c>
      <c r="BA59" s="66">
        <f t="shared" si="45"/>
        <v>0</v>
      </c>
      <c r="BB59" s="58"/>
      <c r="BC59" s="67" t="s">
        <v>1958</v>
      </c>
      <c r="BD59" s="66">
        <f t="shared" si="46"/>
        <v>0</v>
      </c>
      <c r="BE59" s="58"/>
      <c r="BF59" s="67" t="s">
        <v>1956</v>
      </c>
      <c r="BG59" s="66">
        <f t="shared" si="47"/>
        <v>0</v>
      </c>
      <c r="BH59" s="58"/>
      <c r="BI59" s="67" t="s">
        <v>1956</v>
      </c>
      <c r="BJ59" s="66">
        <f t="shared" si="48"/>
        <v>0</v>
      </c>
      <c r="BK59" s="58"/>
      <c r="BL59" s="67" t="s">
        <v>1954</v>
      </c>
      <c r="BM59" s="66">
        <f t="shared" si="49"/>
        <v>0</v>
      </c>
      <c r="BN59" s="58"/>
      <c r="BO59" s="67" t="s">
        <v>1989</v>
      </c>
      <c r="BP59" s="66">
        <f t="shared" si="50"/>
        <v>0</v>
      </c>
      <c r="BQ59" s="58"/>
      <c r="BR59" s="67" t="s">
        <v>1953</v>
      </c>
      <c r="BS59" s="66">
        <f t="shared" si="51"/>
        <v>0</v>
      </c>
      <c r="BT59" s="58"/>
      <c r="BU59" s="67"/>
      <c r="BV59" s="66">
        <f t="shared" si="52"/>
        <v>0</v>
      </c>
      <c r="BW59" s="58"/>
      <c r="BX59" s="67"/>
      <c r="BY59" s="66">
        <f t="shared" si="53"/>
        <v>0</v>
      </c>
      <c r="BZ59" s="58"/>
      <c r="CA59" s="67"/>
      <c r="CB59" s="66">
        <f t="shared" si="54"/>
        <v>0</v>
      </c>
      <c r="CC59" s="58"/>
      <c r="CD59" s="67"/>
      <c r="CE59" s="66">
        <f t="shared" si="55"/>
        <v>0</v>
      </c>
      <c r="CF59" s="58"/>
      <c r="CG59" s="67"/>
      <c r="CH59" s="66">
        <f t="shared" si="56"/>
        <v>0</v>
      </c>
      <c r="CI59" s="58"/>
      <c r="CJ59" s="67"/>
      <c r="CK59" s="66">
        <f t="shared" si="57"/>
        <v>0</v>
      </c>
      <c r="CL59" s="58"/>
      <c r="CM59" s="67"/>
      <c r="CN59" s="66">
        <f t="shared" si="58"/>
        <v>0</v>
      </c>
      <c r="CO59" s="58"/>
      <c r="CP59" s="67"/>
      <c r="CQ59" s="66">
        <f t="shared" si="59"/>
        <v>0</v>
      </c>
      <c r="CR59" s="58"/>
      <c r="CS59" s="67"/>
      <c r="CT59" s="66">
        <f t="shared" si="60"/>
        <v>0</v>
      </c>
      <c r="CU59" s="58"/>
      <c r="CV59" s="67"/>
      <c r="CW59" s="66">
        <f t="shared" si="61"/>
        <v>0</v>
      </c>
      <c r="CX59" s="58"/>
      <c r="CY59" s="67"/>
      <c r="CZ59" s="66">
        <f t="shared" si="62"/>
        <v>0</v>
      </c>
      <c r="DA59" s="58"/>
      <c r="DB59" s="67"/>
      <c r="DC59" s="66">
        <f t="shared" si="63"/>
        <v>0</v>
      </c>
      <c r="DD59" s="58"/>
      <c r="DE59" s="67"/>
      <c r="DF59" s="66">
        <f t="shared" si="64"/>
        <v>0</v>
      </c>
      <c r="DG59" s="58"/>
      <c r="DH59" s="67"/>
      <c r="DI59" s="66">
        <f t="shared" si="65"/>
        <v>0</v>
      </c>
      <c r="DJ59" s="58"/>
      <c r="DK59" s="67"/>
      <c r="DL59" s="66">
        <f t="shared" si="66"/>
        <v>0</v>
      </c>
      <c r="DM59" s="58"/>
      <c r="DN59" s="67"/>
      <c r="DO59" s="66">
        <f t="shared" si="67"/>
        <v>0</v>
      </c>
      <c r="DP59" s="58"/>
      <c r="DQ59" s="67"/>
      <c r="DR59" s="66">
        <f t="shared" si="68"/>
        <v>0</v>
      </c>
      <c r="DS59" s="58"/>
      <c r="DT59" s="67"/>
      <c r="DU59" s="66">
        <f t="shared" si="69"/>
        <v>0</v>
      </c>
      <c r="DV59" s="58"/>
      <c r="DW59" s="67"/>
      <c r="DX59" s="66">
        <f t="shared" si="70"/>
        <v>0</v>
      </c>
      <c r="DY59" s="58"/>
      <c r="DZ59" s="67"/>
      <c r="EA59" s="66">
        <f t="shared" si="71"/>
        <v>0</v>
      </c>
      <c r="EB59" s="58"/>
      <c r="EC59" s="67"/>
      <c r="ED59" s="66">
        <f t="shared" si="72"/>
        <v>0</v>
      </c>
      <c r="EE59" s="58"/>
      <c r="EF59" s="67"/>
      <c r="EG59" s="66">
        <f t="shared" si="73"/>
        <v>0</v>
      </c>
      <c r="EH59" s="58"/>
      <c r="EI59" s="58"/>
    </row>
    <row r="60" spans="1:139">
      <c r="A60" s="43"/>
      <c r="B60" s="43"/>
      <c r="C60" s="112" t="str">
        <f>"MAX. "&amp;UPPER(Idiomas!D263)</f>
        <v>MAX. SEMIFINALES</v>
      </c>
      <c r="D60" s="115">
        <f>SUM($D$28:$D$30)*SUM($I$232:$I$233)+$D$31*2+$D$32*2</f>
        <v>64</v>
      </c>
      <c r="E60" s="103"/>
      <c r="F60" s="426">
        <f t="shared" si="32"/>
        <v>17</v>
      </c>
      <c r="G60" s="426">
        <f ca="1">VLOOKUP(H60,Equipos!$Q$1:$R$25,2,0)</f>
        <v>16</v>
      </c>
      <c r="H60" s="427">
        <f ca="1">TRUNC(INDEX(WORLDCUP!$X$4:$X$147,MATCH(ADMIN!K60,WORLDCUP!$DT$4:$DT$147,0))+INDEX(Horarios!$R$3:$R$86,MATCH(Horarios!$C$3,Horarios!$P$3:$P$86,0))/24)</f>
        <v>46199</v>
      </c>
      <c r="I60" s="42">
        <v>1</v>
      </c>
      <c r="J60" s="88" t="s">
        <v>127</v>
      </c>
      <c r="K60" s="49" t="str">
        <f ca="1">CONCATENATE(WORLDCUP!AA32,"-",WORLDCUP!AF32)</f>
        <v>Turquía-Estados Unidos</v>
      </c>
      <c r="L60" s="46"/>
      <c r="M60" s="48" t="str">
        <f>IF(OR(WORLDCUP!AC32="",WORLDCUP!AD32=""),"-",N60&amp;"|"&amp;O60&amp;"-"&amp;P60)</f>
        <v>-</v>
      </c>
      <c r="N60" s="711" t="str">
        <f>IF(OR(WORLDCUP!AC32="",WORLDCUP!AD32=""),"",IF(WORLDCUP!AC32&gt;WORLDCUP!AD32,"1",IF(WORLDCUP!AC32&lt;WORLDCUP!AD32,"2","X")))</f>
        <v/>
      </c>
      <c r="O60" s="711">
        <f>WORLDCUP!AC32</f>
        <v>0</v>
      </c>
      <c r="P60" s="711">
        <f>WORLDCUP!AD32</f>
        <v>0</v>
      </c>
      <c r="Q60" s="711">
        <f t="shared" si="33"/>
        <v>0</v>
      </c>
      <c r="R60" s="43"/>
      <c r="S60" s="69" t="s">
        <v>1954</v>
      </c>
      <c r="T60" s="70">
        <f t="shared" si="74"/>
        <v>0</v>
      </c>
      <c r="U60" s="58"/>
      <c r="V60" s="69" t="s">
        <v>1955</v>
      </c>
      <c r="W60" s="70">
        <f t="shared" si="35"/>
        <v>0</v>
      </c>
      <c r="X60" s="58"/>
      <c r="Y60" s="69" t="s">
        <v>1963</v>
      </c>
      <c r="Z60" s="70">
        <f t="shared" si="36"/>
        <v>0</v>
      </c>
      <c r="AA60" s="58"/>
      <c r="AB60" s="67" t="s">
        <v>1955</v>
      </c>
      <c r="AC60" s="70">
        <f t="shared" si="37"/>
        <v>0</v>
      </c>
      <c r="AD60" s="58"/>
      <c r="AE60" s="69" t="s">
        <v>1947</v>
      </c>
      <c r="AF60" s="70">
        <f t="shared" si="38"/>
        <v>0</v>
      </c>
      <c r="AG60" s="58"/>
      <c r="AH60" s="69" t="s">
        <v>1948</v>
      </c>
      <c r="AI60" s="70">
        <f t="shared" si="39"/>
        <v>0</v>
      </c>
      <c r="AJ60" s="58"/>
      <c r="AK60" s="69" t="s">
        <v>1948</v>
      </c>
      <c r="AL60" s="70">
        <f t="shared" si="40"/>
        <v>0</v>
      </c>
      <c r="AM60" s="58"/>
      <c r="AN60" s="69" t="s">
        <v>1948</v>
      </c>
      <c r="AO60" s="70">
        <f t="shared" si="41"/>
        <v>0</v>
      </c>
      <c r="AP60" s="58"/>
      <c r="AQ60" s="69" t="s">
        <v>1948</v>
      </c>
      <c r="AR60" s="70">
        <f t="shared" si="42"/>
        <v>0</v>
      </c>
      <c r="AS60" s="58"/>
      <c r="AT60" s="69" t="s">
        <v>1959</v>
      </c>
      <c r="AU60" s="70">
        <f t="shared" si="43"/>
        <v>0</v>
      </c>
      <c r="AV60" s="58"/>
      <c r="AW60" s="69" t="s">
        <v>1948</v>
      </c>
      <c r="AX60" s="70">
        <f t="shared" si="44"/>
        <v>0</v>
      </c>
      <c r="AY60" s="58"/>
      <c r="AZ60" s="69" t="s">
        <v>1947</v>
      </c>
      <c r="BA60" s="70">
        <f t="shared" si="45"/>
        <v>0</v>
      </c>
      <c r="BB60" s="58"/>
      <c r="BC60" s="69" t="s">
        <v>1948</v>
      </c>
      <c r="BD60" s="70">
        <f t="shared" si="46"/>
        <v>0</v>
      </c>
      <c r="BE60" s="58"/>
      <c r="BF60" s="69" t="s">
        <v>1956</v>
      </c>
      <c r="BG60" s="70">
        <f t="shared" si="47"/>
        <v>0</v>
      </c>
      <c r="BH60" s="58"/>
      <c r="BI60" s="69" t="s">
        <v>1948</v>
      </c>
      <c r="BJ60" s="70">
        <f t="shared" si="48"/>
        <v>0</v>
      </c>
      <c r="BK60" s="58"/>
      <c r="BL60" s="69" t="s">
        <v>1960</v>
      </c>
      <c r="BM60" s="70">
        <f t="shared" si="49"/>
        <v>0</v>
      </c>
      <c r="BN60" s="58"/>
      <c r="BO60" s="69" t="s">
        <v>1964</v>
      </c>
      <c r="BP60" s="70">
        <f t="shared" si="50"/>
        <v>0</v>
      </c>
      <c r="BQ60" s="58"/>
      <c r="BR60" s="69" t="s">
        <v>1955</v>
      </c>
      <c r="BS60" s="70">
        <f t="shared" si="51"/>
        <v>0</v>
      </c>
      <c r="BT60" s="58"/>
      <c r="BU60" s="69"/>
      <c r="BV60" s="70">
        <f t="shared" si="52"/>
        <v>0</v>
      </c>
      <c r="BW60" s="58"/>
      <c r="BX60" s="69"/>
      <c r="BY60" s="70">
        <f t="shared" si="53"/>
        <v>0</v>
      </c>
      <c r="BZ60" s="58"/>
      <c r="CA60" s="69"/>
      <c r="CB60" s="70">
        <f t="shared" si="54"/>
        <v>0</v>
      </c>
      <c r="CC60" s="58"/>
      <c r="CD60" s="69"/>
      <c r="CE60" s="70">
        <f t="shared" si="55"/>
        <v>0</v>
      </c>
      <c r="CF60" s="58"/>
      <c r="CG60" s="69"/>
      <c r="CH60" s="70">
        <f t="shared" si="56"/>
        <v>0</v>
      </c>
      <c r="CI60" s="58"/>
      <c r="CJ60" s="69"/>
      <c r="CK60" s="70">
        <f t="shared" si="57"/>
        <v>0</v>
      </c>
      <c r="CL60" s="58"/>
      <c r="CM60" s="69"/>
      <c r="CN60" s="70">
        <f t="shared" si="58"/>
        <v>0</v>
      </c>
      <c r="CO60" s="58"/>
      <c r="CP60" s="69"/>
      <c r="CQ60" s="70">
        <f t="shared" si="59"/>
        <v>0</v>
      </c>
      <c r="CR60" s="58"/>
      <c r="CS60" s="69"/>
      <c r="CT60" s="70">
        <f t="shared" si="60"/>
        <v>0</v>
      </c>
      <c r="CU60" s="58"/>
      <c r="CV60" s="69"/>
      <c r="CW60" s="70">
        <f t="shared" si="61"/>
        <v>0</v>
      </c>
      <c r="CX60" s="58"/>
      <c r="CY60" s="69"/>
      <c r="CZ60" s="70">
        <f t="shared" si="62"/>
        <v>0</v>
      </c>
      <c r="DA60" s="58"/>
      <c r="DB60" s="69"/>
      <c r="DC60" s="70">
        <f t="shared" si="63"/>
        <v>0</v>
      </c>
      <c r="DD60" s="58"/>
      <c r="DE60" s="69"/>
      <c r="DF60" s="70">
        <f t="shared" si="64"/>
        <v>0</v>
      </c>
      <c r="DG60" s="58"/>
      <c r="DH60" s="69"/>
      <c r="DI60" s="70">
        <f t="shared" si="65"/>
        <v>0</v>
      </c>
      <c r="DJ60" s="58"/>
      <c r="DK60" s="69"/>
      <c r="DL60" s="70">
        <f t="shared" si="66"/>
        <v>0</v>
      </c>
      <c r="DM60" s="58"/>
      <c r="DN60" s="69"/>
      <c r="DO60" s="70">
        <f t="shared" si="67"/>
        <v>0</v>
      </c>
      <c r="DP60" s="58"/>
      <c r="DQ60" s="69"/>
      <c r="DR60" s="70">
        <f t="shared" si="68"/>
        <v>0</v>
      </c>
      <c r="DS60" s="58"/>
      <c r="DT60" s="69"/>
      <c r="DU60" s="70">
        <f t="shared" si="69"/>
        <v>0</v>
      </c>
      <c r="DV60" s="58"/>
      <c r="DW60" s="69"/>
      <c r="DX60" s="70">
        <f t="shared" si="70"/>
        <v>0</v>
      </c>
      <c r="DY60" s="58"/>
      <c r="DZ60" s="69"/>
      <c r="EA60" s="70">
        <f t="shared" si="71"/>
        <v>0</v>
      </c>
      <c r="EB60" s="58"/>
      <c r="EC60" s="69"/>
      <c r="ED60" s="70">
        <f t="shared" si="72"/>
        <v>0</v>
      </c>
      <c r="EE60" s="58"/>
      <c r="EF60" s="69"/>
      <c r="EG60" s="70">
        <f t="shared" si="73"/>
        <v>0</v>
      </c>
      <c r="EH60" s="58"/>
      <c r="EI60" s="58"/>
    </row>
    <row r="61" spans="1:139">
      <c r="A61" s="43"/>
      <c r="B61" s="43"/>
      <c r="C61" s="111" t="str">
        <f>"MAX. "&amp;UPPER(Idiomas!D264)</f>
        <v>MAX. 3-4 &amp; FINAL</v>
      </c>
      <c r="D61" s="114">
        <f>SUM($D$33:$D$35)*$I$244+SUM($D$36:$D$38)*$I$247</f>
        <v>34</v>
      </c>
      <c r="E61" s="103"/>
      <c r="F61" s="426">
        <f t="shared" si="32"/>
        <v>17</v>
      </c>
      <c r="G61" s="426">
        <f ca="1">VLOOKUP(H61,Equipos!$Q$1:$R$25,2,0)</f>
        <v>16</v>
      </c>
      <c r="H61" s="427">
        <f ca="1">TRUNC(INDEX(WORLDCUP!$X$4:$X$147,MATCH(ADMIN!K61,WORLDCUP!$DT$4:$DT$147,0))+INDEX(Horarios!$R$3:$R$86,MATCH(Horarios!$C$3,Horarios!$P$3:$P$86,0))/24)</f>
        <v>46199</v>
      </c>
      <c r="I61" s="42">
        <v>1</v>
      </c>
      <c r="J61" s="88" t="s">
        <v>127</v>
      </c>
      <c r="K61" s="46" t="str">
        <f ca="1">CONCATENATE(WORLDCUP!AA33,"-",WORLDCUP!AF33)</f>
        <v>Paraguay-Australia</v>
      </c>
      <c r="L61" s="46"/>
      <c r="M61" s="48" t="str">
        <f>IF(OR(WORLDCUP!AC33="",WORLDCUP!AD33=""),"-",N61&amp;"|"&amp;O61&amp;"-"&amp;P61)</f>
        <v>-</v>
      </c>
      <c r="N61" s="711" t="str">
        <f>IF(OR(WORLDCUP!AC33="",WORLDCUP!AD33=""),"",IF(WORLDCUP!AC33&gt;WORLDCUP!AD33,"1",IF(WORLDCUP!AC33&lt;WORLDCUP!AD33,"2","X")))</f>
        <v/>
      </c>
      <c r="O61" s="711">
        <f>WORLDCUP!AC33</f>
        <v>0</v>
      </c>
      <c r="P61" s="711">
        <f>WORLDCUP!AD33</f>
        <v>0</v>
      </c>
      <c r="Q61" s="711">
        <f t="shared" si="33"/>
        <v>0</v>
      </c>
      <c r="R61" s="43"/>
      <c r="S61" s="67" t="s">
        <v>1956</v>
      </c>
      <c r="T61" s="66">
        <f t="shared" si="74"/>
        <v>0</v>
      </c>
      <c r="U61" s="58"/>
      <c r="V61" s="67" t="s">
        <v>1948</v>
      </c>
      <c r="W61" s="66">
        <f t="shared" si="35"/>
        <v>0</v>
      </c>
      <c r="X61" s="58"/>
      <c r="Y61" s="67" t="s">
        <v>1956</v>
      </c>
      <c r="Z61" s="66">
        <f t="shared" si="36"/>
        <v>0</v>
      </c>
      <c r="AA61" s="58"/>
      <c r="AB61" s="67" t="s">
        <v>1948</v>
      </c>
      <c r="AC61" s="66">
        <f t="shared" si="37"/>
        <v>0</v>
      </c>
      <c r="AD61" s="58"/>
      <c r="AE61" s="67" t="s">
        <v>1953</v>
      </c>
      <c r="AF61" s="66">
        <f t="shared" si="38"/>
        <v>0</v>
      </c>
      <c r="AG61" s="58"/>
      <c r="AH61" s="67" t="s">
        <v>1948</v>
      </c>
      <c r="AI61" s="66">
        <f t="shared" si="39"/>
        <v>0</v>
      </c>
      <c r="AJ61" s="58"/>
      <c r="AK61" s="67" t="s">
        <v>1947</v>
      </c>
      <c r="AL61" s="66">
        <f t="shared" si="40"/>
        <v>0</v>
      </c>
      <c r="AM61" s="58"/>
      <c r="AN61" s="67" t="s">
        <v>1956</v>
      </c>
      <c r="AO61" s="66">
        <f t="shared" si="41"/>
        <v>0</v>
      </c>
      <c r="AP61" s="58"/>
      <c r="AQ61" s="67" t="s">
        <v>1953</v>
      </c>
      <c r="AR61" s="66">
        <f t="shared" si="42"/>
        <v>0</v>
      </c>
      <c r="AS61" s="58"/>
      <c r="AT61" s="67" t="s">
        <v>1956</v>
      </c>
      <c r="AU61" s="66">
        <f t="shared" si="43"/>
        <v>0</v>
      </c>
      <c r="AV61" s="58"/>
      <c r="AW61" s="67" t="s">
        <v>1956</v>
      </c>
      <c r="AX61" s="66">
        <f t="shared" si="44"/>
        <v>0</v>
      </c>
      <c r="AY61" s="58"/>
      <c r="AZ61" s="67" t="s">
        <v>1956</v>
      </c>
      <c r="BA61" s="66">
        <f t="shared" si="45"/>
        <v>0</v>
      </c>
      <c r="BB61" s="58"/>
      <c r="BC61" s="67" t="s">
        <v>1960</v>
      </c>
      <c r="BD61" s="66">
        <f t="shared" si="46"/>
        <v>0</v>
      </c>
      <c r="BE61" s="58"/>
      <c r="BF61" s="67" t="s">
        <v>1956</v>
      </c>
      <c r="BG61" s="66">
        <f t="shared" si="47"/>
        <v>0</v>
      </c>
      <c r="BH61" s="58"/>
      <c r="BI61" s="67" t="s">
        <v>1956</v>
      </c>
      <c r="BJ61" s="66">
        <f t="shared" si="48"/>
        <v>0</v>
      </c>
      <c r="BK61" s="58"/>
      <c r="BL61" s="67" t="s">
        <v>1954</v>
      </c>
      <c r="BM61" s="66">
        <f t="shared" si="49"/>
        <v>0</v>
      </c>
      <c r="BN61" s="58"/>
      <c r="BO61" s="67" t="s">
        <v>1948</v>
      </c>
      <c r="BP61" s="66">
        <f t="shared" si="50"/>
        <v>0</v>
      </c>
      <c r="BQ61" s="58"/>
      <c r="BR61" s="67" t="s">
        <v>1956</v>
      </c>
      <c r="BS61" s="66">
        <f t="shared" si="51"/>
        <v>0</v>
      </c>
      <c r="BT61" s="58"/>
      <c r="BU61" s="67"/>
      <c r="BV61" s="66">
        <f t="shared" si="52"/>
        <v>0</v>
      </c>
      <c r="BW61" s="58"/>
      <c r="BX61" s="67"/>
      <c r="BY61" s="66">
        <f t="shared" si="53"/>
        <v>0</v>
      </c>
      <c r="BZ61" s="58"/>
      <c r="CA61" s="67"/>
      <c r="CB61" s="66">
        <f t="shared" si="54"/>
        <v>0</v>
      </c>
      <c r="CC61" s="58"/>
      <c r="CD61" s="67"/>
      <c r="CE61" s="66">
        <f t="shared" si="55"/>
        <v>0</v>
      </c>
      <c r="CF61" s="58"/>
      <c r="CG61" s="67"/>
      <c r="CH61" s="66">
        <f t="shared" si="56"/>
        <v>0</v>
      </c>
      <c r="CI61" s="58"/>
      <c r="CJ61" s="67"/>
      <c r="CK61" s="66">
        <f t="shared" si="57"/>
        <v>0</v>
      </c>
      <c r="CL61" s="58"/>
      <c r="CM61" s="67"/>
      <c r="CN61" s="66">
        <f t="shared" si="58"/>
        <v>0</v>
      </c>
      <c r="CO61" s="58"/>
      <c r="CP61" s="67"/>
      <c r="CQ61" s="66">
        <f t="shared" si="59"/>
        <v>0</v>
      </c>
      <c r="CR61" s="58"/>
      <c r="CS61" s="67"/>
      <c r="CT61" s="66">
        <f t="shared" si="60"/>
        <v>0</v>
      </c>
      <c r="CU61" s="58"/>
      <c r="CV61" s="67"/>
      <c r="CW61" s="66">
        <f t="shared" si="61"/>
        <v>0</v>
      </c>
      <c r="CX61" s="58"/>
      <c r="CY61" s="67"/>
      <c r="CZ61" s="66">
        <f t="shared" si="62"/>
        <v>0</v>
      </c>
      <c r="DA61" s="58"/>
      <c r="DB61" s="67"/>
      <c r="DC61" s="66">
        <f t="shared" si="63"/>
        <v>0</v>
      </c>
      <c r="DD61" s="58"/>
      <c r="DE61" s="67"/>
      <c r="DF61" s="66">
        <f t="shared" si="64"/>
        <v>0</v>
      </c>
      <c r="DG61" s="58"/>
      <c r="DH61" s="67"/>
      <c r="DI61" s="66">
        <f t="shared" si="65"/>
        <v>0</v>
      </c>
      <c r="DJ61" s="58"/>
      <c r="DK61" s="67"/>
      <c r="DL61" s="66">
        <f t="shared" si="66"/>
        <v>0</v>
      </c>
      <c r="DM61" s="58"/>
      <c r="DN61" s="67"/>
      <c r="DO61" s="66">
        <f t="shared" si="67"/>
        <v>0</v>
      </c>
      <c r="DP61" s="58"/>
      <c r="DQ61" s="67"/>
      <c r="DR61" s="66">
        <f t="shared" si="68"/>
        <v>0</v>
      </c>
      <c r="DS61" s="58"/>
      <c r="DT61" s="67"/>
      <c r="DU61" s="66">
        <f t="shared" si="69"/>
        <v>0</v>
      </c>
      <c r="DV61" s="58"/>
      <c r="DW61" s="67"/>
      <c r="DX61" s="66">
        <f t="shared" si="70"/>
        <v>0</v>
      </c>
      <c r="DY61" s="58"/>
      <c r="DZ61" s="67"/>
      <c r="EA61" s="66">
        <f t="shared" si="71"/>
        <v>0</v>
      </c>
      <c r="EB61" s="58"/>
      <c r="EC61" s="67"/>
      <c r="ED61" s="66">
        <f t="shared" si="72"/>
        <v>0</v>
      </c>
      <c r="EE61" s="58"/>
      <c r="EF61" s="67"/>
      <c r="EG61" s="66">
        <f t="shared" si="73"/>
        <v>0</v>
      </c>
      <c r="EH61" s="58"/>
      <c r="EI61" s="58"/>
    </row>
    <row r="62" spans="1:139">
      <c r="A62" s="43"/>
      <c r="B62" s="43"/>
      <c r="C62" s="41" t="str">
        <f>"MAX. "&amp;$K$249</f>
        <v>MAX. CUADRO DE HONOR</v>
      </c>
      <c r="D62" s="117">
        <f>SUM($D$39:$D$47)</f>
        <v>180</v>
      </c>
      <c r="E62" s="103"/>
      <c r="F62" s="426">
        <f t="shared" si="32"/>
        <v>17</v>
      </c>
      <c r="G62" s="426">
        <f ca="1">VLOOKUP(H62,Equipos!$Q$1:$R$25,2,0)</f>
        <v>16</v>
      </c>
      <c r="H62" s="427">
        <f ca="1">TRUNC(INDEX(WORLDCUP!$X$4:$X$147,MATCH(ADMIN!K62,WORLDCUP!$DT$4:$DT$147,0))+INDEX(Horarios!$R$3:$R$86,MATCH(Horarios!$C$3,Horarios!$P$3:$P$86,0))/24)</f>
        <v>46199</v>
      </c>
      <c r="I62" s="42">
        <v>1</v>
      </c>
      <c r="J62" s="87" t="s">
        <v>128</v>
      </c>
      <c r="K62" s="49" t="str">
        <f ca="1">CONCATENATE(WORLDCUP!AA40,"-",WORLDCUP!AF40)</f>
        <v>Curazao-Costa de Marfil</v>
      </c>
      <c r="L62" s="46"/>
      <c r="M62" s="48" t="str">
        <f>IF(OR(WORLDCUP!AC40="",WORLDCUP!AD40=""),"-",N62&amp;"|"&amp;O62&amp;"-"&amp;P62)</f>
        <v>-</v>
      </c>
      <c r="N62" s="711" t="str">
        <f>IF(OR(WORLDCUP!AC40="",WORLDCUP!AD40=""),"",IF(WORLDCUP!AC40&gt;WORLDCUP!AD40,"1",IF(WORLDCUP!AC40&lt;WORLDCUP!AD40,"2","X")))</f>
        <v/>
      </c>
      <c r="O62" s="711">
        <f>WORLDCUP!AC40</f>
        <v>0</v>
      </c>
      <c r="P62" s="711">
        <f>WORLDCUP!AD40</f>
        <v>0</v>
      </c>
      <c r="Q62" s="711">
        <f t="shared" si="33"/>
        <v>0</v>
      </c>
      <c r="R62" s="43"/>
      <c r="S62" s="67" t="s">
        <v>1951</v>
      </c>
      <c r="T62" s="66">
        <f t="shared" si="74"/>
        <v>0</v>
      </c>
      <c r="U62" s="58"/>
      <c r="V62" s="67" t="s">
        <v>1960</v>
      </c>
      <c r="W62" s="66">
        <f t="shared" si="35"/>
        <v>0</v>
      </c>
      <c r="X62" s="58"/>
      <c r="Y62" s="67" t="s">
        <v>1960</v>
      </c>
      <c r="Z62" s="66">
        <f t="shared" si="36"/>
        <v>0</v>
      </c>
      <c r="AA62" s="58"/>
      <c r="AB62" s="67" t="s">
        <v>1950</v>
      </c>
      <c r="AC62" s="66">
        <f t="shared" si="37"/>
        <v>0</v>
      </c>
      <c r="AD62" s="58"/>
      <c r="AE62" s="67" t="s">
        <v>1960</v>
      </c>
      <c r="AF62" s="66">
        <f t="shared" si="38"/>
        <v>0</v>
      </c>
      <c r="AG62" s="58"/>
      <c r="AH62" s="67" t="s">
        <v>1960</v>
      </c>
      <c r="AI62" s="66">
        <f t="shared" si="39"/>
        <v>0</v>
      </c>
      <c r="AJ62" s="58"/>
      <c r="AK62" s="67" t="s">
        <v>1949</v>
      </c>
      <c r="AL62" s="66">
        <f t="shared" si="40"/>
        <v>0</v>
      </c>
      <c r="AM62" s="58"/>
      <c r="AN62" s="67" t="s">
        <v>1951</v>
      </c>
      <c r="AO62" s="66">
        <f t="shared" si="41"/>
        <v>0</v>
      </c>
      <c r="AP62" s="58"/>
      <c r="AQ62" s="67" t="s">
        <v>1960</v>
      </c>
      <c r="AR62" s="66">
        <f t="shared" si="42"/>
        <v>0</v>
      </c>
      <c r="AS62" s="58"/>
      <c r="AT62" s="67" t="s">
        <v>1951</v>
      </c>
      <c r="AU62" s="66">
        <f t="shared" si="43"/>
        <v>0</v>
      </c>
      <c r="AV62" s="58"/>
      <c r="AW62" s="67" t="s">
        <v>1955</v>
      </c>
      <c r="AX62" s="66">
        <f t="shared" si="44"/>
        <v>0</v>
      </c>
      <c r="AY62" s="58"/>
      <c r="AZ62" s="67" t="s">
        <v>1955</v>
      </c>
      <c r="BA62" s="66">
        <f t="shared" si="45"/>
        <v>0</v>
      </c>
      <c r="BB62" s="58"/>
      <c r="BC62" s="67" t="s">
        <v>1999</v>
      </c>
      <c r="BD62" s="66">
        <f t="shared" si="46"/>
        <v>0</v>
      </c>
      <c r="BE62" s="58"/>
      <c r="BF62" s="67" t="s">
        <v>1962</v>
      </c>
      <c r="BG62" s="66">
        <f t="shared" si="47"/>
        <v>0</v>
      </c>
      <c r="BH62" s="58"/>
      <c r="BI62" s="67" t="s">
        <v>1950</v>
      </c>
      <c r="BJ62" s="66">
        <f t="shared" si="48"/>
        <v>0</v>
      </c>
      <c r="BK62" s="58"/>
      <c r="BL62" s="67" t="s">
        <v>1948</v>
      </c>
      <c r="BM62" s="66">
        <f t="shared" si="49"/>
        <v>0</v>
      </c>
      <c r="BN62" s="58"/>
      <c r="BO62" s="67" t="s">
        <v>1951</v>
      </c>
      <c r="BP62" s="66">
        <f t="shared" si="50"/>
        <v>0</v>
      </c>
      <c r="BQ62" s="58"/>
      <c r="BR62" s="67" t="s">
        <v>1960</v>
      </c>
      <c r="BS62" s="66">
        <f t="shared" si="51"/>
        <v>0</v>
      </c>
      <c r="BT62" s="58"/>
      <c r="BU62" s="67"/>
      <c r="BV62" s="66">
        <f t="shared" si="52"/>
        <v>0</v>
      </c>
      <c r="BW62" s="58"/>
      <c r="BX62" s="67"/>
      <c r="BY62" s="66">
        <f t="shared" si="53"/>
        <v>0</v>
      </c>
      <c r="BZ62" s="58"/>
      <c r="CA62" s="67"/>
      <c r="CB62" s="66">
        <f t="shared" si="54"/>
        <v>0</v>
      </c>
      <c r="CC62" s="58"/>
      <c r="CD62" s="67"/>
      <c r="CE62" s="66">
        <f t="shared" si="55"/>
        <v>0</v>
      </c>
      <c r="CF62" s="58"/>
      <c r="CG62" s="67"/>
      <c r="CH62" s="66">
        <f t="shared" si="56"/>
        <v>0</v>
      </c>
      <c r="CI62" s="58"/>
      <c r="CJ62" s="67"/>
      <c r="CK62" s="66">
        <f t="shared" si="57"/>
        <v>0</v>
      </c>
      <c r="CL62" s="58"/>
      <c r="CM62" s="67"/>
      <c r="CN62" s="66">
        <f t="shared" si="58"/>
        <v>0</v>
      </c>
      <c r="CO62" s="58"/>
      <c r="CP62" s="67"/>
      <c r="CQ62" s="66">
        <f t="shared" si="59"/>
        <v>0</v>
      </c>
      <c r="CR62" s="58"/>
      <c r="CS62" s="67"/>
      <c r="CT62" s="66">
        <f t="shared" si="60"/>
        <v>0</v>
      </c>
      <c r="CU62" s="58"/>
      <c r="CV62" s="67"/>
      <c r="CW62" s="66">
        <f t="shared" si="61"/>
        <v>0</v>
      </c>
      <c r="CX62" s="58"/>
      <c r="CY62" s="67"/>
      <c r="CZ62" s="66">
        <f t="shared" si="62"/>
        <v>0</v>
      </c>
      <c r="DA62" s="58"/>
      <c r="DB62" s="67"/>
      <c r="DC62" s="66">
        <f t="shared" si="63"/>
        <v>0</v>
      </c>
      <c r="DD62" s="58"/>
      <c r="DE62" s="67"/>
      <c r="DF62" s="66">
        <f t="shared" si="64"/>
        <v>0</v>
      </c>
      <c r="DG62" s="58"/>
      <c r="DH62" s="67"/>
      <c r="DI62" s="66">
        <f t="shared" si="65"/>
        <v>0</v>
      </c>
      <c r="DJ62" s="58"/>
      <c r="DK62" s="67"/>
      <c r="DL62" s="66">
        <f t="shared" si="66"/>
        <v>0</v>
      </c>
      <c r="DM62" s="58"/>
      <c r="DN62" s="67"/>
      <c r="DO62" s="66">
        <f t="shared" si="67"/>
        <v>0</v>
      </c>
      <c r="DP62" s="58"/>
      <c r="DQ62" s="67"/>
      <c r="DR62" s="66">
        <f t="shared" si="68"/>
        <v>0</v>
      </c>
      <c r="DS62" s="58"/>
      <c r="DT62" s="67"/>
      <c r="DU62" s="66">
        <f t="shared" si="69"/>
        <v>0</v>
      </c>
      <c r="DV62" s="58"/>
      <c r="DW62" s="67"/>
      <c r="DX62" s="66">
        <f t="shared" si="70"/>
        <v>0</v>
      </c>
      <c r="DY62" s="58"/>
      <c r="DZ62" s="67"/>
      <c r="EA62" s="66">
        <f t="shared" si="71"/>
        <v>0</v>
      </c>
      <c r="EB62" s="58"/>
      <c r="EC62" s="67"/>
      <c r="ED62" s="66">
        <f t="shared" si="72"/>
        <v>0</v>
      </c>
      <c r="EE62" s="58"/>
      <c r="EF62" s="67"/>
      <c r="EG62" s="66">
        <f t="shared" si="73"/>
        <v>0</v>
      </c>
      <c r="EH62" s="58"/>
      <c r="EI62" s="58"/>
    </row>
    <row r="63" spans="1:139">
      <c r="A63" s="43"/>
      <c r="B63" s="43"/>
      <c r="C63" s="43"/>
      <c r="D63" s="43"/>
      <c r="E63" s="103"/>
      <c r="F63" s="426">
        <f t="shared" si="32"/>
        <v>17</v>
      </c>
      <c r="G63" s="426">
        <f ca="1">VLOOKUP(H63,Equipos!$Q$1:$R$25,2,0)</f>
        <v>16</v>
      </c>
      <c r="H63" s="427">
        <f ca="1">TRUNC(INDEX(WORLDCUP!$X$4:$X$147,MATCH(ADMIN!K63,WORLDCUP!$DT$4:$DT$147,0))+INDEX(Horarios!$R$3:$R$86,MATCH(Horarios!$C$3,Horarios!$P$3:$P$86,0))/24)</f>
        <v>46199</v>
      </c>
      <c r="I63" s="42">
        <v>1</v>
      </c>
      <c r="J63" s="87" t="s">
        <v>128</v>
      </c>
      <c r="K63" s="46" t="str">
        <f ca="1">CONCATENATE(WORLDCUP!AA41,"-",WORLDCUP!AF41)</f>
        <v>Ecuador-Alemania</v>
      </c>
      <c r="L63" s="46"/>
      <c r="M63" s="48" t="str">
        <f>IF(OR(WORLDCUP!AC41="",WORLDCUP!AD41=""),"-",N63&amp;"|"&amp;O63&amp;"-"&amp;P63)</f>
        <v>-</v>
      </c>
      <c r="N63" s="711" t="str">
        <f>IF(OR(WORLDCUP!AC41="",WORLDCUP!AD41=""),"",IF(WORLDCUP!AC41&gt;WORLDCUP!AD41,"1",IF(WORLDCUP!AC41&lt;WORLDCUP!AD41,"2","X")))</f>
        <v/>
      </c>
      <c r="O63" s="711">
        <f>WORLDCUP!AC41</f>
        <v>0</v>
      </c>
      <c r="P63" s="711">
        <f>WORLDCUP!AD41</f>
        <v>0</v>
      </c>
      <c r="Q63" s="711">
        <f t="shared" si="33"/>
        <v>0</v>
      </c>
      <c r="R63" s="43"/>
      <c r="S63" s="67" t="s">
        <v>1955</v>
      </c>
      <c r="T63" s="66">
        <f t="shared" si="74"/>
        <v>0</v>
      </c>
      <c r="U63" s="58"/>
      <c r="V63" s="67" t="s">
        <v>1955</v>
      </c>
      <c r="W63" s="66">
        <f t="shared" si="35"/>
        <v>0</v>
      </c>
      <c r="X63" s="58"/>
      <c r="Y63" s="67" t="s">
        <v>1951</v>
      </c>
      <c r="Z63" s="66">
        <f t="shared" si="36"/>
        <v>0</v>
      </c>
      <c r="AA63" s="58"/>
      <c r="AB63" s="67" t="s">
        <v>1948</v>
      </c>
      <c r="AC63" s="66">
        <f t="shared" si="37"/>
        <v>0</v>
      </c>
      <c r="AD63" s="58"/>
      <c r="AE63" s="67" t="s">
        <v>1955</v>
      </c>
      <c r="AF63" s="66">
        <f t="shared" si="38"/>
        <v>0</v>
      </c>
      <c r="AG63" s="58"/>
      <c r="AH63" s="67" t="s">
        <v>1960</v>
      </c>
      <c r="AI63" s="66">
        <f t="shared" si="39"/>
        <v>0</v>
      </c>
      <c r="AJ63" s="58"/>
      <c r="AK63" s="67" t="s">
        <v>1955</v>
      </c>
      <c r="AL63" s="66">
        <f t="shared" si="40"/>
        <v>0</v>
      </c>
      <c r="AM63" s="58"/>
      <c r="AN63" s="67" t="s">
        <v>1955</v>
      </c>
      <c r="AO63" s="66">
        <f t="shared" si="41"/>
        <v>0</v>
      </c>
      <c r="AP63" s="58"/>
      <c r="AQ63" s="67" t="s">
        <v>1963</v>
      </c>
      <c r="AR63" s="66">
        <f t="shared" si="42"/>
        <v>0</v>
      </c>
      <c r="AS63" s="58"/>
      <c r="AT63" s="67" t="s">
        <v>1948</v>
      </c>
      <c r="AU63" s="66">
        <f t="shared" si="43"/>
        <v>0</v>
      </c>
      <c r="AV63" s="58"/>
      <c r="AW63" s="67" t="s">
        <v>1955</v>
      </c>
      <c r="AX63" s="66">
        <f t="shared" si="44"/>
        <v>0</v>
      </c>
      <c r="AY63" s="58"/>
      <c r="AZ63" s="67" t="s">
        <v>1951</v>
      </c>
      <c r="BA63" s="66">
        <f t="shared" si="45"/>
        <v>0</v>
      </c>
      <c r="BB63" s="58"/>
      <c r="BC63" s="67" t="s">
        <v>1949</v>
      </c>
      <c r="BD63" s="66">
        <f t="shared" si="46"/>
        <v>0</v>
      </c>
      <c r="BE63" s="58"/>
      <c r="BF63" s="67" t="s">
        <v>1949</v>
      </c>
      <c r="BG63" s="66">
        <f t="shared" si="47"/>
        <v>0</v>
      </c>
      <c r="BH63" s="58"/>
      <c r="BI63" s="67" t="s">
        <v>1955</v>
      </c>
      <c r="BJ63" s="66">
        <f t="shared" si="48"/>
        <v>0</v>
      </c>
      <c r="BK63" s="58"/>
      <c r="BL63" s="67" t="s">
        <v>1964</v>
      </c>
      <c r="BM63" s="66">
        <f t="shared" si="49"/>
        <v>0</v>
      </c>
      <c r="BN63" s="58"/>
      <c r="BO63" s="67" t="s">
        <v>1948</v>
      </c>
      <c r="BP63" s="66">
        <f t="shared" si="50"/>
        <v>0</v>
      </c>
      <c r="BQ63" s="58"/>
      <c r="BR63" s="67" t="s">
        <v>1960</v>
      </c>
      <c r="BS63" s="66">
        <f t="shared" si="51"/>
        <v>0</v>
      </c>
      <c r="BT63" s="58"/>
      <c r="BU63" s="67"/>
      <c r="BV63" s="66">
        <f t="shared" si="52"/>
        <v>0</v>
      </c>
      <c r="BW63" s="58"/>
      <c r="BX63" s="67"/>
      <c r="BY63" s="66">
        <f t="shared" si="53"/>
        <v>0</v>
      </c>
      <c r="BZ63" s="58"/>
      <c r="CA63" s="67"/>
      <c r="CB63" s="66">
        <f t="shared" si="54"/>
        <v>0</v>
      </c>
      <c r="CC63" s="58"/>
      <c r="CD63" s="67"/>
      <c r="CE63" s="66">
        <f t="shared" si="55"/>
        <v>0</v>
      </c>
      <c r="CF63" s="58"/>
      <c r="CG63" s="67"/>
      <c r="CH63" s="66">
        <f t="shared" si="56"/>
        <v>0</v>
      </c>
      <c r="CI63" s="58"/>
      <c r="CJ63" s="67"/>
      <c r="CK63" s="66">
        <f t="shared" si="57"/>
        <v>0</v>
      </c>
      <c r="CL63" s="58"/>
      <c r="CM63" s="67"/>
      <c r="CN63" s="66">
        <f t="shared" si="58"/>
        <v>0</v>
      </c>
      <c r="CO63" s="58"/>
      <c r="CP63" s="67"/>
      <c r="CQ63" s="66">
        <f t="shared" si="59"/>
        <v>0</v>
      </c>
      <c r="CR63" s="58"/>
      <c r="CS63" s="67"/>
      <c r="CT63" s="66">
        <f t="shared" si="60"/>
        <v>0</v>
      </c>
      <c r="CU63" s="58"/>
      <c r="CV63" s="67"/>
      <c r="CW63" s="66">
        <f t="shared" si="61"/>
        <v>0</v>
      </c>
      <c r="CX63" s="58"/>
      <c r="CY63" s="67"/>
      <c r="CZ63" s="66">
        <f t="shared" si="62"/>
        <v>0</v>
      </c>
      <c r="DA63" s="58"/>
      <c r="DB63" s="67"/>
      <c r="DC63" s="66">
        <f t="shared" si="63"/>
        <v>0</v>
      </c>
      <c r="DD63" s="58"/>
      <c r="DE63" s="67"/>
      <c r="DF63" s="66">
        <f t="shared" si="64"/>
        <v>0</v>
      </c>
      <c r="DG63" s="58"/>
      <c r="DH63" s="67"/>
      <c r="DI63" s="66">
        <f t="shared" si="65"/>
        <v>0</v>
      </c>
      <c r="DJ63" s="58"/>
      <c r="DK63" s="67"/>
      <c r="DL63" s="66">
        <f t="shared" si="66"/>
        <v>0</v>
      </c>
      <c r="DM63" s="58"/>
      <c r="DN63" s="67"/>
      <c r="DO63" s="66">
        <f t="shared" si="67"/>
        <v>0</v>
      </c>
      <c r="DP63" s="58"/>
      <c r="DQ63" s="67"/>
      <c r="DR63" s="66">
        <f t="shared" si="68"/>
        <v>0</v>
      </c>
      <c r="DS63" s="58"/>
      <c r="DT63" s="67"/>
      <c r="DU63" s="66">
        <f t="shared" si="69"/>
        <v>0</v>
      </c>
      <c r="DV63" s="58"/>
      <c r="DW63" s="67"/>
      <c r="DX63" s="66">
        <f t="shared" si="70"/>
        <v>0</v>
      </c>
      <c r="DY63" s="58"/>
      <c r="DZ63" s="67"/>
      <c r="EA63" s="66">
        <f t="shared" si="71"/>
        <v>0</v>
      </c>
      <c r="EB63" s="58"/>
      <c r="EC63" s="67"/>
      <c r="ED63" s="66">
        <f t="shared" si="72"/>
        <v>0</v>
      </c>
      <c r="EE63" s="58"/>
      <c r="EF63" s="67"/>
      <c r="EG63" s="66">
        <f t="shared" si="73"/>
        <v>0</v>
      </c>
      <c r="EH63" s="58"/>
      <c r="EI63" s="58"/>
    </row>
    <row r="64" spans="1:139">
      <c r="A64" s="43"/>
      <c r="B64" s="43"/>
      <c r="C64" s="110" t="str">
        <f>"MAX. "&amp;K5</f>
        <v>MAX. FASE DE GRUPOS</v>
      </c>
      <c r="D64" s="113">
        <f>D56</f>
        <v>1560</v>
      </c>
      <c r="E64" s="103"/>
      <c r="F64" s="426">
        <f t="shared" si="32"/>
        <v>17</v>
      </c>
      <c r="G64" s="426">
        <f ca="1">VLOOKUP(H64,Equipos!$Q$1:$R$25,2,0)</f>
        <v>16</v>
      </c>
      <c r="H64" s="427">
        <f ca="1">TRUNC(INDEX(WORLDCUP!$X$4:$X$147,MATCH(ADMIN!K64,WORLDCUP!$DT$4:$DT$147,0))+INDEX(Horarios!$R$3:$R$86,MATCH(Horarios!$C$3,Horarios!$P$3:$P$86,0))/24)</f>
        <v>46199</v>
      </c>
      <c r="I64" s="42">
        <v>1</v>
      </c>
      <c r="J64" s="88" t="s">
        <v>129</v>
      </c>
      <c r="K64" s="49" t="str">
        <f ca="1">CONCATENATE(WORLDCUP!AA48,"-",WORLDCUP!AF48)</f>
        <v>Japón-Suecia</v>
      </c>
      <c r="L64" s="46"/>
      <c r="M64" s="48" t="str">
        <f>IF(OR(WORLDCUP!AC48="",WORLDCUP!AD48=""),"-",N64&amp;"|"&amp;O64&amp;"-"&amp;P64)</f>
        <v>-</v>
      </c>
      <c r="N64" s="711" t="str">
        <f>IF(OR(WORLDCUP!AC48="",WORLDCUP!AD48=""),"",IF(WORLDCUP!AC48&gt;WORLDCUP!AD48,"1",IF(WORLDCUP!AC48&lt;WORLDCUP!AD48,"2","X")))</f>
        <v/>
      </c>
      <c r="O64" s="711">
        <f>WORLDCUP!AC48</f>
        <v>0</v>
      </c>
      <c r="P64" s="711">
        <f>WORLDCUP!AD48</f>
        <v>0</v>
      </c>
      <c r="Q64" s="711">
        <f t="shared" si="33"/>
        <v>0</v>
      </c>
      <c r="R64" s="43"/>
      <c r="S64" s="67" t="s">
        <v>1963</v>
      </c>
      <c r="T64" s="66">
        <f t="shared" si="74"/>
        <v>0</v>
      </c>
      <c r="U64" s="58"/>
      <c r="V64" s="67" t="s">
        <v>1956</v>
      </c>
      <c r="W64" s="66">
        <f t="shared" si="35"/>
        <v>0</v>
      </c>
      <c r="X64" s="58"/>
      <c r="Y64" s="67" t="s">
        <v>1948</v>
      </c>
      <c r="Z64" s="66">
        <f t="shared" si="36"/>
        <v>0</v>
      </c>
      <c r="AA64" s="58"/>
      <c r="AB64" s="67" t="s">
        <v>1948</v>
      </c>
      <c r="AC64" s="66">
        <f t="shared" si="37"/>
        <v>0</v>
      </c>
      <c r="AD64" s="58"/>
      <c r="AE64" s="67" t="s">
        <v>1948</v>
      </c>
      <c r="AF64" s="66">
        <f t="shared" si="38"/>
        <v>0</v>
      </c>
      <c r="AG64" s="58"/>
      <c r="AH64" s="67" t="s">
        <v>1947</v>
      </c>
      <c r="AI64" s="66">
        <f t="shared" si="39"/>
        <v>0</v>
      </c>
      <c r="AJ64" s="58"/>
      <c r="AK64" s="67" t="s">
        <v>1948</v>
      </c>
      <c r="AL64" s="66">
        <f t="shared" si="40"/>
        <v>0</v>
      </c>
      <c r="AM64" s="58"/>
      <c r="AN64" s="67" t="s">
        <v>1948</v>
      </c>
      <c r="AO64" s="66">
        <f t="shared" si="41"/>
        <v>0</v>
      </c>
      <c r="AP64" s="58"/>
      <c r="AQ64" s="67" t="s">
        <v>1954</v>
      </c>
      <c r="AR64" s="66">
        <f t="shared" si="42"/>
        <v>0</v>
      </c>
      <c r="AS64" s="58"/>
      <c r="AT64" s="67" t="s">
        <v>1947</v>
      </c>
      <c r="AU64" s="66">
        <f t="shared" si="43"/>
        <v>0</v>
      </c>
      <c r="AV64" s="58"/>
      <c r="AW64" s="67" t="s">
        <v>1955</v>
      </c>
      <c r="AX64" s="66">
        <f t="shared" si="44"/>
        <v>0</v>
      </c>
      <c r="AY64" s="58"/>
      <c r="AZ64" s="67" t="s">
        <v>1955</v>
      </c>
      <c r="BA64" s="66">
        <f t="shared" si="45"/>
        <v>0</v>
      </c>
      <c r="BB64" s="58"/>
      <c r="BC64" s="67" t="s">
        <v>1960</v>
      </c>
      <c r="BD64" s="66">
        <f t="shared" si="46"/>
        <v>0</v>
      </c>
      <c r="BE64" s="58"/>
      <c r="BF64" s="67" t="s">
        <v>1955</v>
      </c>
      <c r="BG64" s="66">
        <f t="shared" si="47"/>
        <v>0</v>
      </c>
      <c r="BH64" s="58"/>
      <c r="BI64" s="67" t="s">
        <v>1950</v>
      </c>
      <c r="BJ64" s="66">
        <f t="shared" si="48"/>
        <v>0</v>
      </c>
      <c r="BK64" s="58"/>
      <c r="BL64" s="67" t="s">
        <v>1948</v>
      </c>
      <c r="BM64" s="66">
        <f t="shared" si="49"/>
        <v>0</v>
      </c>
      <c r="BN64" s="58"/>
      <c r="BO64" s="67" t="s">
        <v>1947</v>
      </c>
      <c r="BP64" s="66">
        <f t="shared" si="50"/>
        <v>0</v>
      </c>
      <c r="BQ64" s="58"/>
      <c r="BR64" s="67" t="s">
        <v>1956</v>
      </c>
      <c r="BS64" s="66">
        <f t="shared" si="51"/>
        <v>0</v>
      </c>
      <c r="BT64" s="58"/>
      <c r="BU64" s="67"/>
      <c r="BV64" s="66">
        <f t="shared" si="52"/>
        <v>0</v>
      </c>
      <c r="BW64" s="58"/>
      <c r="BX64" s="67"/>
      <c r="BY64" s="66">
        <f t="shared" si="53"/>
        <v>0</v>
      </c>
      <c r="BZ64" s="58"/>
      <c r="CA64" s="67"/>
      <c r="CB64" s="66">
        <f t="shared" si="54"/>
        <v>0</v>
      </c>
      <c r="CC64" s="58"/>
      <c r="CD64" s="67"/>
      <c r="CE64" s="66">
        <f t="shared" si="55"/>
        <v>0</v>
      </c>
      <c r="CF64" s="58"/>
      <c r="CG64" s="67"/>
      <c r="CH64" s="66">
        <f t="shared" si="56"/>
        <v>0</v>
      </c>
      <c r="CI64" s="58"/>
      <c r="CJ64" s="67"/>
      <c r="CK64" s="66">
        <f t="shared" si="57"/>
        <v>0</v>
      </c>
      <c r="CL64" s="58"/>
      <c r="CM64" s="67"/>
      <c r="CN64" s="66">
        <f t="shared" si="58"/>
        <v>0</v>
      </c>
      <c r="CO64" s="58"/>
      <c r="CP64" s="67"/>
      <c r="CQ64" s="66">
        <f t="shared" si="59"/>
        <v>0</v>
      </c>
      <c r="CR64" s="58"/>
      <c r="CS64" s="67"/>
      <c r="CT64" s="66">
        <f t="shared" si="60"/>
        <v>0</v>
      </c>
      <c r="CU64" s="58"/>
      <c r="CV64" s="67"/>
      <c r="CW64" s="66">
        <f t="shared" si="61"/>
        <v>0</v>
      </c>
      <c r="CX64" s="58"/>
      <c r="CY64" s="67"/>
      <c r="CZ64" s="66">
        <f t="shared" si="62"/>
        <v>0</v>
      </c>
      <c r="DA64" s="58"/>
      <c r="DB64" s="67"/>
      <c r="DC64" s="66">
        <f t="shared" si="63"/>
        <v>0</v>
      </c>
      <c r="DD64" s="58"/>
      <c r="DE64" s="67"/>
      <c r="DF64" s="66">
        <f t="shared" si="64"/>
        <v>0</v>
      </c>
      <c r="DG64" s="58"/>
      <c r="DH64" s="67"/>
      <c r="DI64" s="66">
        <f t="shared" si="65"/>
        <v>0</v>
      </c>
      <c r="DJ64" s="58"/>
      <c r="DK64" s="67"/>
      <c r="DL64" s="66">
        <f t="shared" si="66"/>
        <v>0</v>
      </c>
      <c r="DM64" s="58"/>
      <c r="DN64" s="67"/>
      <c r="DO64" s="66">
        <f t="shared" si="67"/>
        <v>0</v>
      </c>
      <c r="DP64" s="58"/>
      <c r="DQ64" s="67"/>
      <c r="DR64" s="66">
        <f t="shared" si="68"/>
        <v>0</v>
      </c>
      <c r="DS64" s="58"/>
      <c r="DT64" s="67"/>
      <c r="DU64" s="66">
        <f t="shared" si="69"/>
        <v>0</v>
      </c>
      <c r="DV64" s="58"/>
      <c r="DW64" s="67"/>
      <c r="DX64" s="66">
        <f t="shared" si="70"/>
        <v>0</v>
      </c>
      <c r="DY64" s="58"/>
      <c r="DZ64" s="67"/>
      <c r="EA64" s="66">
        <f t="shared" si="71"/>
        <v>0</v>
      </c>
      <c r="EB64" s="58"/>
      <c r="EC64" s="67"/>
      <c r="ED64" s="66">
        <f t="shared" si="72"/>
        <v>0</v>
      </c>
      <c r="EE64" s="58"/>
      <c r="EF64" s="67"/>
      <c r="EG64" s="66">
        <f t="shared" si="73"/>
        <v>0</v>
      </c>
      <c r="EH64" s="58"/>
      <c r="EI64" s="58"/>
    </row>
    <row r="65" spans="1:139">
      <c r="A65" s="43"/>
      <c r="B65" s="43"/>
      <c r="C65" s="40" t="s">
        <v>1641</v>
      </c>
      <c r="D65" s="116">
        <f>SUM($D$57:$D$62)</f>
        <v>882</v>
      </c>
      <c r="E65" s="103"/>
      <c r="F65" s="426">
        <f t="shared" si="32"/>
        <v>17</v>
      </c>
      <c r="G65" s="426">
        <f ca="1">VLOOKUP(H65,Equipos!$Q$1:$R$25,2,0)</f>
        <v>16</v>
      </c>
      <c r="H65" s="427">
        <f ca="1">TRUNC(INDEX(WORLDCUP!$X$4:$X$147,MATCH(ADMIN!K65,WORLDCUP!$DT$4:$DT$147,0))+INDEX(Horarios!$R$3:$R$86,MATCH(Horarios!$C$3,Horarios!$P$3:$P$86,0))/24)</f>
        <v>46199</v>
      </c>
      <c r="I65" s="42">
        <v>1</v>
      </c>
      <c r="J65" s="88" t="s">
        <v>129</v>
      </c>
      <c r="K65" s="49" t="str">
        <f ca="1">CONCATENATE(WORLDCUP!AA49,"-",WORLDCUP!AF49)</f>
        <v>Túnez-Países Bajos</v>
      </c>
      <c r="L65" s="46"/>
      <c r="M65" s="48" t="str">
        <f>IF(OR(WORLDCUP!AC49="",WORLDCUP!AD49=""),"-",N65&amp;"|"&amp;O65&amp;"-"&amp;P65)</f>
        <v>-</v>
      </c>
      <c r="N65" s="711" t="str">
        <f>IF(OR(WORLDCUP!AC49="",WORLDCUP!AD49=""),"",IF(WORLDCUP!AC49&gt;WORLDCUP!AD49,"1",IF(WORLDCUP!AC49&lt;WORLDCUP!AD49,"2","X")))</f>
        <v/>
      </c>
      <c r="O65" s="711">
        <f>WORLDCUP!AC49</f>
        <v>0</v>
      </c>
      <c r="P65" s="711">
        <f>WORLDCUP!AD49</f>
        <v>0</v>
      </c>
      <c r="Q65" s="711">
        <f t="shared" si="33"/>
        <v>0</v>
      </c>
      <c r="R65" s="43"/>
      <c r="S65" s="67" t="s">
        <v>1951</v>
      </c>
      <c r="T65" s="66">
        <f t="shared" si="74"/>
        <v>0</v>
      </c>
      <c r="U65" s="58"/>
      <c r="V65" s="67" t="s">
        <v>1960</v>
      </c>
      <c r="W65" s="66">
        <f t="shared" si="35"/>
        <v>0</v>
      </c>
      <c r="X65" s="58"/>
      <c r="Y65" s="67" t="s">
        <v>1960</v>
      </c>
      <c r="Z65" s="66">
        <f t="shared" si="36"/>
        <v>0</v>
      </c>
      <c r="AA65" s="58"/>
      <c r="AB65" s="67" t="s">
        <v>1955</v>
      </c>
      <c r="AC65" s="66">
        <f t="shared" si="37"/>
        <v>0</v>
      </c>
      <c r="AD65" s="58"/>
      <c r="AE65" s="67" t="s">
        <v>1950</v>
      </c>
      <c r="AF65" s="66">
        <f t="shared" si="38"/>
        <v>0</v>
      </c>
      <c r="AG65" s="58"/>
      <c r="AH65" s="67" t="s">
        <v>1960</v>
      </c>
      <c r="AI65" s="66">
        <f t="shared" si="39"/>
        <v>0</v>
      </c>
      <c r="AJ65" s="58"/>
      <c r="AK65" s="67" t="s">
        <v>1951</v>
      </c>
      <c r="AL65" s="66">
        <f t="shared" si="40"/>
        <v>0</v>
      </c>
      <c r="AM65" s="58"/>
      <c r="AN65" s="67" t="s">
        <v>1951</v>
      </c>
      <c r="AO65" s="66">
        <f t="shared" si="41"/>
        <v>0</v>
      </c>
      <c r="AP65" s="58"/>
      <c r="AQ65" s="67" t="s">
        <v>1951</v>
      </c>
      <c r="AR65" s="66">
        <f t="shared" si="42"/>
        <v>0</v>
      </c>
      <c r="AS65" s="58"/>
      <c r="AT65" s="67" t="s">
        <v>1949</v>
      </c>
      <c r="AU65" s="66">
        <f t="shared" si="43"/>
        <v>0</v>
      </c>
      <c r="AV65" s="58"/>
      <c r="AW65" s="67" t="s">
        <v>1960</v>
      </c>
      <c r="AX65" s="66">
        <f t="shared" si="44"/>
        <v>0</v>
      </c>
      <c r="AY65" s="58"/>
      <c r="AZ65" s="67" t="s">
        <v>1949</v>
      </c>
      <c r="BA65" s="66">
        <f t="shared" si="45"/>
        <v>0</v>
      </c>
      <c r="BB65" s="58"/>
      <c r="BC65" s="67" t="s">
        <v>1974</v>
      </c>
      <c r="BD65" s="66">
        <f t="shared" si="46"/>
        <v>0</v>
      </c>
      <c r="BE65" s="58"/>
      <c r="BF65" s="67" t="s">
        <v>1949</v>
      </c>
      <c r="BG65" s="66">
        <f t="shared" si="47"/>
        <v>0</v>
      </c>
      <c r="BH65" s="58"/>
      <c r="BI65" s="67" t="s">
        <v>1960</v>
      </c>
      <c r="BJ65" s="66">
        <f t="shared" si="48"/>
        <v>0</v>
      </c>
      <c r="BK65" s="58"/>
      <c r="BL65" s="67" t="s">
        <v>1949</v>
      </c>
      <c r="BM65" s="66">
        <f t="shared" si="49"/>
        <v>0</v>
      </c>
      <c r="BN65" s="58"/>
      <c r="BO65" s="67" t="s">
        <v>1951</v>
      </c>
      <c r="BP65" s="66">
        <f t="shared" si="50"/>
        <v>0</v>
      </c>
      <c r="BQ65" s="58"/>
      <c r="BR65" s="67" t="s">
        <v>1960</v>
      </c>
      <c r="BS65" s="66">
        <f t="shared" si="51"/>
        <v>0</v>
      </c>
      <c r="BT65" s="58"/>
      <c r="BU65" s="67"/>
      <c r="BV65" s="66">
        <f t="shared" si="52"/>
        <v>0</v>
      </c>
      <c r="BW65" s="58"/>
      <c r="BX65" s="67"/>
      <c r="BY65" s="66">
        <f t="shared" si="53"/>
        <v>0</v>
      </c>
      <c r="BZ65" s="58"/>
      <c r="CA65" s="67"/>
      <c r="CB65" s="66">
        <f t="shared" si="54"/>
        <v>0</v>
      </c>
      <c r="CC65" s="58"/>
      <c r="CD65" s="67"/>
      <c r="CE65" s="66">
        <f t="shared" si="55"/>
        <v>0</v>
      </c>
      <c r="CF65" s="58"/>
      <c r="CG65" s="67"/>
      <c r="CH65" s="66">
        <f t="shared" si="56"/>
        <v>0</v>
      </c>
      <c r="CI65" s="58"/>
      <c r="CJ65" s="67"/>
      <c r="CK65" s="66">
        <f t="shared" si="57"/>
        <v>0</v>
      </c>
      <c r="CL65" s="58"/>
      <c r="CM65" s="67"/>
      <c r="CN65" s="66">
        <f t="shared" si="58"/>
        <v>0</v>
      </c>
      <c r="CO65" s="58"/>
      <c r="CP65" s="67"/>
      <c r="CQ65" s="66">
        <f t="shared" si="59"/>
        <v>0</v>
      </c>
      <c r="CR65" s="58"/>
      <c r="CS65" s="67"/>
      <c r="CT65" s="66">
        <f t="shared" si="60"/>
        <v>0</v>
      </c>
      <c r="CU65" s="58"/>
      <c r="CV65" s="67"/>
      <c r="CW65" s="66">
        <f t="shared" si="61"/>
        <v>0</v>
      </c>
      <c r="CX65" s="58"/>
      <c r="CY65" s="67"/>
      <c r="CZ65" s="66">
        <f t="shared" si="62"/>
        <v>0</v>
      </c>
      <c r="DA65" s="58"/>
      <c r="DB65" s="67"/>
      <c r="DC65" s="66">
        <f t="shared" si="63"/>
        <v>0</v>
      </c>
      <c r="DD65" s="58"/>
      <c r="DE65" s="67"/>
      <c r="DF65" s="66">
        <f t="shared" si="64"/>
        <v>0</v>
      </c>
      <c r="DG65" s="58"/>
      <c r="DH65" s="67"/>
      <c r="DI65" s="66">
        <f t="shared" si="65"/>
        <v>0</v>
      </c>
      <c r="DJ65" s="58"/>
      <c r="DK65" s="67"/>
      <c r="DL65" s="66">
        <f t="shared" si="66"/>
        <v>0</v>
      </c>
      <c r="DM65" s="58"/>
      <c r="DN65" s="67"/>
      <c r="DO65" s="66">
        <f t="shared" si="67"/>
        <v>0</v>
      </c>
      <c r="DP65" s="58"/>
      <c r="DQ65" s="67"/>
      <c r="DR65" s="66">
        <f t="shared" si="68"/>
        <v>0</v>
      </c>
      <c r="DS65" s="58"/>
      <c r="DT65" s="67"/>
      <c r="DU65" s="66">
        <f t="shared" si="69"/>
        <v>0</v>
      </c>
      <c r="DV65" s="58"/>
      <c r="DW65" s="67"/>
      <c r="DX65" s="66">
        <f t="shared" si="70"/>
        <v>0</v>
      </c>
      <c r="DY65" s="58"/>
      <c r="DZ65" s="67"/>
      <c r="EA65" s="66">
        <f t="shared" si="71"/>
        <v>0</v>
      </c>
      <c r="EB65" s="58"/>
      <c r="EC65" s="67"/>
      <c r="ED65" s="66">
        <f t="shared" si="72"/>
        <v>0</v>
      </c>
      <c r="EE65" s="58"/>
      <c r="EF65" s="67"/>
      <c r="EG65" s="66">
        <f t="shared" si="73"/>
        <v>0</v>
      </c>
      <c r="EH65" s="58"/>
      <c r="EI65" s="58"/>
    </row>
    <row r="66" spans="1:139">
      <c r="A66" s="43"/>
      <c r="B66" s="43"/>
      <c r="C66" s="13"/>
      <c r="D66" s="13"/>
      <c r="E66" s="43"/>
      <c r="F66" s="713">
        <f t="shared" si="32"/>
        <v>17</v>
      </c>
      <c r="G66" s="713">
        <f ca="1">VLOOKUP(H66,Equipos!$Q$1:$R$25,2,0)</f>
        <v>17</v>
      </c>
      <c r="H66" s="774">
        <f ca="1">TRUNC(INDEX(WORLDCUP!$X$4:$X$147,MATCH(ADMIN!K66,WORLDCUP!$DT$4:$DT$147,0))+INDEX(Horarios!$R$3:$R$86,MATCH(Horarios!$C$3,Horarios!$P$3:$P$86,0))/24)</f>
        <v>46200</v>
      </c>
      <c r="I66" s="42">
        <v>1</v>
      </c>
      <c r="J66" s="87" t="s">
        <v>180</v>
      </c>
      <c r="K66" s="46" t="str">
        <f ca="1">CONCATENATE(WORLDCUP!AA56,"-",WORLDCUP!AF56)</f>
        <v>Egipto-Irán</v>
      </c>
      <c r="L66" s="46"/>
      <c r="M66" s="48" t="str">
        <f>IF(OR(WORLDCUP!AC56="",WORLDCUP!AD56=""),"-",N66&amp;"|"&amp;O66&amp;"-"&amp;P66)</f>
        <v>-</v>
      </c>
      <c r="N66" s="711" t="str">
        <f>IF(OR(WORLDCUP!AC56="",WORLDCUP!AD56=""),"",IF(WORLDCUP!AC56&gt;WORLDCUP!AD56,"1",IF(WORLDCUP!AC56&lt;WORLDCUP!AD56,"2","X")))</f>
        <v/>
      </c>
      <c r="O66" s="711">
        <f>WORLDCUP!AC56</f>
        <v>0</v>
      </c>
      <c r="P66" s="711">
        <f>WORLDCUP!AD56</f>
        <v>0</v>
      </c>
      <c r="Q66" s="711">
        <f t="shared" si="33"/>
        <v>0</v>
      </c>
      <c r="R66" s="43"/>
      <c r="S66" s="67" t="s">
        <v>1953</v>
      </c>
      <c r="T66" s="66">
        <f t="shared" si="74"/>
        <v>0</v>
      </c>
      <c r="U66" s="58"/>
      <c r="V66" s="67" t="s">
        <v>1948</v>
      </c>
      <c r="W66" s="66">
        <f t="shared" si="35"/>
        <v>0</v>
      </c>
      <c r="X66" s="58"/>
      <c r="Y66" s="67" t="s">
        <v>1956</v>
      </c>
      <c r="Z66" s="66">
        <f t="shared" si="36"/>
        <v>0</v>
      </c>
      <c r="AA66" s="58"/>
      <c r="AB66" s="67" t="s">
        <v>1950</v>
      </c>
      <c r="AC66" s="66">
        <f t="shared" si="37"/>
        <v>0</v>
      </c>
      <c r="AD66" s="58"/>
      <c r="AE66" s="67" t="s">
        <v>1947</v>
      </c>
      <c r="AF66" s="66">
        <f t="shared" si="38"/>
        <v>0</v>
      </c>
      <c r="AG66" s="58"/>
      <c r="AH66" s="67" t="s">
        <v>1947</v>
      </c>
      <c r="AI66" s="66">
        <f t="shared" si="39"/>
        <v>0</v>
      </c>
      <c r="AJ66" s="58"/>
      <c r="AK66" s="67" t="s">
        <v>1948</v>
      </c>
      <c r="AL66" s="66">
        <f t="shared" si="40"/>
        <v>0</v>
      </c>
      <c r="AM66" s="58"/>
      <c r="AN66" s="67" t="s">
        <v>1956</v>
      </c>
      <c r="AO66" s="66">
        <f t="shared" si="41"/>
        <v>0</v>
      </c>
      <c r="AP66" s="58"/>
      <c r="AQ66" s="67" t="s">
        <v>1954</v>
      </c>
      <c r="AR66" s="66">
        <f t="shared" si="42"/>
        <v>0</v>
      </c>
      <c r="AS66" s="58"/>
      <c r="AT66" s="67" t="s">
        <v>1953</v>
      </c>
      <c r="AU66" s="66">
        <f t="shared" si="43"/>
        <v>0</v>
      </c>
      <c r="AV66" s="58"/>
      <c r="AW66" s="67" t="s">
        <v>1956</v>
      </c>
      <c r="AX66" s="66">
        <f t="shared" si="44"/>
        <v>0</v>
      </c>
      <c r="AY66" s="58"/>
      <c r="AZ66" s="67" t="s">
        <v>1948</v>
      </c>
      <c r="BA66" s="66">
        <f t="shared" si="45"/>
        <v>0</v>
      </c>
      <c r="BB66" s="58"/>
      <c r="BC66" s="67" t="s">
        <v>1963</v>
      </c>
      <c r="BD66" s="66">
        <f t="shared" si="46"/>
        <v>0</v>
      </c>
      <c r="BE66" s="58"/>
      <c r="BF66" s="67" t="s">
        <v>1956</v>
      </c>
      <c r="BG66" s="66">
        <f t="shared" si="47"/>
        <v>0</v>
      </c>
      <c r="BH66" s="58"/>
      <c r="BI66" s="67" t="s">
        <v>1956</v>
      </c>
      <c r="BJ66" s="66">
        <f t="shared" si="48"/>
        <v>0</v>
      </c>
      <c r="BK66" s="58"/>
      <c r="BL66" s="67" t="s">
        <v>1950</v>
      </c>
      <c r="BM66" s="66">
        <f t="shared" si="49"/>
        <v>0</v>
      </c>
      <c r="BN66" s="58"/>
      <c r="BO66" s="67" t="s">
        <v>1947</v>
      </c>
      <c r="BP66" s="66">
        <f t="shared" si="50"/>
        <v>0</v>
      </c>
      <c r="BQ66" s="58"/>
      <c r="BR66" s="67" t="s">
        <v>1950</v>
      </c>
      <c r="BS66" s="66">
        <f t="shared" si="51"/>
        <v>0</v>
      </c>
      <c r="BT66" s="58"/>
      <c r="BU66" s="67"/>
      <c r="BV66" s="66">
        <f t="shared" si="52"/>
        <v>0</v>
      </c>
      <c r="BW66" s="58"/>
      <c r="BX66" s="67"/>
      <c r="BY66" s="66">
        <f t="shared" si="53"/>
        <v>0</v>
      </c>
      <c r="BZ66" s="58"/>
      <c r="CA66" s="67"/>
      <c r="CB66" s="66">
        <f t="shared" si="54"/>
        <v>0</v>
      </c>
      <c r="CC66" s="58"/>
      <c r="CD66" s="67"/>
      <c r="CE66" s="66">
        <f t="shared" si="55"/>
        <v>0</v>
      </c>
      <c r="CF66" s="58"/>
      <c r="CG66" s="67"/>
      <c r="CH66" s="66">
        <f t="shared" si="56"/>
        <v>0</v>
      </c>
      <c r="CI66" s="58"/>
      <c r="CJ66" s="67"/>
      <c r="CK66" s="66">
        <f t="shared" si="57"/>
        <v>0</v>
      </c>
      <c r="CL66" s="58"/>
      <c r="CM66" s="67"/>
      <c r="CN66" s="66">
        <f t="shared" si="58"/>
        <v>0</v>
      </c>
      <c r="CO66" s="58"/>
      <c r="CP66" s="67"/>
      <c r="CQ66" s="66">
        <f t="shared" si="59"/>
        <v>0</v>
      </c>
      <c r="CR66" s="58"/>
      <c r="CS66" s="67"/>
      <c r="CT66" s="66">
        <f t="shared" si="60"/>
        <v>0</v>
      </c>
      <c r="CU66" s="58"/>
      <c r="CV66" s="67"/>
      <c r="CW66" s="66">
        <f t="shared" si="61"/>
        <v>0</v>
      </c>
      <c r="CX66" s="58"/>
      <c r="CY66" s="67"/>
      <c r="CZ66" s="66">
        <f t="shared" si="62"/>
        <v>0</v>
      </c>
      <c r="DA66" s="58"/>
      <c r="DB66" s="67"/>
      <c r="DC66" s="66">
        <f t="shared" si="63"/>
        <v>0</v>
      </c>
      <c r="DD66" s="58"/>
      <c r="DE66" s="67"/>
      <c r="DF66" s="66">
        <f t="shared" si="64"/>
        <v>0</v>
      </c>
      <c r="DG66" s="58"/>
      <c r="DH66" s="67"/>
      <c r="DI66" s="66">
        <f t="shared" si="65"/>
        <v>0</v>
      </c>
      <c r="DJ66" s="58"/>
      <c r="DK66" s="67"/>
      <c r="DL66" s="66">
        <f t="shared" si="66"/>
        <v>0</v>
      </c>
      <c r="DM66" s="58"/>
      <c r="DN66" s="67"/>
      <c r="DO66" s="66">
        <f t="shared" si="67"/>
        <v>0</v>
      </c>
      <c r="DP66" s="58"/>
      <c r="DQ66" s="67"/>
      <c r="DR66" s="66">
        <f t="shared" si="68"/>
        <v>0</v>
      </c>
      <c r="DS66" s="58"/>
      <c r="DT66" s="67"/>
      <c r="DU66" s="66">
        <f t="shared" si="69"/>
        <v>0</v>
      </c>
      <c r="DV66" s="58"/>
      <c r="DW66" s="67"/>
      <c r="DX66" s="66">
        <f t="shared" si="70"/>
        <v>0</v>
      </c>
      <c r="DY66" s="58"/>
      <c r="DZ66" s="67"/>
      <c r="EA66" s="66">
        <f t="shared" si="71"/>
        <v>0</v>
      </c>
      <c r="EB66" s="58"/>
      <c r="EC66" s="67"/>
      <c r="ED66" s="66">
        <f t="shared" si="72"/>
        <v>0</v>
      </c>
      <c r="EE66" s="58"/>
      <c r="EF66" s="67"/>
      <c r="EG66" s="66">
        <f t="shared" si="73"/>
        <v>0</v>
      </c>
      <c r="EH66" s="58"/>
      <c r="EI66" s="58"/>
    </row>
    <row r="67" spans="1:139">
      <c r="A67" s="43"/>
      <c r="B67" s="43"/>
      <c r="C67" s="13"/>
      <c r="D67" s="13"/>
      <c r="E67" s="43"/>
      <c r="F67" s="713">
        <f t="shared" si="32"/>
        <v>17</v>
      </c>
      <c r="G67" s="713">
        <f ca="1">VLOOKUP(H67,Equipos!$Q$1:$R$25,2,0)</f>
        <v>17</v>
      </c>
      <c r="H67" s="774">
        <f ca="1">TRUNC(INDEX(WORLDCUP!$X$4:$X$147,MATCH(ADMIN!K67,WORLDCUP!$DT$4:$DT$147,0))+INDEX(Horarios!$R$3:$R$86,MATCH(Horarios!$C$3,Horarios!$P$3:$P$86,0))/24)</f>
        <v>46200</v>
      </c>
      <c r="I67" s="42">
        <v>1</v>
      </c>
      <c r="J67" s="87" t="s">
        <v>180</v>
      </c>
      <c r="K67" s="46" t="str">
        <f ca="1">CONCATENATE(WORLDCUP!AA57,"-",WORLDCUP!AF57)</f>
        <v>Nueva Zelanda-Bélgica</v>
      </c>
      <c r="L67" s="46"/>
      <c r="M67" s="48" t="str">
        <f>IF(OR(WORLDCUP!AC57="",WORLDCUP!AD57=""),"-",N67&amp;"|"&amp;O67&amp;"-"&amp;P67)</f>
        <v>-</v>
      </c>
      <c r="N67" s="711" t="str">
        <f>IF(OR(WORLDCUP!AC57="",WORLDCUP!AD57=""),"",IF(WORLDCUP!AC57&gt;WORLDCUP!AD57,"1",IF(WORLDCUP!AC57&lt;WORLDCUP!AD57,"2","X")))</f>
        <v/>
      </c>
      <c r="O67" s="711">
        <f>WORLDCUP!AC57</f>
        <v>0</v>
      </c>
      <c r="P67" s="711">
        <f>WORLDCUP!AD57</f>
        <v>0</v>
      </c>
      <c r="Q67" s="711">
        <f t="shared" si="33"/>
        <v>0</v>
      </c>
      <c r="R67" s="43"/>
      <c r="S67" s="67" t="s">
        <v>1949</v>
      </c>
      <c r="T67" s="66">
        <f t="shared" si="74"/>
        <v>0</v>
      </c>
      <c r="U67" s="58"/>
      <c r="V67" s="67" t="s">
        <v>1960</v>
      </c>
      <c r="W67" s="66">
        <f t="shared" si="35"/>
        <v>0</v>
      </c>
      <c r="X67" s="58"/>
      <c r="Y67" s="67" t="s">
        <v>1949</v>
      </c>
      <c r="Z67" s="66">
        <f t="shared" si="36"/>
        <v>0</v>
      </c>
      <c r="AA67" s="58"/>
      <c r="AB67" s="67" t="s">
        <v>1955</v>
      </c>
      <c r="AC67" s="66">
        <f t="shared" si="37"/>
        <v>0</v>
      </c>
      <c r="AD67" s="58"/>
      <c r="AE67" s="67" t="s">
        <v>1949</v>
      </c>
      <c r="AF67" s="66">
        <f t="shared" si="38"/>
        <v>0</v>
      </c>
      <c r="AG67" s="58"/>
      <c r="AH67" s="67" t="s">
        <v>1960</v>
      </c>
      <c r="AI67" s="66">
        <f t="shared" si="39"/>
        <v>0</v>
      </c>
      <c r="AJ67" s="58"/>
      <c r="AK67" s="67" t="s">
        <v>1949</v>
      </c>
      <c r="AL67" s="66">
        <f t="shared" si="40"/>
        <v>0</v>
      </c>
      <c r="AM67" s="58"/>
      <c r="AN67" s="67" t="s">
        <v>1951</v>
      </c>
      <c r="AO67" s="66">
        <f t="shared" si="41"/>
        <v>0</v>
      </c>
      <c r="AP67" s="58"/>
      <c r="AQ67" s="67" t="s">
        <v>1974</v>
      </c>
      <c r="AR67" s="66">
        <f t="shared" si="42"/>
        <v>0</v>
      </c>
      <c r="AS67" s="58"/>
      <c r="AT67" s="67" t="s">
        <v>1960</v>
      </c>
      <c r="AU67" s="66">
        <f t="shared" si="43"/>
        <v>0</v>
      </c>
      <c r="AV67" s="58"/>
      <c r="AW67" s="67" t="s">
        <v>1960</v>
      </c>
      <c r="AX67" s="66">
        <f t="shared" si="44"/>
        <v>0</v>
      </c>
      <c r="AY67" s="58"/>
      <c r="AZ67" s="67" t="s">
        <v>1949</v>
      </c>
      <c r="BA67" s="66">
        <f t="shared" si="45"/>
        <v>0</v>
      </c>
      <c r="BB67" s="58"/>
      <c r="BC67" s="67" t="s">
        <v>1955</v>
      </c>
      <c r="BD67" s="66">
        <f t="shared" si="46"/>
        <v>0</v>
      </c>
      <c r="BE67" s="58"/>
      <c r="BF67" s="67" t="s">
        <v>1953</v>
      </c>
      <c r="BG67" s="66">
        <f t="shared" si="47"/>
        <v>0</v>
      </c>
      <c r="BH67" s="58"/>
      <c r="BI67" s="67" t="s">
        <v>1950</v>
      </c>
      <c r="BJ67" s="66">
        <f t="shared" si="48"/>
        <v>0</v>
      </c>
      <c r="BK67" s="58"/>
      <c r="BL67" s="67" t="s">
        <v>1955</v>
      </c>
      <c r="BM67" s="66">
        <f t="shared" si="49"/>
        <v>0</v>
      </c>
      <c r="BN67" s="58"/>
      <c r="BO67" s="67" t="s">
        <v>1964</v>
      </c>
      <c r="BP67" s="66">
        <f t="shared" si="50"/>
        <v>0</v>
      </c>
      <c r="BQ67" s="58"/>
      <c r="BR67" s="67" t="s">
        <v>1949</v>
      </c>
      <c r="BS67" s="66">
        <f t="shared" si="51"/>
        <v>0</v>
      </c>
      <c r="BT67" s="58"/>
      <c r="BU67" s="67"/>
      <c r="BV67" s="66">
        <f t="shared" si="52"/>
        <v>0</v>
      </c>
      <c r="BW67" s="58"/>
      <c r="BX67" s="67"/>
      <c r="BY67" s="66">
        <f t="shared" si="53"/>
        <v>0</v>
      </c>
      <c r="BZ67" s="58"/>
      <c r="CA67" s="67"/>
      <c r="CB67" s="66">
        <f t="shared" si="54"/>
        <v>0</v>
      </c>
      <c r="CC67" s="58"/>
      <c r="CD67" s="67"/>
      <c r="CE67" s="66">
        <f t="shared" si="55"/>
        <v>0</v>
      </c>
      <c r="CF67" s="58"/>
      <c r="CG67" s="67"/>
      <c r="CH67" s="66">
        <f t="shared" si="56"/>
        <v>0</v>
      </c>
      <c r="CI67" s="58"/>
      <c r="CJ67" s="67"/>
      <c r="CK67" s="66">
        <f t="shared" si="57"/>
        <v>0</v>
      </c>
      <c r="CL67" s="58"/>
      <c r="CM67" s="67"/>
      <c r="CN67" s="66">
        <f t="shared" si="58"/>
        <v>0</v>
      </c>
      <c r="CO67" s="58"/>
      <c r="CP67" s="67"/>
      <c r="CQ67" s="66">
        <f t="shared" si="59"/>
        <v>0</v>
      </c>
      <c r="CR67" s="58"/>
      <c r="CS67" s="67"/>
      <c r="CT67" s="66">
        <f t="shared" si="60"/>
        <v>0</v>
      </c>
      <c r="CU67" s="58"/>
      <c r="CV67" s="67"/>
      <c r="CW67" s="66">
        <f t="shared" si="61"/>
        <v>0</v>
      </c>
      <c r="CX67" s="58"/>
      <c r="CY67" s="67"/>
      <c r="CZ67" s="66">
        <f t="shared" si="62"/>
        <v>0</v>
      </c>
      <c r="DA67" s="58"/>
      <c r="DB67" s="67"/>
      <c r="DC67" s="66">
        <f t="shared" si="63"/>
        <v>0</v>
      </c>
      <c r="DD67" s="58"/>
      <c r="DE67" s="67"/>
      <c r="DF67" s="66">
        <f t="shared" si="64"/>
        <v>0</v>
      </c>
      <c r="DG67" s="58"/>
      <c r="DH67" s="67"/>
      <c r="DI67" s="66">
        <f t="shared" si="65"/>
        <v>0</v>
      </c>
      <c r="DJ67" s="58"/>
      <c r="DK67" s="67"/>
      <c r="DL67" s="66">
        <f t="shared" si="66"/>
        <v>0</v>
      </c>
      <c r="DM67" s="58"/>
      <c r="DN67" s="67"/>
      <c r="DO67" s="66">
        <f t="shared" si="67"/>
        <v>0</v>
      </c>
      <c r="DP67" s="58"/>
      <c r="DQ67" s="67"/>
      <c r="DR67" s="66">
        <f t="shared" si="68"/>
        <v>0</v>
      </c>
      <c r="DS67" s="58"/>
      <c r="DT67" s="67"/>
      <c r="DU67" s="66">
        <f t="shared" si="69"/>
        <v>0</v>
      </c>
      <c r="DV67" s="58"/>
      <c r="DW67" s="67"/>
      <c r="DX67" s="66">
        <f t="shared" si="70"/>
        <v>0</v>
      </c>
      <c r="DY67" s="58"/>
      <c r="DZ67" s="67"/>
      <c r="EA67" s="66">
        <f t="shared" si="71"/>
        <v>0</v>
      </c>
      <c r="EB67" s="58"/>
      <c r="EC67" s="67"/>
      <c r="ED67" s="66">
        <f t="shared" si="72"/>
        <v>0</v>
      </c>
      <c r="EE67" s="58"/>
      <c r="EF67" s="67"/>
      <c r="EG67" s="66">
        <f t="shared" si="73"/>
        <v>0</v>
      </c>
      <c r="EH67" s="58"/>
      <c r="EI67" s="58"/>
    </row>
    <row r="68" spans="1:139">
      <c r="A68" s="43"/>
      <c r="B68" s="43"/>
      <c r="C68" s="13"/>
      <c r="D68" s="13"/>
      <c r="E68" s="43"/>
      <c r="F68" s="713">
        <f t="shared" si="32"/>
        <v>17</v>
      </c>
      <c r="G68" s="713">
        <f ca="1">VLOOKUP(H68,Equipos!$Q$1:$R$25,2,0)</f>
        <v>17</v>
      </c>
      <c r="H68" s="774">
        <f ca="1">TRUNC(INDEX(WORLDCUP!$X$4:$X$147,MATCH(ADMIN!K68,WORLDCUP!$DT$4:$DT$147,0))+INDEX(Horarios!$R$3:$R$86,MATCH(Horarios!$C$3,Horarios!$P$3:$P$86,0))/24)</f>
        <v>46200</v>
      </c>
      <c r="I68" s="42">
        <v>1</v>
      </c>
      <c r="J68" s="88" t="s">
        <v>181</v>
      </c>
      <c r="K68" s="49" t="str">
        <f ca="1">CONCATENATE(WORLDCUP!AA64,"-",WORLDCUP!AF64)</f>
        <v>Cabo Verde-Arabia Saudita</v>
      </c>
      <c r="L68" s="46"/>
      <c r="M68" s="48" t="str">
        <f>IF(OR(WORLDCUP!AC64="",WORLDCUP!AD64=""),"-",N68&amp;"|"&amp;O68&amp;"-"&amp;P68)</f>
        <v>-</v>
      </c>
      <c r="N68" s="711" t="str">
        <f>IF(OR(WORLDCUP!AC64="",WORLDCUP!AD64=""),"",IF(WORLDCUP!AC64&gt;WORLDCUP!AD64,"1",IF(WORLDCUP!AC64&lt;WORLDCUP!AD64,"2","X")))</f>
        <v/>
      </c>
      <c r="O68" s="711">
        <f>WORLDCUP!AC64</f>
        <v>0</v>
      </c>
      <c r="P68" s="711">
        <f>WORLDCUP!AD64</f>
        <v>0</v>
      </c>
      <c r="Q68" s="711">
        <f t="shared" si="33"/>
        <v>0</v>
      </c>
      <c r="R68" s="43"/>
      <c r="S68" s="67" t="s">
        <v>1951</v>
      </c>
      <c r="T68" s="66">
        <f t="shared" si="74"/>
        <v>0</v>
      </c>
      <c r="U68" s="58"/>
      <c r="V68" s="67" t="s">
        <v>1948</v>
      </c>
      <c r="W68" s="66">
        <f t="shared" si="35"/>
        <v>0</v>
      </c>
      <c r="X68" s="58"/>
      <c r="Y68" s="67" t="s">
        <v>1948</v>
      </c>
      <c r="Z68" s="66">
        <f t="shared" si="36"/>
        <v>0</v>
      </c>
      <c r="AA68" s="58"/>
      <c r="AB68" s="67" t="s">
        <v>1962</v>
      </c>
      <c r="AC68" s="66">
        <f t="shared" si="37"/>
        <v>0</v>
      </c>
      <c r="AD68" s="58"/>
      <c r="AE68" s="67" t="s">
        <v>1950</v>
      </c>
      <c r="AF68" s="66">
        <f t="shared" si="38"/>
        <v>0</v>
      </c>
      <c r="AG68" s="58"/>
      <c r="AH68" s="67" t="s">
        <v>1950</v>
      </c>
      <c r="AI68" s="66">
        <f t="shared" si="39"/>
        <v>0</v>
      </c>
      <c r="AJ68" s="58"/>
      <c r="AK68" s="67" t="s">
        <v>1948</v>
      </c>
      <c r="AL68" s="66">
        <f t="shared" si="40"/>
        <v>0</v>
      </c>
      <c r="AM68" s="58"/>
      <c r="AN68" s="67" t="s">
        <v>1950</v>
      </c>
      <c r="AO68" s="66">
        <f t="shared" si="41"/>
        <v>0</v>
      </c>
      <c r="AP68" s="58"/>
      <c r="AQ68" s="67" t="s">
        <v>1951</v>
      </c>
      <c r="AR68" s="66">
        <f t="shared" si="42"/>
        <v>0</v>
      </c>
      <c r="AS68" s="58"/>
      <c r="AT68" s="67" t="s">
        <v>1955</v>
      </c>
      <c r="AU68" s="66">
        <f t="shared" si="43"/>
        <v>0</v>
      </c>
      <c r="AV68" s="58"/>
      <c r="AW68" s="67" t="s">
        <v>1948</v>
      </c>
      <c r="AX68" s="66">
        <f t="shared" si="44"/>
        <v>0</v>
      </c>
      <c r="AY68" s="58"/>
      <c r="AZ68" s="67" t="s">
        <v>1948</v>
      </c>
      <c r="BA68" s="66">
        <f t="shared" si="45"/>
        <v>0</v>
      </c>
      <c r="BB68" s="58"/>
      <c r="BC68" s="67" t="s">
        <v>1951</v>
      </c>
      <c r="BD68" s="66">
        <f t="shared" si="46"/>
        <v>0</v>
      </c>
      <c r="BE68" s="58"/>
      <c r="BF68" s="67" t="s">
        <v>1962</v>
      </c>
      <c r="BG68" s="66">
        <f t="shared" si="47"/>
        <v>0</v>
      </c>
      <c r="BH68" s="58"/>
      <c r="BI68" s="67" t="s">
        <v>1956</v>
      </c>
      <c r="BJ68" s="66">
        <f t="shared" si="48"/>
        <v>0</v>
      </c>
      <c r="BK68" s="58"/>
      <c r="BL68" s="67" t="s">
        <v>1960</v>
      </c>
      <c r="BM68" s="66">
        <f t="shared" si="49"/>
        <v>0</v>
      </c>
      <c r="BN68" s="58"/>
      <c r="BO68" s="67" t="s">
        <v>1951</v>
      </c>
      <c r="BP68" s="66">
        <f t="shared" si="50"/>
        <v>0</v>
      </c>
      <c r="BQ68" s="58"/>
      <c r="BR68" s="67" t="s">
        <v>1950</v>
      </c>
      <c r="BS68" s="66">
        <f t="shared" si="51"/>
        <v>0</v>
      </c>
      <c r="BT68" s="58"/>
      <c r="BU68" s="67"/>
      <c r="BV68" s="66">
        <f t="shared" si="52"/>
        <v>0</v>
      </c>
      <c r="BW68" s="58"/>
      <c r="BX68" s="67"/>
      <c r="BY68" s="66">
        <f t="shared" si="53"/>
        <v>0</v>
      </c>
      <c r="BZ68" s="58"/>
      <c r="CA68" s="67"/>
      <c r="CB68" s="66">
        <f t="shared" si="54"/>
        <v>0</v>
      </c>
      <c r="CC68" s="58"/>
      <c r="CD68" s="67"/>
      <c r="CE68" s="66">
        <f t="shared" si="55"/>
        <v>0</v>
      </c>
      <c r="CF68" s="58"/>
      <c r="CG68" s="67"/>
      <c r="CH68" s="66">
        <f t="shared" si="56"/>
        <v>0</v>
      </c>
      <c r="CI68" s="58"/>
      <c r="CJ68" s="67"/>
      <c r="CK68" s="66">
        <f t="shared" si="57"/>
        <v>0</v>
      </c>
      <c r="CL68" s="58"/>
      <c r="CM68" s="67"/>
      <c r="CN68" s="66">
        <f t="shared" si="58"/>
        <v>0</v>
      </c>
      <c r="CO68" s="58"/>
      <c r="CP68" s="67"/>
      <c r="CQ68" s="66">
        <f t="shared" si="59"/>
        <v>0</v>
      </c>
      <c r="CR68" s="58"/>
      <c r="CS68" s="67"/>
      <c r="CT68" s="66">
        <f t="shared" si="60"/>
        <v>0</v>
      </c>
      <c r="CU68" s="58"/>
      <c r="CV68" s="67"/>
      <c r="CW68" s="66">
        <f t="shared" si="61"/>
        <v>0</v>
      </c>
      <c r="CX68" s="58"/>
      <c r="CY68" s="67"/>
      <c r="CZ68" s="66">
        <f t="shared" si="62"/>
        <v>0</v>
      </c>
      <c r="DA68" s="58"/>
      <c r="DB68" s="67"/>
      <c r="DC68" s="66">
        <f t="shared" si="63"/>
        <v>0</v>
      </c>
      <c r="DD68" s="58"/>
      <c r="DE68" s="67"/>
      <c r="DF68" s="66">
        <f t="shared" si="64"/>
        <v>0</v>
      </c>
      <c r="DG68" s="58"/>
      <c r="DH68" s="67"/>
      <c r="DI68" s="66">
        <f t="shared" si="65"/>
        <v>0</v>
      </c>
      <c r="DJ68" s="58"/>
      <c r="DK68" s="67"/>
      <c r="DL68" s="66">
        <f t="shared" si="66"/>
        <v>0</v>
      </c>
      <c r="DM68" s="58"/>
      <c r="DN68" s="67"/>
      <c r="DO68" s="66">
        <f t="shared" si="67"/>
        <v>0</v>
      </c>
      <c r="DP68" s="58"/>
      <c r="DQ68" s="67"/>
      <c r="DR68" s="66">
        <f t="shared" si="68"/>
        <v>0</v>
      </c>
      <c r="DS68" s="58"/>
      <c r="DT68" s="67"/>
      <c r="DU68" s="66">
        <f t="shared" si="69"/>
        <v>0</v>
      </c>
      <c r="DV68" s="58"/>
      <c r="DW68" s="67"/>
      <c r="DX68" s="66">
        <f t="shared" si="70"/>
        <v>0</v>
      </c>
      <c r="DY68" s="58"/>
      <c r="DZ68" s="67"/>
      <c r="EA68" s="66">
        <f t="shared" si="71"/>
        <v>0</v>
      </c>
      <c r="EB68" s="58"/>
      <c r="EC68" s="67"/>
      <c r="ED68" s="66">
        <f t="shared" si="72"/>
        <v>0</v>
      </c>
      <c r="EE68" s="58"/>
      <c r="EF68" s="67"/>
      <c r="EG68" s="66">
        <f t="shared" si="73"/>
        <v>0</v>
      </c>
      <c r="EH68" s="58"/>
      <c r="EI68" s="58"/>
    </row>
    <row r="69" spans="1:139">
      <c r="A69" s="43"/>
      <c r="B69" s="43"/>
      <c r="C69" s="13"/>
      <c r="D69" s="13"/>
      <c r="E69" s="43"/>
      <c r="F69" s="713">
        <f t="shared" si="32"/>
        <v>17</v>
      </c>
      <c r="G69" s="713">
        <f ca="1">VLOOKUP(H69,Equipos!$Q$1:$R$25,2,0)</f>
        <v>17</v>
      </c>
      <c r="H69" s="774">
        <f ca="1">TRUNC(INDEX(WORLDCUP!$X$4:$X$147,MATCH(ADMIN!K69,WORLDCUP!$DT$4:$DT$147,0))+INDEX(Horarios!$R$3:$R$86,MATCH(Horarios!$C$3,Horarios!$P$3:$P$86,0))/24)</f>
        <v>46200</v>
      </c>
      <c r="I69" s="42">
        <v>1</v>
      </c>
      <c r="J69" s="88" t="s">
        <v>181</v>
      </c>
      <c r="K69" s="46" t="str">
        <f ca="1">CONCATENATE(WORLDCUP!AA65,"-",WORLDCUP!AF65)</f>
        <v>Uruguay-España</v>
      </c>
      <c r="L69" s="46"/>
      <c r="M69" s="46" t="str">
        <f>IF(OR(WORLDCUP!AC65="",WORLDCUP!AD65=""),"-",N69&amp;"|"&amp;O69&amp;"-"&amp;P69)</f>
        <v>-</v>
      </c>
      <c r="N69" s="711" t="str">
        <f>IF(OR(WORLDCUP!AC65="",WORLDCUP!AD65=""),"",IF(WORLDCUP!AC65&gt;WORLDCUP!AD65,"1",IF(WORLDCUP!AC65&lt;WORLDCUP!AD65,"2","X")))</f>
        <v/>
      </c>
      <c r="O69" s="711">
        <f>WORLDCUP!AC65</f>
        <v>0</v>
      </c>
      <c r="P69" s="711">
        <f>WORLDCUP!AD65</f>
        <v>0</v>
      </c>
      <c r="Q69" s="711">
        <f t="shared" si="33"/>
        <v>0</v>
      </c>
      <c r="R69" s="43"/>
      <c r="S69" s="67" t="s">
        <v>1948</v>
      </c>
      <c r="T69" s="66">
        <f t="shared" si="74"/>
        <v>0</v>
      </c>
      <c r="U69" s="58"/>
      <c r="V69" s="67" t="s">
        <v>1963</v>
      </c>
      <c r="W69" s="66">
        <f t="shared" si="35"/>
        <v>0</v>
      </c>
      <c r="X69" s="58"/>
      <c r="Y69" s="67" t="s">
        <v>1950</v>
      </c>
      <c r="Z69" s="66">
        <f t="shared" si="36"/>
        <v>0</v>
      </c>
      <c r="AA69" s="58"/>
      <c r="AB69" s="67" t="s">
        <v>1948</v>
      </c>
      <c r="AC69" s="66">
        <f t="shared" si="37"/>
        <v>0</v>
      </c>
      <c r="AD69" s="58"/>
      <c r="AE69" s="67" t="s">
        <v>1960</v>
      </c>
      <c r="AF69" s="66">
        <f t="shared" si="38"/>
        <v>0</v>
      </c>
      <c r="AG69" s="58"/>
      <c r="AH69" s="67" t="s">
        <v>1955</v>
      </c>
      <c r="AI69" s="66">
        <f t="shared" si="39"/>
        <v>0</v>
      </c>
      <c r="AJ69" s="58"/>
      <c r="AK69" s="67" t="s">
        <v>1948</v>
      </c>
      <c r="AL69" s="66">
        <f t="shared" si="40"/>
        <v>0</v>
      </c>
      <c r="AM69" s="58"/>
      <c r="AN69" s="67" t="s">
        <v>1948</v>
      </c>
      <c r="AO69" s="66">
        <f t="shared" si="41"/>
        <v>0</v>
      </c>
      <c r="AP69" s="58"/>
      <c r="AQ69" s="67" t="s">
        <v>1948</v>
      </c>
      <c r="AR69" s="66">
        <f t="shared" si="42"/>
        <v>0</v>
      </c>
      <c r="AS69" s="58"/>
      <c r="AT69" s="67" t="s">
        <v>1963</v>
      </c>
      <c r="AU69" s="66">
        <f t="shared" si="43"/>
        <v>0</v>
      </c>
      <c r="AV69" s="58"/>
      <c r="AW69" s="67" t="s">
        <v>1955</v>
      </c>
      <c r="AX69" s="66">
        <f t="shared" si="44"/>
        <v>0</v>
      </c>
      <c r="AY69" s="58"/>
      <c r="AZ69" s="67" t="s">
        <v>1955</v>
      </c>
      <c r="BA69" s="66">
        <f t="shared" si="45"/>
        <v>0</v>
      </c>
      <c r="BB69" s="58"/>
      <c r="BC69" s="67" t="s">
        <v>1951</v>
      </c>
      <c r="BD69" s="66">
        <f t="shared" si="46"/>
        <v>0</v>
      </c>
      <c r="BE69" s="58"/>
      <c r="BF69" s="67" t="s">
        <v>1950</v>
      </c>
      <c r="BG69" s="66">
        <f t="shared" si="47"/>
        <v>0</v>
      </c>
      <c r="BH69" s="58"/>
      <c r="BI69" s="67" t="s">
        <v>1950</v>
      </c>
      <c r="BJ69" s="66">
        <f t="shared" si="48"/>
        <v>0</v>
      </c>
      <c r="BK69" s="58"/>
      <c r="BL69" s="67" t="s">
        <v>2008</v>
      </c>
      <c r="BM69" s="66">
        <f t="shared" si="49"/>
        <v>0</v>
      </c>
      <c r="BN69" s="58"/>
      <c r="BO69" s="67" t="s">
        <v>1948</v>
      </c>
      <c r="BP69" s="66">
        <f t="shared" si="50"/>
        <v>0</v>
      </c>
      <c r="BQ69" s="58"/>
      <c r="BR69" s="67" t="s">
        <v>1955</v>
      </c>
      <c r="BS69" s="66">
        <f t="shared" si="51"/>
        <v>0</v>
      </c>
      <c r="BT69" s="58"/>
      <c r="BU69" s="67"/>
      <c r="BV69" s="66">
        <f t="shared" si="52"/>
        <v>0</v>
      </c>
      <c r="BW69" s="58"/>
      <c r="BX69" s="67"/>
      <c r="BY69" s="66">
        <f t="shared" si="53"/>
        <v>0</v>
      </c>
      <c r="BZ69" s="58"/>
      <c r="CA69" s="67"/>
      <c r="CB69" s="66">
        <f t="shared" si="54"/>
        <v>0</v>
      </c>
      <c r="CC69" s="58"/>
      <c r="CD69" s="67"/>
      <c r="CE69" s="66">
        <f t="shared" si="55"/>
        <v>0</v>
      </c>
      <c r="CF69" s="58"/>
      <c r="CG69" s="67"/>
      <c r="CH69" s="66">
        <f t="shared" si="56"/>
        <v>0</v>
      </c>
      <c r="CI69" s="58"/>
      <c r="CJ69" s="67"/>
      <c r="CK69" s="66">
        <f t="shared" si="57"/>
        <v>0</v>
      </c>
      <c r="CL69" s="58"/>
      <c r="CM69" s="67"/>
      <c r="CN69" s="66">
        <f t="shared" si="58"/>
        <v>0</v>
      </c>
      <c r="CO69" s="58"/>
      <c r="CP69" s="67"/>
      <c r="CQ69" s="66">
        <f t="shared" si="59"/>
        <v>0</v>
      </c>
      <c r="CR69" s="58"/>
      <c r="CS69" s="67"/>
      <c r="CT69" s="66">
        <f t="shared" si="60"/>
        <v>0</v>
      </c>
      <c r="CU69" s="58"/>
      <c r="CV69" s="67"/>
      <c r="CW69" s="66">
        <f t="shared" si="61"/>
        <v>0</v>
      </c>
      <c r="CX69" s="58"/>
      <c r="CY69" s="67"/>
      <c r="CZ69" s="66">
        <f t="shared" si="62"/>
        <v>0</v>
      </c>
      <c r="DA69" s="58"/>
      <c r="DB69" s="67"/>
      <c r="DC69" s="66">
        <f t="shared" si="63"/>
        <v>0</v>
      </c>
      <c r="DD69" s="58"/>
      <c r="DE69" s="67"/>
      <c r="DF69" s="66">
        <f t="shared" si="64"/>
        <v>0</v>
      </c>
      <c r="DG69" s="58"/>
      <c r="DH69" s="67"/>
      <c r="DI69" s="66">
        <f t="shared" si="65"/>
        <v>0</v>
      </c>
      <c r="DJ69" s="58"/>
      <c r="DK69" s="67"/>
      <c r="DL69" s="66">
        <f t="shared" si="66"/>
        <v>0</v>
      </c>
      <c r="DM69" s="58"/>
      <c r="DN69" s="67"/>
      <c r="DO69" s="66">
        <f t="shared" si="67"/>
        <v>0</v>
      </c>
      <c r="DP69" s="58"/>
      <c r="DQ69" s="67"/>
      <c r="DR69" s="66">
        <f t="shared" si="68"/>
        <v>0</v>
      </c>
      <c r="DS69" s="58"/>
      <c r="DT69" s="67"/>
      <c r="DU69" s="66">
        <f t="shared" si="69"/>
        <v>0</v>
      </c>
      <c r="DV69" s="58"/>
      <c r="DW69" s="67"/>
      <c r="DX69" s="66">
        <f t="shared" si="70"/>
        <v>0</v>
      </c>
      <c r="DY69" s="58"/>
      <c r="DZ69" s="67"/>
      <c r="EA69" s="66">
        <f t="shared" si="71"/>
        <v>0</v>
      </c>
      <c r="EB69" s="58"/>
      <c r="EC69" s="67"/>
      <c r="ED69" s="66">
        <f t="shared" si="72"/>
        <v>0</v>
      </c>
      <c r="EE69" s="58"/>
      <c r="EF69" s="67"/>
      <c r="EG69" s="66">
        <f t="shared" si="73"/>
        <v>0</v>
      </c>
      <c r="EH69" s="58"/>
      <c r="EI69" s="58"/>
    </row>
    <row r="70" spans="1:139">
      <c r="A70" s="43"/>
      <c r="B70" s="43"/>
      <c r="C70" s="13"/>
      <c r="D70" s="13"/>
      <c r="E70" s="43"/>
      <c r="F70" s="713">
        <f t="shared" si="32"/>
        <v>17</v>
      </c>
      <c r="G70" s="713">
        <f ca="1">VLOOKUP(H70,Equipos!$Q$1:$R$25,2,0)</f>
        <v>16</v>
      </c>
      <c r="H70" s="774">
        <f ca="1">TRUNC(INDEX(WORLDCUP!$X$4:$X$147,MATCH(ADMIN!K70,WORLDCUP!$DT$4:$DT$147,0))+INDEX(Horarios!$R$3:$R$86,MATCH(Horarios!$C$3,Horarios!$P$3:$P$86,0))/24)</f>
        <v>46199</v>
      </c>
      <c r="I70" s="42">
        <v>1</v>
      </c>
      <c r="J70" s="87" t="s">
        <v>182</v>
      </c>
      <c r="K70" s="46" t="str">
        <f ca="1">CONCATENATE(WORLDCUP!AA72,"-",WORLDCUP!AF72)</f>
        <v>Noruega-Francia</v>
      </c>
      <c r="L70" s="46"/>
      <c r="M70" s="48" t="str">
        <f>IF(OR(WORLDCUP!AC72="",WORLDCUP!AD72=""),"-",N70&amp;"|"&amp;O70&amp;"-"&amp;P70)</f>
        <v>-</v>
      </c>
      <c r="N70" s="711" t="str">
        <f>IF(OR(WORLDCUP!AC72="",WORLDCUP!AD72=""),"",IF(WORLDCUP!AC72&gt;WORLDCUP!AD72,"1",IF(WORLDCUP!AC72&lt;WORLDCUP!AD72,"2","X")))</f>
        <v/>
      </c>
      <c r="O70" s="711">
        <f>WORLDCUP!AC72</f>
        <v>0</v>
      </c>
      <c r="P70" s="711">
        <f>WORLDCUP!AD72</f>
        <v>0</v>
      </c>
      <c r="Q70" s="711">
        <f t="shared" si="33"/>
        <v>0</v>
      </c>
      <c r="R70" s="43"/>
      <c r="S70" s="67" t="s">
        <v>1955</v>
      </c>
      <c r="T70" s="66">
        <f t="shared" ref="T70:T77" si="75">IFERROR(IF($M70=S70,($D$8+$D$9+$D$10)*$I70,IF($N70=LEFT(S70,1),($D$8+MAX(0,IF($D$50=1,$D$9*(1-(ABS($Q70-ABS(VALUE(MID(S70,FIND("|",S70)+1,FIND("-",S70)-FIND("|",S70)-1))-VALUE(MID(S70,FIND("-",S70)+1,10)))))*$D$50),$D$9*(1-(IF($N70="X",ABS($O70-VALUE(MID(S70,FIND("|",S70)+1,FIND("-",S70)-FIND("|",S70)-1))),ABS($Q70-ABS(VALUE(MID(S70,FIND("|",S70)+1,FIND("-",S70)-FIND("|",S70)-1))-VALUE(MID(S70,FIND("-",S70)+1,10)))))*$D$50)))))*$I70,0)),0)</f>
        <v>0</v>
      </c>
      <c r="U70" s="58"/>
      <c r="V70" s="67" t="s">
        <v>1951</v>
      </c>
      <c r="W70" s="66">
        <f t="shared" si="35"/>
        <v>0</v>
      </c>
      <c r="X70" s="58"/>
      <c r="Y70" s="67" t="s">
        <v>1955</v>
      </c>
      <c r="Z70" s="66">
        <f t="shared" si="36"/>
        <v>0</v>
      </c>
      <c r="AA70" s="58"/>
      <c r="AB70" s="67" t="s">
        <v>1955</v>
      </c>
      <c r="AC70" s="66">
        <f t="shared" si="37"/>
        <v>0</v>
      </c>
      <c r="AD70" s="58"/>
      <c r="AE70" s="67" t="s">
        <v>1948</v>
      </c>
      <c r="AF70" s="66">
        <f t="shared" si="38"/>
        <v>0</v>
      </c>
      <c r="AG70" s="58"/>
      <c r="AH70" s="67" t="s">
        <v>1955</v>
      </c>
      <c r="AI70" s="66">
        <f t="shared" si="39"/>
        <v>0</v>
      </c>
      <c r="AJ70" s="58"/>
      <c r="AK70" s="67" t="s">
        <v>1955</v>
      </c>
      <c r="AL70" s="66">
        <f t="shared" si="40"/>
        <v>0</v>
      </c>
      <c r="AM70" s="58"/>
      <c r="AN70" s="67" t="s">
        <v>1955</v>
      </c>
      <c r="AO70" s="66">
        <f t="shared" si="41"/>
        <v>0</v>
      </c>
      <c r="AP70" s="58"/>
      <c r="AQ70" s="67" t="s">
        <v>1951</v>
      </c>
      <c r="AR70" s="66">
        <f t="shared" si="42"/>
        <v>0</v>
      </c>
      <c r="AS70" s="58"/>
      <c r="AT70" s="67" t="s">
        <v>1948</v>
      </c>
      <c r="AU70" s="66">
        <f t="shared" si="43"/>
        <v>0</v>
      </c>
      <c r="AV70" s="58"/>
      <c r="AW70" s="67" t="s">
        <v>1955</v>
      </c>
      <c r="AX70" s="66">
        <f t="shared" si="44"/>
        <v>0</v>
      </c>
      <c r="AY70" s="58"/>
      <c r="AZ70" s="67" t="s">
        <v>1955</v>
      </c>
      <c r="BA70" s="66">
        <f t="shared" si="45"/>
        <v>0</v>
      </c>
      <c r="BB70" s="58"/>
      <c r="BC70" s="67" t="s">
        <v>1955</v>
      </c>
      <c r="BD70" s="66">
        <f t="shared" si="46"/>
        <v>0</v>
      </c>
      <c r="BE70" s="58"/>
      <c r="BF70" s="67" t="s">
        <v>1950</v>
      </c>
      <c r="BG70" s="66">
        <f t="shared" si="47"/>
        <v>0</v>
      </c>
      <c r="BH70" s="58"/>
      <c r="BI70" s="67" t="s">
        <v>1955</v>
      </c>
      <c r="BJ70" s="66">
        <f t="shared" si="48"/>
        <v>0</v>
      </c>
      <c r="BK70" s="58"/>
      <c r="BL70" s="67" t="s">
        <v>1955</v>
      </c>
      <c r="BM70" s="66">
        <f t="shared" si="49"/>
        <v>0</v>
      </c>
      <c r="BN70" s="58"/>
      <c r="BO70" s="67" t="s">
        <v>1955</v>
      </c>
      <c r="BP70" s="66">
        <f t="shared" si="50"/>
        <v>0</v>
      </c>
      <c r="BQ70" s="58"/>
      <c r="BR70" s="67" t="s">
        <v>1955</v>
      </c>
      <c r="BS70" s="66">
        <f t="shared" si="51"/>
        <v>0</v>
      </c>
      <c r="BT70" s="58"/>
      <c r="BU70" s="67"/>
      <c r="BV70" s="66">
        <f t="shared" si="52"/>
        <v>0</v>
      </c>
      <c r="BW70" s="58"/>
      <c r="BX70" s="67"/>
      <c r="BY70" s="66">
        <f t="shared" si="53"/>
        <v>0</v>
      </c>
      <c r="BZ70" s="58"/>
      <c r="CA70" s="67"/>
      <c r="CB70" s="66">
        <f t="shared" si="54"/>
        <v>0</v>
      </c>
      <c r="CC70" s="58"/>
      <c r="CD70" s="67"/>
      <c r="CE70" s="66">
        <f t="shared" si="55"/>
        <v>0</v>
      </c>
      <c r="CF70" s="58"/>
      <c r="CG70" s="67"/>
      <c r="CH70" s="66">
        <f t="shared" si="56"/>
        <v>0</v>
      </c>
      <c r="CI70" s="58"/>
      <c r="CJ70" s="67"/>
      <c r="CK70" s="66">
        <f t="shared" si="57"/>
        <v>0</v>
      </c>
      <c r="CL70" s="58"/>
      <c r="CM70" s="67"/>
      <c r="CN70" s="66">
        <f t="shared" si="58"/>
        <v>0</v>
      </c>
      <c r="CO70" s="58"/>
      <c r="CP70" s="67"/>
      <c r="CQ70" s="66">
        <f t="shared" si="59"/>
        <v>0</v>
      </c>
      <c r="CR70" s="58"/>
      <c r="CS70" s="67"/>
      <c r="CT70" s="66">
        <f t="shared" si="60"/>
        <v>0</v>
      </c>
      <c r="CU70" s="58"/>
      <c r="CV70" s="67"/>
      <c r="CW70" s="66">
        <f t="shared" si="61"/>
        <v>0</v>
      </c>
      <c r="CX70" s="58"/>
      <c r="CY70" s="67"/>
      <c r="CZ70" s="66">
        <f t="shared" si="62"/>
        <v>0</v>
      </c>
      <c r="DA70" s="58"/>
      <c r="DB70" s="67"/>
      <c r="DC70" s="66">
        <f t="shared" si="63"/>
        <v>0</v>
      </c>
      <c r="DD70" s="58"/>
      <c r="DE70" s="67"/>
      <c r="DF70" s="66">
        <f t="shared" si="64"/>
        <v>0</v>
      </c>
      <c r="DG70" s="58"/>
      <c r="DH70" s="67"/>
      <c r="DI70" s="66">
        <f t="shared" si="65"/>
        <v>0</v>
      </c>
      <c r="DJ70" s="58"/>
      <c r="DK70" s="67"/>
      <c r="DL70" s="66">
        <f t="shared" si="66"/>
        <v>0</v>
      </c>
      <c r="DM70" s="58"/>
      <c r="DN70" s="67"/>
      <c r="DO70" s="66">
        <f t="shared" si="67"/>
        <v>0</v>
      </c>
      <c r="DP70" s="58"/>
      <c r="DQ70" s="67"/>
      <c r="DR70" s="66">
        <f t="shared" si="68"/>
        <v>0</v>
      </c>
      <c r="DS70" s="58"/>
      <c r="DT70" s="67"/>
      <c r="DU70" s="66">
        <f t="shared" si="69"/>
        <v>0</v>
      </c>
      <c r="DV70" s="58"/>
      <c r="DW70" s="67"/>
      <c r="DX70" s="66">
        <f t="shared" si="70"/>
        <v>0</v>
      </c>
      <c r="DY70" s="58"/>
      <c r="DZ70" s="67"/>
      <c r="EA70" s="66">
        <f t="shared" si="71"/>
        <v>0</v>
      </c>
      <c r="EB70" s="58"/>
      <c r="EC70" s="67"/>
      <c r="ED70" s="66">
        <f t="shared" si="72"/>
        <v>0</v>
      </c>
      <c r="EE70" s="58"/>
      <c r="EF70" s="67"/>
      <c r="EG70" s="66">
        <f t="shared" si="73"/>
        <v>0</v>
      </c>
      <c r="EH70" s="58"/>
      <c r="EI70" s="58"/>
    </row>
    <row r="71" spans="1:139">
      <c r="A71" s="43"/>
      <c r="B71" s="43"/>
      <c r="C71" s="711"/>
      <c r="D71" s="711"/>
      <c r="E71" s="43"/>
      <c r="F71" s="713">
        <f t="shared" ref="F71:F77" si="76">SUM($D$8:$D$10)*I71</f>
        <v>17</v>
      </c>
      <c r="G71" s="713">
        <f ca="1">VLOOKUP(H71,Equipos!$Q$1:$R$25,2,0)</f>
        <v>16</v>
      </c>
      <c r="H71" s="774">
        <f ca="1">TRUNC(INDEX(WORLDCUP!$X$4:$X$147,MATCH(ADMIN!K71,WORLDCUP!$DT$4:$DT$147,0))+INDEX(Horarios!$R$3:$R$86,MATCH(Horarios!$C$3,Horarios!$P$3:$P$86,0))/24)</f>
        <v>46199</v>
      </c>
      <c r="I71" s="42">
        <v>1</v>
      </c>
      <c r="J71" s="87" t="s">
        <v>182</v>
      </c>
      <c r="K71" s="49" t="str">
        <f ca="1">CONCATENATE(WORLDCUP!AA73,"-",WORLDCUP!AF73)</f>
        <v>Senegal-Irak</v>
      </c>
      <c r="L71" s="46"/>
      <c r="M71" s="48" t="str">
        <f>IF(OR(WORLDCUP!AC73="",WORLDCUP!AD73=""),"-",N71&amp;"|"&amp;O71&amp;"-"&amp;P71)</f>
        <v>-</v>
      </c>
      <c r="N71" s="711" t="str">
        <f>IF(OR(WORLDCUP!AC73="",WORLDCUP!AD73=""),"",IF(WORLDCUP!AC73&gt;WORLDCUP!AD73,"1",IF(WORLDCUP!AC73&lt;WORLDCUP!AD73,"2","X")))</f>
        <v/>
      </c>
      <c r="O71" s="711">
        <f>WORLDCUP!AC73</f>
        <v>0</v>
      </c>
      <c r="P71" s="711">
        <f>WORLDCUP!AD73</f>
        <v>0</v>
      </c>
      <c r="Q71" s="711">
        <f t="shared" ref="Q71:Q77" si="77">ABS(O71-P71)</f>
        <v>0</v>
      </c>
      <c r="R71" s="43"/>
      <c r="S71" s="67" t="s">
        <v>1962</v>
      </c>
      <c r="T71" s="66">
        <f t="shared" si="75"/>
        <v>0</v>
      </c>
      <c r="U71" s="58"/>
      <c r="V71" s="67" t="s">
        <v>1956</v>
      </c>
      <c r="W71" s="66">
        <f t="shared" si="35"/>
        <v>0</v>
      </c>
      <c r="X71" s="58"/>
      <c r="Y71" s="67" t="s">
        <v>1953</v>
      </c>
      <c r="Z71" s="66">
        <f t="shared" si="36"/>
        <v>0</v>
      </c>
      <c r="AA71" s="58"/>
      <c r="AB71" s="67" t="s">
        <v>1956</v>
      </c>
      <c r="AC71" s="66">
        <f t="shared" si="37"/>
        <v>0</v>
      </c>
      <c r="AD71" s="58"/>
      <c r="AE71" s="67" t="s">
        <v>1959</v>
      </c>
      <c r="AF71" s="66">
        <f t="shared" si="38"/>
        <v>0</v>
      </c>
      <c r="AG71" s="58"/>
      <c r="AH71" s="67" t="s">
        <v>1953</v>
      </c>
      <c r="AI71" s="66">
        <f t="shared" si="39"/>
        <v>0</v>
      </c>
      <c r="AJ71" s="58"/>
      <c r="AK71" s="67" t="s">
        <v>1953</v>
      </c>
      <c r="AL71" s="66">
        <f t="shared" si="40"/>
        <v>0</v>
      </c>
      <c r="AM71" s="58"/>
      <c r="AN71" s="67" t="s">
        <v>1953</v>
      </c>
      <c r="AO71" s="66">
        <f t="shared" si="41"/>
        <v>0</v>
      </c>
      <c r="AP71" s="58"/>
      <c r="AQ71" s="67" t="s">
        <v>1956</v>
      </c>
      <c r="AR71" s="66">
        <f t="shared" si="42"/>
        <v>0</v>
      </c>
      <c r="AS71" s="58"/>
      <c r="AT71" s="67" t="s">
        <v>1959</v>
      </c>
      <c r="AU71" s="66">
        <f t="shared" si="43"/>
        <v>0</v>
      </c>
      <c r="AV71" s="58"/>
      <c r="AW71" s="67" t="s">
        <v>1953</v>
      </c>
      <c r="AX71" s="66">
        <f t="shared" si="44"/>
        <v>0</v>
      </c>
      <c r="AY71" s="58"/>
      <c r="AZ71" s="67" t="s">
        <v>1953</v>
      </c>
      <c r="BA71" s="66">
        <f t="shared" si="45"/>
        <v>0</v>
      </c>
      <c r="BB71" s="58"/>
      <c r="BC71" s="67" t="s">
        <v>1953</v>
      </c>
      <c r="BD71" s="66">
        <f t="shared" si="46"/>
        <v>0</v>
      </c>
      <c r="BE71" s="58"/>
      <c r="BF71" s="67" t="s">
        <v>1962</v>
      </c>
      <c r="BG71" s="66">
        <f t="shared" si="47"/>
        <v>0</v>
      </c>
      <c r="BH71" s="58"/>
      <c r="BI71" s="67" t="s">
        <v>1956</v>
      </c>
      <c r="BJ71" s="66">
        <f t="shared" si="48"/>
        <v>0</v>
      </c>
      <c r="BK71" s="58"/>
      <c r="BL71" s="67" t="s">
        <v>1956</v>
      </c>
      <c r="BM71" s="66">
        <f t="shared" si="49"/>
        <v>0</v>
      </c>
      <c r="BN71" s="58"/>
      <c r="BO71" s="67" t="s">
        <v>1954</v>
      </c>
      <c r="BP71" s="66">
        <f t="shared" si="50"/>
        <v>0</v>
      </c>
      <c r="BQ71" s="58"/>
      <c r="BR71" s="67" t="s">
        <v>1953</v>
      </c>
      <c r="BS71" s="66">
        <f t="shared" si="51"/>
        <v>0</v>
      </c>
      <c r="BT71" s="58"/>
      <c r="BU71" s="67"/>
      <c r="BV71" s="66">
        <f t="shared" si="52"/>
        <v>0</v>
      </c>
      <c r="BW71" s="58"/>
      <c r="BX71" s="67"/>
      <c r="BY71" s="66">
        <f t="shared" si="53"/>
        <v>0</v>
      </c>
      <c r="BZ71" s="58"/>
      <c r="CA71" s="67"/>
      <c r="CB71" s="66">
        <f t="shared" si="54"/>
        <v>0</v>
      </c>
      <c r="CC71" s="58"/>
      <c r="CD71" s="67"/>
      <c r="CE71" s="66">
        <f t="shared" si="55"/>
        <v>0</v>
      </c>
      <c r="CF71" s="58"/>
      <c r="CG71" s="67"/>
      <c r="CH71" s="66">
        <f t="shared" si="56"/>
        <v>0</v>
      </c>
      <c r="CI71" s="58"/>
      <c r="CJ71" s="67"/>
      <c r="CK71" s="66">
        <f t="shared" si="57"/>
        <v>0</v>
      </c>
      <c r="CL71" s="58"/>
      <c r="CM71" s="67"/>
      <c r="CN71" s="66">
        <f t="shared" si="58"/>
        <v>0</v>
      </c>
      <c r="CO71" s="58"/>
      <c r="CP71" s="67"/>
      <c r="CQ71" s="66">
        <f t="shared" si="59"/>
        <v>0</v>
      </c>
      <c r="CR71" s="58"/>
      <c r="CS71" s="67"/>
      <c r="CT71" s="66">
        <f t="shared" si="60"/>
        <v>0</v>
      </c>
      <c r="CU71" s="58"/>
      <c r="CV71" s="67"/>
      <c r="CW71" s="66">
        <f t="shared" si="61"/>
        <v>0</v>
      </c>
      <c r="CX71" s="58"/>
      <c r="CY71" s="67"/>
      <c r="CZ71" s="66">
        <f t="shared" si="62"/>
        <v>0</v>
      </c>
      <c r="DA71" s="58"/>
      <c r="DB71" s="67"/>
      <c r="DC71" s="66">
        <f t="shared" si="63"/>
        <v>0</v>
      </c>
      <c r="DD71" s="58"/>
      <c r="DE71" s="67"/>
      <c r="DF71" s="66">
        <f t="shared" si="64"/>
        <v>0</v>
      </c>
      <c r="DG71" s="58"/>
      <c r="DH71" s="67"/>
      <c r="DI71" s="66">
        <f t="shared" si="65"/>
        <v>0</v>
      </c>
      <c r="DJ71" s="58"/>
      <c r="DK71" s="67"/>
      <c r="DL71" s="66">
        <f t="shared" si="66"/>
        <v>0</v>
      </c>
      <c r="DM71" s="58"/>
      <c r="DN71" s="67"/>
      <c r="DO71" s="66">
        <f t="shared" si="67"/>
        <v>0</v>
      </c>
      <c r="DP71" s="58"/>
      <c r="DQ71" s="67"/>
      <c r="DR71" s="66">
        <f t="shared" si="68"/>
        <v>0</v>
      </c>
      <c r="DS71" s="58"/>
      <c r="DT71" s="67"/>
      <c r="DU71" s="66">
        <f t="shared" si="69"/>
        <v>0</v>
      </c>
      <c r="DV71" s="58"/>
      <c r="DW71" s="67"/>
      <c r="DX71" s="66">
        <f t="shared" si="70"/>
        <v>0</v>
      </c>
      <c r="DY71" s="58"/>
      <c r="DZ71" s="67"/>
      <c r="EA71" s="66">
        <f t="shared" si="71"/>
        <v>0</v>
      </c>
      <c r="EB71" s="58"/>
      <c r="EC71" s="65"/>
      <c r="ED71" s="66">
        <f t="shared" si="72"/>
        <v>0</v>
      </c>
      <c r="EE71" s="58"/>
      <c r="EF71" s="67"/>
      <c r="EG71" s="66">
        <f t="shared" si="73"/>
        <v>0</v>
      </c>
      <c r="EH71" s="58"/>
      <c r="EI71" s="58"/>
    </row>
    <row r="72" spans="1:139">
      <c r="A72" s="43"/>
      <c r="B72" s="43"/>
      <c r="C72" s="711"/>
      <c r="D72" s="711"/>
      <c r="E72" s="43"/>
      <c r="F72" s="713">
        <f t="shared" si="76"/>
        <v>17</v>
      </c>
      <c r="G72" s="713">
        <f ca="1">VLOOKUP(H72,Equipos!$Q$1:$R$25,2,0)</f>
        <v>18</v>
      </c>
      <c r="H72" s="774">
        <f ca="1">TRUNC(INDEX(WORLDCUP!$X$4:$X$147,MATCH(ADMIN!K72,WORLDCUP!$DT$4:$DT$147,0))+INDEX(Horarios!$R$3:$R$86,MATCH(Horarios!$C$3,Horarios!$P$3:$P$86,0))/24)</f>
        <v>46201</v>
      </c>
      <c r="I72" s="42">
        <v>1</v>
      </c>
      <c r="J72" s="88" t="s">
        <v>28</v>
      </c>
      <c r="K72" s="46" t="str">
        <f ca="1">CONCATENATE(WORLDCUP!AA80,"-",WORLDCUP!AF80)</f>
        <v>Argelia-Austria</v>
      </c>
      <c r="L72" s="46"/>
      <c r="M72" s="48" t="str">
        <f>IF(OR(WORLDCUP!AC80="",WORLDCUP!AD80=""),"-",N72&amp;"|"&amp;O72&amp;"-"&amp;P72)</f>
        <v>-</v>
      </c>
      <c r="N72" s="711" t="str">
        <f>IF(OR(WORLDCUP!AC80="",WORLDCUP!AD80=""),"",IF(WORLDCUP!AC80&gt;WORLDCUP!AD80,"1",IF(WORLDCUP!AC80&lt;WORLDCUP!AD80,"2","X")))</f>
        <v/>
      </c>
      <c r="O72" s="711">
        <f>WORLDCUP!AC80</f>
        <v>0</v>
      </c>
      <c r="P72" s="711">
        <f>WORLDCUP!AD80</f>
        <v>0</v>
      </c>
      <c r="Q72" s="711">
        <f t="shared" si="77"/>
        <v>0</v>
      </c>
      <c r="R72" s="43"/>
      <c r="S72" s="67" t="s">
        <v>1948</v>
      </c>
      <c r="T72" s="66">
        <f t="shared" si="75"/>
        <v>0</v>
      </c>
      <c r="U72" s="58"/>
      <c r="V72" s="67" t="s">
        <v>1948</v>
      </c>
      <c r="W72" s="66">
        <f t="shared" ref="W72:W77" si="78">IFERROR(IF($M72=V72,($D$8+$D$9+$D$10)*$I72,IF($N72=LEFT(V72,1),($D$8+MAX(0,IF($D$50=1,$D$9*(1-(ABS($Q72-ABS(VALUE(MID(V72,FIND("|",V72)+1,FIND("-",V72)-FIND("|",V72)-1))-VALUE(MID(V72,FIND("-",V72)+1,10)))))*$D$50),$D$9*(1-(IF($N72="X",ABS($O72-VALUE(MID(V72,FIND("|",V72)+1,FIND("-",V72)-FIND("|",V72)-1))),ABS($Q72-ABS(VALUE(MID(V72,FIND("|",V72)+1,FIND("-",V72)-FIND("|",V72)-1))-VALUE(MID(V72,FIND("-",V72)+1,10)))))*$D$50)))))*$I72,0)),0)</f>
        <v>0</v>
      </c>
      <c r="X72" s="58"/>
      <c r="Y72" s="67" t="s">
        <v>1948</v>
      </c>
      <c r="Z72" s="66">
        <f t="shared" ref="Z72:Z77" si="79">IFERROR(IF($M72=Y72,($D$8+$D$9+$D$10)*$I72,IF($N72=LEFT(Y72,1),($D$8+MAX(0,IF($D$50=1,$D$9*(1-(ABS($Q72-ABS(VALUE(MID(Y72,FIND("|",Y72)+1,FIND("-",Y72)-FIND("|",Y72)-1))-VALUE(MID(Y72,FIND("-",Y72)+1,10)))))*$D$50),$D$9*(1-(IF($N72="X",ABS($O72-VALUE(MID(Y72,FIND("|",Y72)+1,FIND("-",Y72)-FIND("|",Y72)-1))),ABS($Q72-ABS(VALUE(MID(Y72,FIND("|",Y72)+1,FIND("-",Y72)-FIND("|",Y72)-1))-VALUE(MID(Y72,FIND("-",Y72)+1,10)))))*$D$50)))))*$I72,0)),0)</f>
        <v>0</v>
      </c>
      <c r="AA72" s="58"/>
      <c r="AB72" s="67" t="s">
        <v>1960</v>
      </c>
      <c r="AC72" s="66">
        <f t="shared" ref="AC72:AC77" si="80">IFERROR(IF($M72=AB72,($D$8+$D$9+$D$10)*$I72,IF($N72=LEFT(AB72,1),($D$8+MAX(0,IF($D$50=1,$D$9*(1-(ABS($Q72-ABS(VALUE(MID(AB72,FIND("|",AB72)+1,FIND("-",AB72)-FIND("|",AB72)-1))-VALUE(MID(AB72,FIND("-",AB72)+1,10)))))*$D$50),$D$9*(1-(IF($N72="X",ABS($O72-VALUE(MID(AB72,FIND("|",AB72)+1,FIND("-",AB72)-FIND("|",AB72)-1))),ABS($Q72-ABS(VALUE(MID(AB72,FIND("|",AB72)+1,FIND("-",AB72)-FIND("|",AB72)-1))-VALUE(MID(AB72,FIND("-",AB72)+1,10)))))*$D$50)))))*$I72,0)),0)</f>
        <v>0</v>
      </c>
      <c r="AD72" s="58"/>
      <c r="AE72" s="67" t="s">
        <v>1947</v>
      </c>
      <c r="AF72" s="66">
        <f t="shared" ref="AF72:AF77" si="81">IFERROR(IF($M72=AE72,($D$8+$D$9+$D$10)*$I72,IF($N72=LEFT(AE72,1),($D$8+MAX(0,IF($D$50=1,$D$9*(1-(ABS($Q72-ABS(VALUE(MID(AE72,FIND("|",AE72)+1,FIND("-",AE72)-FIND("|",AE72)-1))-VALUE(MID(AE72,FIND("-",AE72)+1,10)))))*$D$50),$D$9*(1-(IF($N72="X",ABS($O72-VALUE(MID(AE72,FIND("|",AE72)+1,FIND("-",AE72)-FIND("|",AE72)-1))),ABS($Q72-ABS(VALUE(MID(AE72,FIND("|",AE72)+1,FIND("-",AE72)-FIND("|",AE72)-1))-VALUE(MID(AE72,FIND("-",AE72)+1,10)))))*$D$50)))))*$I72,0)),0)</f>
        <v>0</v>
      </c>
      <c r="AG72" s="58"/>
      <c r="AH72" s="67" t="s">
        <v>1955</v>
      </c>
      <c r="AI72" s="66">
        <f t="shared" ref="AI72:AI77" si="82">IFERROR(IF($M72=AH72,($D$8+$D$9+$D$10)*$I72,IF($N72=LEFT(AH72,1),($D$8+MAX(0,IF($D$50=1,$D$9*(1-(ABS($Q72-ABS(VALUE(MID(AH72,FIND("|",AH72)+1,FIND("-",AH72)-FIND("|",AH72)-1))-VALUE(MID(AH72,FIND("-",AH72)+1,10)))))*$D$50),$D$9*(1-(IF($N72="X",ABS($O72-VALUE(MID(AH72,FIND("|",AH72)+1,FIND("-",AH72)-FIND("|",AH72)-1))),ABS($Q72-ABS(VALUE(MID(AH72,FIND("|",AH72)+1,FIND("-",AH72)-FIND("|",AH72)-1))-VALUE(MID(AH72,FIND("-",AH72)+1,10)))))*$D$50)))))*$I72,0)),0)</f>
        <v>0</v>
      </c>
      <c r="AJ72" s="58"/>
      <c r="AK72" s="67" t="s">
        <v>1955</v>
      </c>
      <c r="AL72" s="66">
        <f t="shared" ref="AL72:AL77" si="83">IFERROR(IF($M72=AK72,($D$8+$D$9+$D$10)*$I72,IF($N72=LEFT(AK72,1),($D$8+MAX(0,IF($D$50=1,$D$9*(1-(ABS($Q72-ABS(VALUE(MID(AK72,FIND("|",AK72)+1,FIND("-",AK72)-FIND("|",AK72)-1))-VALUE(MID(AK72,FIND("-",AK72)+1,10)))))*$D$50),$D$9*(1-(IF($N72="X",ABS($O72-VALUE(MID(AK72,FIND("|",AK72)+1,FIND("-",AK72)-FIND("|",AK72)-1))),ABS($Q72-ABS(VALUE(MID(AK72,FIND("|",AK72)+1,FIND("-",AK72)-FIND("|",AK72)-1))-VALUE(MID(AK72,FIND("-",AK72)+1,10)))))*$D$50)))))*$I72,0)),0)</f>
        <v>0</v>
      </c>
      <c r="AM72" s="58"/>
      <c r="AN72" s="67" t="s">
        <v>1948</v>
      </c>
      <c r="AO72" s="66">
        <f t="shared" ref="AO72:AO77" si="84">IFERROR(IF($M72=AN72,($D$8+$D$9+$D$10)*$I72,IF($N72=LEFT(AN72,1),($D$8+MAX(0,IF($D$50=1,$D$9*(1-(ABS($Q72-ABS(VALUE(MID(AN72,FIND("|",AN72)+1,FIND("-",AN72)-FIND("|",AN72)-1))-VALUE(MID(AN72,FIND("-",AN72)+1,10)))))*$D$50),$D$9*(1-(IF($N72="X",ABS($O72-VALUE(MID(AN72,FIND("|",AN72)+1,FIND("-",AN72)-FIND("|",AN72)-1))),ABS($Q72-ABS(VALUE(MID(AN72,FIND("|",AN72)+1,FIND("-",AN72)-FIND("|",AN72)-1))-VALUE(MID(AN72,FIND("-",AN72)+1,10)))))*$D$50)))))*$I72,0)),0)</f>
        <v>0</v>
      </c>
      <c r="AP72" s="58"/>
      <c r="AQ72" s="67" t="s">
        <v>1960</v>
      </c>
      <c r="AR72" s="66">
        <f t="shared" ref="AR72:AR77" si="85">IFERROR(IF($M72=AQ72,($D$8+$D$9+$D$10)*$I72,IF($N72=LEFT(AQ72,1),($D$8+MAX(0,IF($D$50=1,$D$9*(1-(ABS($Q72-ABS(VALUE(MID(AQ72,FIND("|",AQ72)+1,FIND("-",AQ72)-FIND("|",AQ72)-1))-VALUE(MID(AQ72,FIND("-",AQ72)+1,10)))))*$D$50),$D$9*(1-(IF($N72="X",ABS($O72-VALUE(MID(AQ72,FIND("|",AQ72)+1,FIND("-",AQ72)-FIND("|",AQ72)-1))),ABS($Q72-ABS(VALUE(MID(AQ72,FIND("|",AQ72)+1,FIND("-",AQ72)-FIND("|",AQ72)-1))-VALUE(MID(AQ72,FIND("-",AQ72)+1,10)))))*$D$50)))))*$I72,0)),0)</f>
        <v>0</v>
      </c>
      <c r="AS72" s="58"/>
      <c r="AT72" s="67" t="s">
        <v>1950</v>
      </c>
      <c r="AU72" s="66">
        <f t="shared" ref="AU72:AU77" si="86">IFERROR(IF($M72=AT72,($D$8+$D$9+$D$10)*$I72,IF($N72=LEFT(AT72,1),($D$8+MAX(0,IF($D$50=1,$D$9*(1-(ABS($Q72-ABS(VALUE(MID(AT72,FIND("|",AT72)+1,FIND("-",AT72)-FIND("|",AT72)-1))-VALUE(MID(AT72,FIND("-",AT72)+1,10)))))*$D$50),$D$9*(1-(IF($N72="X",ABS($O72-VALUE(MID(AT72,FIND("|",AT72)+1,FIND("-",AT72)-FIND("|",AT72)-1))),ABS($Q72-ABS(VALUE(MID(AT72,FIND("|",AT72)+1,FIND("-",AT72)-FIND("|",AT72)-1))-VALUE(MID(AT72,FIND("-",AT72)+1,10)))))*$D$50)))))*$I72,0)),0)</f>
        <v>0</v>
      </c>
      <c r="AV72" s="58"/>
      <c r="AW72" s="67" t="s">
        <v>1948</v>
      </c>
      <c r="AX72" s="66">
        <f t="shared" ref="AX72:AX77" si="87">IFERROR(IF($M72=AW72,($D$8+$D$9+$D$10)*$I72,IF($N72=LEFT(AW72,1),($D$8+MAX(0,IF($D$50=1,$D$9*(1-(ABS($Q72-ABS(VALUE(MID(AW72,FIND("|",AW72)+1,FIND("-",AW72)-FIND("|",AW72)-1))-VALUE(MID(AW72,FIND("-",AW72)+1,10)))))*$D$50),$D$9*(1-(IF($N72="X",ABS($O72-VALUE(MID(AW72,FIND("|",AW72)+1,FIND("-",AW72)-FIND("|",AW72)-1))),ABS($Q72-ABS(VALUE(MID(AW72,FIND("|",AW72)+1,FIND("-",AW72)-FIND("|",AW72)-1))-VALUE(MID(AW72,FIND("-",AW72)+1,10)))))*$D$50)))))*$I72,0)),0)</f>
        <v>0</v>
      </c>
      <c r="AY72" s="58"/>
      <c r="AZ72" s="67" t="s">
        <v>1955</v>
      </c>
      <c r="BA72" s="66">
        <f t="shared" ref="BA72:BA77" si="88">IFERROR(IF($M72=AZ72,($D$8+$D$9+$D$10)*$I72,IF($N72=LEFT(AZ72,1),($D$8+MAX(0,IF($D$50=1,$D$9*(1-(ABS($Q72-ABS(VALUE(MID(AZ72,FIND("|",AZ72)+1,FIND("-",AZ72)-FIND("|",AZ72)-1))-VALUE(MID(AZ72,FIND("-",AZ72)+1,10)))))*$D$50),$D$9*(1-(IF($N72="X",ABS($O72-VALUE(MID(AZ72,FIND("|",AZ72)+1,FIND("-",AZ72)-FIND("|",AZ72)-1))),ABS($Q72-ABS(VALUE(MID(AZ72,FIND("|",AZ72)+1,FIND("-",AZ72)-FIND("|",AZ72)-1))-VALUE(MID(AZ72,FIND("-",AZ72)+1,10)))))*$D$50)))))*$I72,0)),0)</f>
        <v>0</v>
      </c>
      <c r="BB72" s="58"/>
      <c r="BC72" s="67" t="s">
        <v>1948</v>
      </c>
      <c r="BD72" s="66">
        <f t="shared" ref="BD72:BD77" si="89">IFERROR(IF($M72=BC72,($D$8+$D$9+$D$10)*$I72,IF($N72=LEFT(BC72,1),($D$8+MAX(0,IF($D$50=1,$D$9*(1-(ABS($Q72-ABS(VALUE(MID(BC72,FIND("|",BC72)+1,FIND("-",BC72)-FIND("|",BC72)-1))-VALUE(MID(BC72,FIND("-",BC72)+1,10)))))*$D$50),$D$9*(1-(IF($N72="X",ABS($O72-VALUE(MID(BC72,FIND("|",BC72)+1,FIND("-",BC72)-FIND("|",BC72)-1))),ABS($Q72-ABS(VALUE(MID(BC72,FIND("|",BC72)+1,FIND("-",BC72)-FIND("|",BC72)-1))-VALUE(MID(BC72,FIND("-",BC72)+1,10)))))*$D$50)))))*$I72,0)),0)</f>
        <v>0</v>
      </c>
      <c r="BE72" s="58"/>
      <c r="BF72" s="67" t="s">
        <v>1950</v>
      </c>
      <c r="BG72" s="66">
        <f t="shared" ref="BG72:BG77" si="90">IFERROR(IF($M72=BF72,($D$8+$D$9+$D$10)*$I72,IF($N72=LEFT(BF72,1),($D$8+MAX(0,IF($D$50=1,$D$9*(1-(ABS($Q72-ABS(VALUE(MID(BF72,FIND("|",BF72)+1,FIND("-",BF72)-FIND("|",BF72)-1))-VALUE(MID(BF72,FIND("-",BF72)+1,10)))))*$D$50),$D$9*(1-(IF($N72="X",ABS($O72-VALUE(MID(BF72,FIND("|",BF72)+1,FIND("-",BF72)-FIND("|",BF72)-1))),ABS($Q72-ABS(VALUE(MID(BF72,FIND("|",BF72)+1,FIND("-",BF72)-FIND("|",BF72)-1))-VALUE(MID(BF72,FIND("-",BF72)+1,10)))))*$D$50)))))*$I72,0)),0)</f>
        <v>0</v>
      </c>
      <c r="BH72" s="58"/>
      <c r="BI72" s="67" t="s">
        <v>1950</v>
      </c>
      <c r="BJ72" s="66">
        <f t="shared" ref="BJ72:BJ77" si="91">IFERROR(IF($M72=BI72,($D$8+$D$9+$D$10)*$I72,IF($N72=LEFT(BI72,1),($D$8+MAX(0,IF($D$50=1,$D$9*(1-(ABS($Q72-ABS(VALUE(MID(BI72,FIND("|",BI72)+1,FIND("-",BI72)-FIND("|",BI72)-1))-VALUE(MID(BI72,FIND("-",BI72)+1,10)))))*$D$50),$D$9*(1-(IF($N72="X",ABS($O72-VALUE(MID(BI72,FIND("|",BI72)+1,FIND("-",BI72)-FIND("|",BI72)-1))),ABS($Q72-ABS(VALUE(MID(BI72,FIND("|",BI72)+1,FIND("-",BI72)-FIND("|",BI72)-1))-VALUE(MID(BI72,FIND("-",BI72)+1,10)))))*$D$50)))))*$I72,0)),0)</f>
        <v>0</v>
      </c>
      <c r="BK72" s="58"/>
      <c r="BL72" s="67" t="s">
        <v>1948</v>
      </c>
      <c r="BM72" s="66">
        <f t="shared" ref="BM72:BM77" si="92">IFERROR(IF($M72=BL72,($D$8+$D$9+$D$10)*$I72,IF($N72=LEFT(BL72,1),($D$8+MAX(0,IF($D$50=1,$D$9*(1-(ABS($Q72-ABS(VALUE(MID(BL72,FIND("|",BL72)+1,FIND("-",BL72)-FIND("|",BL72)-1))-VALUE(MID(BL72,FIND("-",BL72)+1,10)))))*$D$50),$D$9*(1-(IF($N72="X",ABS($O72-VALUE(MID(BL72,FIND("|",BL72)+1,FIND("-",BL72)-FIND("|",BL72)-1))),ABS($Q72-ABS(VALUE(MID(BL72,FIND("|",BL72)+1,FIND("-",BL72)-FIND("|",BL72)-1))-VALUE(MID(BL72,FIND("-",BL72)+1,10)))))*$D$50)))))*$I72,0)),0)</f>
        <v>0</v>
      </c>
      <c r="BN72" s="58"/>
      <c r="BO72" s="67" t="s">
        <v>1963</v>
      </c>
      <c r="BP72" s="66">
        <f t="shared" ref="BP72:BP77" si="93">IFERROR(IF($M72=BO72,($D$8+$D$9+$D$10)*$I72,IF($N72=LEFT(BO72,1),($D$8+MAX(0,IF($D$50=1,$D$9*(1-(ABS($Q72-ABS(VALUE(MID(BO72,FIND("|",BO72)+1,FIND("-",BO72)-FIND("|",BO72)-1))-VALUE(MID(BO72,FIND("-",BO72)+1,10)))))*$D$50),$D$9*(1-(IF($N72="X",ABS($O72-VALUE(MID(BO72,FIND("|",BO72)+1,FIND("-",BO72)-FIND("|",BO72)-1))),ABS($Q72-ABS(VALUE(MID(BO72,FIND("|",BO72)+1,FIND("-",BO72)-FIND("|",BO72)-1))-VALUE(MID(BO72,FIND("-",BO72)+1,10)))))*$D$50)))))*$I72,0)),0)</f>
        <v>0</v>
      </c>
      <c r="BQ72" s="58"/>
      <c r="BR72" s="67" t="s">
        <v>1955</v>
      </c>
      <c r="BS72" s="66">
        <f t="shared" ref="BS72:BS77" si="94">IFERROR(IF($M72=BR72,($D$8+$D$9+$D$10)*$I72,IF($N72=LEFT(BR72,1),($D$8+MAX(0,IF($D$50=1,$D$9*(1-(ABS($Q72-ABS(VALUE(MID(BR72,FIND("|",BR72)+1,FIND("-",BR72)-FIND("|",BR72)-1))-VALUE(MID(BR72,FIND("-",BR72)+1,10)))))*$D$50),$D$9*(1-(IF($N72="X",ABS($O72-VALUE(MID(BR72,FIND("|",BR72)+1,FIND("-",BR72)-FIND("|",BR72)-1))),ABS($Q72-ABS(VALUE(MID(BR72,FIND("|",BR72)+1,FIND("-",BR72)-FIND("|",BR72)-1))-VALUE(MID(BR72,FIND("-",BR72)+1,10)))))*$D$50)))))*$I72,0)),0)</f>
        <v>0</v>
      </c>
      <c r="BT72" s="58"/>
      <c r="BU72" s="67"/>
      <c r="BV72" s="66">
        <f t="shared" ref="BV72:BV77" si="95">IFERROR(IF($M72=BU72,($D$8+$D$9+$D$10)*$I72,IF($N72=LEFT(BU72,1),($D$8+MAX(0,IF($D$50=1,$D$9*(1-(ABS($Q72-ABS(VALUE(MID(BU72,FIND("|",BU72)+1,FIND("-",BU72)-FIND("|",BU72)-1))-VALUE(MID(BU72,FIND("-",BU72)+1,10)))))*$D$50),$D$9*(1-(IF($N72="X",ABS($O72-VALUE(MID(BU72,FIND("|",BU72)+1,FIND("-",BU72)-FIND("|",BU72)-1))),ABS($Q72-ABS(VALUE(MID(BU72,FIND("|",BU72)+1,FIND("-",BU72)-FIND("|",BU72)-1))-VALUE(MID(BU72,FIND("-",BU72)+1,10)))))*$D$50)))))*$I72,0)),0)</f>
        <v>0</v>
      </c>
      <c r="BW72" s="58"/>
      <c r="BX72" s="67"/>
      <c r="BY72" s="66">
        <f t="shared" ref="BY72:BY77" si="96">IFERROR(IF($M72=BX72,($D$8+$D$9+$D$10)*$I72,IF($N72=LEFT(BX72,1),($D$8+MAX(0,IF($D$50=1,$D$9*(1-(ABS($Q72-ABS(VALUE(MID(BX72,FIND("|",BX72)+1,FIND("-",BX72)-FIND("|",BX72)-1))-VALUE(MID(BX72,FIND("-",BX72)+1,10)))))*$D$50),$D$9*(1-(IF($N72="X",ABS($O72-VALUE(MID(BX72,FIND("|",BX72)+1,FIND("-",BX72)-FIND("|",BX72)-1))),ABS($Q72-ABS(VALUE(MID(BX72,FIND("|",BX72)+1,FIND("-",BX72)-FIND("|",BX72)-1))-VALUE(MID(BX72,FIND("-",BX72)+1,10)))))*$D$50)))))*$I72,0)),0)</f>
        <v>0</v>
      </c>
      <c r="BZ72" s="58"/>
      <c r="CA72" s="67"/>
      <c r="CB72" s="66">
        <f t="shared" ref="CB72:CB77" si="97">IFERROR(IF($M72=CA72,($D$8+$D$9+$D$10)*$I72,IF($N72=LEFT(CA72,1),($D$8+MAX(0,IF($D$50=1,$D$9*(1-(ABS($Q72-ABS(VALUE(MID(CA72,FIND("|",CA72)+1,FIND("-",CA72)-FIND("|",CA72)-1))-VALUE(MID(CA72,FIND("-",CA72)+1,10)))))*$D$50),$D$9*(1-(IF($N72="X",ABS($O72-VALUE(MID(CA72,FIND("|",CA72)+1,FIND("-",CA72)-FIND("|",CA72)-1))),ABS($Q72-ABS(VALUE(MID(CA72,FIND("|",CA72)+1,FIND("-",CA72)-FIND("|",CA72)-1))-VALUE(MID(CA72,FIND("-",CA72)+1,10)))))*$D$50)))))*$I72,0)),0)</f>
        <v>0</v>
      </c>
      <c r="CC72" s="58"/>
      <c r="CD72" s="67"/>
      <c r="CE72" s="66">
        <f t="shared" ref="CE72:CE77" si="98">IFERROR(IF($M72=CD72,($D$8+$D$9+$D$10)*$I72,IF($N72=LEFT(CD72,1),($D$8+MAX(0,IF($D$50=1,$D$9*(1-(ABS($Q72-ABS(VALUE(MID(CD72,FIND("|",CD72)+1,FIND("-",CD72)-FIND("|",CD72)-1))-VALUE(MID(CD72,FIND("-",CD72)+1,10)))))*$D$50),$D$9*(1-(IF($N72="X",ABS($O72-VALUE(MID(CD72,FIND("|",CD72)+1,FIND("-",CD72)-FIND("|",CD72)-1))),ABS($Q72-ABS(VALUE(MID(CD72,FIND("|",CD72)+1,FIND("-",CD72)-FIND("|",CD72)-1))-VALUE(MID(CD72,FIND("-",CD72)+1,10)))))*$D$50)))))*$I72,0)),0)</f>
        <v>0</v>
      </c>
      <c r="CF72" s="58"/>
      <c r="CG72" s="67"/>
      <c r="CH72" s="66">
        <f t="shared" ref="CH72:CH77" si="99">IFERROR(IF($M72=CG72,($D$8+$D$9+$D$10)*$I72,IF($N72=LEFT(CG72,1),($D$8+MAX(0,IF($D$50=1,$D$9*(1-(ABS($Q72-ABS(VALUE(MID(CG72,FIND("|",CG72)+1,FIND("-",CG72)-FIND("|",CG72)-1))-VALUE(MID(CG72,FIND("-",CG72)+1,10)))))*$D$50),$D$9*(1-(IF($N72="X",ABS($O72-VALUE(MID(CG72,FIND("|",CG72)+1,FIND("-",CG72)-FIND("|",CG72)-1))),ABS($Q72-ABS(VALUE(MID(CG72,FIND("|",CG72)+1,FIND("-",CG72)-FIND("|",CG72)-1))-VALUE(MID(CG72,FIND("-",CG72)+1,10)))))*$D$50)))))*$I72,0)),0)</f>
        <v>0</v>
      </c>
      <c r="CI72" s="58"/>
      <c r="CJ72" s="67"/>
      <c r="CK72" s="66">
        <f t="shared" ref="CK72:CK77" si="100">IFERROR(IF($M72=CJ72,($D$8+$D$9+$D$10)*$I72,IF($N72=LEFT(CJ72,1),($D$8+MAX(0,IF($D$50=1,$D$9*(1-(ABS($Q72-ABS(VALUE(MID(CJ72,FIND("|",CJ72)+1,FIND("-",CJ72)-FIND("|",CJ72)-1))-VALUE(MID(CJ72,FIND("-",CJ72)+1,10)))))*$D$50),$D$9*(1-(IF($N72="X",ABS($O72-VALUE(MID(CJ72,FIND("|",CJ72)+1,FIND("-",CJ72)-FIND("|",CJ72)-1))),ABS($Q72-ABS(VALUE(MID(CJ72,FIND("|",CJ72)+1,FIND("-",CJ72)-FIND("|",CJ72)-1))-VALUE(MID(CJ72,FIND("-",CJ72)+1,10)))))*$D$50)))))*$I72,0)),0)</f>
        <v>0</v>
      </c>
      <c r="CL72" s="58"/>
      <c r="CM72" s="67"/>
      <c r="CN72" s="66">
        <f t="shared" ref="CN72:CN77" si="101">IFERROR(IF($M72=CM72,($D$8+$D$9+$D$10)*$I72,IF($N72=LEFT(CM72,1),($D$8+MAX(0,IF($D$50=1,$D$9*(1-(ABS($Q72-ABS(VALUE(MID(CM72,FIND("|",CM72)+1,FIND("-",CM72)-FIND("|",CM72)-1))-VALUE(MID(CM72,FIND("-",CM72)+1,10)))))*$D$50),$D$9*(1-(IF($N72="X",ABS($O72-VALUE(MID(CM72,FIND("|",CM72)+1,FIND("-",CM72)-FIND("|",CM72)-1))),ABS($Q72-ABS(VALUE(MID(CM72,FIND("|",CM72)+1,FIND("-",CM72)-FIND("|",CM72)-1))-VALUE(MID(CM72,FIND("-",CM72)+1,10)))))*$D$50)))))*$I72,0)),0)</f>
        <v>0</v>
      </c>
      <c r="CO72" s="58"/>
      <c r="CP72" s="67"/>
      <c r="CQ72" s="66">
        <f t="shared" ref="CQ72:CQ77" si="102">IFERROR(IF($M72=CP72,($D$8+$D$9+$D$10)*$I72,IF($N72=LEFT(CP72,1),($D$8+MAX(0,IF($D$50=1,$D$9*(1-(ABS($Q72-ABS(VALUE(MID(CP72,FIND("|",CP72)+1,FIND("-",CP72)-FIND("|",CP72)-1))-VALUE(MID(CP72,FIND("-",CP72)+1,10)))))*$D$50),$D$9*(1-(IF($N72="X",ABS($O72-VALUE(MID(CP72,FIND("|",CP72)+1,FIND("-",CP72)-FIND("|",CP72)-1))),ABS($Q72-ABS(VALUE(MID(CP72,FIND("|",CP72)+1,FIND("-",CP72)-FIND("|",CP72)-1))-VALUE(MID(CP72,FIND("-",CP72)+1,10)))))*$D$50)))))*$I72,0)),0)</f>
        <v>0</v>
      </c>
      <c r="CR72" s="58"/>
      <c r="CS72" s="67"/>
      <c r="CT72" s="66">
        <f t="shared" ref="CT72:CT77" si="103">IFERROR(IF($M72=CS72,($D$8+$D$9+$D$10)*$I72,IF($N72=LEFT(CS72,1),($D$8+MAX(0,IF($D$50=1,$D$9*(1-(ABS($Q72-ABS(VALUE(MID(CS72,FIND("|",CS72)+1,FIND("-",CS72)-FIND("|",CS72)-1))-VALUE(MID(CS72,FIND("-",CS72)+1,10)))))*$D$50),$D$9*(1-(IF($N72="X",ABS($O72-VALUE(MID(CS72,FIND("|",CS72)+1,FIND("-",CS72)-FIND("|",CS72)-1))),ABS($Q72-ABS(VALUE(MID(CS72,FIND("|",CS72)+1,FIND("-",CS72)-FIND("|",CS72)-1))-VALUE(MID(CS72,FIND("-",CS72)+1,10)))))*$D$50)))))*$I72,0)),0)</f>
        <v>0</v>
      </c>
      <c r="CU72" s="58"/>
      <c r="CV72" s="67"/>
      <c r="CW72" s="66">
        <f t="shared" ref="CW72:CW77" si="104">IFERROR(IF($M72=CV72,($D$8+$D$9+$D$10)*$I72,IF($N72=LEFT(CV72,1),($D$8+MAX(0,IF($D$50=1,$D$9*(1-(ABS($Q72-ABS(VALUE(MID(CV72,FIND("|",CV72)+1,FIND("-",CV72)-FIND("|",CV72)-1))-VALUE(MID(CV72,FIND("-",CV72)+1,10)))))*$D$50),$D$9*(1-(IF($N72="X",ABS($O72-VALUE(MID(CV72,FIND("|",CV72)+1,FIND("-",CV72)-FIND("|",CV72)-1))),ABS($Q72-ABS(VALUE(MID(CV72,FIND("|",CV72)+1,FIND("-",CV72)-FIND("|",CV72)-1))-VALUE(MID(CV72,FIND("-",CV72)+1,10)))))*$D$50)))))*$I72,0)),0)</f>
        <v>0</v>
      </c>
      <c r="CX72" s="58"/>
      <c r="CY72" s="67"/>
      <c r="CZ72" s="66">
        <f t="shared" ref="CZ72:CZ77" si="105">IFERROR(IF($M72=CY72,($D$8+$D$9+$D$10)*$I72,IF($N72=LEFT(CY72,1),($D$8+MAX(0,IF($D$50=1,$D$9*(1-(ABS($Q72-ABS(VALUE(MID(CY72,FIND("|",CY72)+1,FIND("-",CY72)-FIND("|",CY72)-1))-VALUE(MID(CY72,FIND("-",CY72)+1,10)))))*$D$50),$D$9*(1-(IF($N72="X",ABS($O72-VALUE(MID(CY72,FIND("|",CY72)+1,FIND("-",CY72)-FIND("|",CY72)-1))),ABS($Q72-ABS(VALUE(MID(CY72,FIND("|",CY72)+1,FIND("-",CY72)-FIND("|",CY72)-1))-VALUE(MID(CY72,FIND("-",CY72)+1,10)))))*$D$50)))))*$I72,0)),0)</f>
        <v>0</v>
      </c>
      <c r="DA72" s="58"/>
      <c r="DB72" s="67"/>
      <c r="DC72" s="66">
        <f t="shared" ref="DC72:DC77" si="106">IFERROR(IF($M72=DB72,($D$8+$D$9+$D$10)*$I72,IF($N72=LEFT(DB72,1),($D$8+MAX(0,IF($D$50=1,$D$9*(1-(ABS($Q72-ABS(VALUE(MID(DB72,FIND("|",DB72)+1,FIND("-",DB72)-FIND("|",DB72)-1))-VALUE(MID(DB72,FIND("-",DB72)+1,10)))))*$D$50),$D$9*(1-(IF($N72="X",ABS($O72-VALUE(MID(DB72,FIND("|",DB72)+1,FIND("-",DB72)-FIND("|",DB72)-1))),ABS($Q72-ABS(VALUE(MID(DB72,FIND("|",DB72)+1,FIND("-",DB72)-FIND("|",DB72)-1))-VALUE(MID(DB72,FIND("-",DB72)+1,10)))))*$D$50)))))*$I72,0)),0)</f>
        <v>0</v>
      </c>
      <c r="DD72" s="58"/>
      <c r="DE72" s="67"/>
      <c r="DF72" s="66">
        <f t="shared" ref="DF72:DF77" si="107">IFERROR(IF($M72=DE72,($D$8+$D$9+$D$10)*$I72,IF($N72=LEFT(DE72,1),($D$8+MAX(0,IF($D$50=1,$D$9*(1-(ABS($Q72-ABS(VALUE(MID(DE72,FIND("|",DE72)+1,FIND("-",DE72)-FIND("|",DE72)-1))-VALUE(MID(DE72,FIND("-",DE72)+1,10)))))*$D$50),$D$9*(1-(IF($N72="X",ABS($O72-VALUE(MID(DE72,FIND("|",DE72)+1,FIND("-",DE72)-FIND("|",DE72)-1))),ABS($Q72-ABS(VALUE(MID(DE72,FIND("|",DE72)+1,FIND("-",DE72)-FIND("|",DE72)-1))-VALUE(MID(DE72,FIND("-",DE72)+1,10)))))*$D$50)))))*$I72,0)),0)</f>
        <v>0</v>
      </c>
      <c r="DG72" s="58"/>
      <c r="DH72" s="67"/>
      <c r="DI72" s="66">
        <f t="shared" ref="DI72:DI77" si="108">IFERROR(IF($M72=DH72,($D$8+$D$9+$D$10)*$I72,IF($N72=LEFT(DH72,1),($D$8+MAX(0,IF($D$50=1,$D$9*(1-(ABS($Q72-ABS(VALUE(MID(DH72,FIND("|",DH72)+1,FIND("-",DH72)-FIND("|",DH72)-1))-VALUE(MID(DH72,FIND("-",DH72)+1,10)))))*$D$50),$D$9*(1-(IF($N72="X",ABS($O72-VALUE(MID(DH72,FIND("|",DH72)+1,FIND("-",DH72)-FIND("|",DH72)-1))),ABS($Q72-ABS(VALUE(MID(DH72,FIND("|",DH72)+1,FIND("-",DH72)-FIND("|",DH72)-1))-VALUE(MID(DH72,FIND("-",DH72)+1,10)))))*$D$50)))))*$I72,0)),0)</f>
        <v>0</v>
      </c>
      <c r="DJ72" s="58"/>
      <c r="DK72" s="67"/>
      <c r="DL72" s="66">
        <f t="shared" ref="DL72:DL77" si="109">IFERROR(IF($M72=DK72,($D$8+$D$9+$D$10)*$I72,IF($N72=LEFT(DK72,1),($D$8+MAX(0,IF($D$50=1,$D$9*(1-(ABS($Q72-ABS(VALUE(MID(DK72,FIND("|",DK72)+1,FIND("-",DK72)-FIND("|",DK72)-1))-VALUE(MID(DK72,FIND("-",DK72)+1,10)))))*$D$50),$D$9*(1-(IF($N72="X",ABS($O72-VALUE(MID(DK72,FIND("|",DK72)+1,FIND("-",DK72)-FIND("|",DK72)-1))),ABS($Q72-ABS(VALUE(MID(DK72,FIND("|",DK72)+1,FIND("-",DK72)-FIND("|",DK72)-1))-VALUE(MID(DK72,FIND("-",DK72)+1,10)))))*$D$50)))))*$I72,0)),0)</f>
        <v>0</v>
      </c>
      <c r="DM72" s="58"/>
      <c r="DN72" s="67"/>
      <c r="DO72" s="66">
        <f t="shared" ref="DO72:DO77" si="110">IFERROR(IF($M72=DN72,($D$8+$D$9+$D$10)*$I72,IF($N72=LEFT(DN72,1),($D$8+MAX(0,IF($D$50=1,$D$9*(1-(ABS($Q72-ABS(VALUE(MID(DN72,FIND("|",DN72)+1,FIND("-",DN72)-FIND("|",DN72)-1))-VALUE(MID(DN72,FIND("-",DN72)+1,10)))))*$D$50),$D$9*(1-(IF($N72="X",ABS($O72-VALUE(MID(DN72,FIND("|",DN72)+1,FIND("-",DN72)-FIND("|",DN72)-1))),ABS($Q72-ABS(VALUE(MID(DN72,FIND("|",DN72)+1,FIND("-",DN72)-FIND("|",DN72)-1))-VALUE(MID(DN72,FIND("-",DN72)+1,10)))))*$D$50)))))*$I72,0)),0)</f>
        <v>0</v>
      </c>
      <c r="DP72" s="58"/>
      <c r="DQ72" s="67"/>
      <c r="DR72" s="66">
        <f t="shared" ref="DR72:DR77" si="111">IFERROR(IF($M72=DQ72,($D$8+$D$9+$D$10)*$I72,IF($N72=LEFT(DQ72,1),($D$8+MAX(0,IF($D$50=1,$D$9*(1-(ABS($Q72-ABS(VALUE(MID(DQ72,FIND("|",DQ72)+1,FIND("-",DQ72)-FIND("|",DQ72)-1))-VALUE(MID(DQ72,FIND("-",DQ72)+1,10)))))*$D$50),$D$9*(1-(IF($N72="X",ABS($O72-VALUE(MID(DQ72,FIND("|",DQ72)+1,FIND("-",DQ72)-FIND("|",DQ72)-1))),ABS($Q72-ABS(VALUE(MID(DQ72,FIND("|",DQ72)+1,FIND("-",DQ72)-FIND("|",DQ72)-1))-VALUE(MID(DQ72,FIND("-",DQ72)+1,10)))))*$D$50)))))*$I72,0)),0)</f>
        <v>0</v>
      </c>
      <c r="DS72" s="58"/>
      <c r="DT72" s="67"/>
      <c r="DU72" s="66">
        <f t="shared" ref="DU72:DU77" si="112">IFERROR(IF($M72=DT72,($D$8+$D$9+$D$10)*$I72,IF($N72=LEFT(DT72,1),($D$8+MAX(0,IF($D$50=1,$D$9*(1-(ABS($Q72-ABS(VALUE(MID(DT72,FIND("|",DT72)+1,FIND("-",DT72)-FIND("|",DT72)-1))-VALUE(MID(DT72,FIND("-",DT72)+1,10)))))*$D$50),$D$9*(1-(IF($N72="X",ABS($O72-VALUE(MID(DT72,FIND("|",DT72)+1,FIND("-",DT72)-FIND("|",DT72)-1))),ABS($Q72-ABS(VALUE(MID(DT72,FIND("|",DT72)+1,FIND("-",DT72)-FIND("|",DT72)-1))-VALUE(MID(DT72,FIND("-",DT72)+1,10)))))*$D$50)))))*$I72,0)),0)</f>
        <v>0</v>
      </c>
      <c r="DV72" s="58"/>
      <c r="DW72" s="67"/>
      <c r="DX72" s="66">
        <f t="shared" ref="DX72:DX77" si="113">IFERROR(IF($M72=DW72,($D$8+$D$9+$D$10)*$I72,IF($N72=LEFT(DW72,1),($D$8+MAX(0,IF($D$50=1,$D$9*(1-(ABS($Q72-ABS(VALUE(MID(DW72,FIND("|",DW72)+1,FIND("-",DW72)-FIND("|",DW72)-1))-VALUE(MID(DW72,FIND("-",DW72)+1,10)))))*$D$50),$D$9*(1-(IF($N72="X",ABS($O72-VALUE(MID(DW72,FIND("|",DW72)+1,FIND("-",DW72)-FIND("|",DW72)-1))),ABS($Q72-ABS(VALUE(MID(DW72,FIND("|",DW72)+1,FIND("-",DW72)-FIND("|",DW72)-1))-VALUE(MID(DW72,FIND("-",DW72)+1,10)))))*$D$50)))))*$I72,0)),0)</f>
        <v>0</v>
      </c>
      <c r="DY72" s="58"/>
      <c r="DZ72" s="67"/>
      <c r="EA72" s="66">
        <f t="shared" ref="EA72:EA77" si="114">IFERROR(IF($M72=DZ72,($D$8+$D$9+$D$10)*$I72,IF($N72=LEFT(DZ72,1),($D$8+MAX(0,IF($D$50=1,$D$9*(1-(ABS($Q72-ABS(VALUE(MID(DZ72,FIND("|",DZ72)+1,FIND("-",DZ72)-FIND("|",DZ72)-1))-VALUE(MID(DZ72,FIND("-",DZ72)+1,10)))))*$D$50),$D$9*(1-(IF($N72="X",ABS($O72-VALUE(MID(DZ72,FIND("|",DZ72)+1,FIND("-",DZ72)-FIND("|",DZ72)-1))),ABS($Q72-ABS(VALUE(MID(DZ72,FIND("|",DZ72)+1,FIND("-",DZ72)-FIND("|",DZ72)-1))-VALUE(MID(DZ72,FIND("-",DZ72)+1,10)))))*$D$50)))))*$I72,0)),0)</f>
        <v>0</v>
      </c>
      <c r="EB72" s="58"/>
      <c r="EC72" s="65"/>
      <c r="ED72" s="66">
        <f t="shared" ref="ED72:ED77" si="115">IFERROR(IF($M72=EC72,($D$8+$D$9+$D$10)*$I72,IF($N72=LEFT(EC72,1),($D$8+MAX(0,IF($D$50=1,$D$9*(1-(ABS($Q72-ABS(VALUE(MID(EC72,FIND("|",EC72)+1,FIND("-",EC72)-FIND("|",EC72)-1))-VALUE(MID(EC72,FIND("-",EC72)+1,10)))))*$D$50),$D$9*(1-(IF($N72="X",ABS($O72-VALUE(MID(EC72,FIND("|",EC72)+1,FIND("-",EC72)-FIND("|",EC72)-1))),ABS($Q72-ABS(VALUE(MID(EC72,FIND("|",EC72)+1,FIND("-",EC72)-FIND("|",EC72)-1))-VALUE(MID(EC72,FIND("-",EC72)+1,10)))))*$D$50)))))*$I72,0)),0)</f>
        <v>0</v>
      </c>
      <c r="EE72" s="58"/>
      <c r="EF72" s="67"/>
      <c r="EG72" s="66">
        <f t="shared" ref="EG72:EG77" si="116">IFERROR(IF($M72=EF72,($D$8+$D$9+$D$10)*$I72,IF($N72=LEFT(EF72,1),($D$8+MAX(0,IF($D$50=1,$D$9*(1-(ABS($Q72-ABS(VALUE(MID(EF72,FIND("|",EF72)+1,FIND("-",EF72)-FIND("|",EF72)-1))-VALUE(MID(EF72,FIND("-",EF72)+1,10)))))*$D$50),$D$9*(1-(IF($N72="X",ABS($O72-VALUE(MID(EF72,FIND("|",EF72)+1,FIND("-",EF72)-FIND("|",EF72)-1))),ABS($Q72-ABS(VALUE(MID(EF72,FIND("|",EF72)+1,FIND("-",EF72)-FIND("|",EF72)-1))-VALUE(MID(EF72,FIND("-",EF72)+1,10)))))*$D$50)))))*$I72,0)),0)</f>
        <v>0</v>
      </c>
      <c r="EH72" s="58"/>
      <c r="EI72" s="58"/>
    </row>
    <row r="73" spans="1:139">
      <c r="A73" s="43"/>
      <c r="B73" s="43"/>
      <c r="C73" s="43"/>
      <c r="D73" s="43"/>
      <c r="E73" s="43"/>
      <c r="F73" s="713">
        <f t="shared" si="76"/>
        <v>17</v>
      </c>
      <c r="G73" s="713">
        <f ca="1">VLOOKUP(H73,Equipos!$Q$1:$R$25,2,0)</f>
        <v>18</v>
      </c>
      <c r="H73" s="774">
        <f ca="1">TRUNC(INDEX(WORLDCUP!$X$4:$X$147,MATCH(ADMIN!K73,WORLDCUP!$DT$4:$DT$147,0))+INDEX(Horarios!$R$3:$R$86,MATCH(Horarios!$C$3,Horarios!$P$3:$P$86,0))/24)</f>
        <v>46201</v>
      </c>
      <c r="I73" s="42">
        <v>1</v>
      </c>
      <c r="J73" s="88" t="s">
        <v>28</v>
      </c>
      <c r="K73" s="49" t="str">
        <f ca="1">CONCATENATE(WORLDCUP!AA81,"-",WORLDCUP!AF81)</f>
        <v>Jordania-Argentina</v>
      </c>
      <c r="L73" s="46"/>
      <c r="M73" s="48" t="str">
        <f>IF(OR(WORLDCUP!AC81="",WORLDCUP!AD81=""),"-",N73&amp;"|"&amp;O73&amp;"-"&amp;P73)</f>
        <v>-</v>
      </c>
      <c r="N73" s="711" t="str">
        <f>IF(OR(WORLDCUP!AC81="",WORLDCUP!AD81=""),"",IF(WORLDCUP!AC81&gt;WORLDCUP!AD81,"1",IF(WORLDCUP!AC81&lt;WORLDCUP!AD81,"2","X")))</f>
        <v/>
      </c>
      <c r="O73" s="711">
        <f>WORLDCUP!AC81</f>
        <v>0</v>
      </c>
      <c r="P73" s="711">
        <f>WORLDCUP!AD81</f>
        <v>0</v>
      </c>
      <c r="Q73" s="711">
        <f t="shared" si="77"/>
        <v>0</v>
      </c>
      <c r="R73" s="43"/>
      <c r="S73" s="67" t="s">
        <v>1955</v>
      </c>
      <c r="T73" s="66">
        <f t="shared" si="75"/>
        <v>0</v>
      </c>
      <c r="U73" s="58"/>
      <c r="V73" s="67" t="s">
        <v>1949</v>
      </c>
      <c r="W73" s="66">
        <f t="shared" si="78"/>
        <v>0</v>
      </c>
      <c r="X73" s="58"/>
      <c r="Y73" s="67" t="s">
        <v>1974</v>
      </c>
      <c r="Z73" s="66">
        <f t="shared" si="79"/>
        <v>0</v>
      </c>
      <c r="AA73" s="58"/>
      <c r="AB73" s="67" t="s">
        <v>1960</v>
      </c>
      <c r="AC73" s="66">
        <f t="shared" si="80"/>
        <v>0</v>
      </c>
      <c r="AD73" s="58"/>
      <c r="AE73" s="67" t="s">
        <v>1974</v>
      </c>
      <c r="AF73" s="66">
        <f t="shared" si="81"/>
        <v>0</v>
      </c>
      <c r="AG73" s="58"/>
      <c r="AH73" s="67" t="s">
        <v>1949</v>
      </c>
      <c r="AI73" s="66">
        <f t="shared" si="82"/>
        <v>0</v>
      </c>
      <c r="AJ73" s="58"/>
      <c r="AK73" s="67" t="s">
        <v>1949</v>
      </c>
      <c r="AL73" s="66">
        <f t="shared" si="83"/>
        <v>0</v>
      </c>
      <c r="AM73" s="58"/>
      <c r="AN73" s="67" t="s">
        <v>1949</v>
      </c>
      <c r="AO73" s="66">
        <f t="shared" si="84"/>
        <v>0</v>
      </c>
      <c r="AP73" s="58"/>
      <c r="AQ73" s="67" t="s">
        <v>1950</v>
      </c>
      <c r="AR73" s="66">
        <f t="shared" si="85"/>
        <v>0</v>
      </c>
      <c r="AS73" s="58"/>
      <c r="AT73" s="67" t="s">
        <v>1949</v>
      </c>
      <c r="AU73" s="66">
        <f t="shared" si="86"/>
        <v>0</v>
      </c>
      <c r="AV73" s="58"/>
      <c r="AW73" s="67" t="s">
        <v>1949</v>
      </c>
      <c r="AX73" s="66">
        <f t="shared" si="87"/>
        <v>0</v>
      </c>
      <c r="AY73" s="58"/>
      <c r="AZ73" s="67" t="s">
        <v>1951</v>
      </c>
      <c r="BA73" s="66">
        <f t="shared" si="88"/>
        <v>0</v>
      </c>
      <c r="BB73" s="58"/>
      <c r="BC73" s="67" t="s">
        <v>1949</v>
      </c>
      <c r="BD73" s="66">
        <f t="shared" si="89"/>
        <v>0</v>
      </c>
      <c r="BE73" s="58"/>
      <c r="BF73" s="67" t="s">
        <v>2004</v>
      </c>
      <c r="BG73" s="66">
        <f t="shared" si="90"/>
        <v>0</v>
      </c>
      <c r="BH73" s="58"/>
      <c r="BI73" s="67" t="s">
        <v>1950</v>
      </c>
      <c r="BJ73" s="66">
        <f t="shared" si="91"/>
        <v>0</v>
      </c>
      <c r="BK73" s="58"/>
      <c r="BL73" s="67" t="s">
        <v>1974</v>
      </c>
      <c r="BM73" s="66">
        <f t="shared" si="92"/>
        <v>0</v>
      </c>
      <c r="BN73" s="58"/>
      <c r="BO73" s="67" t="s">
        <v>1965</v>
      </c>
      <c r="BP73" s="66">
        <f t="shared" si="93"/>
        <v>0</v>
      </c>
      <c r="BQ73" s="58"/>
      <c r="BR73" s="67" t="s">
        <v>1949</v>
      </c>
      <c r="BS73" s="66">
        <f t="shared" si="94"/>
        <v>0</v>
      </c>
      <c r="BT73" s="58"/>
      <c r="BU73" s="67"/>
      <c r="BV73" s="66">
        <f t="shared" si="95"/>
        <v>0</v>
      </c>
      <c r="BW73" s="58"/>
      <c r="BX73" s="67"/>
      <c r="BY73" s="66">
        <f t="shared" si="96"/>
        <v>0</v>
      </c>
      <c r="BZ73" s="58"/>
      <c r="CA73" s="67"/>
      <c r="CB73" s="66">
        <f t="shared" si="97"/>
        <v>0</v>
      </c>
      <c r="CC73" s="58"/>
      <c r="CD73" s="67"/>
      <c r="CE73" s="66">
        <f t="shared" si="98"/>
        <v>0</v>
      </c>
      <c r="CF73" s="58"/>
      <c r="CG73" s="67"/>
      <c r="CH73" s="66">
        <f t="shared" si="99"/>
        <v>0</v>
      </c>
      <c r="CI73" s="58"/>
      <c r="CJ73" s="67"/>
      <c r="CK73" s="66">
        <f t="shared" si="100"/>
        <v>0</v>
      </c>
      <c r="CL73" s="58"/>
      <c r="CM73" s="67"/>
      <c r="CN73" s="66">
        <f t="shared" si="101"/>
        <v>0</v>
      </c>
      <c r="CO73" s="58"/>
      <c r="CP73" s="67"/>
      <c r="CQ73" s="66">
        <f t="shared" si="102"/>
        <v>0</v>
      </c>
      <c r="CR73" s="58"/>
      <c r="CS73" s="67"/>
      <c r="CT73" s="66">
        <f t="shared" si="103"/>
        <v>0</v>
      </c>
      <c r="CU73" s="58"/>
      <c r="CV73" s="67"/>
      <c r="CW73" s="66">
        <f t="shared" si="104"/>
        <v>0</v>
      </c>
      <c r="CX73" s="58"/>
      <c r="CY73" s="67"/>
      <c r="CZ73" s="66">
        <f t="shared" si="105"/>
        <v>0</v>
      </c>
      <c r="DA73" s="58"/>
      <c r="DB73" s="67"/>
      <c r="DC73" s="66">
        <f t="shared" si="106"/>
        <v>0</v>
      </c>
      <c r="DD73" s="58"/>
      <c r="DE73" s="67"/>
      <c r="DF73" s="66">
        <f t="shared" si="107"/>
        <v>0</v>
      </c>
      <c r="DG73" s="58"/>
      <c r="DH73" s="67"/>
      <c r="DI73" s="66">
        <f t="shared" si="108"/>
        <v>0</v>
      </c>
      <c r="DJ73" s="58"/>
      <c r="DK73" s="67"/>
      <c r="DL73" s="66">
        <f t="shared" si="109"/>
        <v>0</v>
      </c>
      <c r="DM73" s="58"/>
      <c r="DN73" s="67"/>
      <c r="DO73" s="66">
        <f t="shared" si="110"/>
        <v>0</v>
      </c>
      <c r="DP73" s="58"/>
      <c r="DQ73" s="67"/>
      <c r="DR73" s="66">
        <f t="shared" si="111"/>
        <v>0</v>
      </c>
      <c r="DS73" s="58"/>
      <c r="DT73" s="67"/>
      <c r="DU73" s="66">
        <f t="shared" si="112"/>
        <v>0</v>
      </c>
      <c r="DV73" s="58"/>
      <c r="DW73" s="67"/>
      <c r="DX73" s="66">
        <f t="shared" si="113"/>
        <v>0</v>
      </c>
      <c r="DY73" s="58"/>
      <c r="DZ73" s="67"/>
      <c r="EA73" s="66">
        <f t="shared" si="114"/>
        <v>0</v>
      </c>
      <c r="EB73" s="58"/>
      <c r="EC73" s="67"/>
      <c r="ED73" s="66">
        <f t="shared" si="115"/>
        <v>0</v>
      </c>
      <c r="EE73" s="58"/>
      <c r="EF73" s="67"/>
      <c r="EG73" s="66">
        <f t="shared" si="116"/>
        <v>0</v>
      </c>
      <c r="EH73" s="58"/>
      <c r="EI73" s="58"/>
    </row>
    <row r="74" spans="1:139">
      <c r="A74" s="43"/>
      <c r="B74" s="43"/>
      <c r="C74" s="43"/>
      <c r="D74" s="43"/>
      <c r="E74" s="43"/>
      <c r="F74" s="713">
        <f t="shared" si="76"/>
        <v>17</v>
      </c>
      <c r="G74" s="713">
        <f ca="1">VLOOKUP(H74,Equipos!$Q$1:$R$25,2,0)</f>
        <v>18</v>
      </c>
      <c r="H74" s="774">
        <f ca="1">TRUNC(INDEX(WORLDCUP!$X$4:$X$147,MATCH(ADMIN!K74,WORLDCUP!$DT$4:$DT$147,0))+INDEX(Horarios!$R$3:$R$86,MATCH(Horarios!$C$3,Horarios!$P$3:$P$86,0))/24)</f>
        <v>46201</v>
      </c>
      <c r="I74" s="42">
        <v>1</v>
      </c>
      <c r="J74" s="87" t="s">
        <v>188</v>
      </c>
      <c r="K74" s="46" t="str">
        <f ca="1">CONCATENATE(WORLDCUP!AA88,"-",WORLDCUP!AF88)</f>
        <v>Colombia-Portugal</v>
      </c>
      <c r="L74" s="46"/>
      <c r="M74" s="48" t="str">
        <f>IF(OR(WORLDCUP!AC88="",WORLDCUP!AD88=""),"-",N74&amp;"|"&amp;O74&amp;"-"&amp;P74)</f>
        <v>-</v>
      </c>
      <c r="N74" s="711" t="str">
        <f>IF(OR(WORLDCUP!AC88="",WORLDCUP!AD88=""),"",IF(WORLDCUP!AC88&gt;WORLDCUP!AD88,"1",IF(WORLDCUP!AC88&lt;WORLDCUP!AD88,"2","X")))</f>
        <v/>
      </c>
      <c r="O74" s="711">
        <f>WORLDCUP!AC88</f>
        <v>0</v>
      </c>
      <c r="P74" s="711">
        <f>WORLDCUP!AD88</f>
        <v>0</v>
      </c>
      <c r="Q74" s="711">
        <f t="shared" si="77"/>
        <v>0</v>
      </c>
      <c r="R74" s="43"/>
      <c r="S74" s="67" t="s">
        <v>1951</v>
      </c>
      <c r="T74" s="66">
        <f t="shared" si="75"/>
        <v>0</v>
      </c>
      <c r="U74" s="58"/>
      <c r="V74" s="67" t="s">
        <v>1948</v>
      </c>
      <c r="W74" s="66">
        <f t="shared" si="78"/>
        <v>0</v>
      </c>
      <c r="X74" s="58"/>
      <c r="Y74" s="67" t="s">
        <v>1948</v>
      </c>
      <c r="Z74" s="66">
        <f t="shared" si="79"/>
        <v>0</v>
      </c>
      <c r="AA74" s="58"/>
      <c r="AB74" s="67" t="s">
        <v>1964</v>
      </c>
      <c r="AC74" s="66">
        <f t="shared" si="80"/>
        <v>0</v>
      </c>
      <c r="AD74" s="58"/>
      <c r="AE74" s="67" t="s">
        <v>1951</v>
      </c>
      <c r="AF74" s="66">
        <f t="shared" si="81"/>
        <v>0</v>
      </c>
      <c r="AG74" s="58"/>
      <c r="AH74" s="67" t="s">
        <v>1955</v>
      </c>
      <c r="AI74" s="66">
        <f t="shared" si="82"/>
        <v>0</v>
      </c>
      <c r="AJ74" s="58"/>
      <c r="AK74" s="67" t="s">
        <v>1948</v>
      </c>
      <c r="AL74" s="66">
        <f t="shared" si="83"/>
        <v>0</v>
      </c>
      <c r="AM74" s="58"/>
      <c r="AN74" s="67" t="s">
        <v>1955</v>
      </c>
      <c r="AO74" s="66">
        <f t="shared" si="84"/>
        <v>0</v>
      </c>
      <c r="AP74" s="58"/>
      <c r="AQ74" s="67" t="s">
        <v>1950</v>
      </c>
      <c r="AR74" s="66">
        <f t="shared" si="85"/>
        <v>0</v>
      </c>
      <c r="AS74" s="58"/>
      <c r="AT74" s="67" t="s">
        <v>1955</v>
      </c>
      <c r="AU74" s="66">
        <f t="shared" si="86"/>
        <v>0</v>
      </c>
      <c r="AV74" s="58"/>
      <c r="AW74" s="67" t="s">
        <v>1948</v>
      </c>
      <c r="AX74" s="66">
        <f t="shared" si="87"/>
        <v>0</v>
      </c>
      <c r="AY74" s="58"/>
      <c r="AZ74" s="67" t="s">
        <v>1955</v>
      </c>
      <c r="BA74" s="66">
        <f t="shared" si="88"/>
        <v>0</v>
      </c>
      <c r="BB74" s="58"/>
      <c r="BC74" s="67" t="s">
        <v>1964</v>
      </c>
      <c r="BD74" s="66">
        <f t="shared" si="89"/>
        <v>0</v>
      </c>
      <c r="BE74" s="58"/>
      <c r="BF74" s="67" t="s">
        <v>1955</v>
      </c>
      <c r="BG74" s="66">
        <f t="shared" si="90"/>
        <v>0</v>
      </c>
      <c r="BH74" s="58"/>
      <c r="BI74" s="67" t="s">
        <v>1955</v>
      </c>
      <c r="BJ74" s="66">
        <f t="shared" si="91"/>
        <v>0</v>
      </c>
      <c r="BK74" s="58"/>
      <c r="BL74" s="67" t="s">
        <v>1955</v>
      </c>
      <c r="BM74" s="66">
        <f t="shared" si="92"/>
        <v>0</v>
      </c>
      <c r="BN74" s="58"/>
      <c r="BO74" s="67" t="s">
        <v>1955</v>
      </c>
      <c r="BP74" s="66">
        <f t="shared" si="93"/>
        <v>0</v>
      </c>
      <c r="BQ74" s="58"/>
      <c r="BR74" s="67" t="s">
        <v>1955</v>
      </c>
      <c r="BS74" s="66">
        <f t="shared" si="94"/>
        <v>0</v>
      </c>
      <c r="BT74" s="58"/>
      <c r="BU74" s="67"/>
      <c r="BV74" s="66">
        <f t="shared" si="95"/>
        <v>0</v>
      </c>
      <c r="BW74" s="58"/>
      <c r="BX74" s="67"/>
      <c r="BY74" s="66">
        <f t="shared" si="96"/>
        <v>0</v>
      </c>
      <c r="BZ74" s="58"/>
      <c r="CA74" s="67"/>
      <c r="CB74" s="66">
        <f t="shared" si="97"/>
        <v>0</v>
      </c>
      <c r="CC74" s="58"/>
      <c r="CD74" s="67"/>
      <c r="CE74" s="66">
        <f t="shared" si="98"/>
        <v>0</v>
      </c>
      <c r="CF74" s="58"/>
      <c r="CG74" s="67"/>
      <c r="CH74" s="66">
        <f t="shared" si="99"/>
        <v>0</v>
      </c>
      <c r="CI74" s="58"/>
      <c r="CJ74" s="67"/>
      <c r="CK74" s="66">
        <f t="shared" si="100"/>
        <v>0</v>
      </c>
      <c r="CL74" s="58"/>
      <c r="CM74" s="67"/>
      <c r="CN74" s="66">
        <f t="shared" si="101"/>
        <v>0</v>
      </c>
      <c r="CO74" s="58"/>
      <c r="CP74" s="67"/>
      <c r="CQ74" s="66">
        <f t="shared" si="102"/>
        <v>0</v>
      </c>
      <c r="CR74" s="58"/>
      <c r="CS74" s="67"/>
      <c r="CT74" s="66">
        <f t="shared" si="103"/>
        <v>0</v>
      </c>
      <c r="CU74" s="58"/>
      <c r="CV74" s="67"/>
      <c r="CW74" s="66">
        <f t="shared" si="104"/>
        <v>0</v>
      </c>
      <c r="CX74" s="58"/>
      <c r="CY74" s="67"/>
      <c r="CZ74" s="66">
        <f t="shared" si="105"/>
        <v>0</v>
      </c>
      <c r="DA74" s="58"/>
      <c r="DB74" s="67"/>
      <c r="DC74" s="66">
        <f t="shared" si="106"/>
        <v>0</v>
      </c>
      <c r="DD74" s="58"/>
      <c r="DE74" s="67"/>
      <c r="DF74" s="66">
        <f t="shared" si="107"/>
        <v>0</v>
      </c>
      <c r="DG74" s="58"/>
      <c r="DH74" s="67"/>
      <c r="DI74" s="66">
        <f t="shared" si="108"/>
        <v>0</v>
      </c>
      <c r="DJ74" s="58"/>
      <c r="DK74" s="67"/>
      <c r="DL74" s="66">
        <f t="shared" si="109"/>
        <v>0</v>
      </c>
      <c r="DM74" s="58"/>
      <c r="DN74" s="67"/>
      <c r="DO74" s="66">
        <f t="shared" si="110"/>
        <v>0</v>
      </c>
      <c r="DP74" s="58"/>
      <c r="DQ74" s="67"/>
      <c r="DR74" s="66">
        <f t="shared" si="111"/>
        <v>0</v>
      </c>
      <c r="DS74" s="58"/>
      <c r="DT74" s="67"/>
      <c r="DU74" s="66">
        <f t="shared" si="112"/>
        <v>0</v>
      </c>
      <c r="DV74" s="58"/>
      <c r="DW74" s="67"/>
      <c r="DX74" s="66">
        <f t="shared" si="113"/>
        <v>0</v>
      </c>
      <c r="DY74" s="58"/>
      <c r="DZ74" s="67"/>
      <c r="EA74" s="66">
        <f t="shared" si="114"/>
        <v>0</v>
      </c>
      <c r="EB74" s="58"/>
      <c r="EC74" s="68"/>
      <c r="ED74" s="66">
        <f t="shared" si="115"/>
        <v>0</v>
      </c>
      <c r="EE74" s="58"/>
      <c r="EF74" s="67"/>
      <c r="EG74" s="66">
        <f t="shared" si="116"/>
        <v>0</v>
      </c>
      <c r="EH74" s="58"/>
      <c r="EI74" s="58"/>
    </row>
    <row r="75" spans="1:139">
      <c r="A75" s="43"/>
      <c r="B75" s="43"/>
      <c r="C75" s="43"/>
      <c r="D75" s="43"/>
      <c r="E75" s="43"/>
      <c r="F75" s="713">
        <f t="shared" si="76"/>
        <v>17</v>
      </c>
      <c r="G75" s="713">
        <f ca="1">VLOOKUP(H75,Equipos!$Q$1:$R$25,2,0)</f>
        <v>18</v>
      </c>
      <c r="H75" s="774">
        <f ca="1">TRUNC(INDEX(WORLDCUP!$X$4:$X$147,MATCH(ADMIN!K75,WORLDCUP!$DT$4:$DT$147,0))+INDEX(Horarios!$R$3:$R$86,MATCH(Horarios!$C$3,Horarios!$P$3:$P$86,0))/24)</f>
        <v>46201</v>
      </c>
      <c r="I75" s="42">
        <v>1</v>
      </c>
      <c r="J75" s="87" t="s">
        <v>188</v>
      </c>
      <c r="K75" s="49" t="str">
        <f ca="1">CONCATENATE(WORLDCUP!AA89,"-",WORLDCUP!AF89)</f>
        <v>RD Congo-Uzbekistán</v>
      </c>
      <c r="L75" s="46"/>
      <c r="M75" s="48" t="str">
        <f>IF(OR(WORLDCUP!AC89="",WORLDCUP!AD89=""),"-",N75&amp;"|"&amp;O75&amp;"-"&amp;P75)</f>
        <v>-</v>
      </c>
      <c r="N75" s="711" t="str">
        <f>IF(OR(WORLDCUP!AC89="",WORLDCUP!AD89=""),"",IF(WORLDCUP!AC89&gt;WORLDCUP!AD89,"1",IF(WORLDCUP!AC89&lt;WORLDCUP!AD89,"2","X")))</f>
        <v/>
      </c>
      <c r="O75" s="711">
        <f>WORLDCUP!AC89</f>
        <v>0</v>
      </c>
      <c r="P75" s="711">
        <f>WORLDCUP!AD89</f>
        <v>0</v>
      </c>
      <c r="Q75" s="711">
        <f t="shared" si="77"/>
        <v>0</v>
      </c>
      <c r="R75" s="43"/>
      <c r="S75" s="67" t="s">
        <v>1956</v>
      </c>
      <c r="T75" s="66">
        <f t="shared" si="75"/>
        <v>0</v>
      </c>
      <c r="U75" s="58"/>
      <c r="V75" s="67" t="s">
        <v>1948</v>
      </c>
      <c r="W75" s="66">
        <f t="shared" si="78"/>
        <v>0</v>
      </c>
      <c r="X75" s="58"/>
      <c r="Y75" s="67" t="s">
        <v>1948</v>
      </c>
      <c r="Z75" s="66">
        <f t="shared" si="79"/>
        <v>0</v>
      </c>
      <c r="AA75" s="58"/>
      <c r="AB75" s="67" t="s">
        <v>1960</v>
      </c>
      <c r="AC75" s="66">
        <f t="shared" si="80"/>
        <v>0</v>
      </c>
      <c r="AD75" s="58"/>
      <c r="AE75" s="67" t="s">
        <v>1956</v>
      </c>
      <c r="AF75" s="66">
        <f t="shared" si="81"/>
        <v>0</v>
      </c>
      <c r="AG75" s="58"/>
      <c r="AH75" s="67" t="s">
        <v>1950</v>
      </c>
      <c r="AI75" s="66">
        <f t="shared" si="82"/>
        <v>0</v>
      </c>
      <c r="AJ75" s="58"/>
      <c r="AK75" s="67" t="s">
        <v>1948</v>
      </c>
      <c r="AL75" s="66">
        <f t="shared" si="83"/>
        <v>0</v>
      </c>
      <c r="AM75" s="58"/>
      <c r="AN75" s="67" t="s">
        <v>1956</v>
      </c>
      <c r="AO75" s="66">
        <f t="shared" si="84"/>
        <v>0</v>
      </c>
      <c r="AP75" s="58"/>
      <c r="AQ75" s="67" t="s">
        <v>1960</v>
      </c>
      <c r="AR75" s="66">
        <f t="shared" si="85"/>
        <v>0</v>
      </c>
      <c r="AS75" s="58"/>
      <c r="AT75" s="67" t="s">
        <v>1948</v>
      </c>
      <c r="AU75" s="66">
        <f t="shared" si="86"/>
        <v>0</v>
      </c>
      <c r="AV75" s="58"/>
      <c r="AW75" s="67" t="s">
        <v>1948</v>
      </c>
      <c r="AX75" s="66">
        <f t="shared" si="87"/>
        <v>0</v>
      </c>
      <c r="AY75" s="58"/>
      <c r="AZ75" s="67" t="s">
        <v>1955</v>
      </c>
      <c r="BA75" s="66">
        <f t="shared" si="88"/>
        <v>0</v>
      </c>
      <c r="BB75" s="58"/>
      <c r="BC75" s="67" t="s">
        <v>1947</v>
      </c>
      <c r="BD75" s="66">
        <f t="shared" si="89"/>
        <v>0</v>
      </c>
      <c r="BE75" s="58"/>
      <c r="BF75" s="67" t="s">
        <v>1962</v>
      </c>
      <c r="BG75" s="66">
        <f t="shared" si="90"/>
        <v>0</v>
      </c>
      <c r="BH75" s="58"/>
      <c r="BI75" s="67" t="s">
        <v>1948</v>
      </c>
      <c r="BJ75" s="66">
        <f t="shared" si="91"/>
        <v>0</v>
      </c>
      <c r="BK75" s="58"/>
      <c r="BL75" s="67" t="s">
        <v>1962</v>
      </c>
      <c r="BM75" s="66">
        <f t="shared" si="92"/>
        <v>0</v>
      </c>
      <c r="BN75" s="58"/>
      <c r="BO75" s="67" t="s">
        <v>1947</v>
      </c>
      <c r="BP75" s="66">
        <f t="shared" si="93"/>
        <v>0</v>
      </c>
      <c r="BQ75" s="58"/>
      <c r="BR75" s="67" t="s">
        <v>1948</v>
      </c>
      <c r="BS75" s="66">
        <f t="shared" si="94"/>
        <v>0</v>
      </c>
      <c r="BT75" s="58"/>
      <c r="BU75" s="67"/>
      <c r="BV75" s="66">
        <f t="shared" si="95"/>
        <v>0</v>
      </c>
      <c r="BW75" s="58"/>
      <c r="BX75" s="67"/>
      <c r="BY75" s="66">
        <f t="shared" si="96"/>
        <v>0</v>
      </c>
      <c r="BZ75" s="58"/>
      <c r="CA75" s="67"/>
      <c r="CB75" s="66">
        <f t="shared" si="97"/>
        <v>0</v>
      </c>
      <c r="CC75" s="58"/>
      <c r="CD75" s="67"/>
      <c r="CE75" s="66">
        <f t="shared" si="98"/>
        <v>0</v>
      </c>
      <c r="CF75" s="58"/>
      <c r="CG75" s="67"/>
      <c r="CH75" s="66">
        <f t="shared" si="99"/>
        <v>0</v>
      </c>
      <c r="CI75" s="58"/>
      <c r="CJ75" s="67"/>
      <c r="CK75" s="66">
        <f t="shared" si="100"/>
        <v>0</v>
      </c>
      <c r="CL75" s="58"/>
      <c r="CM75" s="67"/>
      <c r="CN75" s="66">
        <f t="shared" si="101"/>
        <v>0</v>
      </c>
      <c r="CO75" s="58"/>
      <c r="CP75" s="67"/>
      <c r="CQ75" s="66">
        <f t="shared" si="102"/>
        <v>0</v>
      </c>
      <c r="CR75" s="58"/>
      <c r="CS75" s="67"/>
      <c r="CT75" s="66">
        <f t="shared" si="103"/>
        <v>0</v>
      </c>
      <c r="CU75" s="58"/>
      <c r="CV75" s="67"/>
      <c r="CW75" s="66">
        <f t="shared" si="104"/>
        <v>0</v>
      </c>
      <c r="CX75" s="58"/>
      <c r="CY75" s="67"/>
      <c r="CZ75" s="66">
        <f t="shared" si="105"/>
        <v>0</v>
      </c>
      <c r="DA75" s="58"/>
      <c r="DB75" s="67"/>
      <c r="DC75" s="66">
        <f t="shared" si="106"/>
        <v>0</v>
      </c>
      <c r="DD75" s="58"/>
      <c r="DE75" s="67"/>
      <c r="DF75" s="66">
        <f t="shared" si="107"/>
        <v>0</v>
      </c>
      <c r="DG75" s="58"/>
      <c r="DH75" s="67"/>
      <c r="DI75" s="66">
        <f t="shared" si="108"/>
        <v>0</v>
      </c>
      <c r="DJ75" s="58"/>
      <c r="DK75" s="67"/>
      <c r="DL75" s="66">
        <f t="shared" si="109"/>
        <v>0</v>
      </c>
      <c r="DM75" s="58"/>
      <c r="DN75" s="67"/>
      <c r="DO75" s="66">
        <f t="shared" si="110"/>
        <v>0</v>
      </c>
      <c r="DP75" s="58"/>
      <c r="DQ75" s="67"/>
      <c r="DR75" s="66">
        <f t="shared" si="111"/>
        <v>0</v>
      </c>
      <c r="DS75" s="58"/>
      <c r="DT75" s="67"/>
      <c r="DU75" s="66">
        <f t="shared" si="112"/>
        <v>0</v>
      </c>
      <c r="DV75" s="58"/>
      <c r="DW75" s="67"/>
      <c r="DX75" s="66">
        <f t="shared" si="113"/>
        <v>0</v>
      </c>
      <c r="DY75" s="58"/>
      <c r="DZ75" s="67"/>
      <c r="EA75" s="66">
        <f t="shared" si="114"/>
        <v>0</v>
      </c>
      <c r="EB75" s="58"/>
      <c r="EC75" s="67"/>
      <c r="ED75" s="66">
        <f t="shared" si="115"/>
        <v>0</v>
      </c>
      <c r="EE75" s="58"/>
      <c r="EF75" s="67"/>
      <c r="EG75" s="66">
        <f t="shared" si="116"/>
        <v>0</v>
      </c>
      <c r="EH75" s="58"/>
      <c r="EI75" s="58"/>
    </row>
    <row r="76" spans="1:139">
      <c r="A76" s="43"/>
      <c r="B76" s="43"/>
      <c r="C76" s="711"/>
      <c r="D76" s="711"/>
      <c r="E76" s="43"/>
      <c r="F76" s="713">
        <f t="shared" si="76"/>
        <v>17</v>
      </c>
      <c r="G76" s="713">
        <f ca="1">VLOOKUP(H76,Equipos!$Q$1:$R$25,2,0)</f>
        <v>18</v>
      </c>
      <c r="H76" s="774">
        <f ca="1">TRUNC(INDEX(WORLDCUP!$X$4:$X$147,MATCH(ADMIN!K76,WORLDCUP!$DT$4:$DT$147,0))+INDEX(Horarios!$R$3:$R$86,MATCH(Horarios!$C$3,Horarios!$P$3:$P$86,0))/24)</f>
        <v>46201</v>
      </c>
      <c r="I76" s="42">
        <v>1</v>
      </c>
      <c r="J76" s="88" t="s">
        <v>1198</v>
      </c>
      <c r="K76" s="46" t="str">
        <f ca="1">CONCATENATE(WORLDCUP!AA96,"-",WORLDCUP!AF96)</f>
        <v>Panamá-Inglaterra</v>
      </c>
      <c r="L76" s="46"/>
      <c r="M76" s="48" t="str">
        <f>IF(OR(WORLDCUP!AC96="",WORLDCUP!AD96=""),"-",N76&amp;"|"&amp;O76&amp;"-"&amp;P76)</f>
        <v>-</v>
      </c>
      <c r="N76" s="711" t="str">
        <f>IF(OR(WORLDCUP!AC96="",WORLDCUP!AD96=""),"",IF(WORLDCUP!AC96&gt;WORLDCUP!AD96,"1",IF(WORLDCUP!AC96&lt;WORLDCUP!AD96,"2","X")))</f>
        <v/>
      </c>
      <c r="O76" s="711">
        <f>WORLDCUP!AC96</f>
        <v>0</v>
      </c>
      <c r="P76" s="711">
        <f>WORLDCUP!AD96</f>
        <v>0</v>
      </c>
      <c r="Q76" s="711">
        <f t="shared" si="77"/>
        <v>0</v>
      </c>
      <c r="R76" s="43"/>
      <c r="S76" s="67" t="s">
        <v>1949</v>
      </c>
      <c r="T76" s="66">
        <f t="shared" si="75"/>
        <v>0</v>
      </c>
      <c r="U76" s="58"/>
      <c r="V76" s="67" t="s">
        <v>1960</v>
      </c>
      <c r="W76" s="66">
        <f t="shared" si="78"/>
        <v>0</v>
      </c>
      <c r="X76" s="58"/>
      <c r="Y76" s="67" t="s">
        <v>1949</v>
      </c>
      <c r="Z76" s="66">
        <f t="shared" si="79"/>
        <v>0</v>
      </c>
      <c r="AA76" s="58"/>
      <c r="AB76" s="67" t="s">
        <v>1955</v>
      </c>
      <c r="AC76" s="66">
        <f t="shared" si="80"/>
        <v>0</v>
      </c>
      <c r="AD76" s="58"/>
      <c r="AE76" s="67" t="s">
        <v>1974</v>
      </c>
      <c r="AF76" s="66">
        <f t="shared" si="81"/>
        <v>0</v>
      </c>
      <c r="AG76" s="58"/>
      <c r="AH76" s="67" t="s">
        <v>1960</v>
      </c>
      <c r="AI76" s="66">
        <f t="shared" si="82"/>
        <v>0</v>
      </c>
      <c r="AJ76" s="58"/>
      <c r="AK76" s="67" t="s">
        <v>1949</v>
      </c>
      <c r="AL76" s="66">
        <f t="shared" si="83"/>
        <v>0</v>
      </c>
      <c r="AM76" s="58"/>
      <c r="AN76" s="67" t="s">
        <v>1955</v>
      </c>
      <c r="AO76" s="66">
        <f t="shared" si="84"/>
        <v>0</v>
      </c>
      <c r="AP76" s="58"/>
      <c r="AQ76" s="67" t="s">
        <v>1950</v>
      </c>
      <c r="AR76" s="66">
        <f t="shared" si="85"/>
        <v>0</v>
      </c>
      <c r="AS76" s="58"/>
      <c r="AT76" s="67" t="s">
        <v>1949</v>
      </c>
      <c r="AU76" s="66">
        <f t="shared" si="86"/>
        <v>0</v>
      </c>
      <c r="AV76" s="58"/>
      <c r="AW76" s="67" t="s">
        <v>1960</v>
      </c>
      <c r="AX76" s="66">
        <f t="shared" si="87"/>
        <v>0</v>
      </c>
      <c r="AY76" s="58"/>
      <c r="AZ76" s="67" t="s">
        <v>1951</v>
      </c>
      <c r="BA76" s="66">
        <f t="shared" si="88"/>
        <v>0</v>
      </c>
      <c r="BB76" s="58"/>
      <c r="BC76" s="67" t="s">
        <v>1949</v>
      </c>
      <c r="BD76" s="66">
        <f t="shared" si="89"/>
        <v>0</v>
      </c>
      <c r="BE76" s="58"/>
      <c r="BF76" s="67" t="s">
        <v>1960</v>
      </c>
      <c r="BG76" s="66">
        <f t="shared" si="90"/>
        <v>0</v>
      </c>
      <c r="BH76" s="58"/>
      <c r="BI76" s="67" t="s">
        <v>1960</v>
      </c>
      <c r="BJ76" s="66">
        <f t="shared" si="91"/>
        <v>0</v>
      </c>
      <c r="BK76" s="58"/>
      <c r="BL76" s="67" t="s">
        <v>1949</v>
      </c>
      <c r="BM76" s="66">
        <f t="shared" si="92"/>
        <v>0</v>
      </c>
      <c r="BN76" s="58"/>
      <c r="BO76" s="67" t="s">
        <v>1951</v>
      </c>
      <c r="BP76" s="66">
        <f t="shared" si="93"/>
        <v>0</v>
      </c>
      <c r="BQ76" s="58"/>
      <c r="BR76" s="67" t="s">
        <v>1960</v>
      </c>
      <c r="BS76" s="66">
        <f t="shared" si="94"/>
        <v>0</v>
      </c>
      <c r="BT76" s="58"/>
      <c r="BU76" s="67"/>
      <c r="BV76" s="66">
        <f t="shared" si="95"/>
        <v>0</v>
      </c>
      <c r="BW76" s="58"/>
      <c r="BX76" s="67"/>
      <c r="BY76" s="66">
        <f t="shared" si="96"/>
        <v>0</v>
      </c>
      <c r="BZ76" s="58"/>
      <c r="CA76" s="67"/>
      <c r="CB76" s="66">
        <f t="shared" si="97"/>
        <v>0</v>
      </c>
      <c r="CC76" s="58"/>
      <c r="CD76" s="67"/>
      <c r="CE76" s="66">
        <f t="shared" si="98"/>
        <v>0</v>
      </c>
      <c r="CF76" s="58"/>
      <c r="CG76" s="67"/>
      <c r="CH76" s="66">
        <f t="shared" si="99"/>
        <v>0</v>
      </c>
      <c r="CI76" s="58"/>
      <c r="CJ76" s="67"/>
      <c r="CK76" s="66">
        <f t="shared" si="100"/>
        <v>0</v>
      </c>
      <c r="CL76" s="58"/>
      <c r="CM76" s="67"/>
      <c r="CN76" s="66">
        <f t="shared" si="101"/>
        <v>0</v>
      </c>
      <c r="CO76" s="58"/>
      <c r="CP76" s="67"/>
      <c r="CQ76" s="66">
        <f t="shared" si="102"/>
        <v>0</v>
      </c>
      <c r="CR76" s="58"/>
      <c r="CS76" s="67"/>
      <c r="CT76" s="66">
        <f t="shared" si="103"/>
        <v>0</v>
      </c>
      <c r="CU76" s="58"/>
      <c r="CV76" s="67"/>
      <c r="CW76" s="66">
        <f t="shared" si="104"/>
        <v>0</v>
      </c>
      <c r="CX76" s="58"/>
      <c r="CY76" s="67"/>
      <c r="CZ76" s="66">
        <f t="shared" si="105"/>
        <v>0</v>
      </c>
      <c r="DA76" s="58"/>
      <c r="DB76" s="67"/>
      <c r="DC76" s="66">
        <f t="shared" si="106"/>
        <v>0</v>
      </c>
      <c r="DD76" s="58"/>
      <c r="DE76" s="67"/>
      <c r="DF76" s="66">
        <f t="shared" si="107"/>
        <v>0</v>
      </c>
      <c r="DG76" s="58"/>
      <c r="DH76" s="67"/>
      <c r="DI76" s="66">
        <f t="shared" si="108"/>
        <v>0</v>
      </c>
      <c r="DJ76" s="58"/>
      <c r="DK76" s="67"/>
      <c r="DL76" s="66">
        <f t="shared" si="109"/>
        <v>0</v>
      </c>
      <c r="DM76" s="58"/>
      <c r="DN76" s="67"/>
      <c r="DO76" s="66">
        <f t="shared" si="110"/>
        <v>0</v>
      </c>
      <c r="DP76" s="58"/>
      <c r="DQ76" s="67"/>
      <c r="DR76" s="66">
        <f t="shared" si="111"/>
        <v>0</v>
      </c>
      <c r="DS76" s="58"/>
      <c r="DT76" s="67"/>
      <c r="DU76" s="66">
        <f t="shared" si="112"/>
        <v>0</v>
      </c>
      <c r="DV76" s="58"/>
      <c r="DW76" s="67"/>
      <c r="DX76" s="66">
        <f t="shared" si="113"/>
        <v>0</v>
      </c>
      <c r="DY76" s="58"/>
      <c r="DZ76" s="67"/>
      <c r="EA76" s="66">
        <f t="shared" si="114"/>
        <v>0</v>
      </c>
      <c r="EB76" s="58"/>
      <c r="EC76" s="67"/>
      <c r="ED76" s="66">
        <f t="shared" si="115"/>
        <v>0</v>
      </c>
      <c r="EE76" s="58"/>
      <c r="EF76" s="67"/>
      <c r="EG76" s="66">
        <f t="shared" si="116"/>
        <v>0</v>
      </c>
      <c r="EH76" s="58"/>
      <c r="EI76" s="58"/>
    </row>
    <row r="77" spans="1:139">
      <c r="A77" s="43"/>
      <c r="B77" s="43"/>
      <c r="C77" s="711"/>
      <c r="D77" s="711"/>
      <c r="E77" s="43"/>
      <c r="F77" s="713">
        <f t="shared" si="76"/>
        <v>17</v>
      </c>
      <c r="G77" s="713">
        <f ca="1">VLOOKUP(H77,Equipos!$Q$1:$R$25,2,0)</f>
        <v>18</v>
      </c>
      <c r="H77" s="774">
        <f ca="1">TRUNC(INDEX(WORLDCUP!$X$4:$X$147,MATCH(ADMIN!K77,WORLDCUP!$DT$4:$DT$147,0))+INDEX(Horarios!$R$3:$R$86,MATCH(Horarios!$C$3,Horarios!$P$3:$P$86,0))/24)</f>
        <v>46201</v>
      </c>
      <c r="I77" s="42">
        <v>1</v>
      </c>
      <c r="J77" s="88" t="s">
        <v>1198</v>
      </c>
      <c r="K77" s="107" t="str">
        <f ca="1">CONCATENATE(WORLDCUP!AA97,"-",WORLDCUP!AF97)</f>
        <v>Croacia-Ghana</v>
      </c>
      <c r="L77" s="107"/>
      <c r="M77" s="108" t="str">
        <f>IF(OR(WORLDCUP!AC97="",WORLDCUP!AD97=""),"-",N77&amp;"|"&amp;O77&amp;"-"&amp;P77)</f>
        <v>-</v>
      </c>
      <c r="N77" s="711" t="str">
        <f>IF(OR(WORLDCUP!AC97="",WORLDCUP!AD97=""),"",IF(WORLDCUP!AC97&gt;WORLDCUP!AD97,"1",IF(WORLDCUP!AC97&lt;WORLDCUP!AD97,"2","X")))</f>
        <v/>
      </c>
      <c r="O77" s="711">
        <f>WORLDCUP!AC97</f>
        <v>0</v>
      </c>
      <c r="P77" s="711">
        <f>WORLDCUP!AD97</f>
        <v>0</v>
      </c>
      <c r="Q77" s="711">
        <f t="shared" si="77"/>
        <v>0</v>
      </c>
      <c r="R77" s="43"/>
      <c r="S77" s="73" t="s">
        <v>1953</v>
      </c>
      <c r="T77" s="74">
        <f t="shared" si="75"/>
        <v>0</v>
      </c>
      <c r="U77" s="58"/>
      <c r="V77" s="73" t="s">
        <v>1948</v>
      </c>
      <c r="W77" s="74">
        <f t="shared" si="78"/>
        <v>0</v>
      </c>
      <c r="X77" s="58"/>
      <c r="Y77" s="73" t="s">
        <v>1948</v>
      </c>
      <c r="Z77" s="74">
        <f t="shared" si="79"/>
        <v>0</v>
      </c>
      <c r="AA77" s="58"/>
      <c r="AB77" s="73" t="s">
        <v>1953</v>
      </c>
      <c r="AC77" s="74">
        <f t="shared" si="80"/>
        <v>0</v>
      </c>
      <c r="AD77" s="58"/>
      <c r="AE77" s="73" t="s">
        <v>1947</v>
      </c>
      <c r="AF77" s="74">
        <f t="shared" si="81"/>
        <v>0</v>
      </c>
      <c r="AG77" s="58"/>
      <c r="AH77" s="73" t="s">
        <v>1947</v>
      </c>
      <c r="AI77" s="74">
        <f t="shared" si="82"/>
        <v>0</v>
      </c>
      <c r="AJ77" s="58"/>
      <c r="AK77" s="73" t="s">
        <v>1948</v>
      </c>
      <c r="AL77" s="74">
        <f t="shared" si="83"/>
        <v>0</v>
      </c>
      <c r="AM77" s="58"/>
      <c r="AN77" s="73" t="s">
        <v>1956</v>
      </c>
      <c r="AO77" s="74">
        <f t="shared" si="84"/>
        <v>0</v>
      </c>
      <c r="AP77" s="58"/>
      <c r="AQ77" s="73" t="s">
        <v>1962</v>
      </c>
      <c r="AR77" s="74">
        <f t="shared" si="85"/>
        <v>0</v>
      </c>
      <c r="AS77" s="58"/>
      <c r="AT77" s="73" t="s">
        <v>1947</v>
      </c>
      <c r="AU77" s="74">
        <f t="shared" si="86"/>
        <v>0</v>
      </c>
      <c r="AV77" s="58"/>
      <c r="AW77" s="73" t="s">
        <v>1956</v>
      </c>
      <c r="AX77" s="74">
        <f t="shared" si="87"/>
        <v>0</v>
      </c>
      <c r="AY77" s="58"/>
      <c r="AZ77" s="73" t="s">
        <v>1947</v>
      </c>
      <c r="BA77" s="74">
        <f t="shared" si="88"/>
        <v>0</v>
      </c>
      <c r="BB77" s="58"/>
      <c r="BC77" s="73" t="s">
        <v>1964</v>
      </c>
      <c r="BD77" s="74">
        <f t="shared" si="89"/>
        <v>0</v>
      </c>
      <c r="BE77" s="58"/>
      <c r="BF77" s="73" t="s">
        <v>1956</v>
      </c>
      <c r="BG77" s="74">
        <f t="shared" si="90"/>
        <v>0</v>
      </c>
      <c r="BH77" s="58"/>
      <c r="BI77" s="73" t="s">
        <v>1948</v>
      </c>
      <c r="BJ77" s="74">
        <f t="shared" si="91"/>
        <v>0</v>
      </c>
      <c r="BK77" s="58"/>
      <c r="BL77" s="73" t="s">
        <v>1954</v>
      </c>
      <c r="BM77" s="74">
        <f t="shared" si="92"/>
        <v>0</v>
      </c>
      <c r="BN77" s="58"/>
      <c r="BO77" s="73" t="s">
        <v>1955</v>
      </c>
      <c r="BP77" s="74">
        <f t="shared" si="93"/>
        <v>0</v>
      </c>
      <c r="BQ77" s="58"/>
      <c r="BR77" s="73" t="s">
        <v>1956</v>
      </c>
      <c r="BS77" s="74">
        <f t="shared" si="94"/>
        <v>0</v>
      </c>
      <c r="BT77" s="58"/>
      <c r="BU77" s="73"/>
      <c r="BV77" s="74">
        <f t="shared" si="95"/>
        <v>0</v>
      </c>
      <c r="BW77" s="58"/>
      <c r="BX77" s="73"/>
      <c r="BY77" s="74">
        <f t="shared" si="96"/>
        <v>0</v>
      </c>
      <c r="BZ77" s="58"/>
      <c r="CA77" s="73"/>
      <c r="CB77" s="74">
        <f t="shared" si="97"/>
        <v>0</v>
      </c>
      <c r="CC77" s="58"/>
      <c r="CD77" s="73"/>
      <c r="CE77" s="74">
        <f t="shared" si="98"/>
        <v>0</v>
      </c>
      <c r="CF77" s="58"/>
      <c r="CG77" s="73"/>
      <c r="CH77" s="74">
        <f t="shared" si="99"/>
        <v>0</v>
      </c>
      <c r="CI77" s="58"/>
      <c r="CJ77" s="73"/>
      <c r="CK77" s="74">
        <f t="shared" si="100"/>
        <v>0</v>
      </c>
      <c r="CL77" s="58"/>
      <c r="CM77" s="73"/>
      <c r="CN77" s="74">
        <f t="shared" si="101"/>
        <v>0</v>
      </c>
      <c r="CO77" s="58"/>
      <c r="CP77" s="73"/>
      <c r="CQ77" s="74">
        <f t="shared" si="102"/>
        <v>0</v>
      </c>
      <c r="CR77" s="58"/>
      <c r="CS77" s="73"/>
      <c r="CT77" s="74">
        <f t="shared" si="103"/>
        <v>0</v>
      </c>
      <c r="CU77" s="58"/>
      <c r="CV77" s="73"/>
      <c r="CW77" s="74">
        <f t="shared" si="104"/>
        <v>0</v>
      </c>
      <c r="CX77" s="58"/>
      <c r="CY77" s="73"/>
      <c r="CZ77" s="74">
        <f t="shared" si="105"/>
        <v>0</v>
      </c>
      <c r="DA77" s="58"/>
      <c r="DB77" s="73"/>
      <c r="DC77" s="74">
        <f t="shared" si="106"/>
        <v>0</v>
      </c>
      <c r="DD77" s="58"/>
      <c r="DE77" s="73"/>
      <c r="DF77" s="74">
        <f t="shared" si="107"/>
        <v>0</v>
      </c>
      <c r="DG77" s="58"/>
      <c r="DH77" s="73"/>
      <c r="DI77" s="74">
        <f t="shared" si="108"/>
        <v>0</v>
      </c>
      <c r="DJ77" s="58"/>
      <c r="DK77" s="73"/>
      <c r="DL77" s="74">
        <f t="shared" si="109"/>
        <v>0</v>
      </c>
      <c r="DM77" s="58"/>
      <c r="DN77" s="73"/>
      <c r="DO77" s="74">
        <f t="shared" si="110"/>
        <v>0</v>
      </c>
      <c r="DP77" s="58"/>
      <c r="DQ77" s="73"/>
      <c r="DR77" s="74">
        <f t="shared" si="111"/>
        <v>0</v>
      </c>
      <c r="DS77" s="58"/>
      <c r="DT77" s="73"/>
      <c r="DU77" s="74">
        <f t="shared" si="112"/>
        <v>0</v>
      </c>
      <c r="DV77" s="58"/>
      <c r="DW77" s="73"/>
      <c r="DX77" s="74">
        <f t="shared" si="113"/>
        <v>0</v>
      </c>
      <c r="DY77" s="58"/>
      <c r="DZ77" s="73"/>
      <c r="EA77" s="74">
        <f t="shared" si="114"/>
        <v>0</v>
      </c>
      <c r="EB77" s="58"/>
      <c r="EC77" s="73"/>
      <c r="ED77" s="74">
        <f t="shared" si="115"/>
        <v>0</v>
      </c>
      <c r="EE77" s="58"/>
      <c r="EF77" s="73"/>
      <c r="EG77" s="74">
        <f t="shared" si="116"/>
        <v>0</v>
      </c>
      <c r="EH77" s="58"/>
      <c r="EI77" s="58"/>
    </row>
    <row r="78" spans="1:139">
      <c r="A78" s="43"/>
      <c r="B78" s="43"/>
      <c r="C78" s="43"/>
      <c r="D78" s="43"/>
      <c r="E78" s="43"/>
      <c r="F78" s="712"/>
      <c r="G78" s="713"/>
      <c r="H78" s="43"/>
      <c r="I78" s="53"/>
      <c r="J78" s="89"/>
      <c r="K78" s="414" t="str">
        <f>Idiomas!D455</f>
        <v>F. Grupos</v>
      </c>
      <c r="L78" s="415"/>
      <c r="M78" s="414" t="str">
        <f>"Max: "&amp;SUM($D$8:$D$10)*SUM($I$6:$I$77)</f>
        <v>Max: 1224</v>
      </c>
      <c r="N78" s="711"/>
      <c r="O78" s="711"/>
      <c r="P78" s="711"/>
      <c r="Q78" s="711"/>
      <c r="R78" s="102"/>
      <c r="S78" s="75"/>
      <c r="T78" s="76">
        <f>SUM(T6:T77)</f>
        <v>5</v>
      </c>
      <c r="U78" s="57"/>
      <c r="V78" s="75"/>
      <c r="W78" s="76">
        <f>SUM(W6:W77)</f>
        <v>5</v>
      </c>
      <c r="X78" s="57"/>
      <c r="Y78" s="75"/>
      <c r="Z78" s="76">
        <f>SUM(Z6:Z77)</f>
        <v>5</v>
      </c>
      <c r="AA78" s="57"/>
      <c r="AB78" s="75"/>
      <c r="AC78" s="76">
        <f>SUM(AC6:AC77)</f>
        <v>5</v>
      </c>
      <c r="AD78" s="57"/>
      <c r="AE78" s="75"/>
      <c r="AF78" s="76">
        <f>SUM(AF6:AF77)</f>
        <v>34</v>
      </c>
      <c r="AG78" s="57"/>
      <c r="AH78" s="75"/>
      <c r="AI78" s="76">
        <f>SUM(AI6:AI77)</f>
        <v>17</v>
      </c>
      <c r="AJ78" s="57"/>
      <c r="AK78" s="75"/>
      <c r="AL78" s="76">
        <f>SUM(AL6:AL77)</f>
        <v>17</v>
      </c>
      <c r="AM78" s="57"/>
      <c r="AN78" s="75"/>
      <c r="AO78" s="76">
        <f>SUM(AO6:AO77)</f>
        <v>17</v>
      </c>
      <c r="AP78" s="57"/>
      <c r="AQ78" s="75"/>
      <c r="AR78" s="76">
        <f>SUM(AR6:AR77)</f>
        <v>34</v>
      </c>
      <c r="AS78" s="57"/>
      <c r="AT78" s="75"/>
      <c r="AU78" s="76">
        <f>SUM(AU6:AU77)</f>
        <v>17</v>
      </c>
      <c r="AV78" s="57"/>
      <c r="AW78" s="75"/>
      <c r="AX78" s="76">
        <f>SUM(AX6:AX77)</f>
        <v>5</v>
      </c>
      <c r="AY78" s="57"/>
      <c r="AZ78" s="75"/>
      <c r="BA78" s="76">
        <f>SUM(BA6:BA77)</f>
        <v>5</v>
      </c>
      <c r="BB78" s="57"/>
      <c r="BC78" s="75"/>
      <c r="BD78" s="76">
        <f>SUM(BD6:BD77)</f>
        <v>5</v>
      </c>
      <c r="BE78" s="57"/>
      <c r="BF78" s="75"/>
      <c r="BG78" s="76">
        <f>SUM(BG6:BG77)</f>
        <v>12</v>
      </c>
      <c r="BH78" s="57"/>
      <c r="BI78" s="75"/>
      <c r="BJ78" s="76">
        <f>SUM(BJ6:BJ77)</f>
        <v>22</v>
      </c>
      <c r="BK78" s="57"/>
      <c r="BL78" s="75"/>
      <c r="BM78" s="76">
        <f>SUM(BM6:BM77)</f>
        <v>17</v>
      </c>
      <c r="BN78" s="57"/>
      <c r="BO78" s="75"/>
      <c r="BP78" s="76">
        <f>SUM(BP6:BP77)</f>
        <v>17</v>
      </c>
      <c r="BQ78" s="57"/>
      <c r="BR78" s="75"/>
      <c r="BS78" s="76">
        <f>SUM(BS6:BS77)</f>
        <v>5</v>
      </c>
      <c r="BT78" s="57"/>
      <c r="BU78" s="75"/>
      <c r="BV78" s="76">
        <f>SUM(BV6:BV77)</f>
        <v>0</v>
      </c>
      <c r="BW78" s="57"/>
      <c r="BX78" s="75"/>
      <c r="BY78" s="76">
        <f>SUM(BY6:BY77)</f>
        <v>0</v>
      </c>
      <c r="BZ78" s="57"/>
      <c r="CA78" s="75"/>
      <c r="CB78" s="76">
        <f>SUM(CB6:CB77)</f>
        <v>0</v>
      </c>
      <c r="CC78" s="57"/>
      <c r="CD78" s="75"/>
      <c r="CE78" s="76">
        <f>SUM(CE6:CE77)</f>
        <v>0</v>
      </c>
      <c r="CF78" s="57"/>
      <c r="CG78" s="75"/>
      <c r="CH78" s="76">
        <f>SUM(CH6:CH77)</f>
        <v>0</v>
      </c>
      <c r="CI78" s="57"/>
      <c r="CJ78" s="75"/>
      <c r="CK78" s="76">
        <f>SUM(CK6:CK77)</f>
        <v>0</v>
      </c>
      <c r="CL78" s="57"/>
      <c r="CM78" s="75"/>
      <c r="CN78" s="76">
        <f>SUM(CN6:CN77)</f>
        <v>0</v>
      </c>
      <c r="CO78" s="57"/>
      <c r="CP78" s="75"/>
      <c r="CQ78" s="76">
        <f>SUM(CQ6:CQ77)</f>
        <v>0</v>
      </c>
      <c r="CR78" s="57"/>
      <c r="CS78" s="75"/>
      <c r="CT78" s="76">
        <f>SUM(CT6:CT77)</f>
        <v>0</v>
      </c>
      <c r="CU78" s="57"/>
      <c r="CV78" s="75"/>
      <c r="CW78" s="76">
        <f>SUM(CW6:CW77)</f>
        <v>0</v>
      </c>
      <c r="CX78" s="57"/>
      <c r="CY78" s="75"/>
      <c r="CZ78" s="76">
        <f>SUM(CZ6:CZ77)</f>
        <v>0</v>
      </c>
      <c r="DA78" s="57"/>
      <c r="DB78" s="75"/>
      <c r="DC78" s="76">
        <f>SUM(DC6:DC77)</f>
        <v>0</v>
      </c>
      <c r="DD78" s="57"/>
      <c r="DE78" s="75"/>
      <c r="DF78" s="76">
        <f>SUM(DF6:DF77)</f>
        <v>0</v>
      </c>
      <c r="DG78" s="57"/>
      <c r="DH78" s="75"/>
      <c r="DI78" s="76">
        <f>SUM(DI6:DI77)</f>
        <v>0</v>
      </c>
      <c r="DJ78" s="57"/>
      <c r="DK78" s="75"/>
      <c r="DL78" s="76">
        <f>SUM(DL6:DL77)</f>
        <v>0</v>
      </c>
      <c r="DM78" s="57"/>
      <c r="DN78" s="75"/>
      <c r="DO78" s="76">
        <f>SUM(DO6:DO77)</f>
        <v>0</v>
      </c>
      <c r="DP78" s="57"/>
      <c r="DQ78" s="75"/>
      <c r="DR78" s="76">
        <f>SUM(DR6:DR77)</f>
        <v>0</v>
      </c>
      <c r="DS78" s="57"/>
      <c r="DT78" s="75"/>
      <c r="DU78" s="76">
        <f>SUM(DU6:DU77)</f>
        <v>0</v>
      </c>
      <c r="DV78" s="57"/>
      <c r="DW78" s="75"/>
      <c r="DX78" s="76">
        <f>SUM(DX6:DX77)</f>
        <v>0</v>
      </c>
      <c r="DY78" s="57"/>
      <c r="DZ78" s="75"/>
      <c r="EA78" s="76">
        <f>SUM(EA6:EA77)</f>
        <v>0</v>
      </c>
      <c r="EB78" s="57"/>
      <c r="EC78" s="75"/>
      <c r="ED78" s="76">
        <f>SUM(ED6:ED77)</f>
        <v>0</v>
      </c>
      <c r="EE78" s="57"/>
      <c r="EF78" s="75"/>
      <c r="EG78" s="76">
        <f>SUM(EG6:EG77)</f>
        <v>0</v>
      </c>
      <c r="EH78" s="57"/>
      <c r="EI78" s="57"/>
    </row>
    <row r="79" spans="1:139">
      <c r="A79" s="43"/>
      <c r="B79" s="43"/>
      <c r="C79" s="43"/>
      <c r="D79" s="43"/>
      <c r="E79" s="43"/>
      <c r="F79" s="712"/>
      <c r="G79" s="713"/>
      <c r="H79" s="43"/>
      <c r="I79" s="53"/>
      <c r="J79" s="89"/>
      <c r="K79" s="109" t="str">
        <f>Idiomas!D136</f>
        <v>POSICIÓN GRUPOS</v>
      </c>
      <c r="L79" s="53"/>
      <c r="M79" s="76"/>
      <c r="N79" s="711"/>
      <c r="O79" s="711"/>
      <c r="P79" s="711"/>
      <c r="Q79" s="711"/>
      <c r="R79" s="102"/>
      <c r="S79" s="75"/>
      <c r="T79" s="76"/>
      <c r="U79" s="57"/>
      <c r="V79" s="75"/>
      <c r="W79" s="76"/>
      <c r="X79" s="57"/>
      <c r="Y79" s="75"/>
      <c r="Z79" s="76"/>
      <c r="AA79" s="57"/>
      <c r="AB79" s="75"/>
      <c r="AC79" s="76"/>
      <c r="AD79" s="57"/>
      <c r="AE79" s="75"/>
      <c r="AF79" s="76"/>
      <c r="AG79" s="57"/>
      <c r="AH79" s="75"/>
      <c r="AI79" s="76"/>
      <c r="AJ79" s="57"/>
      <c r="AK79" s="75"/>
      <c r="AL79" s="76"/>
      <c r="AM79" s="57"/>
      <c r="AN79" s="75"/>
      <c r="AO79" s="76"/>
      <c r="AP79" s="57"/>
      <c r="AQ79" s="75"/>
      <c r="AR79" s="76"/>
      <c r="AS79" s="57"/>
      <c r="AT79" s="75"/>
      <c r="AU79" s="76"/>
      <c r="AV79" s="57"/>
      <c r="AW79" s="75"/>
      <c r="AX79" s="76"/>
      <c r="AY79" s="57"/>
      <c r="AZ79" s="75"/>
      <c r="BA79" s="76"/>
      <c r="BB79" s="57"/>
      <c r="BC79" s="75"/>
      <c r="BD79" s="76"/>
      <c r="BE79" s="57"/>
      <c r="BF79" s="75"/>
      <c r="BG79" s="76"/>
      <c r="BH79" s="57"/>
      <c r="BI79" s="75"/>
      <c r="BJ79" s="76"/>
      <c r="BK79" s="57"/>
      <c r="BL79" s="75"/>
      <c r="BM79" s="76"/>
      <c r="BN79" s="57"/>
      <c r="BO79" s="75"/>
      <c r="BP79" s="76"/>
      <c r="BQ79" s="57"/>
      <c r="BR79" s="75"/>
      <c r="BS79" s="76"/>
      <c r="BT79" s="57"/>
      <c r="BU79" s="75"/>
      <c r="BV79" s="76"/>
      <c r="BW79" s="57"/>
      <c r="BX79" s="75"/>
      <c r="BY79" s="76"/>
      <c r="BZ79" s="57"/>
      <c r="CA79" s="75"/>
      <c r="CB79" s="76"/>
      <c r="CC79" s="57"/>
      <c r="CD79" s="75"/>
      <c r="CE79" s="76"/>
      <c r="CF79" s="57"/>
      <c r="CG79" s="75"/>
      <c r="CH79" s="76"/>
      <c r="CI79" s="57"/>
      <c r="CJ79" s="75"/>
      <c r="CK79" s="76"/>
      <c r="CL79" s="57"/>
      <c r="CM79" s="75"/>
      <c r="CN79" s="76"/>
      <c r="CO79" s="57"/>
      <c r="CP79" s="75"/>
      <c r="CQ79" s="76"/>
      <c r="CR79" s="57"/>
      <c r="CS79" s="75"/>
      <c r="CT79" s="76"/>
      <c r="CU79" s="57"/>
      <c r="CV79" s="75"/>
      <c r="CW79" s="76"/>
      <c r="CX79" s="57"/>
      <c r="CY79" s="75"/>
      <c r="CZ79" s="76"/>
      <c r="DA79" s="57"/>
      <c r="DB79" s="75"/>
      <c r="DC79" s="76"/>
      <c r="DD79" s="57"/>
      <c r="DE79" s="75"/>
      <c r="DF79" s="76"/>
      <c r="DG79" s="57"/>
      <c r="DH79" s="75"/>
      <c r="DI79" s="76"/>
      <c r="DJ79" s="57"/>
      <c r="DK79" s="75"/>
      <c r="DL79" s="76"/>
      <c r="DM79" s="57"/>
      <c r="DN79" s="75"/>
      <c r="DO79" s="76"/>
      <c r="DP79" s="57"/>
      <c r="DQ79" s="75"/>
      <c r="DR79" s="76"/>
      <c r="DS79" s="57"/>
      <c r="DT79" s="75"/>
      <c r="DU79" s="76"/>
      <c r="DV79" s="57"/>
      <c r="DW79" s="75"/>
      <c r="DX79" s="76"/>
      <c r="DY79" s="57"/>
      <c r="DZ79" s="75"/>
      <c r="EA79" s="76"/>
      <c r="EB79" s="57"/>
      <c r="EC79" s="75"/>
      <c r="ED79" s="76"/>
      <c r="EE79" s="57"/>
      <c r="EF79" s="75"/>
      <c r="EG79" s="76"/>
      <c r="EH79" s="57"/>
      <c r="EI79" s="57"/>
    </row>
    <row r="80" spans="1:139">
      <c r="A80" s="43"/>
      <c r="B80" s="43"/>
      <c r="C80" s="43"/>
      <c r="D80" s="43"/>
      <c r="E80" s="43"/>
      <c r="F80" s="712">
        <f>$D$11</f>
        <v>5</v>
      </c>
      <c r="G80" s="713">
        <f ca="1">VLOOKUP(H80,Equipos!$Q$1:$R$25,2,0)</f>
        <v>15</v>
      </c>
      <c r="H80" s="774">
        <f ca="1">$H$54</f>
        <v>46198</v>
      </c>
      <c r="I80" s="44"/>
      <c r="J80" s="862" t="s">
        <v>0</v>
      </c>
      <c r="K80" s="46" t="str">
        <f>Idiomas!D150</f>
        <v>1º GRUPO A</v>
      </c>
      <c r="L80" s="46"/>
      <c r="M80" s="48" t="str">
        <f ca="1">IF(OR(SUM(WORLDCUP!$AN$6:$AN$9)=12,WORLDCUP!$AJ$99=144),WORLDCUP!AL6,LEFT(K80,1)&amp;RIGHT(K80,1))</f>
        <v>1A</v>
      </c>
      <c r="N80" s="711"/>
      <c r="O80" s="711"/>
      <c r="P80" s="711"/>
      <c r="Q80" s="711"/>
      <c r="R80" s="102"/>
      <c r="S80" s="69" t="s">
        <v>1265</v>
      </c>
      <c r="T80" s="70">
        <f ca="1">($M80=S80)*$D$11</f>
        <v>0</v>
      </c>
      <c r="U80" s="57"/>
      <c r="V80" s="69" t="s">
        <v>1837</v>
      </c>
      <c r="W80" s="70">
        <f ca="1">($M80=V80)*$D$11</f>
        <v>0</v>
      </c>
      <c r="X80" s="57"/>
      <c r="Y80" s="69" t="s">
        <v>1265</v>
      </c>
      <c r="Z80" s="70">
        <f ca="1">($M80=Y80)*$D$11</f>
        <v>0</v>
      </c>
      <c r="AA80" s="57"/>
      <c r="AB80" s="69" t="s">
        <v>1837</v>
      </c>
      <c r="AC80" s="70">
        <f ca="1">($M80=AB80)*$D$11</f>
        <v>0</v>
      </c>
      <c r="AD80" s="57"/>
      <c r="AE80" s="69" t="s">
        <v>1260</v>
      </c>
      <c r="AF80" s="70">
        <f ca="1">($M80=AE80)*$D$11</f>
        <v>0</v>
      </c>
      <c r="AG80" s="57"/>
      <c r="AH80" s="69" t="s">
        <v>1265</v>
      </c>
      <c r="AI80" s="70">
        <f ca="1">($M80=AH80)*$D$11</f>
        <v>0</v>
      </c>
      <c r="AJ80" s="57"/>
      <c r="AK80" s="69" t="s">
        <v>1265</v>
      </c>
      <c r="AL80" s="70">
        <f ca="1">($M80=AK80)*$D$11</f>
        <v>0</v>
      </c>
      <c r="AM80" s="57"/>
      <c r="AN80" s="69" t="s">
        <v>1265</v>
      </c>
      <c r="AO80" s="70">
        <f ca="1">($M80=AN80)*$D$11</f>
        <v>0</v>
      </c>
      <c r="AP80" s="57"/>
      <c r="AQ80" s="69" t="s">
        <v>1260</v>
      </c>
      <c r="AR80" s="70">
        <f ca="1">($M80=AQ80)*$D$11</f>
        <v>0</v>
      </c>
      <c r="AS80" s="57"/>
      <c r="AT80" s="69" t="s">
        <v>1837</v>
      </c>
      <c r="AU80" s="70">
        <f ca="1">($M80=AT80)*$D$11</f>
        <v>0</v>
      </c>
      <c r="AV80" s="57"/>
      <c r="AW80" s="69" t="s">
        <v>1837</v>
      </c>
      <c r="AX80" s="70">
        <f ca="1">($M80=AW80)*$D$11</f>
        <v>0</v>
      </c>
      <c r="AY80" s="57"/>
      <c r="AZ80" s="69" t="s">
        <v>1265</v>
      </c>
      <c r="BA80" s="70">
        <f ca="1">($M80=AZ80)*$D$11</f>
        <v>0</v>
      </c>
      <c r="BB80" s="57"/>
      <c r="BC80" s="69" t="s">
        <v>1265</v>
      </c>
      <c r="BD80" s="70">
        <f ca="1">($M80=BC80)*$D$11</f>
        <v>0</v>
      </c>
      <c r="BE80" s="57"/>
      <c r="BF80" s="69" t="s">
        <v>1265</v>
      </c>
      <c r="BG80" s="70">
        <f ca="1">($M80=BF80)*$D$11</f>
        <v>0</v>
      </c>
      <c r="BH80" s="57"/>
      <c r="BI80" s="69" t="s">
        <v>1265</v>
      </c>
      <c r="BJ80" s="70">
        <f ca="1">($M80=BI80)*$D$11</f>
        <v>0</v>
      </c>
      <c r="BK80" s="57"/>
      <c r="BL80" s="69" t="s">
        <v>1260</v>
      </c>
      <c r="BM80" s="70">
        <f ca="1">($M80=BL80)*$D$11</f>
        <v>0</v>
      </c>
      <c r="BN80" s="57"/>
      <c r="BO80" s="69" t="s">
        <v>1265</v>
      </c>
      <c r="BP80" s="70">
        <f ca="1">($M80=BO80)*$D$11</f>
        <v>0</v>
      </c>
      <c r="BQ80" s="57"/>
      <c r="BR80" s="69" t="s">
        <v>1265</v>
      </c>
      <c r="BS80" s="70">
        <f ca="1">($M80=BR80)*$D$11</f>
        <v>0</v>
      </c>
      <c r="BT80" s="57"/>
      <c r="BU80" s="69"/>
      <c r="BV80" s="70">
        <f ca="1">($M80=BU80)*$D$11</f>
        <v>0</v>
      </c>
      <c r="BW80" s="57"/>
      <c r="BX80" s="69"/>
      <c r="BY80" s="70">
        <f ca="1">($M80=BX80)*$D$11</f>
        <v>0</v>
      </c>
      <c r="BZ80" s="57"/>
      <c r="CA80" s="69"/>
      <c r="CB80" s="70">
        <f ca="1">($M80=CA80)*$D$11</f>
        <v>0</v>
      </c>
      <c r="CC80" s="57"/>
      <c r="CD80" s="69"/>
      <c r="CE80" s="70">
        <f ca="1">($M80=CD80)*$D$11</f>
        <v>0</v>
      </c>
      <c r="CF80" s="57"/>
      <c r="CG80" s="69"/>
      <c r="CH80" s="70">
        <f ca="1">($M80=CG80)*$D$11</f>
        <v>0</v>
      </c>
      <c r="CI80" s="57"/>
      <c r="CJ80" s="69"/>
      <c r="CK80" s="70">
        <f ca="1">($M80=CJ80)*$D$11</f>
        <v>0</v>
      </c>
      <c r="CL80" s="57"/>
      <c r="CM80" s="69"/>
      <c r="CN80" s="70">
        <f ca="1">($M80=CM80)*$D$11</f>
        <v>0</v>
      </c>
      <c r="CO80" s="57"/>
      <c r="CP80" s="69"/>
      <c r="CQ80" s="70">
        <f ca="1">($M80=CP80)*$D$11</f>
        <v>0</v>
      </c>
      <c r="CR80" s="57"/>
      <c r="CS80" s="69"/>
      <c r="CT80" s="70">
        <f ca="1">($M80=CS80)*$D$11</f>
        <v>0</v>
      </c>
      <c r="CU80" s="57"/>
      <c r="CV80" s="69"/>
      <c r="CW80" s="70">
        <f ca="1">($M80=CV80)*$D$11</f>
        <v>0</v>
      </c>
      <c r="CX80" s="57"/>
      <c r="CY80" s="69"/>
      <c r="CZ80" s="70">
        <f ca="1">($M80=CY80)*$D$11</f>
        <v>0</v>
      </c>
      <c r="DA80" s="57"/>
      <c r="DB80" s="69"/>
      <c r="DC80" s="70">
        <f ca="1">($M80=DB80)*$D$11</f>
        <v>0</v>
      </c>
      <c r="DD80" s="57"/>
      <c r="DE80" s="69"/>
      <c r="DF80" s="70">
        <f ca="1">($M80=DE80)*$D$11</f>
        <v>0</v>
      </c>
      <c r="DG80" s="57"/>
      <c r="DH80" s="69"/>
      <c r="DI80" s="70">
        <f ca="1">($M80=DH80)*$D$11</f>
        <v>0</v>
      </c>
      <c r="DJ80" s="57"/>
      <c r="DK80" s="69"/>
      <c r="DL80" s="70">
        <f ca="1">($M80=DK80)*$D$11</f>
        <v>0</v>
      </c>
      <c r="DM80" s="57"/>
      <c r="DN80" s="69"/>
      <c r="DO80" s="70">
        <f ca="1">($M80=DN80)*$D$11</f>
        <v>0</v>
      </c>
      <c r="DP80" s="57"/>
      <c r="DQ80" s="69"/>
      <c r="DR80" s="70">
        <f ca="1">($M80=DQ80)*$D$11</f>
        <v>0</v>
      </c>
      <c r="DS80" s="57"/>
      <c r="DT80" s="69"/>
      <c r="DU80" s="70">
        <f ca="1">($M80=DT80)*$D$11</f>
        <v>0</v>
      </c>
      <c r="DV80" s="57"/>
      <c r="DW80" s="69"/>
      <c r="DX80" s="70">
        <f ca="1">($M80=DW80)*$D$11</f>
        <v>0</v>
      </c>
      <c r="DY80" s="57"/>
      <c r="DZ80" s="69"/>
      <c r="EA80" s="70">
        <f ca="1">($M80=DZ80)*$D$11</f>
        <v>0</v>
      </c>
      <c r="EB80" s="57"/>
      <c r="EC80" s="69"/>
      <c r="ED80" s="70">
        <f ca="1">($M80=EC80)*$D$11</f>
        <v>0</v>
      </c>
      <c r="EE80" s="57"/>
      <c r="EF80" s="69"/>
      <c r="EG80" s="70">
        <f ca="1">($M80=EF80)*$D$11</f>
        <v>0</v>
      </c>
      <c r="EH80" s="57"/>
      <c r="EI80" s="57"/>
    </row>
    <row r="81" spans="1:139">
      <c r="A81" s="43"/>
      <c r="B81" s="43"/>
      <c r="C81" s="43"/>
      <c r="D81" s="43"/>
      <c r="E81" s="43"/>
      <c r="F81" s="712">
        <f>$D$12</f>
        <v>5</v>
      </c>
      <c r="G81" s="713">
        <f ca="1">VLOOKUP(H81,Equipos!$Q$1:$R$25,2,0)</f>
        <v>15</v>
      </c>
      <c r="H81" s="774">
        <f ca="1">$H$54</f>
        <v>46198</v>
      </c>
      <c r="I81" s="44"/>
      <c r="J81" s="862"/>
      <c r="K81" s="49" t="str">
        <f>Idiomas!D151</f>
        <v>2º GRUPO A</v>
      </c>
      <c r="L81" s="46"/>
      <c r="M81" s="48" t="str">
        <f ca="1">IF(OR(SUM(WORLDCUP!$AN$6:$AN$9)=12,WORLDCUP!$AJ$99=144),WORLDCUP!AL7,LEFT(K81,1)&amp;RIGHT(K81,1))</f>
        <v>2A</v>
      </c>
      <c r="N81" s="711"/>
      <c r="O81" s="711"/>
      <c r="P81" s="711"/>
      <c r="Q81" s="711"/>
      <c r="R81" s="102"/>
      <c r="S81" s="67" t="s">
        <v>1837</v>
      </c>
      <c r="T81" s="66">
        <f ca="1">($M81=S81)*$D$12</f>
        <v>0</v>
      </c>
      <c r="U81" s="57"/>
      <c r="V81" s="67" t="s">
        <v>1260</v>
      </c>
      <c r="W81" s="66">
        <f ca="1">($M81=V81)*$D$12</f>
        <v>0</v>
      </c>
      <c r="X81" s="57"/>
      <c r="Y81" s="67" t="s">
        <v>1625</v>
      </c>
      <c r="Z81" s="66">
        <f ca="1">($M81=Y81)*$D$12</f>
        <v>0</v>
      </c>
      <c r="AA81" s="57"/>
      <c r="AB81" s="67" t="s">
        <v>1265</v>
      </c>
      <c r="AC81" s="66">
        <f ca="1">($M81=AB81)*$D$12</f>
        <v>0</v>
      </c>
      <c r="AD81" s="57"/>
      <c r="AE81" s="67" t="s">
        <v>1265</v>
      </c>
      <c r="AF81" s="66">
        <f ca="1">($M81=AE81)*$D$12</f>
        <v>0</v>
      </c>
      <c r="AG81" s="57"/>
      <c r="AH81" s="67" t="s">
        <v>1260</v>
      </c>
      <c r="AI81" s="66">
        <f ca="1">($M81=AH81)*$D$12</f>
        <v>0</v>
      </c>
      <c r="AJ81" s="57"/>
      <c r="AK81" s="67" t="s">
        <v>1260</v>
      </c>
      <c r="AL81" s="66">
        <f ca="1">($M81=AK81)*$D$12</f>
        <v>0</v>
      </c>
      <c r="AM81" s="57"/>
      <c r="AN81" s="67" t="s">
        <v>1260</v>
      </c>
      <c r="AO81" s="66">
        <f ca="1">($M81=AN81)*$D$12</f>
        <v>0</v>
      </c>
      <c r="AP81" s="57"/>
      <c r="AQ81" s="67" t="s">
        <v>1265</v>
      </c>
      <c r="AR81" s="66">
        <f ca="1">($M81=AQ81)*$D$12</f>
        <v>0</v>
      </c>
      <c r="AS81" s="57"/>
      <c r="AT81" s="67" t="s">
        <v>1265</v>
      </c>
      <c r="AU81" s="66">
        <f ca="1">($M81=AT81)*$D$12</f>
        <v>0</v>
      </c>
      <c r="AV81" s="57"/>
      <c r="AW81" s="67" t="s">
        <v>1260</v>
      </c>
      <c r="AX81" s="66">
        <f ca="1">($M81=AW81)*$D$12</f>
        <v>0</v>
      </c>
      <c r="AY81" s="57"/>
      <c r="AZ81" s="67" t="s">
        <v>1837</v>
      </c>
      <c r="BA81" s="66">
        <f ca="1">($M81=AZ81)*$D$12</f>
        <v>0</v>
      </c>
      <c r="BB81" s="57"/>
      <c r="BC81" s="67" t="s">
        <v>1837</v>
      </c>
      <c r="BD81" s="66">
        <f ca="1">($M81=BC81)*$D$12</f>
        <v>0</v>
      </c>
      <c r="BE81" s="57"/>
      <c r="BF81" s="67" t="s">
        <v>1837</v>
      </c>
      <c r="BG81" s="66">
        <f ca="1">($M81=BF81)*$D$12</f>
        <v>0</v>
      </c>
      <c r="BH81" s="57"/>
      <c r="BI81" s="67" t="s">
        <v>1260</v>
      </c>
      <c r="BJ81" s="66">
        <f ca="1">($M81=BI81)*$D$12</f>
        <v>0</v>
      </c>
      <c r="BK81" s="57"/>
      <c r="BL81" s="67" t="s">
        <v>1265</v>
      </c>
      <c r="BM81" s="66">
        <f ca="1">($M81=BL81)*$D$12</f>
        <v>0</v>
      </c>
      <c r="BN81" s="57"/>
      <c r="BO81" s="67" t="s">
        <v>1837</v>
      </c>
      <c r="BP81" s="66">
        <f ca="1">($M81=BO81)*$D$12</f>
        <v>0</v>
      </c>
      <c r="BQ81" s="57"/>
      <c r="BR81" s="67" t="s">
        <v>1260</v>
      </c>
      <c r="BS81" s="66">
        <f ca="1">($M81=BR81)*$D$12</f>
        <v>0</v>
      </c>
      <c r="BT81" s="57"/>
      <c r="BU81" s="67"/>
      <c r="BV81" s="66">
        <f ca="1">($M81=BU81)*$D$12</f>
        <v>0</v>
      </c>
      <c r="BW81" s="57"/>
      <c r="BX81" s="67"/>
      <c r="BY81" s="66">
        <f ca="1">($M81=BX81)*$D$12</f>
        <v>0</v>
      </c>
      <c r="BZ81" s="57"/>
      <c r="CA81" s="67"/>
      <c r="CB81" s="66">
        <f ca="1">($M81=CA81)*$D$12</f>
        <v>0</v>
      </c>
      <c r="CC81" s="57"/>
      <c r="CD81" s="67"/>
      <c r="CE81" s="66">
        <f ca="1">($M81=CD81)*$D$12</f>
        <v>0</v>
      </c>
      <c r="CF81" s="57"/>
      <c r="CG81" s="67"/>
      <c r="CH81" s="66">
        <f ca="1">($M81=CG81)*$D$12</f>
        <v>0</v>
      </c>
      <c r="CI81" s="57"/>
      <c r="CJ81" s="67"/>
      <c r="CK81" s="66">
        <f ca="1">($M81=CJ81)*$D$12</f>
        <v>0</v>
      </c>
      <c r="CL81" s="57"/>
      <c r="CM81" s="67"/>
      <c r="CN81" s="66">
        <f ca="1">($M81=CM81)*$D$12</f>
        <v>0</v>
      </c>
      <c r="CO81" s="57"/>
      <c r="CP81" s="67"/>
      <c r="CQ81" s="66">
        <f ca="1">($M81=CP81)*$D$12</f>
        <v>0</v>
      </c>
      <c r="CR81" s="57"/>
      <c r="CS81" s="67"/>
      <c r="CT81" s="66">
        <f ca="1">($M81=CS81)*$D$12</f>
        <v>0</v>
      </c>
      <c r="CU81" s="57"/>
      <c r="CV81" s="67"/>
      <c r="CW81" s="66">
        <f ca="1">($M81=CV81)*$D$12</f>
        <v>0</v>
      </c>
      <c r="CX81" s="57"/>
      <c r="CY81" s="67"/>
      <c r="CZ81" s="66">
        <f ca="1">($M81=CY81)*$D$12</f>
        <v>0</v>
      </c>
      <c r="DA81" s="57"/>
      <c r="DB81" s="67"/>
      <c r="DC81" s="66">
        <f ca="1">($M81=DB81)*$D$12</f>
        <v>0</v>
      </c>
      <c r="DD81" s="57"/>
      <c r="DE81" s="67"/>
      <c r="DF81" s="66">
        <f ca="1">($M81=DE81)*$D$12</f>
        <v>0</v>
      </c>
      <c r="DG81" s="57"/>
      <c r="DH81" s="67"/>
      <c r="DI81" s="66">
        <f ca="1">($M81=DH81)*$D$12</f>
        <v>0</v>
      </c>
      <c r="DJ81" s="57"/>
      <c r="DK81" s="67"/>
      <c r="DL81" s="66">
        <f ca="1">($M81=DK81)*$D$12</f>
        <v>0</v>
      </c>
      <c r="DM81" s="57"/>
      <c r="DN81" s="67"/>
      <c r="DO81" s="66">
        <f ca="1">($M81=DN81)*$D$12</f>
        <v>0</v>
      </c>
      <c r="DP81" s="57"/>
      <c r="DQ81" s="67"/>
      <c r="DR81" s="66">
        <f ca="1">($M81=DQ81)*$D$12</f>
        <v>0</v>
      </c>
      <c r="DS81" s="57"/>
      <c r="DT81" s="67"/>
      <c r="DU81" s="66">
        <f ca="1">($M81=DT81)*$D$12</f>
        <v>0</v>
      </c>
      <c r="DV81" s="57"/>
      <c r="DW81" s="67"/>
      <c r="DX81" s="66">
        <f ca="1">($M81=DW81)*$D$12</f>
        <v>0</v>
      </c>
      <c r="DY81" s="57"/>
      <c r="DZ81" s="67"/>
      <c r="EA81" s="66">
        <f ca="1">($M81=DZ81)*$D$12</f>
        <v>0</v>
      </c>
      <c r="EB81" s="57"/>
      <c r="EC81" s="67"/>
      <c r="ED81" s="66">
        <f ca="1">($M81=EC81)*$D$12</f>
        <v>0</v>
      </c>
      <c r="EE81" s="57"/>
      <c r="EF81" s="67"/>
      <c r="EG81" s="66">
        <f ca="1">($M81=EF81)*$D$12</f>
        <v>0</v>
      </c>
      <c r="EH81" s="57"/>
      <c r="EI81" s="57"/>
    </row>
    <row r="82" spans="1:139">
      <c r="A82" s="43"/>
      <c r="B82" s="43"/>
      <c r="C82" s="43"/>
      <c r="D82" s="43"/>
      <c r="E82" s="43"/>
      <c r="F82" s="712">
        <f>$D$13</f>
        <v>5</v>
      </c>
      <c r="G82" s="713">
        <f ca="1">VLOOKUP(H82,Equipos!$Q$1:$R$25,2,0)</f>
        <v>15</v>
      </c>
      <c r="H82" s="774">
        <f ca="1">$H$54</f>
        <v>46198</v>
      </c>
      <c r="I82" s="44"/>
      <c r="J82" s="862"/>
      <c r="K82" s="49" t="str">
        <f>Idiomas!D152</f>
        <v>3º GRUPO A</v>
      </c>
      <c r="L82" s="46"/>
      <c r="M82" s="48" t="str">
        <f ca="1">IF(OR(SUM(WORLDCUP!$AN$6:$AN$9)=12,WORLDCUP!$AJ$99=144),WORLDCUP!AL8,LEFT(K82,1)&amp;RIGHT(K82,1))</f>
        <v>3A</v>
      </c>
      <c r="N82" s="711"/>
      <c r="O82" s="711"/>
      <c r="P82" s="711"/>
      <c r="Q82" s="711"/>
      <c r="R82" s="102"/>
      <c r="S82" s="67" t="s">
        <v>1625</v>
      </c>
      <c r="T82" s="66">
        <f ca="1">($M82=S82)*$D$13</f>
        <v>0</v>
      </c>
      <c r="U82" s="57"/>
      <c r="V82" s="67" t="s">
        <v>1265</v>
      </c>
      <c r="W82" s="66">
        <f ca="1">($M82=V82)*$D$13</f>
        <v>0</v>
      </c>
      <c r="X82" s="57"/>
      <c r="Y82" s="67" t="s">
        <v>1260</v>
      </c>
      <c r="Z82" s="66">
        <f ca="1">($M82=Y82)*$D$13</f>
        <v>0</v>
      </c>
      <c r="AA82" s="57"/>
      <c r="AB82" s="67" t="s">
        <v>1260</v>
      </c>
      <c r="AC82" s="66">
        <f ca="1">($M82=AB82)*$D$13</f>
        <v>0</v>
      </c>
      <c r="AD82" s="57"/>
      <c r="AE82" s="67" t="s">
        <v>1837</v>
      </c>
      <c r="AF82" s="66">
        <f ca="1">($M82=AE82)*$D$13</f>
        <v>0</v>
      </c>
      <c r="AG82" s="57"/>
      <c r="AH82" s="67" t="s">
        <v>1837</v>
      </c>
      <c r="AI82" s="66">
        <f ca="1">($M82=AH82)*$D$13</f>
        <v>0</v>
      </c>
      <c r="AJ82" s="57"/>
      <c r="AK82" s="67" t="s">
        <v>1837</v>
      </c>
      <c r="AL82" s="66">
        <f ca="1">($M82=AK82)*$D$13</f>
        <v>0</v>
      </c>
      <c r="AM82" s="57"/>
      <c r="AN82" s="67" t="s">
        <v>1837</v>
      </c>
      <c r="AO82" s="66">
        <f ca="1">($M82=AN82)*$D$13</f>
        <v>0</v>
      </c>
      <c r="AP82" s="57"/>
      <c r="AQ82" s="67" t="s">
        <v>1837</v>
      </c>
      <c r="AR82" s="66">
        <f ca="1">($M82=AQ82)*$D$13</f>
        <v>0</v>
      </c>
      <c r="AS82" s="57"/>
      <c r="AT82" s="67" t="s">
        <v>1260</v>
      </c>
      <c r="AU82" s="66">
        <f ca="1">($M82=AT82)*$D$13</f>
        <v>0</v>
      </c>
      <c r="AV82" s="57"/>
      <c r="AW82" s="67" t="s">
        <v>1265</v>
      </c>
      <c r="AX82" s="66">
        <f ca="1">($M82=AW82)*$D$13</f>
        <v>0</v>
      </c>
      <c r="AY82" s="57"/>
      <c r="AZ82" s="67" t="s">
        <v>1260</v>
      </c>
      <c r="BA82" s="66">
        <f ca="1">($M82=AZ82)*$D$13</f>
        <v>0</v>
      </c>
      <c r="BB82" s="57"/>
      <c r="BC82" s="67" t="s">
        <v>1260</v>
      </c>
      <c r="BD82" s="66">
        <f ca="1">($M82=BC82)*$D$13</f>
        <v>0</v>
      </c>
      <c r="BE82" s="57"/>
      <c r="BF82" s="67" t="s">
        <v>1625</v>
      </c>
      <c r="BG82" s="66">
        <f ca="1">($M82=BF82)*$D$13</f>
        <v>0</v>
      </c>
      <c r="BH82" s="57"/>
      <c r="BI82" s="67" t="s">
        <v>1625</v>
      </c>
      <c r="BJ82" s="66">
        <f ca="1">($M82=BI82)*$D$13</f>
        <v>0</v>
      </c>
      <c r="BK82" s="57"/>
      <c r="BL82" s="67" t="s">
        <v>1837</v>
      </c>
      <c r="BM82" s="66">
        <f ca="1">($M82=BL82)*$D$13</f>
        <v>0</v>
      </c>
      <c r="BN82" s="57"/>
      <c r="BO82" s="67" t="s">
        <v>1260</v>
      </c>
      <c r="BP82" s="66">
        <f ca="1">($M82=BO82)*$D$13</f>
        <v>0</v>
      </c>
      <c r="BQ82" s="57"/>
      <c r="BR82" s="67" t="s">
        <v>1837</v>
      </c>
      <c r="BS82" s="66">
        <f ca="1">($M82=BR82)*$D$13</f>
        <v>0</v>
      </c>
      <c r="BT82" s="57"/>
      <c r="BU82" s="67"/>
      <c r="BV82" s="66">
        <f ca="1">($M82=BU82)*$D$13</f>
        <v>0</v>
      </c>
      <c r="BW82" s="57"/>
      <c r="BX82" s="67"/>
      <c r="BY82" s="66">
        <f ca="1">($M82=BX82)*$D$13</f>
        <v>0</v>
      </c>
      <c r="BZ82" s="57"/>
      <c r="CA82" s="67"/>
      <c r="CB82" s="66">
        <f ca="1">($M82=CA82)*$D$13</f>
        <v>0</v>
      </c>
      <c r="CC82" s="57"/>
      <c r="CD82" s="67"/>
      <c r="CE82" s="66">
        <f ca="1">($M82=CD82)*$D$13</f>
        <v>0</v>
      </c>
      <c r="CF82" s="57"/>
      <c r="CG82" s="67"/>
      <c r="CH82" s="66">
        <f ca="1">($M82=CG82)*$D$13</f>
        <v>0</v>
      </c>
      <c r="CI82" s="57"/>
      <c r="CJ82" s="67"/>
      <c r="CK82" s="66">
        <f ca="1">($M82=CJ82)*$D$13</f>
        <v>0</v>
      </c>
      <c r="CL82" s="57"/>
      <c r="CM82" s="67"/>
      <c r="CN82" s="66">
        <f ca="1">($M82=CM82)*$D$13</f>
        <v>0</v>
      </c>
      <c r="CO82" s="57"/>
      <c r="CP82" s="67"/>
      <c r="CQ82" s="66">
        <f ca="1">($M82=CP82)*$D$13</f>
        <v>0</v>
      </c>
      <c r="CR82" s="57"/>
      <c r="CS82" s="67"/>
      <c r="CT82" s="66">
        <f ca="1">($M82=CS82)*$D$13</f>
        <v>0</v>
      </c>
      <c r="CU82" s="57"/>
      <c r="CV82" s="67"/>
      <c r="CW82" s="66">
        <f ca="1">($M82=CV82)*$D$13</f>
        <v>0</v>
      </c>
      <c r="CX82" s="57"/>
      <c r="CY82" s="67"/>
      <c r="CZ82" s="66">
        <f ca="1">($M82=CY82)*$D$13</f>
        <v>0</v>
      </c>
      <c r="DA82" s="57"/>
      <c r="DB82" s="67"/>
      <c r="DC82" s="66">
        <f ca="1">($M82=DB82)*$D$13</f>
        <v>0</v>
      </c>
      <c r="DD82" s="57"/>
      <c r="DE82" s="67"/>
      <c r="DF82" s="66">
        <f ca="1">($M82=DE82)*$D$13</f>
        <v>0</v>
      </c>
      <c r="DG82" s="57"/>
      <c r="DH82" s="67"/>
      <c r="DI82" s="66">
        <f ca="1">($M82=DH82)*$D$13</f>
        <v>0</v>
      </c>
      <c r="DJ82" s="57"/>
      <c r="DK82" s="67"/>
      <c r="DL82" s="66">
        <f ca="1">($M82=DK82)*$D$13</f>
        <v>0</v>
      </c>
      <c r="DM82" s="57"/>
      <c r="DN82" s="67"/>
      <c r="DO82" s="66">
        <f ca="1">($M82=DN82)*$D$13</f>
        <v>0</v>
      </c>
      <c r="DP82" s="57"/>
      <c r="DQ82" s="67"/>
      <c r="DR82" s="66">
        <f ca="1">($M82=DQ82)*$D$13</f>
        <v>0</v>
      </c>
      <c r="DS82" s="57"/>
      <c r="DT82" s="67"/>
      <c r="DU82" s="66">
        <f ca="1">($M82=DT82)*$D$13</f>
        <v>0</v>
      </c>
      <c r="DV82" s="57"/>
      <c r="DW82" s="67"/>
      <c r="DX82" s="66">
        <f ca="1">($M82=DW82)*$D$13</f>
        <v>0</v>
      </c>
      <c r="DY82" s="57"/>
      <c r="DZ82" s="67"/>
      <c r="EA82" s="66">
        <f ca="1">($M82=DZ82)*$D$13</f>
        <v>0</v>
      </c>
      <c r="EB82" s="57"/>
      <c r="EC82" s="67"/>
      <c r="ED82" s="66">
        <f ca="1">($M82=EC82)*$D$13</f>
        <v>0</v>
      </c>
      <c r="EE82" s="57"/>
      <c r="EF82" s="67"/>
      <c r="EG82" s="66">
        <f ca="1">($M82=EF82)*$D$13</f>
        <v>0</v>
      </c>
      <c r="EH82" s="57"/>
      <c r="EI82" s="57"/>
    </row>
    <row r="83" spans="1:139">
      <c r="A83" s="43"/>
      <c r="B83" s="43"/>
      <c r="C83" s="43"/>
      <c r="D83" s="43"/>
      <c r="E83" s="43"/>
      <c r="F83" s="712">
        <f>$D$14</f>
        <v>5</v>
      </c>
      <c r="G83" s="713">
        <f ca="1">VLOOKUP(H83,Equipos!$Q$1:$R$25,2,0)</f>
        <v>15</v>
      </c>
      <c r="H83" s="774">
        <f ca="1">$H$54</f>
        <v>46198</v>
      </c>
      <c r="I83" s="44"/>
      <c r="J83" s="862"/>
      <c r="K83" s="49" t="str">
        <f>Idiomas!D153</f>
        <v>4º GRUPO A</v>
      </c>
      <c r="L83" s="46"/>
      <c r="M83" s="48" t="str">
        <f ca="1">IF(OR(SUM(WORLDCUP!$AN$6:$AN$9)=12,WORLDCUP!$AJ$99=144),WORLDCUP!AL9,LEFT(K83,1)&amp;RIGHT(K83,1))</f>
        <v>4A</v>
      </c>
      <c r="N83" s="711"/>
      <c r="O83" s="711"/>
      <c r="P83" s="711"/>
      <c r="Q83" s="711"/>
      <c r="R83" s="102"/>
      <c r="S83" s="67" t="s">
        <v>1260</v>
      </c>
      <c r="T83" s="66">
        <f ca="1">($M83=S83)*$D$14</f>
        <v>0</v>
      </c>
      <c r="U83" s="57"/>
      <c r="V83" s="67" t="s">
        <v>1625</v>
      </c>
      <c r="W83" s="66">
        <f ca="1">($M83=V83)*$D$14</f>
        <v>0</v>
      </c>
      <c r="X83" s="57"/>
      <c r="Y83" s="67" t="s">
        <v>1837</v>
      </c>
      <c r="Z83" s="66">
        <f ca="1">($M83=Y83)*$D$14</f>
        <v>0</v>
      </c>
      <c r="AA83" s="57"/>
      <c r="AB83" s="67" t="s">
        <v>1625</v>
      </c>
      <c r="AC83" s="66">
        <f ca="1">($M83=AB83)*$D$14</f>
        <v>0</v>
      </c>
      <c r="AD83" s="57"/>
      <c r="AE83" s="67" t="s">
        <v>1625</v>
      </c>
      <c r="AF83" s="66">
        <f ca="1">($M83=AE83)*$D$14</f>
        <v>0</v>
      </c>
      <c r="AG83" s="57"/>
      <c r="AH83" s="67" t="s">
        <v>1625</v>
      </c>
      <c r="AI83" s="66">
        <f ca="1">($M83=AH83)*$D$14</f>
        <v>0</v>
      </c>
      <c r="AJ83" s="57"/>
      <c r="AK83" s="67" t="s">
        <v>1625</v>
      </c>
      <c r="AL83" s="66">
        <f ca="1">($M83=AK83)*$D$14</f>
        <v>0</v>
      </c>
      <c r="AM83" s="57"/>
      <c r="AN83" s="67" t="s">
        <v>1625</v>
      </c>
      <c r="AO83" s="66">
        <f ca="1">($M83=AN83)*$D$14</f>
        <v>0</v>
      </c>
      <c r="AP83" s="57"/>
      <c r="AQ83" s="67" t="s">
        <v>1625</v>
      </c>
      <c r="AR83" s="66">
        <f ca="1">($M83=AQ83)*$D$14</f>
        <v>0</v>
      </c>
      <c r="AS83" s="57"/>
      <c r="AT83" s="67" t="s">
        <v>1625</v>
      </c>
      <c r="AU83" s="66">
        <f ca="1">($M83=AT83)*$D$14</f>
        <v>0</v>
      </c>
      <c r="AV83" s="57"/>
      <c r="AW83" s="67" t="s">
        <v>1625</v>
      </c>
      <c r="AX83" s="66">
        <f ca="1">($M83=AW83)*$D$14</f>
        <v>0</v>
      </c>
      <c r="AY83" s="57"/>
      <c r="AZ83" s="67" t="s">
        <v>1625</v>
      </c>
      <c r="BA83" s="66">
        <f ca="1">($M83=AZ83)*$D$14</f>
        <v>0</v>
      </c>
      <c r="BB83" s="57"/>
      <c r="BC83" s="67" t="s">
        <v>1625</v>
      </c>
      <c r="BD83" s="66">
        <f ca="1">($M83=BC83)*$D$14</f>
        <v>0</v>
      </c>
      <c r="BE83" s="57"/>
      <c r="BF83" s="67" t="s">
        <v>1260</v>
      </c>
      <c r="BG83" s="66">
        <f ca="1">($M83=BF83)*$D$14</f>
        <v>0</v>
      </c>
      <c r="BH83" s="57"/>
      <c r="BI83" s="67" t="s">
        <v>1837</v>
      </c>
      <c r="BJ83" s="66">
        <f ca="1">($M83=BI83)*$D$14</f>
        <v>0</v>
      </c>
      <c r="BK83" s="57"/>
      <c r="BL83" s="67" t="s">
        <v>1625</v>
      </c>
      <c r="BM83" s="66">
        <f ca="1">($M83=BL83)*$D$14</f>
        <v>0</v>
      </c>
      <c r="BN83" s="57"/>
      <c r="BO83" s="67" t="s">
        <v>1625</v>
      </c>
      <c r="BP83" s="66">
        <f ca="1">($M83=BO83)*$D$14</f>
        <v>0</v>
      </c>
      <c r="BQ83" s="57"/>
      <c r="BR83" s="67" t="s">
        <v>1625</v>
      </c>
      <c r="BS83" s="66">
        <f ca="1">($M83=BR83)*$D$14</f>
        <v>0</v>
      </c>
      <c r="BT83" s="57"/>
      <c r="BU83" s="67"/>
      <c r="BV83" s="66">
        <f ca="1">($M83=BU83)*$D$14</f>
        <v>0</v>
      </c>
      <c r="BW83" s="57"/>
      <c r="BX83" s="67"/>
      <c r="BY83" s="66">
        <f ca="1">($M83=BX83)*$D$14</f>
        <v>0</v>
      </c>
      <c r="BZ83" s="57"/>
      <c r="CA83" s="67"/>
      <c r="CB83" s="66">
        <f ca="1">($M83=CA83)*$D$14</f>
        <v>0</v>
      </c>
      <c r="CC83" s="57"/>
      <c r="CD83" s="67"/>
      <c r="CE83" s="66">
        <f ca="1">($M83=CD83)*$D$14</f>
        <v>0</v>
      </c>
      <c r="CF83" s="57"/>
      <c r="CG83" s="67"/>
      <c r="CH83" s="66">
        <f ca="1">($M83=CG83)*$D$14</f>
        <v>0</v>
      </c>
      <c r="CI83" s="57"/>
      <c r="CJ83" s="67"/>
      <c r="CK83" s="66">
        <f ca="1">($M83=CJ83)*$D$14</f>
        <v>0</v>
      </c>
      <c r="CL83" s="57"/>
      <c r="CM83" s="67"/>
      <c r="CN83" s="66">
        <f ca="1">($M83=CM83)*$D$14</f>
        <v>0</v>
      </c>
      <c r="CO83" s="57"/>
      <c r="CP83" s="67"/>
      <c r="CQ83" s="66">
        <f ca="1">($M83=CP83)*$D$14</f>
        <v>0</v>
      </c>
      <c r="CR83" s="57"/>
      <c r="CS83" s="67"/>
      <c r="CT83" s="66">
        <f ca="1">($M83=CS83)*$D$14</f>
        <v>0</v>
      </c>
      <c r="CU83" s="57"/>
      <c r="CV83" s="67"/>
      <c r="CW83" s="66">
        <f ca="1">($M83=CV83)*$D$14</f>
        <v>0</v>
      </c>
      <c r="CX83" s="57"/>
      <c r="CY83" s="67"/>
      <c r="CZ83" s="66">
        <f ca="1">($M83=CY83)*$D$14</f>
        <v>0</v>
      </c>
      <c r="DA83" s="57"/>
      <c r="DB83" s="67"/>
      <c r="DC83" s="66">
        <f ca="1">($M83=DB83)*$D$14</f>
        <v>0</v>
      </c>
      <c r="DD83" s="57"/>
      <c r="DE83" s="67"/>
      <c r="DF83" s="66">
        <f ca="1">($M83=DE83)*$D$14</f>
        <v>0</v>
      </c>
      <c r="DG83" s="57"/>
      <c r="DH83" s="67"/>
      <c r="DI83" s="66">
        <f ca="1">($M83=DH83)*$D$14</f>
        <v>0</v>
      </c>
      <c r="DJ83" s="57"/>
      <c r="DK83" s="67"/>
      <c r="DL83" s="66">
        <f ca="1">($M83=DK83)*$D$14</f>
        <v>0</v>
      </c>
      <c r="DM83" s="57"/>
      <c r="DN83" s="67"/>
      <c r="DO83" s="66">
        <f ca="1">($M83=DN83)*$D$14</f>
        <v>0</v>
      </c>
      <c r="DP83" s="57"/>
      <c r="DQ83" s="67"/>
      <c r="DR83" s="66">
        <f ca="1">($M83=DQ83)*$D$14</f>
        <v>0</v>
      </c>
      <c r="DS83" s="57"/>
      <c r="DT83" s="67"/>
      <c r="DU83" s="66">
        <f ca="1">($M83=DT83)*$D$14</f>
        <v>0</v>
      </c>
      <c r="DV83" s="57"/>
      <c r="DW83" s="67"/>
      <c r="DX83" s="66">
        <f ca="1">($M83=DW83)*$D$14</f>
        <v>0</v>
      </c>
      <c r="DY83" s="57"/>
      <c r="DZ83" s="67"/>
      <c r="EA83" s="66">
        <f ca="1">($M83=DZ83)*$D$14</f>
        <v>0</v>
      </c>
      <c r="EB83" s="57"/>
      <c r="EC83" s="67"/>
      <c r="ED83" s="66">
        <f ca="1">($M83=EC83)*$D$14</f>
        <v>0</v>
      </c>
      <c r="EE83" s="57"/>
      <c r="EF83" s="67"/>
      <c r="EG83" s="66">
        <f ca="1">($M83=EF83)*$D$14</f>
        <v>0</v>
      </c>
      <c r="EH83" s="57"/>
      <c r="EI83" s="57"/>
    </row>
    <row r="84" spans="1:139">
      <c r="A84" s="43"/>
      <c r="B84" s="43"/>
      <c r="C84" s="43"/>
      <c r="D84" s="43"/>
      <c r="E84" s="43"/>
      <c r="F84" s="712">
        <f t="shared" ref="F84" si="117">$D$11</f>
        <v>5</v>
      </c>
      <c r="G84" s="713">
        <f ca="1">VLOOKUP(H84,Equipos!$Q$1:$R$25,2,0)</f>
        <v>14</v>
      </c>
      <c r="H84" s="774">
        <f ca="1">$H$56</f>
        <v>46197</v>
      </c>
      <c r="I84" s="44"/>
      <c r="J84" s="861" t="s">
        <v>1</v>
      </c>
      <c r="K84" s="49" t="str">
        <f>Idiomas!D154</f>
        <v>1º GRUPO B</v>
      </c>
      <c r="L84" s="46"/>
      <c r="M84" s="48" t="str">
        <f ca="1">IF(OR(SUM(WORLDCUP!$AN$14:$AN$17)=12,WORLDCUP!$AJ$99=144),WORLDCUP!AL14,LEFT(K84,1)&amp;RIGHT(K84,1))</f>
        <v>1B</v>
      </c>
      <c r="N84" s="711"/>
      <c r="O84" s="711"/>
      <c r="P84" s="711"/>
      <c r="Q84" s="711"/>
      <c r="R84" s="102"/>
      <c r="S84" s="67" t="s">
        <v>1835</v>
      </c>
      <c r="T84" s="66">
        <f t="shared" ref="T84" ca="1" si="118">($M84=S84)*$D$11</f>
        <v>0</v>
      </c>
      <c r="U84" s="57"/>
      <c r="V84" s="67" t="s">
        <v>75</v>
      </c>
      <c r="W84" s="66">
        <f t="shared" ref="W84" ca="1" si="119">($M84=V84)*$D$11</f>
        <v>0</v>
      </c>
      <c r="X84" s="57"/>
      <c r="Y84" s="67" t="s">
        <v>75</v>
      </c>
      <c r="Z84" s="66">
        <f t="shared" ref="Z84" ca="1" si="120">($M84=Y84)*$D$11</f>
        <v>0</v>
      </c>
      <c r="AA84" s="57"/>
      <c r="AB84" s="67" t="s">
        <v>75</v>
      </c>
      <c r="AC84" s="66">
        <f t="shared" ref="AC84" ca="1" si="121">($M84=AB84)*$D$11</f>
        <v>0</v>
      </c>
      <c r="AD84" s="57"/>
      <c r="AE84" s="67" t="s">
        <v>1259</v>
      </c>
      <c r="AF84" s="66">
        <f t="shared" ref="AF84" ca="1" si="122">($M84=AE84)*$D$11</f>
        <v>0</v>
      </c>
      <c r="AG84" s="57"/>
      <c r="AH84" s="67" t="s">
        <v>1259</v>
      </c>
      <c r="AI84" s="66">
        <f t="shared" ref="AI84" ca="1" si="123">($M84=AH84)*$D$11</f>
        <v>0</v>
      </c>
      <c r="AJ84" s="57"/>
      <c r="AK84" s="67" t="s">
        <v>1259</v>
      </c>
      <c r="AL84" s="66">
        <f t="shared" ref="AL84" ca="1" si="124">($M84=AK84)*$D$11</f>
        <v>0</v>
      </c>
      <c r="AM84" s="57"/>
      <c r="AN84" s="67" t="s">
        <v>75</v>
      </c>
      <c r="AO84" s="66">
        <f t="shared" ref="AO84" ca="1" si="125">($M84=AN84)*$D$11</f>
        <v>0</v>
      </c>
      <c r="AP84" s="57"/>
      <c r="AQ84" s="67" t="s">
        <v>75</v>
      </c>
      <c r="AR84" s="66">
        <f t="shared" ref="AR84" ca="1" si="126">($M84=AQ84)*$D$11</f>
        <v>0</v>
      </c>
      <c r="AS84" s="57"/>
      <c r="AT84" s="67" t="s">
        <v>1835</v>
      </c>
      <c r="AU84" s="66">
        <f t="shared" ref="AU84" ca="1" si="127">($M84=AT84)*$D$11</f>
        <v>0</v>
      </c>
      <c r="AV84" s="57"/>
      <c r="AW84" s="67" t="s">
        <v>1259</v>
      </c>
      <c r="AX84" s="66">
        <f t="shared" ref="AX84" ca="1" si="128">($M84=AW84)*$D$11</f>
        <v>0</v>
      </c>
      <c r="AY84" s="57"/>
      <c r="AZ84" s="67" t="s">
        <v>75</v>
      </c>
      <c r="BA84" s="66">
        <f t="shared" ref="BA84" ca="1" si="129">($M84=AZ84)*$D$11</f>
        <v>0</v>
      </c>
      <c r="BB84" s="57"/>
      <c r="BC84" s="67" t="s">
        <v>75</v>
      </c>
      <c r="BD84" s="66">
        <f t="shared" ref="BD84" ca="1" si="130">($M84=BC84)*$D$11</f>
        <v>0</v>
      </c>
      <c r="BE84" s="57"/>
      <c r="BF84" s="67" t="s">
        <v>75</v>
      </c>
      <c r="BG84" s="66">
        <f t="shared" ref="BG84" ca="1" si="131">($M84=BF84)*$D$11</f>
        <v>0</v>
      </c>
      <c r="BH84" s="57"/>
      <c r="BI84" s="67" t="s">
        <v>1259</v>
      </c>
      <c r="BJ84" s="66">
        <f t="shared" ref="BJ84" ca="1" si="132">($M84=BI84)*$D$11</f>
        <v>0</v>
      </c>
      <c r="BK84" s="57"/>
      <c r="BL84" s="67" t="s">
        <v>75</v>
      </c>
      <c r="BM84" s="66">
        <f t="shared" ref="BM84" ca="1" si="133">($M84=BL84)*$D$11</f>
        <v>0</v>
      </c>
      <c r="BN84" s="57"/>
      <c r="BO84" s="67" t="s">
        <v>75</v>
      </c>
      <c r="BP84" s="66">
        <f t="shared" ref="BP84" ca="1" si="134">($M84=BO84)*$D$11</f>
        <v>0</v>
      </c>
      <c r="BQ84" s="57"/>
      <c r="BR84" s="67" t="s">
        <v>75</v>
      </c>
      <c r="BS84" s="66">
        <f t="shared" ref="BS84" ca="1" si="135">($M84=BR84)*$D$11</f>
        <v>0</v>
      </c>
      <c r="BT84" s="57"/>
      <c r="BU84" s="67"/>
      <c r="BV84" s="66">
        <f t="shared" ref="BV84" ca="1" si="136">($M84=BU84)*$D$11</f>
        <v>0</v>
      </c>
      <c r="BW84" s="57"/>
      <c r="BX84" s="67"/>
      <c r="BY84" s="66">
        <f t="shared" ref="BY84" ca="1" si="137">($M84=BX84)*$D$11</f>
        <v>0</v>
      </c>
      <c r="BZ84" s="57"/>
      <c r="CA84" s="67"/>
      <c r="CB84" s="66">
        <f t="shared" ref="CB84" ca="1" si="138">($M84=CA84)*$D$11</f>
        <v>0</v>
      </c>
      <c r="CC84" s="57"/>
      <c r="CD84" s="67"/>
      <c r="CE84" s="66">
        <f t="shared" ref="CE84" ca="1" si="139">($M84=CD84)*$D$11</f>
        <v>0</v>
      </c>
      <c r="CF84" s="57"/>
      <c r="CG84" s="67"/>
      <c r="CH84" s="66">
        <f t="shared" ref="CH84" ca="1" si="140">($M84=CG84)*$D$11</f>
        <v>0</v>
      </c>
      <c r="CI84" s="57"/>
      <c r="CJ84" s="67"/>
      <c r="CK84" s="66">
        <f t="shared" ref="CK84" ca="1" si="141">($M84=CJ84)*$D$11</f>
        <v>0</v>
      </c>
      <c r="CL84" s="57"/>
      <c r="CM84" s="67"/>
      <c r="CN84" s="66">
        <f t="shared" ref="CN84" ca="1" si="142">($M84=CM84)*$D$11</f>
        <v>0</v>
      </c>
      <c r="CO84" s="57"/>
      <c r="CP84" s="67"/>
      <c r="CQ84" s="66">
        <f t="shared" ref="CQ84" ca="1" si="143">($M84=CP84)*$D$11</f>
        <v>0</v>
      </c>
      <c r="CR84" s="57"/>
      <c r="CS84" s="67"/>
      <c r="CT84" s="66">
        <f t="shared" ref="CT84" ca="1" si="144">($M84=CS84)*$D$11</f>
        <v>0</v>
      </c>
      <c r="CU84" s="57"/>
      <c r="CV84" s="67"/>
      <c r="CW84" s="66">
        <f t="shared" ref="CW84" ca="1" si="145">($M84=CV84)*$D$11</f>
        <v>0</v>
      </c>
      <c r="CX84" s="57"/>
      <c r="CY84" s="67"/>
      <c r="CZ84" s="66">
        <f t="shared" ref="CZ84" ca="1" si="146">($M84=CY84)*$D$11</f>
        <v>0</v>
      </c>
      <c r="DA84" s="57"/>
      <c r="DB84" s="67"/>
      <c r="DC84" s="66">
        <f t="shared" ref="DC84" ca="1" si="147">($M84=DB84)*$D$11</f>
        <v>0</v>
      </c>
      <c r="DD84" s="57"/>
      <c r="DE84" s="67"/>
      <c r="DF84" s="66">
        <f t="shared" ref="DF84" ca="1" si="148">($M84=DE84)*$D$11</f>
        <v>0</v>
      </c>
      <c r="DG84" s="57"/>
      <c r="DH84" s="67"/>
      <c r="DI84" s="66">
        <f t="shared" ref="DI84" ca="1" si="149">($M84=DH84)*$D$11</f>
        <v>0</v>
      </c>
      <c r="DJ84" s="57"/>
      <c r="DK84" s="67"/>
      <c r="DL84" s="66">
        <f t="shared" ref="DL84" ca="1" si="150">($M84=DK84)*$D$11</f>
        <v>0</v>
      </c>
      <c r="DM84" s="57"/>
      <c r="DN84" s="67"/>
      <c r="DO84" s="66">
        <f t="shared" ref="DO84" ca="1" si="151">($M84=DN84)*$D$11</f>
        <v>0</v>
      </c>
      <c r="DP84" s="57"/>
      <c r="DQ84" s="67"/>
      <c r="DR84" s="66">
        <f t="shared" ref="DR84" ca="1" si="152">($M84=DQ84)*$D$11</f>
        <v>0</v>
      </c>
      <c r="DS84" s="57"/>
      <c r="DT84" s="67"/>
      <c r="DU84" s="66">
        <f t="shared" ref="DU84" ca="1" si="153">($M84=DT84)*$D$11</f>
        <v>0</v>
      </c>
      <c r="DV84" s="57"/>
      <c r="DW84" s="67"/>
      <c r="DX84" s="66">
        <f t="shared" ref="DX84" ca="1" si="154">($M84=DW84)*$D$11</f>
        <v>0</v>
      </c>
      <c r="DY84" s="57"/>
      <c r="DZ84" s="67"/>
      <c r="EA84" s="66">
        <f t="shared" ref="EA84" ca="1" si="155">($M84=DZ84)*$D$11</f>
        <v>0</v>
      </c>
      <c r="EB84" s="57"/>
      <c r="EC84" s="67"/>
      <c r="ED84" s="66">
        <f t="shared" ref="ED84" ca="1" si="156">($M84=EC84)*$D$11</f>
        <v>0</v>
      </c>
      <c r="EE84" s="57"/>
      <c r="EF84" s="67"/>
      <c r="EG84" s="66">
        <f t="shared" ref="EG84" ca="1" si="157">($M84=EF84)*$D$11</f>
        <v>0</v>
      </c>
      <c r="EH84" s="57"/>
      <c r="EI84" s="57"/>
    </row>
    <row r="85" spans="1:139">
      <c r="A85" s="43"/>
      <c r="B85" s="43"/>
      <c r="C85" s="43"/>
      <c r="D85" s="43"/>
      <c r="E85" s="43"/>
      <c r="F85" s="712">
        <f t="shared" ref="F85" si="158">$D$12</f>
        <v>5</v>
      </c>
      <c r="G85" s="713">
        <f ca="1">VLOOKUP(H85,Equipos!$Q$1:$R$25,2,0)</f>
        <v>14</v>
      </c>
      <c r="H85" s="774">
        <f ca="1">$H$56</f>
        <v>46197</v>
      </c>
      <c r="I85" s="44"/>
      <c r="J85" s="861"/>
      <c r="K85" s="49" t="str">
        <f>Idiomas!D155</f>
        <v>2º GRUPO B</v>
      </c>
      <c r="L85" s="46"/>
      <c r="M85" s="48" t="str">
        <f ca="1">IF(OR(SUM(WORLDCUP!$AN$14:$AN$17)=12,WORLDCUP!$AJ$99=144),WORLDCUP!AL15,LEFT(K85,1)&amp;RIGHT(K85,1))</f>
        <v>2B</v>
      </c>
      <c r="N85" s="711"/>
      <c r="O85" s="711"/>
      <c r="P85" s="711"/>
      <c r="Q85" s="711"/>
      <c r="R85" s="102"/>
      <c r="S85" s="67" t="s">
        <v>75</v>
      </c>
      <c r="T85" s="66">
        <f t="shared" ref="T85" ca="1" si="159">($M85=S85)*$D$12</f>
        <v>0</v>
      </c>
      <c r="U85" s="57"/>
      <c r="V85" s="67" t="s">
        <v>1259</v>
      </c>
      <c r="W85" s="66">
        <f t="shared" ref="W85" ca="1" si="160">($M85=V85)*$D$12</f>
        <v>0</v>
      </c>
      <c r="X85" s="57"/>
      <c r="Y85" s="67" t="s">
        <v>1259</v>
      </c>
      <c r="Z85" s="66">
        <f t="shared" ref="Z85" ca="1" si="161">($M85=Y85)*$D$12</f>
        <v>0</v>
      </c>
      <c r="AA85" s="57"/>
      <c r="AB85" s="67" t="s">
        <v>1259</v>
      </c>
      <c r="AC85" s="66">
        <f t="shared" ref="AC85" ca="1" si="162">($M85=AB85)*$D$12</f>
        <v>0</v>
      </c>
      <c r="AD85" s="57"/>
      <c r="AE85" s="67" t="s">
        <v>75</v>
      </c>
      <c r="AF85" s="66">
        <f t="shared" ref="AF85" ca="1" si="163">($M85=AE85)*$D$12</f>
        <v>0</v>
      </c>
      <c r="AG85" s="57"/>
      <c r="AH85" s="67" t="s">
        <v>75</v>
      </c>
      <c r="AI85" s="66">
        <f t="shared" ref="AI85" ca="1" si="164">($M85=AH85)*$D$12</f>
        <v>0</v>
      </c>
      <c r="AJ85" s="57"/>
      <c r="AK85" s="67" t="s">
        <v>75</v>
      </c>
      <c r="AL85" s="66">
        <f t="shared" ref="AL85" ca="1" si="165">($M85=AK85)*$D$12</f>
        <v>0</v>
      </c>
      <c r="AM85" s="57"/>
      <c r="AN85" s="67" t="s">
        <v>1259</v>
      </c>
      <c r="AO85" s="66">
        <f t="shared" ref="AO85" ca="1" si="166">($M85=AN85)*$D$12</f>
        <v>0</v>
      </c>
      <c r="AP85" s="57"/>
      <c r="AQ85" s="67" t="s">
        <v>1259</v>
      </c>
      <c r="AR85" s="66">
        <f t="shared" ref="AR85" ca="1" si="167">($M85=AQ85)*$D$12</f>
        <v>0</v>
      </c>
      <c r="AS85" s="57"/>
      <c r="AT85" s="67" t="s">
        <v>75</v>
      </c>
      <c r="AU85" s="66">
        <f t="shared" ref="AU85" ca="1" si="168">($M85=AT85)*$D$12</f>
        <v>0</v>
      </c>
      <c r="AV85" s="57"/>
      <c r="AW85" s="67" t="s">
        <v>1835</v>
      </c>
      <c r="AX85" s="66">
        <f t="shared" ref="AX85" ca="1" si="169">($M85=AW85)*$D$12</f>
        <v>0</v>
      </c>
      <c r="AY85" s="57"/>
      <c r="AZ85" s="67" t="s">
        <v>1835</v>
      </c>
      <c r="BA85" s="66">
        <f t="shared" ref="BA85" ca="1" si="170">($M85=AZ85)*$D$12</f>
        <v>0</v>
      </c>
      <c r="BB85" s="57"/>
      <c r="BC85" s="67" t="s">
        <v>1259</v>
      </c>
      <c r="BD85" s="66">
        <f t="shared" ref="BD85" ca="1" si="171">($M85=BC85)*$D$12</f>
        <v>0</v>
      </c>
      <c r="BE85" s="57"/>
      <c r="BF85" s="67" t="s">
        <v>1259</v>
      </c>
      <c r="BG85" s="66">
        <f t="shared" ref="BG85" ca="1" si="172">($M85=BF85)*$D$12</f>
        <v>0</v>
      </c>
      <c r="BH85" s="57"/>
      <c r="BI85" s="67" t="s">
        <v>75</v>
      </c>
      <c r="BJ85" s="66">
        <f t="shared" ref="BJ85" ca="1" si="173">($M85=BI85)*$D$12</f>
        <v>0</v>
      </c>
      <c r="BK85" s="57"/>
      <c r="BL85" s="67" t="s">
        <v>1259</v>
      </c>
      <c r="BM85" s="66">
        <f t="shared" ref="BM85" ca="1" si="174">($M85=BL85)*$D$12</f>
        <v>0</v>
      </c>
      <c r="BN85" s="57"/>
      <c r="BO85" s="67" t="s">
        <v>1835</v>
      </c>
      <c r="BP85" s="66">
        <f t="shared" ref="BP85" ca="1" si="175">($M85=BO85)*$D$12</f>
        <v>0</v>
      </c>
      <c r="BQ85" s="57"/>
      <c r="BR85" s="67" t="s">
        <v>1259</v>
      </c>
      <c r="BS85" s="66">
        <f t="shared" ref="BS85" ca="1" si="176">($M85=BR85)*$D$12</f>
        <v>0</v>
      </c>
      <c r="BT85" s="57"/>
      <c r="BU85" s="67"/>
      <c r="BV85" s="66">
        <f t="shared" ref="BV85" ca="1" si="177">($M85=BU85)*$D$12</f>
        <v>0</v>
      </c>
      <c r="BW85" s="57"/>
      <c r="BX85" s="67"/>
      <c r="BY85" s="66">
        <f t="shared" ref="BY85" ca="1" si="178">($M85=BX85)*$D$12</f>
        <v>0</v>
      </c>
      <c r="BZ85" s="57"/>
      <c r="CA85" s="67"/>
      <c r="CB85" s="66">
        <f t="shared" ref="CB85" ca="1" si="179">($M85=CA85)*$D$12</f>
        <v>0</v>
      </c>
      <c r="CC85" s="57"/>
      <c r="CD85" s="67"/>
      <c r="CE85" s="66">
        <f t="shared" ref="CE85" ca="1" si="180">($M85=CD85)*$D$12</f>
        <v>0</v>
      </c>
      <c r="CF85" s="57"/>
      <c r="CG85" s="67"/>
      <c r="CH85" s="66">
        <f t="shared" ref="CH85" ca="1" si="181">($M85=CG85)*$D$12</f>
        <v>0</v>
      </c>
      <c r="CI85" s="57"/>
      <c r="CJ85" s="67"/>
      <c r="CK85" s="66">
        <f t="shared" ref="CK85" ca="1" si="182">($M85=CJ85)*$D$12</f>
        <v>0</v>
      </c>
      <c r="CL85" s="57"/>
      <c r="CM85" s="67"/>
      <c r="CN85" s="66">
        <f t="shared" ref="CN85" ca="1" si="183">($M85=CM85)*$D$12</f>
        <v>0</v>
      </c>
      <c r="CO85" s="57"/>
      <c r="CP85" s="67"/>
      <c r="CQ85" s="66">
        <f t="shared" ref="CQ85" ca="1" si="184">($M85=CP85)*$D$12</f>
        <v>0</v>
      </c>
      <c r="CR85" s="57"/>
      <c r="CS85" s="67"/>
      <c r="CT85" s="66">
        <f t="shared" ref="CT85" ca="1" si="185">($M85=CS85)*$D$12</f>
        <v>0</v>
      </c>
      <c r="CU85" s="57"/>
      <c r="CV85" s="67"/>
      <c r="CW85" s="66">
        <f t="shared" ref="CW85" ca="1" si="186">($M85=CV85)*$D$12</f>
        <v>0</v>
      </c>
      <c r="CX85" s="57"/>
      <c r="CY85" s="67"/>
      <c r="CZ85" s="66">
        <f t="shared" ref="CZ85" ca="1" si="187">($M85=CY85)*$D$12</f>
        <v>0</v>
      </c>
      <c r="DA85" s="57"/>
      <c r="DB85" s="67"/>
      <c r="DC85" s="66">
        <f t="shared" ref="DC85" ca="1" si="188">($M85=DB85)*$D$12</f>
        <v>0</v>
      </c>
      <c r="DD85" s="57"/>
      <c r="DE85" s="67"/>
      <c r="DF85" s="66">
        <f t="shared" ref="DF85" ca="1" si="189">($M85=DE85)*$D$12</f>
        <v>0</v>
      </c>
      <c r="DG85" s="57"/>
      <c r="DH85" s="67"/>
      <c r="DI85" s="66">
        <f t="shared" ref="DI85" ca="1" si="190">($M85=DH85)*$D$12</f>
        <v>0</v>
      </c>
      <c r="DJ85" s="57"/>
      <c r="DK85" s="67"/>
      <c r="DL85" s="66">
        <f t="shared" ref="DL85" ca="1" si="191">($M85=DK85)*$D$12</f>
        <v>0</v>
      </c>
      <c r="DM85" s="57"/>
      <c r="DN85" s="67"/>
      <c r="DO85" s="66">
        <f t="shared" ref="DO85" ca="1" si="192">($M85=DN85)*$D$12</f>
        <v>0</v>
      </c>
      <c r="DP85" s="57"/>
      <c r="DQ85" s="67"/>
      <c r="DR85" s="66">
        <f t="shared" ref="DR85" ca="1" si="193">($M85=DQ85)*$D$12</f>
        <v>0</v>
      </c>
      <c r="DS85" s="57"/>
      <c r="DT85" s="67"/>
      <c r="DU85" s="66">
        <f t="shared" ref="DU85" ca="1" si="194">($M85=DT85)*$D$12</f>
        <v>0</v>
      </c>
      <c r="DV85" s="57"/>
      <c r="DW85" s="67"/>
      <c r="DX85" s="66">
        <f t="shared" ref="DX85" ca="1" si="195">($M85=DW85)*$D$12</f>
        <v>0</v>
      </c>
      <c r="DY85" s="57"/>
      <c r="DZ85" s="67"/>
      <c r="EA85" s="66">
        <f t="shared" ref="EA85" ca="1" si="196">($M85=DZ85)*$D$12</f>
        <v>0</v>
      </c>
      <c r="EB85" s="57"/>
      <c r="EC85" s="67"/>
      <c r="ED85" s="66">
        <f t="shared" ref="ED85" ca="1" si="197">($M85=EC85)*$D$12</f>
        <v>0</v>
      </c>
      <c r="EE85" s="57"/>
      <c r="EF85" s="67"/>
      <c r="EG85" s="66">
        <f t="shared" ref="EG85" ca="1" si="198">($M85=EF85)*$D$12</f>
        <v>0</v>
      </c>
      <c r="EH85" s="57"/>
      <c r="EI85" s="57"/>
    </row>
    <row r="86" spans="1:139">
      <c r="A86" s="43"/>
      <c r="B86" s="43"/>
      <c r="C86" s="43"/>
      <c r="D86" s="43"/>
      <c r="E86" s="43"/>
      <c r="F86" s="712">
        <f t="shared" ref="F86" si="199">$D$13</f>
        <v>5</v>
      </c>
      <c r="G86" s="713">
        <f ca="1">VLOOKUP(H86,Equipos!$Q$1:$R$25,2,0)</f>
        <v>14</v>
      </c>
      <c r="H86" s="774">
        <f ca="1">$H$56</f>
        <v>46197</v>
      </c>
      <c r="I86" s="44"/>
      <c r="J86" s="861"/>
      <c r="K86" s="49" t="str">
        <f>Idiomas!D156</f>
        <v>3º GRUPO B</v>
      </c>
      <c r="L86" s="46"/>
      <c r="M86" s="48" t="str">
        <f ca="1">IF(OR(SUM(WORLDCUP!$AN$14:$AN$17)=12,WORLDCUP!$AJ$99=144),WORLDCUP!AL16,LEFT(K86,1)&amp;RIGHT(K86,1))</f>
        <v>3B</v>
      </c>
      <c r="N86" s="711"/>
      <c r="O86" s="711"/>
      <c r="P86" s="711"/>
      <c r="Q86" s="711"/>
      <c r="R86" s="102"/>
      <c r="S86" s="67" t="s">
        <v>1259</v>
      </c>
      <c r="T86" s="66">
        <f t="shared" ref="T86" ca="1" si="200">($M86=S86)*$D$13</f>
        <v>0</v>
      </c>
      <c r="U86" s="57"/>
      <c r="V86" s="67" t="s">
        <v>1835</v>
      </c>
      <c r="W86" s="66">
        <f t="shared" ref="W86" ca="1" si="201">($M86=V86)*$D$13</f>
        <v>0</v>
      </c>
      <c r="X86" s="57"/>
      <c r="Y86" s="67" t="s">
        <v>1835</v>
      </c>
      <c r="Z86" s="66">
        <f t="shared" ref="Z86" ca="1" si="202">($M86=Y86)*$D$13</f>
        <v>0</v>
      </c>
      <c r="AA86" s="57"/>
      <c r="AB86" s="67" t="s">
        <v>1835</v>
      </c>
      <c r="AC86" s="66">
        <f t="shared" ref="AC86" ca="1" si="203">($M86=AB86)*$D$13</f>
        <v>0</v>
      </c>
      <c r="AD86" s="57"/>
      <c r="AE86" s="67" t="s">
        <v>1835</v>
      </c>
      <c r="AF86" s="66">
        <f t="shared" ref="AF86" ca="1" si="204">($M86=AE86)*$D$13</f>
        <v>0</v>
      </c>
      <c r="AG86" s="57"/>
      <c r="AH86" s="67" t="s">
        <v>1835</v>
      </c>
      <c r="AI86" s="66">
        <f t="shared" ref="AI86" ca="1" si="205">($M86=AH86)*$D$13</f>
        <v>0</v>
      </c>
      <c r="AJ86" s="57"/>
      <c r="AK86" s="67" t="s">
        <v>1835</v>
      </c>
      <c r="AL86" s="66">
        <f t="shared" ref="AL86" ca="1" si="206">($M86=AK86)*$D$13</f>
        <v>0</v>
      </c>
      <c r="AM86" s="57"/>
      <c r="AN86" s="67" t="s">
        <v>1835</v>
      </c>
      <c r="AO86" s="66">
        <f t="shared" ref="AO86" ca="1" si="207">($M86=AN86)*$D$13</f>
        <v>0</v>
      </c>
      <c r="AP86" s="57"/>
      <c r="AQ86" s="67" t="s">
        <v>1835</v>
      </c>
      <c r="AR86" s="66">
        <f t="shared" ref="AR86" ca="1" si="208">($M86=AQ86)*$D$13</f>
        <v>0</v>
      </c>
      <c r="AS86" s="57"/>
      <c r="AT86" s="67" t="s">
        <v>1259</v>
      </c>
      <c r="AU86" s="66">
        <f t="shared" ref="AU86" ca="1" si="209">($M86=AT86)*$D$13</f>
        <v>0</v>
      </c>
      <c r="AV86" s="57"/>
      <c r="AW86" s="67" t="s">
        <v>75</v>
      </c>
      <c r="AX86" s="66">
        <f t="shared" ref="AX86" ca="1" si="210">($M86=AW86)*$D$13</f>
        <v>0</v>
      </c>
      <c r="AY86" s="57"/>
      <c r="AZ86" s="67" t="s">
        <v>1259</v>
      </c>
      <c r="BA86" s="66">
        <f t="shared" ref="BA86" ca="1" si="211">($M86=AZ86)*$D$13</f>
        <v>0</v>
      </c>
      <c r="BB86" s="57"/>
      <c r="BC86" s="67" t="s">
        <v>1835</v>
      </c>
      <c r="BD86" s="66">
        <f t="shared" ref="BD86" ca="1" si="212">($M86=BC86)*$D$13</f>
        <v>0</v>
      </c>
      <c r="BE86" s="57"/>
      <c r="BF86" s="67" t="s">
        <v>1835</v>
      </c>
      <c r="BG86" s="66">
        <f t="shared" ref="BG86" ca="1" si="213">($M86=BF86)*$D$13</f>
        <v>0</v>
      </c>
      <c r="BH86" s="57"/>
      <c r="BI86" s="67" t="s">
        <v>1835</v>
      </c>
      <c r="BJ86" s="66">
        <f t="shared" ref="BJ86" ca="1" si="214">($M86=BI86)*$D$13</f>
        <v>0</v>
      </c>
      <c r="BK86" s="57"/>
      <c r="BL86" s="67" t="s">
        <v>1835</v>
      </c>
      <c r="BM86" s="66">
        <f t="shared" ref="BM86" ca="1" si="215">($M86=BL86)*$D$13</f>
        <v>0</v>
      </c>
      <c r="BN86" s="57"/>
      <c r="BO86" s="67" t="s">
        <v>1259</v>
      </c>
      <c r="BP86" s="66">
        <f t="shared" ref="BP86" ca="1" si="216">($M86=BO86)*$D$13</f>
        <v>0</v>
      </c>
      <c r="BQ86" s="57"/>
      <c r="BR86" s="67" t="s">
        <v>1835</v>
      </c>
      <c r="BS86" s="66">
        <f t="shared" ref="BS86" ca="1" si="217">($M86=BR86)*$D$13</f>
        <v>0</v>
      </c>
      <c r="BT86" s="57"/>
      <c r="BU86" s="67"/>
      <c r="BV86" s="66">
        <f t="shared" ref="BV86" ca="1" si="218">($M86=BU86)*$D$13</f>
        <v>0</v>
      </c>
      <c r="BW86" s="57"/>
      <c r="BX86" s="67"/>
      <c r="BY86" s="66">
        <f t="shared" ref="BY86" ca="1" si="219">($M86=BX86)*$D$13</f>
        <v>0</v>
      </c>
      <c r="BZ86" s="57"/>
      <c r="CA86" s="67"/>
      <c r="CB86" s="66">
        <f t="shared" ref="CB86" ca="1" si="220">($M86=CA86)*$D$13</f>
        <v>0</v>
      </c>
      <c r="CC86" s="57"/>
      <c r="CD86" s="67"/>
      <c r="CE86" s="66">
        <f t="shared" ref="CE86" ca="1" si="221">($M86=CD86)*$D$13</f>
        <v>0</v>
      </c>
      <c r="CF86" s="57"/>
      <c r="CG86" s="67"/>
      <c r="CH86" s="66">
        <f t="shared" ref="CH86" ca="1" si="222">($M86=CG86)*$D$13</f>
        <v>0</v>
      </c>
      <c r="CI86" s="57"/>
      <c r="CJ86" s="67"/>
      <c r="CK86" s="66">
        <f t="shared" ref="CK86" ca="1" si="223">($M86=CJ86)*$D$13</f>
        <v>0</v>
      </c>
      <c r="CL86" s="57"/>
      <c r="CM86" s="67"/>
      <c r="CN86" s="66">
        <f t="shared" ref="CN86" ca="1" si="224">($M86=CM86)*$D$13</f>
        <v>0</v>
      </c>
      <c r="CO86" s="57"/>
      <c r="CP86" s="67"/>
      <c r="CQ86" s="66">
        <f t="shared" ref="CQ86" ca="1" si="225">($M86=CP86)*$D$13</f>
        <v>0</v>
      </c>
      <c r="CR86" s="57"/>
      <c r="CS86" s="67"/>
      <c r="CT86" s="66">
        <f t="shared" ref="CT86" ca="1" si="226">($M86=CS86)*$D$13</f>
        <v>0</v>
      </c>
      <c r="CU86" s="57"/>
      <c r="CV86" s="67"/>
      <c r="CW86" s="66">
        <f t="shared" ref="CW86" ca="1" si="227">($M86=CV86)*$D$13</f>
        <v>0</v>
      </c>
      <c r="CX86" s="57"/>
      <c r="CY86" s="67"/>
      <c r="CZ86" s="66">
        <f t="shared" ref="CZ86" ca="1" si="228">($M86=CY86)*$D$13</f>
        <v>0</v>
      </c>
      <c r="DA86" s="57"/>
      <c r="DB86" s="67"/>
      <c r="DC86" s="66">
        <f t="shared" ref="DC86" ca="1" si="229">($M86=DB86)*$D$13</f>
        <v>0</v>
      </c>
      <c r="DD86" s="57"/>
      <c r="DE86" s="67"/>
      <c r="DF86" s="66">
        <f t="shared" ref="DF86" ca="1" si="230">($M86=DE86)*$D$13</f>
        <v>0</v>
      </c>
      <c r="DG86" s="57"/>
      <c r="DH86" s="67"/>
      <c r="DI86" s="66">
        <f t="shared" ref="DI86" ca="1" si="231">($M86=DH86)*$D$13</f>
        <v>0</v>
      </c>
      <c r="DJ86" s="57"/>
      <c r="DK86" s="67"/>
      <c r="DL86" s="66">
        <f t="shared" ref="DL86" ca="1" si="232">($M86=DK86)*$D$13</f>
        <v>0</v>
      </c>
      <c r="DM86" s="57"/>
      <c r="DN86" s="67"/>
      <c r="DO86" s="66">
        <f t="shared" ref="DO86" ca="1" si="233">($M86=DN86)*$D$13</f>
        <v>0</v>
      </c>
      <c r="DP86" s="57"/>
      <c r="DQ86" s="67"/>
      <c r="DR86" s="66">
        <f t="shared" ref="DR86" ca="1" si="234">($M86=DQ86)*$D$13</f>
        <v>0</v>
      </c>
      <c r="DS86" s="57"/>
      <c r="DT86" s="67"/>
      <c r="DU86" s="66">
        <f t="shared" ref="DU86" ca="1" si="235">($M86=DT86)*$D$13</f>
        <v>0</v>
      </c>
      <c r="DV86" s="57"/>
      <c r="DW86" s="67"/>
      <c r="DX86" s="66">
        <f t="shared" ref="DX86" ca="1" si="236">($M86=DW86)*$D$13</f>
        <v>0</v>
      </c>
      <c r="DY86" s="57"/>
      <c r="DZ86" s="67"/>
      <c r="EA86" s="66">
        <f t="shared" ref="EA86" ca="1" si="237">($M86=DZ86)*$D$13</f>
        <v>0</v>
      </c>
      <c r="EB86" s="57"/>
      <c r="EC86" s="65"/>
      <c r="ED86" s="66">
        <f t="shared" ref="ED86" ca="1" si="238">($M86=EC86)*$D$13</f>
        <v>0</v>
      </c>
      <c r="EE86" s="57"/>
      <c r="EF86" s="67"/>
      <c r="EG86" s="66">
        <f t="shared" ref="EG86" ca="1" si="239">($M86=EF86)*$D$13</f>
        <v>0</v>
      </c>
      <c r="EH86" s="57"/>
      <c r="EI86" s="57"/>
    </row>
    <row r="87" spans="1:139">
      <c r="A87" s="43"/>
      <c r="B87" s="43"/>
      <c r="C87" s="43"/>
      <c r="D87" s="43"/>
      <c r="E87" s="43"/>
      <c r="F87" s="712">
        <f t="shared" ref="F87" si="240">$D$14</f>
        <v>5</v>
      </c>
      <c r="G87" s="713">
        <f ca="1">VLOOKUP(H87,Equipos!$Q$1:$R$25,2,0)</f>
        <v>14</v>
      </c>
      <c r="H87" s="774">
        <f ca="1">$H$56</f>
        <v>46197</v>
      </c>
      <c r="I87" s="44"/>
      <c r="J87" s="861"/>
      <c r="K87" s="49" t="str">
        <f>Idiomas!D157</f>
        <v>4º GRUPO B</v>
      </c>
      <c r="L87" s="46"/>
      <c r="M87" s="48" t="str">
        <f ca="1">IF(OR(SUM(WORLDCUP!$AN$14:$AN$17)=12,WORLDCUP!$AJ$99=144),WORLDCUP!AL17,LEFT(K87,1)&amp;RIGHT(K87,1))</f>
        <v>4B</v>
      </c>
      <c r="N87" s="711"/>
      <c r="O87" s="711"/>
      <c r="P87" s="711"/>
      <c r="Q87" s="711"/>
      <c r="R87" s="102"/>
      <c r="S87" s="67" t="s">
        <v>1626</v>
      </c>
      <c r="T87" s="66">
        <f t="shared" ref="T87" ca="1" si="241">($M87=S87)*$D$14</f>
        <v>0</v>
      </c>
      <c r="U87" s="57"/>
      <c r="V87" s="67" t="s">
        <v>1626</v>
      </c>
      <c r="W87" s="66">
        <f t="shared" ref="W87" ca="1" si="242">($M87=V87)*$D$14</f>
        <v>0</v>
      </c>
      <c r="X87" s="57"/>
      <c r="Y87" s="67" t="s">
        <v>1626</v>
      </c>
      <c r="Z87" s="66">
        <f t="shared" ref="Z87" ca="1" si="243">($M87=Y87)*$D$14</f>
        <v>0</v>
      </c>
      <c r="AA87" s="57"/>
      <c r="AB87" s="67" t="s">
        <v>1626</v>
      </c>
      <c r="AC87" s="66">
        <f t="shared" ref="AC87" ca="1" si="244">($M87=AB87)*$D$14</f>
        <v>0</v>
      </c>
      <c r="AD87" s="57"/>
      <c r="AE87" s="67" t="s">
        <v>1626</v>
      </c>
      <c r="AF87" s="66">
        <f t="shared" ref="AF87" ca="1" si="245">($M87=AE87)*$D$14</f>
        <v>0</v>
      </c>
      <c r="AG87" s="57"/>
      <c r="AH87" s="67" t="s">
        <v>1626</v>
      </c>
      <c r="AI87" s="66">
        <f t="shared" ref="AI87" ca="1" si="246">($M87=AH87)*$D$14</f>
        <v>0</v>
      </c>
      <c r="AJ87" s="57"/>
      <c r="AK87" s="67" t="s">
        <v>1626</v>
      </c>
      <c r="AL87" s="66">
        <f t="shared" ref="AL87" ca="1" si="247">($M87=AK87)*$D$14</f>
        <v>0</v>
      </c>
      <c r="AM87" s="57"/>
      <c r="AN87" s="67" t="s">
        <v>1626</v>
      </c>
      <c r="AO87" s="66">
        <f t="shared" ref="AO87" ca="1" si="248">($M87=AN87)*$D$14</f>
        <v>0</v>
      </c>
      <c r="AP87" s="57"/>
      <c r="AQ87" s="67" t="s">
        <v>1626</v>
      </c>
      <c r="AR87" s="66">
        <f t="shared" ref="AR87" ca="1" si="249">($M87=AQ87)*$D$14</f>
        <v>0</v>
      </c>
      <c r="AS87" s="57"/>
      <c r="AT87" s="67" t="s">
        <v>1626</v>
      </c>
      <c r="AU87" s="66">
        <f t="shared" ref="AU87" ca="1" si="250">($M87=AT87)*$D$14</f>
        <v>0</v>
      </c>
      <c r="AV87" s="57"/>
      <c r="AW87" s="67" t="s">
        <v>1626</v>
      </c>
      <c r="AX87" s="66">
        <f t="shared" ref="AX87" ca="1" si="251">($M87=AW87)*$D$14</f>
        <v>0</v>
      </c>
      <c r="AY87" s="57"/>
      <c r="AZ87" s="67" t="s">
        <v>1626</v>
      </c>
      <c r="BA87" s="66">
        <f t="shared" ref="BA87" ca="1" si="252">($M87=AZ87)*$D$14</f>
        <v>0</v>
      </c>
      <c r="BB87" s="57"/>
      <c r="BC87" s="67" t="s">
        <v>1626</v>
      </c>
      <c r="BD87" s="66">
        <f t="shared" ref="BD87" ca="1" si="253">($M87=BC87)*$D$14</f>
        <v>0</v>
      </c>
      <c r="BE87" s="57"/>
      <c r="BF87" s="67" t="s">
        <v>1626</v>
      </c>
      <c r="BG87" s="66">
        <f t="shared" ref="BG87" ca="1" si="254">($M87=BF87)*$D$14</f>
        <v>0</v>
      </c>
      <c r="BH87" s="57"/>
      <c r="BI87" s="67" t="s">
        <v>1626</v>
      </c>
      <c r="BJ87" s="66">
        <f t="shared" ref="BJ87" ca="1" si="255">($M87=BI87)*$D$14</f>
        <v>0</v>
      </c>
      <c r="BK87" s="57"/>
      <c r="BL87" s="67" t="s">
        <v>1626</v>
      </c>
      <c r="BM87" s="66">
        <f t="shared" ref="BM87" ca="1" si="256">($M87=BL87)*$D$14</f>
        <v>0</v>
      </c>
      <c r="BN87" s="57"/>
      <c r="BO87" s="67" t="s">
        <v>1626</v>
      </c>
      <c r="BP87" s="66">
        <f t="shared" ref="BP87" ca="1" si="257">($M87=BO87)*$D$14</f>
        <v>0</v>
      </c>
      <c r="BQ87" s="57"/>
      <c r="BR87" s="67" t="s">
        <v>1626</v>
      </c>
      <c r="BS87" s="66">
        <f t="shared" ref="BS87" ca="1" si="258">($M87=BR87)*$D$14</f>
        <v>0</v>
      </c>
      <c r="BT87" s="57"/>
      <c r="BU87" s="67"/>
      <c r="BV87" s="66">
        <f t="shared" ref="BV87" ca="1" si="259">($M87=BU87)*$D$14</f>
        <v>0</v>
      </c>
      <c r="BW87" s="57"/>
      <c r="BX87" s="67"/>
      <c r="BY87" s="66">
        <f t="shared" ref="BY87" ca="1" si="260">($M87=BX87)*$D$14</f>
        <v>0</v>
      </c>
      <c r="BZ87" s="57"/>
      <c r="CA87" s="67"/>
      <c r="CB87" s="66">
        <f t="shared" ref="CB87" ca="1" si="261">($M87=CA87)*$D$14</f>
        <v>0</v>
      </c>
      <c r="CC87" s="57"/>
      <c r="CD87" s="67"/>
      <c r="CE87" s="66">
        <f t="shared" ref="CE87" ca="1" si="262">($M87=CD87)*$D$14</f>
        <v>0</v>
      </c>
      <c r="CF87" s="57"/>
      <c r="CG87" s="67"/>
      <c r="CH87" s="66">
        <f t="shared" ref="CH87" ca="1" si="263">($M87=CG87)*$D$14</f>
        <v>0</v>
      </c>
      <c r="CI87" s="57"/>
      <c r="CJ87" s="67"/>
      <c r="CK87" s="66">
        <f t="shared" ref="CK87" ca="1" si="264">($M87=CJ87)*$D$14</f>
        <v>0</v>
      </c>
      <c r="CL87" s="57"/>
      <c r="CM87" s="67"/>
      <c r="CN87" s="66">
        <f t="shared" ref="CN87" ca="1" si="265">($M87=CM87)*$D$14</f>
        <v>0</v>
      </c>
      <c r="CO87" s="57"/>
      <c r="CP87" s="67"/>
      <c r="CQ87" s="66">
        <f t="shared" ref="CQ87" ca="1" si="266">($M87=CP87)*$D$14</f>
        <v>0</v>
      </c>
      <c r="CR87" s="57"/>
      <c r="CS87" s="67"/>
      <c r="CT87" s="66">
        <f t="shared" ref="CT87" ca="1" si="267">($M87=CS87)*$D$14</f>
        <v>0</v>
      </c>
      <c r="CU87" s="57"/>
      <c r="CV87" s="67"/>
      <c r="CW87" s="66">
        <f t="shared" ref="CW87" ca="1" si="268">($M87=CV87)*$D$14</f>
        <v>0</v>
      </c>
      <c r="CX87" s="57"/>
      <c r="CY87" s="67"/>
      <c r="CZ87" s="66">
        <f t="shared" ref="CZ87" ca="1" si="269">($M87=CY87)*$D$14</f>
        <v>0</v>
      </c>
      <c r="DA87" s="57"/>
      <c r="DB87" s="67"/>
      <c r="DC87" s="66">
        <f t="shared" ref="DC87" ca="1" si="270">($M87=DB87)*$D$14</f>
        <v>0</v>
      </c>
      <c r="DD87" s="57"/>
      <c r="DE87" s="67"/>
      <c r="DF87" s="66">
        <f t="shared" ref="DF87" ca="1" si="271">($M87=DE87)*$D$14</f>
        <v>0</v>
      </c>
      <c r="DG87" s="57"/>
      <c r="DH87" s="67"/>
      <c r="DI87" s="66">
        <f t="shared" ref="DI87" ca="1" si="272">($M87=DH87)*$D$14</f>
        <v>0</v>
      </c>
      <c r="DJ87" s="57"/>
      <c r="DK87" s="67"/>
      <c r="DL87" s="66">
        <f t="shared" ref="DL87" ca="1" si="273">($M87=DK87)*$D$14</f>
        <v>0</v>
      </c>
      <c r="DM87" s="57"/>
      <c r="DN87" s="67"/>
      <c r="DO87" s="66">
        <f t="shared" ref="DO87" ca="1" si="274">($M87=DN87)*$D$14</f>
        <v>0</v>
      </c>
      <c r="DP87" s="57"/>
      <c r="DQ87" s="67"/>
      <c r="DR87" s="66">
        <f t="shared" ref="DR87" ca="1" si="275">($M87=DQ87)*$D$14</f>
        <v>0</v>
      </c>
      <c r="DS87" s="57"/>
      <c r="DT87" s="67"/>
      <c r="DU87" s="66">
        <f t="shared" ref="DU87" ca="1" si="276">($M87=DT87)*$D$14</f>
        <v>0</v>
      </c>
      <c r="DV87" s="57"/>
      <c r="DW87" s="67"/>
      <c r="DX87" s="66">
        <f t="shared" ref="DX87" ca="1" si="277">($M87=DW87)*$D$14</f>
        <v>0</v>
      </c>
      <c r="DY87" s="57"/>
      <c r="DZ87" s="67"/>
      <c r="EA87" s="66">
        <f t="shared" ref="EA87" ca="1" si="278">($M87=DZ87)*$D$14</f>
        <v>0</v>
      </c>
      <c r="EB87" s="57"/>
      <c r="EC87" s="65"/>
      <c r="ED87" s="66">
        <f t="shared" ref="ED87" ca="1" si="279">($M87=EC87)*$D$14</f>
        <v>0</v>
      </c>
      <c r="EE87" s="57"/>
      <c r="EF87" s="67"/>
      <c r="EG87" s="66">
        <f t="shared" ref="EG87" ca="1" si="280">($M87=EF87)*$D$14</f>
        <v>0</v>
      </c>
      <c r="EH87" s="57"/>
      <c r="EI87" s="57"/>
    </row>
    <row r="88" spans="1:139">
      <c r="A88" s="43"/>
      <c r="B88" s="43"/>
      <c r="C88" s="43"/>
      <c r="D88" s="43"/>
      <c r="E88" s="43"/>
      <c r="F88" s="712">
        <f t="shared" ref="F88" si="281">$D$11</f>
        <v>5</v>
      </c>
      <c r="G88" s="713">
        <f ca="1">VLOOKUP(H88,Equipos!$Q$1:$R$25,2,0)</f>
        <v>15</v>
      </c>
      <c r="H88" s="774">
        <f ca="1">$H$58</f>
        <v>46198</v>
      </c>
      <c r="I88" s="44"/>
      <c r="J88" s="862" t="s">
        <v>2</v>
      </c>
      <c r="K88" s="49" t="str">
        <f>Idiomas!D158</f>
        <v>1º GRUPO C</v>
      </c>
      <c r="L88" s="46"/>
      <c r="M88" s="48" t="str">
        <f ca="1">IF(OR(SUM(WORLDCUP!$AN$22:$AN$25)=12,WORLDCUP!$AJ$99=144),WORLDCUP!AL22,LEFT(K88,1)&amp;RIGHT(K88,1))</f>
        <v>1C</v>
      </c>
      <c r="N88" s="711"/>
      <c r="O88" s="711"/>
      <c r="P88" s="711"/>
      <c r="Q88" s="711"/>
      <c r="R88" s="102"/>
      <c r="S88" s="67" t="s">
        <v>1258</v>
      </c>
      <c r="T88" s="66">
        <f t="shared" ref="T88" ca="1" si="282">($M88=S88)*$D$11</f>
        <v>0</v>
      </c>
      <c r="U88" s="57"/>
      <c r="V88" s="67" t="s">
        <v>1258</v>
      </c>
      <c r="W88" s="66">
        <f t="shared" ref="W88" ca="1" si="283">($M88=V88)*$D$11</f>
        <v>0</v>
      </c>
      <c r="X88" s="57"/>
      <c r="Y88" s="67" t="s">
        <v>1258</v>
      </c>
      <c r="Z88" s="66">
        <f t="shared" ref="Z88" ca="1" si="284">($M88=Y88)*$D$11</f>
        <v>0</v>
      </c>
      <c r="AA88" s="57"/>
      <c r="AB88" s="67" t="s">
        <v>1317</v>
      </c>
      <c r="AC88" s="66">
        <f t="shared" ref="AC88" ca="1" si="285">($M88=AB88)*$D$11</f>
        <v>0</v>
      </c>
      <c r="AD88" s="57"/>
      <c r="AE88" s="67" t="s">
        <v>1317</v>
      </c>
      <c r="AF88" s="66">
        <f t="shared" ref="AF88" ca="1" si="286">($M88=AE88)*$D$11</f>
        <v>0</v>
      </c>
      <c r="AG88" s="57"/>
      <c r="AH88" s="67" t="s">
        <v>1258</v>
      </c>
      <c r="AI88" s="66">
        <f t="shared" ref="AI88" ca="1" si="287">($M88=AH88)*$D$11</f>
        <v>0</v>
      </c>
      <c r="AJ88" s="57"/>
      <c r="AK88" s="67" t="s">
        <v>1258</v>
      </c>
      <c r="AL88" s="66">
        <f t="shared" ref="AL88" ca="1" si="288">($M88=AK88)*$D$11</f>
        <v>0</v>
      </c>
      <c r="AM88" s="57"/>
      <c r="AN88" s="67" t="s">
        <v>1258</v>
      </c>
      <c r="AO88" s="66">
        <f t="shared" ref="AO88" ca="1" si="289">($M88=AN88)*$D$11</f>
        <v>0</v>
      </c>
      <c r="AP88" s="57"/>
      <c r="AQ88" s="67" t="s">
        <v>1317</v>
      </c>
      <c r="AR88" s="66">
        <f t="shared" ref="AR88" ca="1" si="290">($M88=AQ88)*$D$11</f>
        <v>0</v>
      </c>
      <c r="AS88" s="57"/>
      <c r="AT88" s="67" t="s">
        <v>1317</v>
      </c>
      <c r="AU88" s="66">
        <f t="shared" ref="AU88" ca="1" si="291">($M88=AT88)*$D$11</f>
        <v>0</v>
      </c>
      <c r="AV88" s="57"/>
      <c r="AW88" s="67" t="s">
        <v>1258</v>
      </c>
      <c r="AX88" s="66">
        <f t="shared" ref="AX88" ca="1" si="292">($M88=AW88)*$D$11</f>
        <v>0</v>
      </c>
      <c r="AY88" s="57"/>
      <c r="AZ88" s="67" t="s">
        <v>1258</v>
      </c>
      <c r="BA88" s="66">
        <f t="shared" ref="BA88" ca="1" si="293">($M88=AZ88)*$D$11</f>
        <v>0</v>
      </c>
      <c r="BB88" s="57"/>
      <c r="BC88" s="67" t="s">
        <v>1258</v>
      </c>
      <c r="BD88" s="66">
        <f t="shared" ref="BD88" ca="1" si="294">($M88=BC88)*$D$11</f>
        <v>0</v>
      </c>
      <c r="BE88" s="57"/>
      <c r="BF88" s="67" t="s">
        <v>1258</v>
      </c>
      <c r="BG88" s="66">
        <f t="shared" ref="BG88" ca="1" si="295">($M88=BF88)*$D$11</f>
        <v>0</v>
      </c>
      <c r="BH88" s="57"/>
      <c r="BI88" s="67" t="s">
        <v>1258</v>
      </c>
      <c r="BJ88" s="66">
        <f t="shared" ref="BJ88" ca="1" si="296">($M88=BI88)*$D$11</f>
        <v>0</v>
      </c>
      <c r="BK88" s="57"/>
      <c r="BL88" s="67" t="s">
        <v>1258</v>
      </c>
      <c r="BM88" s="66">
        <f t="shared" ref="BM88" ca="1" si="297">($M88=BL88)*$D$11</f>
        <v>0</v>
      </c>
      <c r="BN88" s="57"/>
      <c r="BO88" s="67" t="s">
        <v>1258</v>
      </c>
      <c r="BP88" s="66">
        <f t="shared" ref="BP88" ca="1" si="298">($M88=BO88)*$D$11</f>
        <v>0</v>
      </c>
      <c r="BQ88" s="57"/>
      <c r="BR88" s="67" t="s">
        <v>1258</v>
      </c>
      <c r="BS88" s="66">
        <f t="shared" ref="BS88" ca="1" si="299">($M88=BR88)*$D$11</f>
        <v>0</v>
      </c>
      <c r="BT88" s="57"/>
      <c r="BU88" s="67"/>
      <c r="BV88" s="66">
        <f t="shared" ref="BV88" ca="1" si="300">($M88=BU88)*$D$11</f>
        <v>0</v>
      </c>
      <c r="BW88" s="57"/>
      <c r="BX88" s="67"/>
      <c r="BY88" s="66">
        <f t="shared" ref="BY88" ca="1" si="301">($M88=BX88)*$D$11</f>
        <v>0</v>
      </c>
      <c r="BZ88" s="57"/>
      <c r="CA88" s="67"/>
      <c r="CB88" s="66">
        <f t="shared" ref="CB88" ca="1" si="302">($M88=CA88)*$D$11</f>
        <v>0</v>
      </c>
      <c r="CC88" s="57"/>
      <c r="CD88" s="67"/>
      <c r="CE88" s="66">
        <f t="shared" ref="CE88" ca="1" si="303">($M88=CD88)*$D$11</f>
        <v>0</v>
      </c>
      <c r="CF88" s="57"/>
      <c r="CG88" s="67"/>
      <c r="CH88" s="66">
        <f t="shared" ref="CH88" ca="1" si="304">($M88=CG88)*$D$11</f>
        <v>0</v>
      </c>
      <c r="CI88" s="57"/>
      <c r="CJ88" s="67"/>
      <c r="CK88" s="66">
        <f t="shared" ref="CK88" ca="1" si="305">($M88=CJ88)*$D$11</f>
        <v>0</v>
      </c>
      <c r="CL88" s="57"/>
      <c r="CM88" s="67"/>
      <c r="CN88" s="66">
        <f t="shared" ref="CN88" ca="1" si="306">($M88=CM88)*$D$11</f>
        <v>0</v>
      </c>
      <c r="CO88" s="57"/>
      <c r="CP88" s="67"/>
      <c r="CQ88" s="66">
        <f t="shared" ref="CQ88" ca="1" si="307">($M88=CP88)*$D$11</f>
        <v>0</v>
      </c>
      <c r="CR88" s="57"/>
      <c r="CS88" s="67"/>
      <c r="CT88" s="66">
        <f t="shared" ref="CT88" ca="1" si="308">($M88=CS88)*$D$11</f>
        <v>0</v>
      </c>
      <c r="CU88" s="57"/>
      <c r="CV88" s="67"/>
      <c r="CW88" s="66">
        <f t="shared" ref="CW88" ca="1" si="309">($M88=CV88)*$D$11</f>
        <v>0</v>
      </c>
      <c r="CX88" s="57"/>
      <c r="CY88" s="67"/>
      <c r="CZ88" s="66">
        <f t="shared" ref="CZ88" ca="1" si="310">($M88=CY88)*$D$11</f>
        <v>0</v>
      </c>
      <c r="DA88" s="57"/>
      <c r="DB88" s="67"/>
      <c r="DC88" s="66">
        <f t="shared" ref="DC88" ca="1" si="311">($M88=DB88)*$D$11</f>
        <v>0</v>
      </c>
      <c r="DD88" s="57"/>
      <c r="DE88" s="67"/>
      <c r="DF88" s="66">
        <f t="shared" ref="DF88" ca="1" si="312">($M88=DE88)*$D$11</f>
        <v>0</v>
      </c>
      <c r="DG88" s="57"/>
      <c r="DH88" s="67"/>
      <c r="DI88" s="66">
        <f t="shared" ref="DI88" ca="1" si="313">($M88=DH88)*$D$11</f>
        <v>0</v>
      </c>
      <c r="DJ88" s="57"/>
      <c r="DK88" s="67"/>
      <c r="DL88" s="66">
        <f t="shared" ref="DL88" ca="1" si="314">($M88=DK88)*$D$11</f>
        <v>0</v>
      </c>
      <c r="DM88" s="57"/>
      <c r="DN88" s="67"/>
      <c r="DO88" s="66">
        <f t="shared" ref="DO88" ca="1" si="315">($M88=DN88)*$D$11</f>
        <v>0</v>
      </c>
      <c r="DP88" s="57"/>
      <c r="DQ88" s="67"/>
      <c r="DR88" s="66">
        <f t="shared" ref="DR88" ca="1" si="316">($M88=DQ88)*$D$11</f>
        <v>0</v>
      </c>
      <c r="DS88" s="57"/>
      <c r="DT88" s="67"/>
      <c r="DU88" s="66">
        <f t="shared" ref="DU88" ca="1" si="317">($M88=DT88)*$D$11</f>
        <v>0</v>
      </c>
      <c r="DV88" s="57"/>
      <c r="DW88" s="67"/>
      <c r="DX88" s="66">
        <f t="shared" ref="DX88" ca="1" si="318">($M88=DW88)*$D$11</f>
        <v>0</v>
      </c>
      <c r="DY88" s="57"/>
      <c r="DZ88" s="67"/>
      <c r="EA88" s="66">
        <f t="shared" ref="EA88" ca="1" si="319">($M88=DZ88)*$D$11</f>
        <v>0</v>
      </c>
      <c r="EB88" s="57"/>
      <c r="EC88" s="67"/>
      <c r="ED88" s="66">
        <f t="shared" ref="ED88" ca="1" si="320">($M88=EC88)*$D$11</f>
        <v>0</v>
      </c>
      <c r="EE88" s="57"/>
      <c r="EF88" s="67"/>
      <c r="EG88" s="66">
        <f t="shared" ref="EG88" ca="1" si="321">($M88=EF88)*$D$11</f>
        <v>0</v>
      </c>
      <c r="EH88" s="57"/>
      <c r="EI88" s="57"/>
    </row>
    <row r="89" spans="1:139">
      <c r="A89" s="43"/>
      <c r="B89" s="43"/>
      <c r="C89" s="43"/>
      <c r="D89" s="43"/>
      <c r="E89" s="43"/>
      <c r="F89" s="712">
        <f t="shared" ref="F89" si="322">$D$12</f>
        <v>5</v>
      </c>
      <c r="G89" s="713">
        <f ca="1">VLOOKUP(H89,Equipos!$Q$1:$R$25,2,0)</f>
        <v>15</v>
      </c>
      <c r="H89" s="774">
        <f ca="1">$H$58</f>
        <v>46198</v>
      </c>
      <c r="I89" s="44"/>
      <c r="J89" s="862"/>
      <c r="K89" s="49" t="str">
        <f>Idiomas!D159</f>
        <v>2º GRUPO C</v>
      </c>
      <c r="L89" s="46"/>
      <c r="M89" s="48" t="str">
        <f ca="1">IF(OR(SUM(WORLDCUP!$AN$22:$AN$25)=12,WORLDCUP!$AJ$99=144),WORLDCUP!AL23,LEFT(K89,1)&amp;RIGHT(K89,1))</f>
        <v>2C</v>
      </c>
      <c r="N89" s="711"/>
      <c r="O89" s="711"/>
      <c r="P89" s="711"/>
      <c r="Q89" s="711"/>
      <c r="R89" s="102"/>
      <c r="S89" s="67" t="s">
        <v>1317</v>
      </c>
      <c r="T89" s="66">
        <f t="shared" ref="T89" ca="1" si="323">($M89=S89)*$D$12</f>
        <v>0</v>
      </c>
      <c r="U89" s="57"/>
      <c r="V89" s="67" t="s">
        <v>1317</v>
      </c>
      <c r="W89" s="66">
        <f t="shared" ref="W89" ca="1" si="324">($M89=V89)*$D$12</f>
        <v>0</v>
      </c>
      <c r="X89" s="57"/>
      <c r="Y89" s="67" t="s">
        <v>1317</v>
      </c>
      <c r="Z89" s="66">
        <f t="shared" ref="Z89" ca="1" si="325">($M89=Y89)*$D$12</f>
        <v>0</v>
      </c>
      <c r="AA89" s="57"/>
      <c r="AB89" s="67" t="s">
        <v>1258</v>
      </c>
      <c r="AC89" s="66">
        <f t="shared" ref="AC89" ca="1" si="326">($M89=AB89)*$D$12</f>
        <v>0</v>
      </c>
      <c r="AD89" s="57"/>
      <c r="AE89" s="67" t="s">
        <v>1258</v>
      </c>
      <c r="AF89" s="66">
        <f t="shared" ref="AF89" ca="1" si="327">($M89=AE89)*$D$12</f>
        <v>0</v>
      </c>
      <c r="AG89" s="57"/>
      <c r="AH89" s="67" t="s">
        <v>1317</v>
      </c>
      <c r="AI89" s="66">
        <f t="shared" ref="AI89" ca="1" si="328">($M89=AH89)*$D$12</f>
        <v>0</v>
      </c>
      <c r="AJ89" s="57"/>
      <c r="AK89" s="67" t="s">
        <v>1317</v>
      </c>
      <c r="AL89" s="66">
        <f t="shared" ref="AL89" ca="1" si="329">($M89=AK89)*$D$12</f>
        <v>0</v>
      </c>
      <c r="AM89" s="57"/>
      <c r="AN89" s="67" t="s">
        <v>1317</v>
      </c>
      <c r="AO89" s="66">
        <f t="shared" ref="AO89" ca="1" si="330">($M89=AN89)*$D$12</f>
        <v>0</v>
      </c>
      <c r="AP89" s="57"/>
      <c r="AQ89" s="67" t="s">
        <v>1258</v>
      </c>
      <c r="AR89" s="66">
        <f t="shared" ref="AR89" ca="1" si="331">($M89=AQ89)*$D$12</f>
        <v>0</v>
      </c>
      <c r="AS89" s="57"/>
      <c r="AT89" s="67" t="s">
        <v>1258</v>
      </c>
      <c r="AU89" s="66">
        <f t="shared" ref="AU89" ca="1" si="332">($M89=AT89)*$D$12</f>
        <v>0</v>
      </c>
      <c r="AV89" s="57"/>
      <c r="AW89" s="67" t="s">
        <v>1317</v>
      </c>
      <c r="AX89" s="66">
        <f t="shared" ref="AX89" ca="1" si="333">($M89=AW89)*$D$12</f>
        <v>0</v>
      </c>
      <c r="AY89" s="57"/>
      <c r="AZ89" s="67" t="s">
        <v>1317</v>
      </c>
      <c r="BA89" s="66">
        <f t="shared" ref="BA89" ca="1" si="334">($M89=AZ89)*$D$12</f>
        <v>0</v>
      </c>
      <c r="BB89" s="57"/>
      <c r="BC89" s="67" t="s">
        <v>1317</v>
      </c>
      <c r="BD89" s="66">
        <f t="shared" ref="BD89" ca="1" si="335">($M89=BC89)*$D$12</f>
        <v>0</v>
      </c>
      <c r="BE89" s="57"/>
      <c r="BF89" s="67" t="s">
        <v>1317</v>
      </c>
      <c r="BG89" s="66">
        <f t="shared" ref="BG89" ca="1" si="336">($M89=BF89)*$D$12</f>
        <v>0</v>
      </c>
      <c r="BH89" s="57"/>
      <c r="BI89" s="67" t="s">
        <v>1317</v>
      </c>
      <c r="BJ89" s="66">
        <f t="shared" ref="BJ89" ca="1" si="337">($M89=BI89)*$D$12</f>
        <v>0</v>
      </c>
      <c r="BK89" s="57"/>
      <c r="BL89" s="67" t="s">
        <v>1317</v>
      </c>
      <c r="BM89" s="66">
        <f t="shared" ref="BM89" ca="1" si="338">($M89=BL89)*$D$12</f>
        <v>0</v>
      </c>
      <c r="BN89" s="57"/>
      <c r="BO89" s="67" t="s">
        <v>1317</v>
      </c>
      <c r="BP89" s="66">
        <f t="shared" ref="BP89" ca="1" si="339">($M89=BO89)*$D$12</f>
        <v>0</v>
      </c>
      <c r="BQ89" s="57"/>
      <c r="BR89" s="67" t="s">
        <v>1317</v>
      </c>
      <c r="BS89" s="66">
        <f t="shared" ref="BS89" ca="1" si="340">($M89=BR89)*$D$12</f>
        <v>0</v>
      </c>
      <c r="BT89" s="57"/>
      <c r="BU89" s="67"/>
      <c r="BV89" s="66">
        <f t="shared" ref="BV89" ca="1" si="341">($M89=BU89)*$D$12</f>
        <v>0</v>
      </c>
      <c r="BW89" s="57"/>
      <c r="BX89" s="67"/>
      <c r="BY89" s="66">
        <f t="shared" ref="BY89" ca="1" si="342">($M89=BX89)*$D$12</f>
        <v>0</v>
      </c>
      <c r="BZ89" s="57"/>
      <c r="CA89" s="67"/>
      <c r="CB89" s="66">
        <f t="shared" ref="CB89" ca="1" si="343">($M89=CA89)*$D$12</f>
        <v>0</v>
      </c>
      <c r="CC89" s="57"/>
      <c r="CD89" s="67"/>
      <c r="CE89" s="66">
        <f t="shared" ref="CE89" ca="1" si="344">($M89=CD89)*$D$12</f>
        <v>0</v>
      </c>
      <c r="CF89" s="57"/>
      <c r="CG89" s="67"/>
      <c r="CH89" s="66">
        <f t="shared" ref="CH89" ca="1" si="345">($M89=CG89)*$D$12</f>
        <v>0</v>
      </c>
      <c r="CI89" s="57"/>
      <c r="CJ89" s="67"/>
      <c r="CK89" s="66">
        <f t="shared" ref="CK89" ca="1" si="346">($M89=CJ89)*$D$12</f>
        <v>0</v>
      </c>
      <c r="CL89" s="57"/>
      <c r="CM89" s="67"/>
      <c r="CN89" s="66">
        <f t="shared" ref="CN89" ca="1" si="347">($M89=CM89)*$D$12</f>
        <v>0</v>
      </c>
      <c r="CO89" s="57"/>
      <c r="CP89" s="67"/>
      <c r="CQ89" s="66">
        <f t="shared" ref="CQ89" ca="1" si="348">($M89=CP89)*$D$12</f>
        <v>0</v>
      </c>
      <c r="CR89" s="57"/>
      <c r="CS89" s="67"/>
      <c r="CT89" s="66">
        <f t="shared" ref="CT89" ca="1" si="349">($M89=CS89)*$D$12</f>
        <v>0</v>
      </c>
      <c r="CU89" s="57"/>
      <c r="CV89" s="67"/>
      <c r="CW89" s="66">
        <f t="shared" ref="CW89" ca="1" si="350">($M89=CV89)*$D$12</f>
        <v>0</v>
      </c>
      <c r="CX89" s="57"/>
      <c r="CY89" s="67"/>
      <c r="CZ89" s="66">
        <f t="shared" ref="CZ89" ca="1" si="351">($M89=CY89)*$D$12</f>
        <v>0</v>
      </c>
      <c r="DA89" s="57"/>
      <c r="DB89" s="67"/>
      <c r="DC89" s="66">
        <f t="shared" ref="DC89" ca="1" si="352">($M89=DB89)*$D$12</f>
        <v>0</v>
      </c>
      <c r="DD89" s="57"/>
      <c r="DE89" s="67"/>
      <c r="DF89" s="66">
        <f t="shared" ref="DF89" ca="1" si="353">($M89=DE89)*$D$12</f>
        <v>0</v>
      </c>
      <c r="DG89" s="57"/>
      <c r="DH89" s="67"/>
      <c r="DI89" s="66">
        <f t="shared" ref="DI89" ca="1" si="354">($M89=DH89)*$D$12</f>
        <v>0</v>
      </c>
      <c r="DJ89" s="57"/>
      <c r="DK89" s="67"/>
      <c r="DL89" s="66">
        <f t="shared" ref="DL89" ca="1" si="355">($M89=DK89)*$D$12</f>
        <v>0</v>
      </c>
      <c r="DM89" s="57"/>
      <c r="DN89" s="67"/>
      <c r="DO89" s="66">
        <f t="shared" ref="DO89" ca="1" si="356">($M89=DN89)*$D$12</f>
        <v>0</v>
      </c>
      <c r="DP89" s="57"/>
      <c r="DQ89" s="67"/>
      <c r="DR89" s="66">
        <f t="shared" ref="DR89" ca="1" si="357">($M89=DQ89)*$D$12</f>
        <v>0</v>
      </c>
      <c r="DS89" s="57"/>
      <c r="DT89" s="67"/>
      <c r="DU89" s="66">
        <f t="shared" ref="DU89" ca="1" si="358">($M89=DT89)*$D$12</f>
        <v>0</v>
      </c>
      <c r="DV89" s="57"/>
      <c r="DW89" s="67"/>
      <c r="DX89" s="66">
        <f t="shared" ref="DX89" ca="1" si="359">($M89=DW89)*$D$12</f>
        <v>0</v>
      </c>
      <c r="DY89" s="57"/>
      <c r="DZ89" s="67"/>
      <c r="EA89" s="66">
        <f t="shared" ref="EA89" ca="1" si="360">($M89=DZ89)*$D$12</f>
        <v>0</v>
      </c>
      <c r="EB89" s="57"/>
      <c r="EC89" s="68"/>
      <c r="ED89" s="66">
        <f t="shared" ref="ED89" ca="1" si="361">($M89=EC89)*$D$12</f>
        <v>0</v>
      </c>
      <c r="EE89" s="57"/>
      <c r="EF89" s="67"/>
      <c r="EG89" s="66">
        <f t="shared" ref="EG89" ca="1" si="362">($M89=EF89)*$D$12</f>
        <v>0</v>
      </c>
      <c r="EH89" s="57"/>
      <c r="EI89" s="57"/>
    </row>
    <row r="90" spans="1:139">
      <c r="A90" s="43"/>
      <c r="B90" s="43"/>
      <c r="C90" s="43"/>
      <c r="D90" s="43"/>
      <c r="E90" s="43"/>
      <c r="F90" s="712">
        <f t="shared" ref="F90" si="363">$D$13</f>
        <v>5</v>
      </c>
      <c r="G90" s="713">
        <f ca="1">VLOOKUP(H90,Equipos!$Q$1:$R$25,2,0)</f>
        <v>15</v>
      </c>
      <c r="H90" s="774">
        <f ca="1">$H$58</f>
        <v>46198</v>
      </c>
      <c r="I90" s="44"/>
      <c r="J90" s="862"/>
      <c r="K90" s="49" t="str">
        <f>Idiomas!D160</f>
        <v>3º GRUPO C</v>
      </c>
      <c r="L90" s="46"/>
      <c r="M90" s="48" t="str">
        <f ca="1">IF(OR(SUM(WORLDCUP!$AN$22:$AN$25)=12,WORLDCUP!$AJ$99=144),WORLDCUP!AL24,LEFT(K90,1)&amp;RIGHT(K90,1))</f>
        <v>3C</v>
      </c>
      <c r="N90" s="711"/>
      <c r="O90" s="711"/>
      <c r="P90" s="711"/>
      <c r="Q90" s="711"/>
      <c r="R90" s="102"/>
      <c r="S90" s="67" t="s">
        <v>134</v>
      </c>
      <c r="T90" s="66">
        <f t="shared" ref="T90" ca="1" si="364">($M90=S90)*$D$13</f>
        <v>0</v>
      </c>
      <c r="U90" s="57"/>
      <c r="V90" s="67" t="s">
        <v>134</v>
      </c>
      <c r="W90" s="66">
        <f t="shared" ref="W90" ca="1" si="365">($M90=V90)*$D$13</f>
        <v>0</v>
      </c>
      <c r="X90" s="57"/>
      <c r="Y90" s="67" t="s">
        <v>134</v>
      </c>
      <c r="Z90" s="66">
        <f t="shared" ref="Z90" ca="1" si="366">($M90=Y90)*$D$13</f>
        <v>0</v>
      </c>
      <c r="AA90" s="57"/>
      <c r="AB90" s="67" t="s">
        <v>134</v>
      </c>
      <c r="AC90" s="66">
        <f t="shared" ref="AC90" ca="1" si="367">($M90=AB90)*$D$13</f>
        <v>0</v>
      </c>
      <c r="AD90" s="57"/>
      <c r="AE90" s="67" t="s">
        <v>134</v>
      </c>
      <c r="AF90" s="66">
        <f t="shared" ref="AF90" ca="1" si="368">($M90=AE90)*$D$13</f>
        <v>0</v>
      </c>
      <c r="AG90" s="57"/>
      <c r="AH90" s="67" t="s">
        <v>134</v>
      </c>
      <c r="AI90" s="66">
        <f t="shared" ref="AI90" ca="1" si="369">($M90=AH90)*$D$13</f>
        <v>0</v>
      </c>
      <c r="AJ90" s="57"/>
      <c r="AK90" s="67" t="s">
        <v>134</v>
      </c>
      <c r="AL90" s="66">
        <f t="shared" ref="AL90" ca="1" si="370">($M90=AK90)*$D$13</f>
        <v>0</v>
      </c>
      <c r="AM90" s="57"/>
      <c r="AN90" s="67" t="s">
        <v>134</v>
      </c>
      <c r="AO90" s="66">
        <f t="shared" ref="AO90" ca="1" si="371">($M90=AN90)*$D$13</f>
        <v>0</v>
      </c>
      <c r="AP90" s="57"/>
      <c r="AQ90" s="67" t="s">
        <v>134</v>
      </c>
      <c r="AR90" s="66">
        <f t="shared" ref="AR90" ca="1" si="372">($M90=AQ90)*$D$13</f>
        <v>0</v>
      </c>
      <c r="AS90" s="57"/>
      <c r="AT90" s="67" t="s">
        <v>134</v>
      </c>
      <c r="AU90" s="66">
        <f t="shared" ref="AU90" ca="1" si="373">($M90=AT90)*$D$13</f>
        <v>0</v>
      </c>
      <c r="AV90" s="57"/>
      <c r="AW90" s="67" t="s">
        <v>134</v>
      </c>
      <c r="AX90" s="66">
        <f t="shared" ref="AX90" ca="1" si="374">($M90=AW90)*$D$13</f>
        <v>0</v>
      </c>
      <c r="AY90" s="57"/>
      <c r="AZ90" s="67" t="s">
        <v>134</v>
      </c>
      <c r="BA90" s="66">
        <f t="shared" ref="BA90" ca="1" si="375">($M90=AZ90)*$D$13</f>
        <v>0</v>
      </c>
      <c r="BB90" s="57"/>
      <c r="BC90" s="67" t="s">
        <v>134</v>
      </c>
      <c r="BD90" s="66">
        <f t="shared" ref="BD90" ca="1" si="376">($M90=BC90)*$D$13</f>
        <v>0</v>
      </c>
      <c r="BE90" s="57"/>
      <c r="BF90" s="67" t="s">
        <v>134</v>
      </c>
      <c r="BG90" s="66">
        <f t="shared" ref="BG90" ca="1" si="377">($M90=BF90)*$D$13</f>
        <v>0</v>
      </c>
      <c r="BH90" s="57"/>
      <c r="BI90" s="67" t="s">
        <v>134</v>
      </c>
      <c r="BJ90" s="66">
        <f t="shared" ref="BJ90" ca="1" si="378">($M90=BI90)*$D$13</f>
        <v>0</v>
      </c>
      <c r="BK90" s="57"/>
      <c r="BL90" s="67" t="s">
        <v>134</v>
      </c>
      <c r="BM90" s="66">
        <f t="shared" ref="BM90" ca="1" si="379">($M90=BL90)*$D$13</f>
        <v>0</v>
      </c>
      <c r="BN90" s="57"/>
      <c r="BO90" s="67" t="s">
        <v>134</v>
      </c>
      <c r="BP90" s="66">
        <f t="shared" ref="BP90" ca="1" si="380">($M90=BO90)*$D$13</f>
        <v>0</v>
      </c>
      <c r="BQ90" s="57"/>
      <c r="BR90" s="67" t="s">
        <v>134</v>
      </c>
      <c r="BS90" s="66">
        <f t="shared" ref="BS90" ca="1" si="381">($M90=BR90)*$D$13</f>
        <v>0</v>
      </c>
      <c r="BT90" s="57"/>
      <c r="BU90" s="67"/>
      <c r="BV90" s="66">
        <f t="shared" ref="BV90" ca="1" si="382">($M90=BU90)*$D$13</f>
        <v>0</v>
      </c>
      <c r="BW90" s="57"/>
      <c r="BX90" s="67"/>
      <c r="BY90" s="66">
        <f t="shared" ref="BY90" ca="1" si="383">($M90=BX90)*$D$13</f>
        <v>0</v>
      </c>
      <c r="BZ90" s="57"/>
      <c r="CA90" s="67"/>
      <c r="CB90" s="66">
        <f t="shared" ref="CB90" ca="1" si="384">($M90=CA90)*$D$13</f>
        <v>0</v>
      </c>
      <c r="CC90" s="57"/>
      <c r="CD90" s="67"/>
      <c r="CE90" s="66">
        <f t="shared" ref="CE90" ca="1" si="385">($M90=CD90)*$D$13</f>
        <v>0</v>
      </c>
      <c r="CF90" s="57"/>
      <c r="CG90" s="67"/>
      <c r="CH90" s="66">
        <f t="shared" ref="CH90" ca="1" si="386">($M90=CG90)*$D$13</f>
        <v>0</v>
      </c>
      <c r="CI90" s="57"/>
      <c r="CJ90" s="67"/>
      <c r="CK90" s="66">
        <f t="shared" ref="CK90" ca="1" si="387">($M90=CJ90)*$D$13</f>
        <v>0</v>
      </c>
      <c r="CL90" s="57"/>
      <c r="CM90" s="67"/>
      <c r="CN90" s="66">
        <f t="shared" ref="CN90" ca="1" si="388">($M90=CM90)*$D$13</f>
        <v>0</v>
      </c>
      <c r="CO90" s="57"/>
      <c r="CP90" s="67"/>
      <c r="CQ90" s="66">
        <f t="shared" ref="CQ90" ca="1" si="389">($M90=CP90)*$D$13</f>
        <v>0</v>
      </c>
      <c r="CR90" s="57"/>
      <c r="CS90" s="67"/>
      <c r="CT90" s="66">
        <f t="shared" ref="CT90" ca="1" si="390">($M90=CS90)*$D$13</f>
        <v>0</v>
      </c>
      <c r="CU90" s="57"/>
      <c r="CV90" s="67"/>
      <c r="CW90" s="66">
        <f t="shared" ref="CW90" ca="1" si="391">($M90=CV90)*$D$13</f>
        <v>0</v>
      </c>
      <c r="CX90" s="57"/>
      <c r="CY90" s="67"/>
      <c r="CZ90" s="66">
        <f t="shared" ref="CZ90" ca="1" si="392">($M90=CY90)*$D$13</f>
        <v>0</v>
      </c>
      <c r="DA90" s="57"/>
      <c r="DB90" s="67"/>
      <c r="DC90" s="66">
        <f t="shared" ref="DC90" ca="1" si="393">($M90=DB90)*$D$13</f>
        <v>0</v>
      </c>
      <c r="DD90" s="57"/>
      <c r="DE90" s="67"/>
      <c r="DF90" s="66">
        <f t="shared" ref="DF90" ca="1" si="394">($M90=DE90)*$D$13</f>
        <v>0</v>
      </c>
      <c r="DG90" s="57"/>
      <c r="DH90" s="67"/>
      <c r="DI90" s="66">
        <f t="shared" ref="DI90" ca="1" si="395">($M90=DH90)*$D$13</f>
        <v>0</v>
      </c>
      <c r="DJ90" s="57"/>
      <c r="DK90" s="67"/>
      <c r="DL90" s="66">
        <f t="shared" ref="DL90" ca="1" si="396">($M90=DK90)*$D$13</f>
        <v>0</v>
      </c>
      <c r="DM90" s="57"/>
      <c r="DN90" s="67"/>
      <c r="DO90" s="66">
        <f t="shared" ref="DO90" ca="1" si="397">($M90=DN90)*$D$13</f>
        <v>0</v>
      </c>
      <c r="DP90" s="57"/>
      <c r="DQ90" s="67"/>
      <c r="DR90" s="66">
        <f t="shared" ref="DR90" ca="1" si="398">($M90=DQ90)*$D$13</f>
        <v>0</v>
      </c>
      <c r="DS90" s="57"/>
      <c r="DT90" s="67"/>
      <c r="DU90" s="66">
        <f t="shared" ref="DU90" ca="1" si="399">($M90=DT90)*$D$13</f>
        <v>0</v>
      </c>
      <c r="DV90" s="57"/>
      <c r="DW90" s="67"/>
      <c r="DX90" s="66">
        <f t="shared" ref="DX90" ca="1" si="400">($M90=DW90)*$D$13</f>
        <v>0</v>
      </c>
      <c r="DY90" s="57"/>
      <c r="DZ90" s="67"/>
      <c r="EA90" s="66">
        <f t="shared" ref="EA90" ca="1" si="401">($M90=DZ90)*$D$13</f>
        <v>0</v>
      </c>
      <c r="EB90" s="57"/>
      <c r="EC90" s="67"/>
      <c r="ED90" s="66">
        <f t="shared" ref="ED90" ca="1" si="402">($M90=EC90)*$D$13</f>
        <v>0</v>
      </c>
      <c r="EE90" s="57"/>
      <c r="EF90" s="67"/>
      <c r="EG90" s="66">
        <f t="shared" ref="EG90" ca="1" si="403">($M90=EF90)*$D$13</f>
        <v>0</v>
      </c>
      <c r="EH90" s="57"/>
      <c r="EI90" s="57"/>
    </row>
    <row r="91" spans="1:139">
      <c r="A91" s="43"/>
      <c r="B91" s="43"/>
      <c r="C91" s="43"/>
      <c r="D91" s="43"/>
      <c r="E91" s="43"/>
      <c r="F91" s="712">
        <f t="shared" ref="F91" si="404">$D$14</f>
        <v>5</v>
      </c>
      <c r="G91" s="713">
        <f ca="1">VLOOKUP(H91,Equipos!$Q$1:$R$25,2,0)</f>
        <v>15</v>
      </c>
      <c r="H91" s="774">
        <f ca="1">$H$58</f>
        <v>46198</v>
      </c>
      <c r="I91" s="44"/>
      <c r="J91" s="862"/>
      <c r="K91" s="49" t="str">
        <f>Idiomas!D161</f>
        <v>4º GRUPO C</v>
      </c>
      <c r="L91" s="46"/>
      <c r="M91" s="48" t="str">
        <f ca="1">IF(OR(SUM(WORLDCUP!$AN$22:$AN$25)=12,WORLDCUP!$AJ$99=144),WORLDCUP!AL25,LEFT(K91,1)&amp;RIGHT(K91,1))</f>
        <v>4C</v>
      </c>
      <c r="N91" s="711"/>
      <c r="O91" s="711"/>
      <c r="P91" s="711"/>
      <c r="Q91" s="711"/>
      <c r="R91" s="102"/>
      <c r="S91" s="67" t="s">
        <v>1723</v>
      </c>
      <c r="T91" s="66">
        <f t="shared" ref="T91" ca="1" si="405">($M91=S91)*$D$14</f>
        <v>0</v>
      </c>
      <c r="U91" s="57"/>
      <c r="V91" s="67" t="s">
        <v>1723</v>
      </c>
      <c r="W91" s="66">
        <f t="shared" ref="W91" ca="1" si="406">($M91=V91)*$D$14</f>
        <v>0</v>
      </c>
      <c r="X91" s="57"/>
      <c r="Y91" s="67" t="s">
        <v>1723</v>
      </c>
      <c r="Z91" s="66">
        <f t="shared" ref="Z91" ca="1" si="407">($M91=Y91)*$D$14</f>
        <v>0</v>
      </c>
      <c r="AA91" s="57"/>
      <c r="AB91" s="67" t="s">
        <v>1723</v>
      </c>
      <c r="AC91" s="66">
        <f t="shared" ref="AC91" ca="1" si="408">($M91=AB91)*$D$14</f>
        <v>0</v>
      </c>
      <c r="AD91" s="57"/>
      <c r="AE91" s="67" t="s">
        <v>1723</v>
      </c>
      <c r="AF91" s="66">
        <f t="shared" ref="AF91" ca="1" si="409">($M91=AE91)*$D$14</f>
        <v>0</v>
      </c>
      <c r="AG91" s="57"/>
      <c r="AH91" s="67" t="s">
        <v>1723</v>
      </c>
      <c r="AI91" s="66">
        <f t="shared" ref="AI91" ca="1" si="410">($M91=AH91)*$D$14</f>
        <v>0</v>
      </c>
      <c r="AJ91" s="57"/>
      <c r="AK91" s="67" t="s">
        <v>1723</v>
      </c>
      <c r="AL91" s="66">
        <f t="shared" ref="AL91" ca="1" si="411">($M91=AK91)*$D$14</f>
        <v>0</v>
      </c>
      <c r="AM91" s="57"/>
      <c r="AN91" s="67" t="s">
        <v>1723</v>
      </c>
      <c r="AO91" s="66">
        <f t="shared" ref="AO91" ca="1" si="412">($M91=AN91)*$D$14</f>
        <v>0</v>
      </c>
      <c r="AP91" s="57"/>
      <c r="AQ91" s="67" t="s">
        <v>1723</v>
      </c>
      <c r="AR91" s="66">
        <f t="shared" ref="AR91" ca="1" si="413">($M91=AQ91)*$D$14</f>
        <v>0</v>
      </c>
      <c r="AS91" s="57"/>
      <c r="AT91" s="67" t="s">
        <v>1723</v>
      </c>
      <c r="AU91" s="66">
        <f t="shared" ref="AU91" ca="1" si="414">($M91=AT91)*$D$14</f>
        <v>0</v>
      </c>
      <c r="AV91" s="57"/>
      <c r="AW91" s="67" t="s">
        <v>1723</v>
      </c>
      <c r="AX91" s="66">
        <f t="shared" ref="AX91" ca="1" si="415">($M91=AW91)*$D$14</f>
        <v>0</v>
      </c>
      <c r="AY91" s="57"/>
      <c r="AZ91" s="67" t="s">
        <v>1723</v>
      </c>
      <c r="BA91" s="66">
        <f t="shared" ref="BA91" ca="1" si="416">($M91=AZ91)*$D$14</f>
        <v>0</v>
      </c>
      <c r="BB91" s="57"/>
      <c r="BC91" s="67" t="s">
        <v>1723</v>
      </c>
      <c r="BD91" s="66">
        <f t="shared" ref="BD91" ca="1" si="417">($M91=BC91)*$D$14</f>
        <v>0</v>
      </c>
      <c r="BE91" s="57"/>
      <c r="BF91" s="67" t="s">
        <v>1723</v>
      </c>
      <c r="BG91" s="66">
        <f t="shared" ref="BG91" ca="1" si="418">($M91=BF91)*$D$14</f>
        <v>0</v>
      </c>
      <c r="BH91" s="57"/>
      <c r="BI91" s="67" t="s">
        <v>1723</v>
      </c>
      <c r="BJ91" s="66">
        <f t="shared" ref="BJ91" ca="1" si="419">($M91=BI91)*$D$14</f>
        <v>0</v>
      </c>
      <c r="BK91" s="57"/>
      <c r="BL91" s="67" t="s">
        <v>1723</v>
      </c>
      <c r="BM91" s="66">
        <f t="shared" ref="BM91" ca="1" si="420">($M91=BL91)*$D$14</f>
        <v>0</v>
      </c>
      <c r="BN91" s="57"/>
      <c r="BO91" s="67" t="s">
        <v>1723</v>
      </c>
      <c r="BP91" s="66">
        <f t="shared" ref="BP91" ca="1" si="421">($M91=BO91)*$D$14</f>
        <v>0</v>
      </c>
      <c r="BQ91" s="57"/>
      <c r="BR91" s="67" t="s">
        <v>1723</v>
      </c>
      <c r="BS91" s="66">
        <f t="shared" ref="BS91" ca="1" si="422">($M91=BR91)*$D$14</f>
        <v>0</v>
      </c>
      <c r="BT91" s="57"/>
      <c r="BU91" s="67"/>
      <c r="BV91" s="66">
        <f t="shared" ref="BV91" ca="1" si="423">($M91=BU91)*$D$14</f>
        <v>0</v>
      </c>
      <c r="BW91" s="57"/>
      <c r="BX91" s="67"/>
      <c r="BY91" s="66">
        <f t="shared" ref="BY91" ca="1" si="424">($M91=BX91)*$D$14</f>
        <v>0</v>
      </c>
      <c r="BZ91" s="57"/>
      <c r="CA91" s="67"/>
      <c r="CB91" s="66">
        <f t="shared" ref="CB91" ca="1" si="425">($M91=CA91)*$D$14</f>
        <v>0</v>
      </c>
      <c r="CC91" s="57"/>
      <c r="CD91" s="67"/>
      <c r="CE91" s="66">
        <f t="shared" ref="CE91" ca="1" si="426">($M91=CD91)*$D$14</f>
        <v>0</v>
      </c>
      <c r="CF91" s="57"/>
      <c r="CG91" s="67"/>
      <c r="CH91" s="66">
        <f t="shared" ref="CH91" ca="1" si="427">($M91=CG91)*$D$14</f>
        <v>0</v>
      </c>
      <c r="CI91" s="57"/>
      <c r="CJ91" s="67"/>
      <c r="CK91" s="66">
        <f t="shared" ref="CK91" ca="1" si="428">($M91=CJ91)*$D$14</f>
        <v>0</v>
      </c>
      <c r="CL91" s="57"/>
      <c r="CM91" s="67"/>
      <c r="CN91" s="66">
        <f t="shared" ref="CN91" ca="1" si="429">($M91=CM91)*$D$14</f>
        <v>0</v>
      </c>
      <c r="CO91" s="57"/>
      <c r="CP91" s="67"/>
      <c r="CQ91" s="66">
        <f t="shared" ref="CQ91" ca="1" si="430">($M91=CP91)*$D$14</f>
        <v>0</v>
      </c>
      <c r="CR91" s="57"/>
      <c r="CS91" s="67"/>
      <c r="CT91" s="66">
        <f t="shared" ref="CT91" ca="1" si="431">($M91=CS91)*$D$14</f>
        <v>0</v>
      </c>
      <c r="CU91" s="57"/>
      <c r="CV91" s="67"/>
      <c r="CW91" s="66">
        <f t="shared" ref="CW91" ca="1" si="432">($M91=CV91)*$D$14</f>
        <v>0</v>
      </c>
      <c r="CX91" s="57"/>
      <c r="CY91" s="67"/>
      <c r="CZ91" s="66">
        <f t="shared" ref="CZ91" ca="1" si="433">($M91=CY91)*$D$14</f>
        <v>0</v>
      </c>
      <c r="DA91" s="57"/>
      <c r="DB91" s="67"/>
      <c r="DC91" s="66">
        <f t="shared" ref="DC91" ca="1" si="434">($M91=DB91)*$D$14</f>
        <v>0</v>
      </c>
      <c r="DD91" s="57"/>
      <c r="DE91" s="67"/>
      <c r="DF91" s="66">
        <f t="shared" ref="DF91" ca="1" si="435">($M91=DE91)*$D$14</f>
        <v>0</v>
      </c>
      <c r="DG91" s="57"/>
      <c r="DH91" s="67"/>
      <c r="DI91" s="66">
        <f t="shared" ref="DI91" ca="1" si="436">($M91=DH91)*$D$14</f>
        <v>0</v>
      </c>
      <c r="DJ91" s="57"/>
      <c r="DK91" s="67"/>
      <c r="DL91" s="66">
        <f t="shared" ref="DL91" ca="1" si="437">($M91=DK91)*$D$14</f>
        <v>0</v>
      </c>
      <c r="DM91" s="57"/>
      <c r="DN91" s="67"/>
      <c r="DO91" s="66">
        <f t="shared" ref="DO91" ca="1" si="438">($M91=DN91)*$D$14</f>
        <v>0</v>
      </c>
      <c r="DP91" s="57"/>
      <c r="DQ91" s="67"/>
      <c r="DR91" s="66">
        <f t="shared" ref="DR91" ca="1" si="439">($M91=DQ91)*$D$14</f>
        <v>0</v>
      </c>
      <c r="DS91" s="57"/>
      <c r="DT91" s="67"/>
      <c r="DU91" s="66">
        <f t="shared" ref="DU91" ca="1" si="440">($M91=DT91)*$D$14</f>
        <v>0</v>
      </c>
      <c r="DV91" s="57"/>
      <c r="DW91" s="67"/>
      <c r="DX91" s="66">
        <f t="shared" ref="DX91" ca="1" si="441">($M91=DW91)*$D$14</f>
        <v>0</v>
      </c>
      <c r="DY91" s="57"/>
      <c r="DZ91" s="67"/>
      <c r="EA91" s="66">
        <f t="shared" ref="EA91" ca="1" si="442">($M91=DZ91)*$D$14</f>
        <v>0</v>
      </c>
      <c r="EB91" s="57"/>
      <c r="EC91" s="67"/>
      <c r="ED91" s="66">
        <f t="shared" ref="ED91" ca="1" si="443">($M91=EC91)*$D$14</f>
        <v>0</v>
      </c>
      <c r="EE91" s="57"/>
      <c r="EF91" s="67"/>
      <c r="EG91" s="66">
        <f t="shared" ref="EG91" ca="1" si="444">($M91=EF91)*$D$14</f>
        <v>0</v>
      </c>
      <c r="EH91" s="57"/>
      <c r="EI91" s="57"/>
    </row>
    <row r="92" spans="1:139">
      <c r="A92" s="43"/>
      <c r="B92" s="43"/>
      <c r="C92" s="43"/>
      <c r="D92" s="43"/>
      <c r="E92" s="43"/>
      <c r="F92" s="712">
        <f t="shared" ref="F92" si="445">$D$11</f>
        <v>5</v>
      </c>
      <c r="G92" s="713">
        <f ca="1">VLOOKUP(H92,Equipos!$Q$1:$R$25,2,0)</f>
        <v>16</v>
      </c>
      <c r="H92" s="774">
        <f ca="1">$H$60</f>
        <v>46199</v>
      </c>
      <c r="I92" s="44"/>
      <c r="J92" s="861" t="s">
        <v>73</v>
      </c>
      <c r="K92" s="49" t="str">
        <f>Idiomas!D162</f>
        <v>1º GRUPO D</v>
      </c>
      <c r="L92" s="46"/>
      <c r="M92" s="48" t="str">
        <f ca="1">IF(OR(SUM(WORLDCUP!$AN$30:$AN$33)=12,WORLDCUP!$AJ$99=144),WORLDCUP!AL30,LEFT(K92,1)&amp;RIGHT(K92,1))</f>
        <v>1D</v>
      </c>
      <c r="N92" s="711"/>
      <c r="O92" s="711"/>
      <c r="P92" s="711"/>
      <c r="Q92" s="711"/>
      <c r="R92" s="102"/>
      <c r="S92" s="67" t="s">
        <v>1829</v>
      </c>
      <c r="T92" s="66">
        <f t="shared" ref="T92" ca="1" si="446">($M92=S92)*$D$11</f>
        <v>0</v>
      </c>
      <c r="U92" s="57"/>
      <c r="V92" s="67" t="s">
        <v>497</v>
      </c>
      <c r="W92" s="66">
        <f t="shared" ref="W92" ca="1" si="447">($M92=V92)*$D$11</f>
        <v>0</v>
      </c>
      <c r="X92" s="57"/>
      <c r="Y92" s="67" t="s">
        <v>1829</v>
      </c>
      <c r="Z92" s="66">
        <f t="shared" ref="Z92" ca="1" si="448">($M92=Y92)*$D$11</f>
        <v>0</v>
      </c>
      <c r="AA92" s="57"/>
      <c r="AB92" s="67" t="s">
        <v>1829</v>
      </c>
      <c r="AC92" s="66">
        <f t="shared" ref="AC92" ca="1" si="449">($M92=AB92)*$D$11</f>
        <v>0</v>
      </c>
      <c r="AD92" s="57"/>
      <c r="AE92" s="67" t="s">
        <v>1829</v>
      </c>
      <c r="AF92" s="66">
        <f t="shared" ref="AF92" ca="1" si="450">($M92=AE92)*$D$11</f>
        <v>0</v>
      </c>
      <c r="AG92" s="57"/>
      <c r="AH92" s="67" t="s">
        <v>497</v>
      </c>
      <c r="AI92" s="66">
        <f t="shared" ref="AI92" ca="1" si="451">($M92=AH92)*$D$11</f>
        <v>0</v>
      </c>
      <c r="AJ92" s="57"/>
      <c r="AK92" s="67" t="s">
        <v>497</v>
      </c>
      <c r="AL92" s="66">
        <f t="shared" ref="AL92" ca="1" si="452">($M92=AK92)*$D$11</f>
        <v>0</v>
      </c>
      <c r="AM92" s="57"/>
      <c r="AN92" s="67" t="s">
        <v>497</v>
      </c>
      <c r="AO92" s="66">
        <f t="shared" ref="AO92" ca="1" si="453">($M92=AN92)*$D$11</f>
        <v>0</v>
      </c>
      <c r="AP92" s="57"/>
      <c r="AQ92" s="67" t="s">
        <v>1829</v>
      </c>
      <c r="AR92" s="66">
        <f t="shared" ref="AR92" ca="1" si="454">($M92=AQ92)*$D$11</f>
        <v>0</v>
      </c>
      <c r="AS92" s="57"/>
      <c r="AT92" s="67" t="s">
        <v>1829</v>
      </c>
      <c r="AU92" s="66">
        <f t="shared" ref="AU92" ca="1" si="455">($M92=AT92)*$D$11</f>
        <v>0</v>
      </c>
      <c r="AV92" s="57"/>
      <c r="AW92" s="67" t="s">
        <v>497</v>
      </c>
      <c r="AX92" s="66">
        <f t="shared" ref="AX92" ca="1" si="456">($M92=AW92)*$D$11</f>
        <v>0</v>
      </c>
      <c r="AY92" s="57"/>
      <c r="AZ92" s="67" t="s">
        <v>1829</v>
      </c>
      <c r="BA92" s="66">
        <f t="shared" ref="BA92" ca="1" si="457">($M92=AZ92)*$D$11</f>
        <v>0</v>
      </c>
      <c r="BB92" s="57"/>
      <c r="BC92" s="67" t="s">
        <v>1829</v>
      </c>
      <c r="BD92" s="66">
        <f t="shared" ref="BD92" ca="1" si="458">($M92=BC92)*$D$11</f>
        <v>0</v>
      </c>
      <c r="BE92" s="57"/>
      <c r="BF92" s="67" t="s">
        <v>1829</v>
      </c>
      <c r="BG92" s="66">
        <f t="shared" ref="BG92" ca="1" si="459">($M92=BF92)*$D$11</f>
        <v>0</v>
      </c>
      <c r="BH92" s="57"/>
      <c r="BI92" s="67" t="s">
        <v>497</v>
      </c>
      <c r="BJ92" s="66">
        <f t="shared" ref="BJ92" ca="1" si="460">($M92=BI92)*$D$11</f>
        <v>0</v>
      </c>
      <c r="BK92" s="57"/>
      <c r="BL92" s="67" t="s">
        <v>497</v>
      </c>
      <c r="BM92" s="66">
        <f t="shared" ref="BM92" ca="1" si="461">($M92=BL92)*$D$11</f>
        <v>0</v>
      </c>
      <c r="BN92" s="57"/>
      <c r="BO92" s="67" t="s">
        <v>497</v>
      </c>
      <c r="BP92" s="66">
        <f t="shared" ref="BP92" ca="1" si="462">($M92=BO92)*$D$11</f>
        <v>0</v>
      </c>
      <c r="BQ92" s="57"/>
      <c r="BR92" s="67" t="s">
        <v>497</v>
      </c>
      <c r="BS92" s="66">
        <f t="shared" ref="BS92" ca="1" si="463">($M92=BR92)*$D$11</f>
        <v>0</v>
      </c>
      <c r="BT92" s="57"/>
      <c r="BU92" s="67"/>
      <c r="BV92" s="66">
        <f t="shared" ref="BV92" ca="1" si="464">($M92=BU92)*$D$11</f>
        <v>0</v>
      </c>
      <c r="BW92" s="57"/>
      <c r="BX92" s="67"/>
      <c r="BY92" s="66">
        <f t="shared" ref="BY92" ca="1" si="465">($M92=BX92)*$D$11</f>
        <v>0</v>
      </c>
      <c r="BZ92" s="57"/>
      <c r="CA92" s="67"/>
      <c r="CB92" s="66">
        <f t="shared" ref="CB92" ca="1" si="466">($M92=CA92)*$D$11</f>
        <v>0</v>
      </c>
      <c r="CC92" s="57"/>
      <c r="CD92" s="67"/>
      <c r="CE92" s="66">
        <f t="shared" ref="CE92" ca="1" si="467">($M92=CD92)*$D$11</f>
        <v>0</v>
      </c>
      <c r="CF92" s="57"/>
      <c r="CG92" s="67"/>
      <c r="CH92" s="66">
        <f t="shared" ref="CH92" ca="1" si="468">($M92=CG92)*$D$11</f>
        <v>0</v>
      </c>
      <c r="CI92" s="57"/>
      <c r="CJ92" s="67"/>
      <c r="CK92" s="66">
        <f t="shared" ref="CK92" ca="1" si="469">($M92=CJ92)*$D$11</f>
        <v>0</v>
      </c>
      <c r="CL92" s="57"/>
      <c r="CM92" s="67"/>
      <c r="CN92" s="66">
        <f t="shared" ref="CN92" ca="1" si="470">($M92=CM92)*$D$11</f>
        <v>0</v>
      </c>
      <c r="CO92" s="57"/>
      <c r="CP92" s="67"/>
      <c r="CQ92" s="66">
        <f t="shared" ref="CQ92" ca="1" si="471">($M92=CP92)*$D$11</f>
        <v>0</v>
      </c>
      <c r="CR92" s="57"/>
      <c r="CS92" s="67"/>
      <c r="CT92" s="66">
        <f t="shared" ref="CT92" ca="1" si="472">($M92=CS92)*$D$11</f>
        <v>0</v>
      </c>
      <c r="CU92" s="57"/>
      <c r="CV92" s="67"/>
      <c r="CW92" s="66">
        <f t="shared" ref="CW92" ca="1" si="473">($M92=CV92)*$D$11</f>
        <v>0</v>
      </c>
      <c r="CX92" s="57"/>
      <c r="CY92" s="67"/>
      <c r="CZ92" s="66">
        <f t="shared" ref="CZ92" ca="1" si="474">($M92=CY92)*$D$11</f>
        <v>0</v>
      </c>
      <c r="DA92" s="57"/>
      <c r="DB92" s="67"/>
      <c r="DC92" s="66">
        <f t="shared" ref="DC92" ca="1" si="475">($M92=DB92)*$D$11</f>
        <v>0</v>
      </c>
      <c r="DD92" s="57"/>
      <c r="DE92" s="67"/>
      <c r="DF92" s="66">
        <f t="shared" ref="DF92" ca="1" si="476">($M92=DE92)*$D$11</f>
        <v>0</v>
      </c>
      <c r="DG92" s="57"/>
      <c r="DH92" s="67"/>
      <c r="DI92" s="66">
        <f t="shared" ref="DI92" ca="1" si="477">($M92=DH92)*$D$11</f>
        <v>0</v>
      </c>
      <c r="DJ92" s="57"/>
      <c r="DK92" s="67"/>
      <c r="DL92" s="66">
        <f t="shared" ref="DL92" ca="1" si="478">($M92=DK92)*$D$11</f>
        <v>0</v>
      </c>
      <c r="DM92" s="57"/>
      <c r="DN92" s="67"/>
      <c r="DO92" s="66">
        <f t="shared" ref="DO92" ca="1" si="479">($M92=DN92)*$D$11</f>
        <v>0</v>
      </c>
      <c r="DP92" s="57"/>
      <c r="DQ92" s="67"/>
      <c r="DR92" s="66">
        <f t="shared" ref="DR92" ca="1" si="480">($M92=DQ92)*$D$11</f>
        <v>0</v>
      </c>
      <c r="DS92" s="57"/>
      <c r="DT92" s="67"/>
      <c r="DU92" s="66">
        <f t="shared" ref="DU92" ca="1" si="481">($M92=DT92)*$D$11</f>
        <v>0</v>
      </c>
      <c r="DV92" s="57"/>
      <c r="DW92" s="67"/>
      <c r="DX92" s="66">
        <f t="shared" ref="DX92" ca="1" si="482">($M92=DW92)*$D$11</f>
        <v>0</v>
      </c>
      <c r="DY92" s="57"/>
      <c r="DZ92" s="67"/>
      <c r="EA92" s="66">
        <f t="shared" ref="EA92" ca="1" si="483">($M92=DZ92)*$D$11</f>
        <v>0</v>
      </c>
      <c r="EB92" s="57"/>
      <c r="EC92" s="67"/>
      <c r="ED92" s="66">
        <f t="shared" ref="ED92" ca="1" si="484">($M92=EC92)*$D$11</f>
        <v>0</v>
      </c>
      <c r="EE92" s="57"/>
      <c r="EF92" s="67"/>
      <c r="EG92" s="66">
        <f t="shared" ref="EG92" ca="1" si="485">($M92=EF92)*$D$11</f>
        <v>0</v>
      </c>
      <c r="EH92" s="57"/>
      <c r="EI92" s="57"/>
    </row>
    <row r="93" spans="1:139">
      <c r="A93" s="43"/>
      <c r="B93" s="43"/>
      <c r="C93" s="43"/>
      <c r="D93" s="43"/>
      <c r="E93" s="43"/>
      <c r="F93" s="712">
        <f t="shared" ref="F93" si="486">$D$12</f>
        <v>5</v>
      </c>
      <c r="G93" s="713">
        <f ca="1">VLOOKUP(H93,Equipos!$Q$1:$R$25,2,0)</f>
        <v>16</v>
      </c>
      <c r="H93" s="774">
        <f ca="1">$H$60</f>
        <v>46199</v>
      </c>
      <c r="I93" s="44"/>
      <c r="J93" s="861"/>
      <c r="K93" s="49" t="str">
        <f>Idiomas!D163</f>
        <v>2º GRUPO D</v>
      </c>
      <c r="L93" s="46"/>
      <c r="M93" s="48" t="str">
        <f ca="1">IF(OR(SUM(WORLDCUP!$AN$30:$AN$33)=12,WORLDCUP!$AJ$99=144),WORLDCUP!AL31,LEFT(K93,1)&amp;RIGHT(K93,1))</f>
        <v>2D</v>
      </c>
      <c r="N93" s="711"/>
      <c r="O93" s="711"/>
      <c r="P93" s="711"/>
      <c r="Q93" s="711"/>
      <c r="R93" s="102"/>
      <c r="S93" s="67" t="s">
        <v>497</v>
      </c>
      <c r="T93" s="66">
        <f t="shared" ref="T93" ca="1" si="487">($M93=S93)*$D$12</f>
        <v>0</v>
      </c>
      <c r="U93" s="57"/>
      <c r="V93" s="67" t="s">
        <v>1829</v>
      </c>
      <c r="W93" s="66">
        <f t="shared" ref="W93" ca="1" si="488">($M93=V93)*$D$12</f>
        <v>0</v>
      </c>
      <c r="X93" s="57"/>
      <c r="Y93" s="67" t="s">
        <v>497</v>
      </c>
      <c r="Z93" s="66">
        <f t="shared" ref="Z93" ca="1" si="489">($M93=Y93)*$D$12</f>
        <v>0</v>
      </c>
      <c r="AA93" s="57"/>
      <c r="AB93" s="67" t="s">
        <v>497</v>
      </c>
      <c r="AC93" s="66">
        <f t="shared" ref="AC93" ca="1" si="490">($M93=AB93)*$D$12</f>
        <v>0</v>
      </c>
      <c r="AD93" s="57"/>
      <c r="AE93" s="67" t="s">
        <v>497</v>
      </c>
      <c r="AF93" s="66">
        <f t="shared" ref="AF93" ca="1" si="491">($M93=AE93)*$D$12</f>
        <v>0</v>
      </c>
      <c r="AG93" s="57"/>
      <c r="AH93" s="67" t="s">
        <v>1829</v>
      </c>
      <c r="AI93" s="66">
        <f t="shared" ref="AI93" ca="1" si="492">($M93=AH93)*$D$12</f>
        <v>0</v>
      </c>
      <c r="AJ93" s="57"/>
      <c r="AK93" s="67" t="s">
        <v>1829</v>
      </c>
      <c r="AL93" s="66">
        <f t="shared" ref="AL93" ca="1" si="493">($M93=AK93)*$D$12</f>
        <v>0</v>
      </c>
      <c r="AM93" s="57"/>
      <c r="AN93" s="67" t="s">
        <v>1829</v>
      </c>
      <c r="AO93" s="66">
        <f t="shared" ref="AO93" ca="1" si="494">($M93=AN93)*$D$12</f>
        <v>0</v>
      </c>
      <c r="AP93" s="57"/>
      <c r="AQ93" s="67" t="s">
        <v>497</v>
      </c>
      <c r="AR93" s="66">
        <f t="shared" ref="AR93" ca="1" si="495">($M93=AQ93)*$D$12</f>
        <v>0</v>
      </c>
      <c r="AS93" s="57"/>
      <c r="AT93" s="67" t="s">
        <v>1315</v>
      </c>
      <c r="AU93" s="66">
        <f t="shared" ref="AU93" ca="1" si="496">($M93=AT93)*$D$12</f>
        <v>0</v>
      </c>
      <c r="AV93" s="57"/>
      <c r="AW93" s="67" t="s">
        <v>1829</v>
      </c>
      <c r="AX93" s="66">
        <f t="shared" ref="AX93" ca="1" si="497">($M93=AW93)*$D$12</f>
        <v>0</v>
      </c>
      <c r="AY93" s="57"/>
      <c r="AZ93" s="67" t="s">
        <v>497</v>
      </c>
      <c r="BA93" s="66">
        <f t="shared" ref="BA93" ca="1" si="498">($M93=AZ93)*$D$12</f>
        <v>0</v>
      </c>
      <c r="BB93" s="57"/>
      <c r="BC93" s="67" t="s">
        <v>497</v>
      </c>
      <c r="BD93" s="66">
        <f t="shared" ref="BD93" ca="1" si="499">($M93=BC93)*$D$12</f>
        <v>0</v>
      </c>
      <c r="BE93" s="57"/>
      <c r="BF93" s="67" t="s">
        <v>1315</v>
      </c>
      <c r="BG93" s="66">
        <f t="shared" ref="BG93" ca="1" si="500">($M93=BF93)*$D$12</f>
        <v>0</v>
      </c>
      <c r="BH93" s="57"/>
      <c r="BI93" s="67" t="s">
        <v>1829</v>
      </c>
      <c r="BJ93" s="66">
        <f t="shared" ref="BJ93" ca="1" si="501">($M93=BI93)*$D$12</f>
        <v>0</v>
      </c>
      <c r="BK93" s="57"/>
      <c r="BL93" s="67" t="s">
        <v>1829</v>
      </c>
      <c r="BM93" s="66">
        <f t="shared" ref="BM93" ca="1" si="502">($M93=BL93)*$D$12</f>
        <v>0</v>
      </c>
      <c r="BN93" s="57"/>
      <c r="BO93" s="67" t="s">
        <v>1829</v>
      </c>
      <c r="BP93" s="66">
        <f t="shared" ref="BP93" ca="1" si="503">($M93=BO93)*$D$12</f>
        <v>0</v>
      </c>
      <c r="BQ93" s="57"/>
      <c r="BR93" s="67" t="s">
        <v>1829</v>
      </c>
      <c r="BS93" s="66">
        <f t="shared" ref="BS93" ca="1" si="504">($M93=BR93)*$D$12</f>
        <v>0</v>
      </c>
      <c r="BT93" s="57"/>
      <c r="BU93" s="67"/>
      <c r="BV93" s="66">
        <f t="shared" ref="BV93" ca="1" si="505">($M93=BU93)*$D$12</f>
        <v>0</v>
      </c>
      <c r="BW93" s="57"/>
      <c r="BX93" s="67"/>
      <c r="BY93" s="66">
        <f t="shared" ref="BY93" ca="1" si="506">($M93=BX93)*$D$12</f>
        <v>0</v>
      </c>
      <c r="BZ93" s="57"/>
      <c r="CA93" s="67"/>
      <c r="CB93" s="66">
        <f t="shared" ref="CB93" ca="1" si="507">($M93=CA93)*$D$12</f>
        <v>0</v>
      </c>
      <c r="CC93" s="57"/>
      <c r="CD93" s="67"/>
      <c r="CE93" s="66">
        <f t="shared" ref="CE93" ca="1" si="508">($M93=CD93)*$D$12</f>
        <v>0</v>
      </c>
      <c r="CF93" s="57"/>
      <c r="CG93" s="67"/>
      <c r="CH93" s="66">
        <f t="shared" ref="CH93" ca="1" si="509">($M93=CG93)*$D$12</f>
        <v>0</v>
      </c>
      <c r="CI93" s="57"/>
      <c r="CJ93" s="67"/>
      <c r="CK93" s="66">
        <f t="shared" ref="CK93" ca="1" si="510">($M93=CJ93)*$D$12</f>
        <v>0</v>
      </c>
      <c r="CL93" s="57"/>
      <c r="CM93" s="67"/>
      <c r="CN93" s="66">
        <f t="shared" ref="CN93" ca="1" si="511">($M93=CM93)*$D$12</f>
        <v>0</v>
      </c>
      <c r="CO93" s="57"/>
      <c r="CP93" s="67"/>
      <c r="CQ93" s="66">
        <f t="shared" ref="CQ93" ca="1" si="512">($M93=CP93)*$D$12</f>
        <v>0</v>
      </c>
      <c r="CR93" s="57"/>
      <c r="CS93" s="67"/>
      <c r="CT93" s="66">
        <f t="shared" ref="CT93" ca="1" si="513">($M93=CS93)*$D$12</f>
        <v>0</v>
      </c>
      <c r="CU93" s="57"/>
      <c r="CV93" s="67"/>
      <c r="CW93" s="66">
        <f t="shared" ref="CW93" ca="1" si="514">($M93=CV93)*$D$12</f>
        <v>0</v>
      </c>
      <c r="CX93" s="57"/>
      <c r="CY93" s="67"/>
      <c r="CZ93" s="66">
        <f t="shared" ref="CZ93" ca="1" si="515">($M93=CY93)*$D$12</f>
        <v>0</v>
      </c>
      <c r="DA93" s="57"/>
      <c r="DB93" s="67"/>
      <c r="DC93" s="66">
        <f t="shared" ref="DC93" ca="1" si="516">($M93=DB93)*$D$12</f>
        <v>0</v>
      </c>
      <c r="DD93" s="57"/>
      <c r="DE93" s="67"/>
      <c r="DF93" s="66">
        <f t="shared" ref="DF93" ca="1" si="517">($M93=DE93)*$D$12</f>
        <v>0</v>
      </c>
      <c r="DG93" s="57"/>
      <c r="DH93" s="67"/>
      <c r="DI93" s="66">
        <f t="shared" ref="DI93" ca="1" si="518">($M93=DH93)*$D$12</f>
        <v>0</v>
      </c>
      <c r="DJ93" s="57"/>
      <c r="DK93" s="67"/>
      <c r="DL93" s="66">
        <f t="shared" ref="DL93" ca="1" si="519">($M93=DK93)*$D$12</f>
        <v>0</v>
      </c>
      <c r="DM93" s="57"/>
      <c r="DN93" s="67"/>
      <c r="DO93" s="66">
        <f t="shared" ref="DO93" ca="1" si="520">($M93=DN93)*$D$12</f>
        <v>0</v>
      </c>
      <c r="DP93" s="57"/>
      <c r="DQ93" s="67"/>
      <c r="DR93" s="66">
        <f t="shared" ref="DR93" ca="1" si="521">($M93=DQ93)*$D$12</f>
        <v>0</v>
      </c>
      <c r="DS93" s="57"/>
      <c r="DT93" s="67"/>
      <c r="DU93" s="66">
        <f t="shared" ref="DU93" ca="1" si="522">($M93=DT93)*$D$12</f>
        <v>0</v>
      </c>
      <c r="DV93" s="57"/>
      <c r="DW93" s="67"/>
      <c r="DX93" s="66">
        <f t="shared" ref="DX93" ca="1" si="523">($M93=DW93)*$D$12</f>
        <v>0</v>
      </c>
      <c r="DY93" s="57"/>
      <c r="DZ93" s="67"/>
      <c r="EA93" s="66">
        <f t="shared" ref="EA93" ca="1" si="524">($M93=DZ93)*$D$12</f>
        <v>0</v>
      </c>
      <c r="EB93" s="57"/>
      <c r="EC93" s="67"/>
      <c r="ED93" s="66">
        <f t="shared" ref="ED93" ca="1" si="525">($M93=EC93)*$D$12</f>
        <v>0</v>
      </c>
      <c r="EE93" s="57"/>
      <c r="EF93" s="67"/>
      <c r="EG93" s="66">
        <f t="shared" ref="EG93" ca="1" si="526">($M93=EF93)*$D$12</f>
        <v>0</v>
      </c>
      <c r="EH93" s="57"/>
      <c r="EI93" s="57"/>
    </row>
    <row r="94" spans="1:139">
      <c r="A94" s="43"/>
      <c r="B94" s="43"/>
      <c r="C94" s="43"/>
      <c r="D94" s="43"/>
      <c r="E94" s="43"/>
      <c r="F94" s="712">
        <f t="shared" ref="F94" si="527">$D$13</f>
        <v>5</v>
      </c>
      <c r="G94" s="713">
        <f ca="1">VLOOKUP(H94,Equipos!$Q$1:$R$25,2,0)</f>
        <v>16</v>
      </c>
      <c r="H94" s="774">
        <f ca="1">$H$60</f>
        <v>46199</v>
      </c>
      <c r="I94" s="44"/>
      <c r="J94" s="861"/>
      <c r="K94" s="49" t="str">
        <f>Idiomas!D164</f>
        <v>3º GRUPO D</v>
      </c>
      <c r="L94" s="46"/>
      <c r="M94" s="48" t="str">
        <f ca="1">IF(OR(SUM(WORLDCUP!$AN$30:$AN$33)=12,WORLDCUP!$AJ$99=144),WORLDCUP!AL32,LEFT(K94,1)&amp;RIGHT(K94,1))</f>
        <v>3D</v>
      </c>
      <c r="N94" s="711"/>
      <c r="O94" s="711"/>
      <c r="P94" s="711"/>
      <c r="Q94" s="711"/>
      <c r="R94" s="102"/>
      <c r="S94" s="67" t="s">
        <v>1315</v>
      </c>
      <c r="T94" s="66">
        <f t="shared" ref="T94" ca="1" si="528">($M94=S94)*$D$13</f>
        <v>0</v>
      </c>
      <c r="U94" s="57"/>
      <c r="V94" s="67" t="s">
        <v>1315</v>
      </c>
      <c r="W94" s="66">
        <f t="shared" ref="W94" ca="1" si="529">($M94=V94)*$D$13</f>
        <v>0</v>
      </c>
      <c r="X94" s="57"/>
      <c r="Y94" s="67" t="s">
        <v>1315</v>
      </c>
      <c r="Z94" s="66">
        <f t="shared" ref="Z94" ca="1" si="530">($M94=Y94)*$D$13</f>
        <v>0</v>
      </c>
      <c r="AA94" s="57"/>
      <c r="AB94" s="67" t="s">
        <v>1257</v>
      </c>
      <c r="AC94" s="66">
        <f t="shared" ref="AC94" ca="1" si="531">($M94=AB94)*$D$13</f>
        <v>0</v>
      </c>
      <c r="AD94" s="57"/>
      <c r="AE94" s="67" t="s">
        <v>1315</v>
      </c>
      <c r="AF94" s="66">
        <f t="shared" ref="AF94" ca="1" si="532">($M94=AE94)*$D$13</f>
        <v>0</v>
      </c>
      <c r="AG94" s="57"/>
      <c r="AH94" s="67" t="s">
        <v>1315</v>
      </c>
      <c r="AI94" s="66">
        <f t="shared" ref="AI94" ca="1" si="533">($M94=AH94)*$D$13</f>
        <v>0</v>
      </c>
      <c r="AJ94" s="57"/>
      <c r="AK94" s="67" t="s">
        <v>1315</v>
      </c>
      <c r="AL94" s="66">
        <f t="shared" ref="AL94" ca="1" si="534">($M94=AK94)*$D$13</f>
        <v>0</v>
      </c>
      <c r="AM94" s="57"/>
      <c r="AN94" s="67" t="s">
        <v>1315</v>
      </c>
      <c r="AO94" s="66">
        <f t="shared" ref="AO94" ca="1" si="535">($M94=AN94)*$D$13</f>
        <v>0</v>
      </c>
      <c r="AP94" s="57"/>
      <c r="AQ94" s="67" t="s">
        <v>1315</v>
      </c>
      <c r="AR94" s="66">
        <f t="shared" ref="AR94" ca="1" si="536">($M94=AQ94)*$D$13</f>
        <v>0</v>
      </c>
      <c r="AS94" s="57"/>
      <c r="AT94" s="67" t="s">
        <v>1257</v>
      </c>
      <c r="AU94" s="66">
        <f t="shared" ref="AU94" ca="1" si="537">($M94=AT94)*$D$13</f>
        <v>0</v>
      </c>
      <c r="AV94" s="57"/>
      <c r="AW94" s="67" t="s">
        <v>1315</v>
      </c>
      <c r="AX94" s="66">
        <f t="shared" ref="AX94" ca="1" si="538">($M94=AW94)*$D$13</f>
        <v>0</v>
      </c>
      <c r="AY94" s="57"/>
      <c r="AZ94" s="67" t="s">
        <v>1315</v>
      </c>
      <c r="BA94" s="66">
        <f t="shared" ref="BA94" ca="1" si="539">($M94=AZ94)*$D$13</f>
        <v>0</v>
      </c>
      <c r="BB94" s="57"/>
      <c r="BC94" s="67" t="s">
        <v>1257</v>
      </c>
      <c r="BD94" s="66">
        <f t="shared" ref="BD94" ca="1" si="540">($M94=BC94)*$D$13</f>
        <v>0</v>
      </c>
      <c r="BE94" s="57"/>
      <c r="BF94" s="67" t="s">
        <v>497</v>
      </c>
      <c r="BG94" s="66">
        <f t="shared" ref="BG94" ca="1" si="541">($M94=BF94)*$D$13</f>
        <v>0</v>
      </c>
      <c r="BH94" s="57"/>
      <c r="BI94" s="67" t="s">
        <v>1315</v>
      </c>
      <c r="BJ94" s="66">
        <f t="shared" ref="BJ94" ca="1" si="542">($M94=BI94)*$D$13</f>
        <v>0</v>
      </c>
      <c r="BK94" s="57"/>
      <c r="BL94" s="67" t="s">
        <v>1315</v>
      </c>
      <c r="BM94" s="66">
        <f t="shared" ref="BM94" ca="1" si="543">($M94=BL94)*$D$13</f>
        <v>0</v>
      </c>
      <c r="BN94" s="57"/>
      <c r="BO94" s="67" t="s">
        <v>1315</v>
      </c>
      <c r="BP94" s="66">
        <f t="shared" ref="BP94" ca="1" si="544">($M94=BO94)*$D$13</f>
        <v>0</v>
      </c>
      <c r="BQ94" s="57"/>
      <c r="BR94" s="67" t="s">
        <v>1315</v>
      </c>
      <c r="BS94" s="66">
        <f t="shared" ref="BS94" ca="1" si="545">($M94=BR94)*$D$13</f>
        <v>0</v>
      </c>
      <c r="BT94" s="57"/>
      <c r="BU94" s="67"/>
      <c r="BV94" s="66">
        <f t="shared" ref="BV94" ca="1" si="546">($M94=BU94)*$D$13</f>
        <v>0</v>
      </c>
      <c r="BW94" s="57"/>
      <c r="BX94" s="67"/>
      <c r="BY94" s="66">
        <f t="shared" ref="BY94" ca="1" si="547">($M94=BX94)*$D$13</f>
        <v>0</v>
      </c>
      <c r="BZ94" s="57"/>
      <c r="CA94" s="67"/>
      <c r="CB94" s="66">
        <f t="shared" ref="CB94" ca="1" si="548">($M94=CA94)*$D$13</f>
        <v>0</v>
      </c>
      <c r="CC94" s="57"/>
      <c r="CD94" s="67"/>
      <c r="CE94" s="66">
        <f t="shared" ref="CE94" ca="1" si="549">($M94=CD94)*$D$13</f>
        <v>0</v>
      </c>
      <c r="CF94" s="57"/>
      <c r="CG94" s="67"/>
      <c r="CH94" s="66">
        <f t="shared" ref="CH94" ca="1" si="550">($M94=CG94)*$D$13</f>
        <v>0</v>
      </c>
      <c r="CI94" s="57"/>
      <c r="CJ94" s="67"/>
      <c r="CK94" s="66">
        <f t="shared" ref="CK94" ca="1" si="551">($M94=CJ94)*$D$13</f>
        <v>0</v>
      </c>
      <c r="CL94" s="57"/>
      <c r="CM94" s="67"/>
      <c r="CN94" s="66">
        <f t="shared" ref="CN94" ca="1" si="552">($M94=CM94)*$D$13</f>
        <v>0</v>
      </c>
      <c r="CO94" s="57"/>
      <c r="CP94" s="67"/>
      <c r="CQ94" s="66">
        <f t="shared" ref="CQ94" ca="1" si="553">($M94=CP94)*$D$13</f>
        <v>0</v>
      </c>
      <c r="CR94" s="57"/>
      <c r="CS94" s="67"/>
      <c r="CT94" s="66">
        <f t="shared" ref="CT94" ca="1" si="554">($M94=CS94)*$D$13</f>
        <v>0</v>
      </c>
      <c r="CU94" s="57"/>
      <c r="CV94" s="67"/>
      <c r="CW94" s="66">
        <f t="shared" ref="CW94" ca="1" si="555">($M94=CV94)*$D$13</f>
        <v>0</v>
      </c>
      <c r="CX94" s="57"/>
      <c r="CY94" s="67"/>
      <c r="CZ94" s="66">
        <f t="shared" ref="CZ94" ca="1" si="556">($M94=CY94)*$D$13</f>
        <v>0</v>
      </c>
      <c r="DA94" s="57"/>
      <c r="DB94" s="67"/>
      <c r="DC94" s="66">
        <f t="shared" ref="DC94" ca="1" si="557">($M94=DB94)*$D$13</f>
        <v>0</v>
      </c>
      <c r="DD94" s="57"/>
      <c r="DE94" s="67"/>
      <c r="DF94" s="66">
        <f t="shared" ref="DF94" ca="1" si="558">($M94=DE94)*$D$13</f>
        <v>0</v>
      </c>
      <c r="DG94" s="57"/>
      <c r="DH94" s="67"/>
      <c r="DI94" s="66">
        <f t="shared" ref="DI94" ca="1" si="559">($M94=DH94)*$D$13</f>
        <v>0</v>
      </c>
      <c r="DJ94" s="57"/>
      <c r="DK94" s="67"/>
      <c r="DL94" s="66">
        <f t="shared" ref="DL94" ca="1" si="560">($M94=DK94)*$D$13</f>
        <v>0</v>
      </c>
      <c r="DM94" s="57"/>
      <c r="DN94" s="67"/>
      <c r="DO94" s="66">
        <f t="shared" ref="DO94" ca="1" si="561">($M94=DN94)*$D$13</f>
        <v>0</v>
      </c>
      <c r="DP94" s="57"/>
      <c r="DQ94" s="67"/>
      <c r="DR94" s="66">
        <f t="shared" ref="DR94" ca="1" si="562">($M94=DQ94)*$D$13</f>
        <v>0</v>
      </c>
      <c r="DS94" s="57"/>
      <c r="DT94" s="67"/>
      <c r="DU94" s="66">
        <f t="shared" ref="DU94" ca="1" si="563">($M94=DT94)*$D$13</f>
        <v>0</v>
      </c>
      <c r="DV94" s="57"/>
      <c r="DW94" s="67"/>
      <c r="DX94" s="66">
        <f t="shared" ref="DX94" ca="1" si="564">($M94=DW94)*$D$13</f>
        <v>0</v>
      </c>
      <c r="DY94" s="57"/>
      <c r="DZ94" s="67"/>
      <c r="EA94" s="66">
        <f t="shared" ref="EA94" ca="1" si="565">($M94=DZ94)*$D$13</f>
        <v>0</v>
      </c>
      <c r="EB94" s="57"/>
      <c r="EC94" s="67"/>
      <c r="ED94" s="66">
        <f t="shared" ref="ED94" ca="1" si="566">($M94=EC94)*$D$13</f>
        <v>0</v>
      </c>
      <c r="EE94" s="57"/>
      <c r="EF94" s="67"/>
      <c r="EG94" s="66">
        <f t="shared" ref="EG94" ca="1" si="567">($M94=EF94)*$D$13</f>
        <v>0</v>
      </c>
      <c r="EH94" s="57"/>
      <c r="EI94" s="57"/>
    </row>
    <row r="95" spans="1:139">
      <c r="A95" s="43"/>
      <c r="B95" s="43"/>
      <c r="C95" s="43"/>
      <c r="D95" s="43"/>
      <c r="E95" s="43"/>
      <c r="F95" s="712">
        <f t="shared" ref="F95" si="568">$D$14</f>
        <v>5</v>
      </c>
      <c r="G95" s="713">
        <f ca="1">VLOOKUP(H95,Equipos!$Q$1:$R$25,2,0)</f>
        <v>16</v>
      </c>
      <c r="H95" s="774">
        <f ca="1">$H$60</f>
        <v>46199</v>
      </c>
      <c r="I95" s="44"/>
      <c r="J95" s="861"/>
      <c r="K95" s="49" t="str">
        <f>Idiomas!D165</f>
        <v>4º GRUPO D</v>
      </c>
      <c r="L95" s="46"/>
      <c r="M95" s="48" t="str">
        <f ca="1">IF(OR(SUM(WORLDCUP!$AN$30:$AN$33)=12,WORLDCUP!$AJ$99=144),WORLDCUP!AL33,LEFT(K95,1)&amp;RIGHT(K95,1))</f>
        <v>4D</v>
      </c>
      <c r="N95" s="711"/>
      <c r="O95" s="711"/>
      <c r="P95" s="711"/>
      <c r="Q95" s="711"/>
      <c r="R95" s="102"/>
      <c r="S95" s="67" t="s">
        <v>1257</v>
      </c>
      <c r="T95" s="66">
        <f t="shared" ref="T95" ca="1" si="569">($M95=S95)*$D$14</f>
        <v>0</v>
      </c>
      <c r="U95" s="57"/>
      <c r="V95" s="67" t="s">
        <v>1257</v>
      </c>
      <c r="W95" s="66">
        <f t="shared" ref="W95" ca="1" si="570">($M95=V95)*$D$14</f>
        <v>0</v>
      </c>
      <c r="X95" s="57"/>
      <c r="Y95" s="67" t="s">
        <v>1257</v>
      </c>
      <c r="Z95" s="66">
        <f t="shared" ref="Z95" ca="1" si="571">($M95=Y95)*$D$14</f>
        <v>0</v>
      </c>
      <c r="AA95" s="57"/>
      <c r="AB95" s="67" t="s">
        <v>1315</v>
      </c>
      <c r="AC95" s="66">
        <f t="shared" ref="AC95" ca="1" si="572">($M95=AB95)*$D$14</f>
        <v>0</v>
      </c>
      <c r="AD95" s="57"/>
      <c r="AE95" s="67" t="s">
        <v>1257</v>
      </c>
      <c r="AF95" s="66">
        <f t="shared" ref="AF95" ca="1" si="573">($M95=AE95)*$D$14</f>
        <v>0</v>
      </c>
      <c r="AG95" s="57"/>
      <c r="AH95" s="67" t="s">
        <v>1257</v>
      </c>
      <c r="AI95" s="66">
        <f t="shared" ref="AI95" ca="1" si="574">($M95=AH95)*$D$14</f>
        <v>0</v>
      </c>
      <c r="AJ95" s="57"/>
      <c r="AK95" s="67" t="s">
        <v>1257</v>
      </c>
      <c r="AL95" s="66">
        <f t="shared" ref="AL95" ca="1" si="575">($M95=AK95)*$D$14</f>
        <v>0</v>
      </c>
      <c r="AM95" s="57"/>
      <c r="AN95" s="67" t="s">
        <v>1257</v>
      </c>
      <c r="AO95" s="66">
        <f t="shared" ref="AO95" ca="1" si="576">($M95=AN95)*$D$14</f>
        <v>0</v>
      </c>
      <c r="AP95" s="57"/>
      <c r="AQ95" s="67" t="s">
        <v>1257</v>
      </c>
      <c r="AR95" s="66">
        <f t="shared" ref="AR95" ca="1" si="577">($M95=AQ95)*$D$14</f>
        <v>0</v>
      </c>
      <c r="AS95" s="57"/>
      <c r="AT95" s="67" t="s">
        <v>497</v>
      </c>
      <c r="AU95" s="66">
        <f t="shared" ref="AU95" ca="1" si="578">($M95=AT95)*$D$14</f>
        <v>0</v>
      </c>
      <c r="AV95" s="57"/>
      <c r="AW95" s="67" t="s">
        <v>1257</v>
      </c>
      <c r="AX95" s="66">
        <f t="shared" ref="AX95" ca="1" si="579">($M95=AW95)*$D$14</f>
        <v>0</v>
      </c>
      <c r="AY95" s="57"/>
      <c r="AZ95" s="67" t="s">
        <v>1257</v>
      </c>
      <c r="BA95" s="66">
        <f t="shared" ref="BA95" ca="1" si="580">($M95=AZ95)*$D$14</f>
        <v>0</v>
      </c>
      <c r="BB95" s="57"/>
      <c r="BC95" s="67" t="s">
        <v>1315</v>
      </c>
      <c r="BD95" s="66">
        <f t="shared" ref="BD95" ca="1" si="581">($M95=BC95)*$D$14</f>
        <v>0</v>
      </c>
      <c r="BE95" s="57"/>
      <c r="BF95" s="67" t="s">
        <v>1257</v>
      </c>
      <c r="BG95" s="66">
        <f t="shared" ref="BG95" ca="1" si="582">($M95=BF95)*$D$14</f>
        <v>0</v>
      </c>
      <c r="BH95" s="57"/>
      <c r="BI95" s="67" t="s">
        <v>1257</v>
      </c>
      <c r="BJ95" s="66">
        <f t="shared" ref="BJ95" ca="1" si="583">($M95=BI95)*$D$14</f>
        <v>0</v>
      </c>
      <c r="BK95" s="57"/>
      <c r="BL95" s="67" t="s">
        <v>1257</v>
      </c>
      <c r="BM95" s="66">
        <f t="shared" ref="BM95" ca="1" si="584">($M95=BL95)*$D$14</f>
        <v>0</v>
      </c>
      <c r="BN95" s="57"/>
      <c r="BO95" s="67" t="s">
        <v>1257</v>
      </c>
      <c r="BP95" s="66">
        <f t="shared" ref="BP95" ca="1" si="585">($M95=BO95)*$D$14</f>
        <v>0</v>
      </c>
      <c r="BQ95" s="57"/>
      <c r="BR95" s="67" t="s">
        <v>1257</v>
      </c>
      <c r="BS95" s="66">
        <f t="shared" ref="BS95" ca="1" si="586">($M95=BR95)*$D$14</f>
        <v>0</v>
      </c>
      <c r="BT95" s="57"/>
      <c r="BU95" s="67"/>
      <c r="BV95" s="66">
        <f t="shared" ref="BV95" ca="1" si="587">($M95=BU95)*$D$14</f>
        <v>0</v>
      </c>
      <c r="BW95" s="57"/>
      <c r="BX95" s="67"/>
      <c r="BY95" s="66">
        <f t="shared" ref="BY95" ca="1" si="588">($M95=BX95)*$D$14</f>
        <v>0</v>
      </c>
      <c r="BZ95" s="57"/>
      <c r="CA95" s="67"/>
      <c r="CB95" s="66">
        <f t="shared" ref="CB95" ca="1" si="589">($M95=CA95)*$D$14</f>
        <v>0</v>
      </c>
      <c r="CC95" s="57"/>
      <c r="CD95" s="67"/>
      <c r="CE95" s="66">
        <f t="shared" ref="CE95" ca="1" si="590">($M95=CD95)*$D$14</f>
        <v>0</v>
      </c>
      <c r="CF95" s="57"/>
      <c r="CG95" s="67"/>
      <c r="CH95" s="66">
        <f t="shared" ref="CH95" ca="1" si="591">($M95=CG95)*$D$14</f>
        <v>0</v>
      </c>
      <c r="CI95" s="57"/>
      <c r="CJ95" s="67"/>
      <c r="CK95" s="66">
        <f t="shared" ref="CK95" ca="1" si="592">($M95=CJ95)*$D$14</f>
        <v>0</v>
      </c>
      <c r="CL95" s="57"/>
      <c r="CM95" s="67"/>
      <c r="CN95" s="66">
        <f t="shared" ref="CN95" ca="1" si="593">($M95=CM95)*$D$14</f>
        <v>0</v>
      </c>
      <c r="CO95" s="57"/>
      <c r="CP95" s="67"/>
      <c r="CQ95" s="66">
        <f t="shared" ref="CQ95" ca="1" si="594">($M95=CP95)*$D$14</f>
        <v>0</v>
      </c>
      <c r="CR95" s="57"/>
      <c r="CS95" s="67"/>
      <c r="CT95" s="66">
        <f t="shared" ref="CT95" ca="1" si="595">($M95=CS95)*$D$14</f>
        <v>0</v>
      </c>
      <c r="CU95" s="57"/>
      <c r="CV95" s="67"/>
      <c r="CW95" s="66">
        <f t="shared" ref="CW95" ca="1" si="596">($M95=CV95)*$D$14</f>
        <v>0</v>
      </c>
      <c r="CX95" s="57"/>
      <c r="CY95" s="67"/>
      <c r="CZ95" s="66">
        <f t="shared" ref="CZ95" ca="1" si="597">($M95=CY95)*$D$14</f>
        <v>0</v>
      </c>
      <c r="DA95" s="57"/>
      <c r="DB95" s="67"/>
      <c r="DC95" s="66">
        <f t="shared" ref="DC95" ca="1" si="598">($M95=DB95)*$D$14</f>
        <v>0</v>
      </c>
      <c r="DD95" s="57"/>
      <c r="DE95" s="67"/>
      <c r="DF95" s="66">
        <f t="shared" ref="DF95" ca="1" si="599">($M95=DE95)*$D$14</f>
        <v>0</v>
      </c>
      <c r="DG95" s="57"/>
      <c r="DH95" s="67"/>
      <c r="DI95" s="66">
        <f t="shared" ref="DI95" ca="1" si="600">($M95=DH95)*$D$14</f>
        <v>0</v>
      </c>
      <c r="DJ95" s="57"/>
      <c r="DK95" s="67"/>
      <c r="DL95" s="66">
        <f t="shared" ref="DL95" ca="1" si="601">($M95=DK95)*$D$14</f>
        <v>0</v>
      </c>
      <c r="DM95" s="57"/>
      <c r="DN95" s="67"/>
      <c r="DO95" s="66">
        <f t="shared" ref="DO95" ca="1" si="602">($M95=DN95)*$D$14</f>
        <v>0</v>
      </c>
      <c r="DP95" s="57"/>
      <c r="DQ95" s="67"/>
      <c r="DR95" s="66">
        <f t="shared" ref="DR95" ca="1" si="603">($M95=DQ95)*$D$14</f>
        <v>0</v>
      </c>
      <c r="DS95" s="57"/>
      <c r="DT95" s="67"/>
      <c r="DU95" s="66">
        <f t="shared" ref="DU95" ca="1" si="604">($M95=DT95)*$D$14</f>
        <v>0</v>
      </c>
      <c r="DV95" s="57"/>
      <c r="DW95" s="67"/>
      <c r="DX95" s="66">
        <f t="shared" ref="DX95" ca="1" si="605">($M95=DW95)*$D$14</f>
        <v>0</v>
      </c>
      <c r="DY95" s="57"/>
      <c r="DZ95" s="67"/>
      <c r="EA95" s="66">
        <f t="shared" ref="EA95" ca="1" si="606">($M95=DZ95)*$D$14</f>
        <v>0</v>
      </c>
      <c r="EB95" s="57"/>
      <c r="EC95" s="67"/>
      <c r="ED95" s="66">
        <f t="shared" ref="ED95" ca="1" si="607">($M95=EC95)*$D$14</f>
        <v>0</v>
      </c>
      <c r="EE95" s="57"/>
      <c r="EF95" s="67"/>
      <c r="EG95" s="66">
        <f t="shared" ref="EG95" ca="1" si="608">($M95=EF95)*$D$14</f>
        <v>0</v>
      </c>
      <c r="EH95" s="57"/>
      <c r="EI95" s="57"/>
    </row>
    <row r="96" spans="1:139">
      <c r="A96" s="43"/>
      <c r="B96" s="43"/>
      <c r="C96" s="43"/>
      <c r="D96" s="43"/>
      <c r="E96" s="43"/>
      <c r="F96" s="712">
        <f t="shared" ref="F96" si="609">$D$11</f>
        <v>5</v>
      </c>
      <c r="G96" s="713">
        <f ca="1">VLOOKUP(H96,Equipos!$Q$1:$R$25,2,0)</f>
        <v>16</v>
      </c>
      <c r="H96" s="774">
        <f ca="1">$H$62</f>
        <v>46199</v>
      </c>
      <c r="I96" s="44"/>
      <c r="J96" s="862" t="s">
        <v>3</v>
      </c>
      <c r="K96" s="49" t="str">
        <f>Idiomas!D166</f>
        <v>1º GRUPO E</v>
      </c>
      <c r="L96" s="46"/>
      <c r="M96" s="48" t="str">
        <f ca="1">IF(OR(SUM(WORLDCUP!$AN$38:$AN$41)=12,WORLDCUP!$AJ$99=144),WORLDCUP!AL38,LEFT(K96,1)&amp;RIGHT(K96,1))</f>
        <v>1E</v>
      </c>
      <c r="N96" s="711"/>
      <c r="O96" s="711"/>
      <c r="P96" s="711"/>
      <c r="Q96" s="711"/>
      <c r="R96" s="102"/>
      <c r="S96" s="67" t="s">
        <v>77</v>
      </c>
      <c r="T96" s="66">
        <f t="shared" ref="T96" ca="1" si="610">($M96=S96)*$D$11</f>
        <v>0</v>
      </c>
      <c r="U96" s="57"/>
      <c r="V96" s="67" t="s">
        <v>77</v>
      </c>
      <c r="W96" s="66">
        <f t="shared" ref="W96" ca="1" si="611">($M96=V96)*$D$11</f>
        <v>0</v>
      </c>
      <c r="X96" s="57"/>
      <c r="Y96" s="67" t="s">
        <v>77</v>
      </c>
      <c r="Z96" s="66">
        <f t="shared" ref="Z96" ca="1" si="612">($M96=Y96)*$D$11</f>
        <v>0</v>
      </c>
      <c r="AA96" s="57"/>
      <c r="AB96" s="67" t="s">
        <v>77</v>
      </c>
      <c r="AC96" s="66">
        <f t="shared" ref="AC96" ca="1" si="613">($M96=AB96)*$D$11</f>
        <v>0</v>
      </c>
      <c r="AD96" s="57"/>
      <c r="AE96" s="67" t="s">
        <v>77</v>
      </c>
      <c r="AF96" s="66">
        <f t="shared" ref="AF96" ca="1" si="614">($M96=AE96)*$D$11</f>
        <v>0</v>
      </c>
      <c r="AG96" s="57"/>
      <c r="AH96" s="67" t="s">
        <v>77</v>
      </c>
      <c r="AI96" s="66">
        <f t="shared" ref="AI96" ca="1" si="615">($M96=AH96)*$D$11</f>
        <v>0</v>
      </c>
      <c r="AJ96" s="57"/>
      <c r="AK96" s="67" t="s">
        <v>77</v>
      </c>
      <c r="AL96" s="66">
        <f t="shared" ref="AL96" ca="1" si="616">($M96=AK96)*$D$11</f>
        <v>0</v>
      </c>
      <c r="AM96" s="57"/>
      <c r="AN96" s="67" t="s">
        <v>77</v>
      </c>
      <c r="AO96" s="66">
        <f t="shared" ref="AO96" ca="1" si="617">($M96=AN96)*$D$11</f>
        <v>0</v>
      </c>
      <c r="AP96" s="57"/>
      <c r="AQ96" s="67" t="s">
        <v>77</v>
      </c>
      <c r="AR96" s="66">
        <f t="shared" ref="AR96" ca="1" si="618">($M96=AQ96)*$D$11</f>
        <v>0</v>
      </c>
      <c r="AS96" s="57"/>
      <c r="AT96" s="67" t="s">
        <v>77</v>
      </c>
      <c r="AU96" s="66">
        <f t="shared" ref="AU96" ca="1" si="619">($M96=AT96)*$D$11</f>
        <v>0</v>
      </c>
      <c r="AV96" s="57"/>
      <c r="AW96" s="67" t="s">
        <v>77</v>
      </c>
      <c r="AX96" s="66">
        <f t="shared" ref="AX96" ca="1" si="620">($M96=AW96)*$D$11</f>
        <v>0</v>
      </c>
      <c r="AY96" s="57"/>
      <c r="AZ96" s="67" t="s">
        <v>77</v>
      </c>
      <c r="BA96" s="66">
        <f t="shared" ref="BA96" ca="1" si="621">($M96=AZ96)*$D$11</f>
        <v>0</v>
      </c>
      <c r="BB96" s="57"/>
      <c r="BC96" s="67" t="s">
        <v>77</v>
      </c>
      <c r="BD96" s="66">
        <f t="shared" ref="BD96" ca="1" si="622">($M96=BC96)*$D$11</f>
        <v>0</v>
      </c>
      <c r="BE96" s="57"/>
      <c r="BF96" s="67" t="s">
        <v>77</v>
      </c>
      <c r="BG96" s="66">
        <f t="shared" ref="BG96" ca="1" si="623">($M96=BF96)*$D$11</f>
        <v>0</v>
      </c>
      <c r="BH96" s="57"/>
      <c r="BI96" s="67" t="s">
        <v>77</v>
      </c>
      <c r="BJ96" s="66">
        <f t="shared" ref="BJ96" ca="1" si="624">($M96=BI96)*$D$11</f>
        <v>0</v>
      </c>
      <c r="BK96" s="57"/>
      <c r="BL96" s="67" t="s">
        <v>77</v>
      </c>
      <c r="BM96" s="66">
        <f t="shared" ref="BM96" ca="1" si="625">($M96=BL96)*$D$11</f>
        <v>0</v>
      </c>
      <c r="BN96" s="57"/>
      <c r="BO96" s="67" t="s">
        <v>77</v>
      </c>
      <c r="BP96" s="66">
        <f t="shared" ref="BP96" ca="1" si="626">($M96=BO96)*$D$11</f>
        <v>0</v>
      </c>
      <c r="BQ96" s="57"/>
      <c r="BR96" s="67" t="s">
        <v>77</v>
      </c>
      <c r="BS96" s="66">
        <f t="shared" ref="BS96" ca="1" si="627">($M96=BR96)*$D$11</f>
        <v>0</v>
      </c>
      <c r="BT96" s="57"/>
      <c r="BU96" s="67"/>
      <c r="BV96" s="66">
        <f t="shared" ref="BV96" ca="1" si="628">($M96=BU96)*$D$11</f>
        <v>0</v>
      </c>
      <c r="BW96" s="57"/>
      <c r="BX96" s="67"/>
      <c r="BY96" s="66">
        <f t="shared" ref="BY96" ca="1" si="629">($M96=BX96)*$D$11</f>
        <v>0</v>
      </c>
      <c r="BZ96" s="57"/>
      <c r="CA96" s="67"/>
      <c r="CB96" s="66">
        <f t="shared" ref="CB96" ca="1" si="630">($M96=CA96)*$D$11</f>
        <v>0</v>
      </c>
      <c r="CC96" s="57"/>
      <c r="CD96" s="67"/>
      <c r="CE96" s="66">
        <f t="shared" ref="CE96" ca="1" si="631">($M96=CD96)*$D$11</f>
        <v>0</v>
      </c>
      <c r="CF96" s="57"/>
      <c r="CG96" s="67"/>
      <c r="CH96" s="66">
        <f t="shared" ref="CH96" ca="1" si="632">($M96=CG96)*$D$11</f>
        <v>0</v>
      </c>
      <c r="CI96" s="57"/>
      <c r="CJ96" s="67"/>
      <c r="CK96" s="66">
        <f t="shared" ref="CK96" ca="1" si="633">($M96=CJ96)*$D$11</f>
        <v>0</v>
      </c>
      <c r="CL96" s="57"/>
      <c r="CM96" s="67"/>
      <c r="CN96" s="66">
        <f t="shared" ref="CN96" ca="1" si="634">($M96=CM96)*$D$11</f>
        <v>0</v>
      </c>
      <c r="CO96" s="57"/>
      <c r="CP96" s="67"/>
      <c r="CQ96" s="66">
        <f t="shared" ref="CQ96" ca="1" si="635">($M96=CP96)*$D$11</f>
        <v>0</v>
      </c>
      <c r="CR96" s="57"/>
      <c r="CS96" s="67"/>
      <c r="CT96" s="66">
        <f t="shared" ref="CT96" ca="1" si="636">($M96=CS96)*$D$11</f>
        <v>0</v>
      </c>
      <c r="CU96" s="57"/>
      <c r="CV96" s="67"/>
      <c r="CW96" s="66">
        <f t="shared" ref="CW96" ca="1" si="637">($M96=CV96)*$D$11</f>
        <v>0</v>
      </c>
      <c r="CX96" s="57"/>
      <c r="CY96" s="67"/>
      <c r="CZ96" s="66">
        <f t="shared" ref="CZ96" ca="1" si="638">($M96=CY96)*$D$11</f>
        <v>0</v>
      </c>
      <c r="DA96" s="57"/>
      <c r="DB96" s="67"/>
      <c r="DC96" s="66">
        <f t="shared" ref="DC96" ca="1" si="639">($M96=DB96)*$D$11</f>
        <v>0</v>
      </c>
      <c r="DD96" s="57"/>
      <c r="DE96" s="67"/>
      <c r="DF96" s="66">
        <f t="shared" ref="DF96" ca="1" si="640">($M96=DE96)*$D$11</f>
        <v>0</v>
      </c>
      <c r="DG96" s="57"/>
      <c r="DH96" s="67"/>
      <c r="DI96" s="66">
        <f t="shared" ref="DI96" ca="1" si="641">($M96=DH96)*$D$11</f>
        <v>0</v>
      </c>
      <c r="DJ96" s="57"/>
      <c r="DK96" s="67"/>
      <c r="DL96" s="66">
        <f t="shared" ref="DL96" ca="1" si="642">($M96=DK96)*$D$11</f>
        <v>0</v>
      </c>
      <c r="DM96" s="57"/>
      <c r="DN96" s="67"/>
      <c r="DO96" s="66">
        <f t="shared" ref="DO96" ca="1" si="643">($M96=DN96)*$D$11</f>
        <v>0</v>
      </c>
      <c r="DP96" s="57"/>
      <c r="DQ96" s="67"/>
      <c r="DR96" s="66">
        <f t="shared" ref="DR96" ca="1" si="644">($M96=DQ96)*$D$11</f>
        <v>0</v>
      </c>
      <c r="DS96" s="57"/>
      <c r="DT96" s="67"/>
      <c r="DU96" s="66">
        <f t="shared" ref="DU96" ca="1" si="645">($M96=DT96)*$D$11</f>
        <v>0</v>
      </c>
      <c r="DV96" s="57"/>
      <c r="DW96" s="67"/>
      <c r="DX96" s="66">
        <f t="shared" ref="DX96" ca="1" si="646">($M96=DW96)*$D$11</f>
        <v>0</v>
      </c>
      <c r="DY96" s="57"/>
      <c r="DZ96" s="67"/>
      <c r="EA96" s="66">
        <f t="shared" ref="EA96" ca="1" si="647">($M96=DZ96)*$D$11</f>
        <v>0</v>
      </c>
      <c r="EB96" s="57"/>
      <c r="EC96" s="67"/>
      <c r="ED96" s="66">
        <f t="shared" ref="ED96" ca="1" si="648">($M96=EC96)*$D$11</f>
        <v>0</v>
      </c>
      <c r="EE96" s="57"/>
      <c r="EF96" s="67"/>
      <c r="EG96" s="66">
        <f t="shared" ref="EG96" ca="1" si="649">($M96=EF96)*$D$11</f>
        <v>0</v>
      </c>
      <c r="EH96" s="57"/>
      <c r="EI96" s="57"/>
    </row>
    <row r="97" spans="1:139">
      <c r="A97" s="43"/>
      <c r="B97" s="43"/>
      <c r="C97" s="43"/>
      <c r="D97" s="43"/>
      <c r="E97" s="43"/>
      <c r="F97" s="712">
        <f t="shared" ref="F97" si="650">$D$12</f>
        <v>5</v>
      </c>
      <c r="G97" s="713">
        <f ca="1">VLOOKUP(H97,Equipos!$Q$1:$R$25,2,0)</f>
        <v>16</v>
      </c>
      <c r="H97" s="774">
        <f ca="1">$H$62</f>
        <v>46199</v>
      </c>
      <c r="I97" s="44"/>
      <c r="J97" s="862"/>
      <c r="K97" s="49" t="str">
        <f>Idiomas!D167</f>
        <v>2º GRUPO E</v>
      </c>
      <c r="L97" s="46"/>
      <c r="M97" s="48" t="str">
        <f ca="1">IF(OR(SUM(WORLDCUP!$AN$38:$AN$41)=12,WORLDCUP!$AJ$99=144),WORLDCUP!AL39,LEFT(K97,1)&amp;RIGHT(K97,1))</f>
        <v>2E</v>
      </c>
      <c r="N97" s="711"/>
      <c r="O97" s="711"/>
      <c r="P97" s="711"/>
      <c r="Q97" s="711"/>
      <c r="R97" s="102"/>
      <c r="S97" s="67" t="s">
        <v>1628</v>
      </c>
      <c r="T97" s="66">
        <f t="shared" ref="T97" ca="1" si="651">($M97=S97)*$D$12</f>
        <v>0</v>
      </c>
      <c r="U97" s="57"/>
      <c r="V97" s="67" t="s">
        <v>1261</v>
      </c>
      <c r="W97" s="66">
        <f t="shared" ref="W97" ca="1" si="652">($M97=V97)*$D$12</f>
        <v>0</v>
      </c>
      <c r="X97" s="57"/>
      <c r="Y97" s="67" t="s">
        <v>1261</v>
      </c>
      <c r="Z97" s="66">
        <f t="shared" ref="Z97" ca="1" si="653">($M97=Y97)*$D$12</f>
        <v>0</v>
      </c>
      <c r="AA97" s="57"/>
      <c r="AB97" s="67" t="s">
        <v>1261</v>
      </c>
      <c r="AC97" s="66">
        <f t="shared" ref="AC97" ca="1" si="654">($M97=AB97)*$D$12</f>
        <v>0</v>
      </c>
      <c r="AD97" s="57"/>
      <c r="AE97" s="67" t="s">
        <v>1628</v>
      </c>
      <c r="AF97" s="66">
        <f t="shared" ref="AF97" ca="1" si="655">($M97=AE97)*$D$12</f>
        <v>0</v>
      </c>
      <c r="AG97" s="57"/>
      <c r="AH97" s="67" t="s">
        <v>1628</v>
      </c>
      <c r="AI97" s="66">
        <f t="shared" ref="AI97" ca="1" si="656">($M97=AH97)*$D$12</f>
        <v>0</v>
      </c>
      <c r="AJ97" s="57"/>
      <c r="AK97" s="67" t="s">
        <v>1628</v>
      </c>
      <c r="AL97" s="66">
        <f t="shared" ref="AL97" ca="1" si="657">($M97=AK97)*$D$12</f>
        <v>0</v>
      </c>
      <c r="AM97" s="57"/>
      <c r="AN97" s="67" t="s">
        <v>1261</v>
      </c>
      <c r="AO97" s="66">
        <f t="shared" ref="AO97" ca="1" si="658">($M97=AN97)*$D$12</f>
        <v>0</v>
      </c>
      <c r="AP97" s="57"/>
      <c r="AQ97" s="67" t="s">
        <v>1261</v>
      </c>
      <c r="AR97" s="66">
        <f t="shared" ref="AR97" ca="1" si="659">($M97=AQ97)*$D$12</f>
        <v>0</v>
      </c>
      <c r="AS97" s="57"/>
      <c r="AT97" s="67" t="s">
        <v>1261</v>
      </c>
      <c r="AU97" s="66">
        <f t="shared" ref="AU97" ca="1" si="660">($M97=AT97)*$D$12</f>
        <v>0</v>
      </c>
      <c r="AV97" s="57"/>
      <c r="AW97" s="67" t="s">
        <v>1628</v>
      </c>
      <c r="AX97" s="66">
        <f t="shared" ref="AX97" ca="1" si="661">($M97=AW97)*$D$12</f>
        <v>0</v>
      </c>
      <c r="AY97" s="57"/>
      <c r="AZ97" s="67" t="s">
        <v>1261</v>
      </c>
      <c r="BA97" s="66">
        <f t="shared" ref="BA97" ca="1" si="662">($M97=AZ97)*$D$12</f>
        <v>0</v>
      </c>
      <c r="BB97" s="57"/>
      <c r="BC97" s="67" t="s">
        <v>1628</v>
      </c>
      <c r="BD97" s="66">
        <f t="shared" ref="BD97" ca="1" si="663">($M97=BC97)*$D$12</f>
        <v>0</v>
      </c>
      <c r="BE97" s="57"/>
      <c r="BF97" s="67" t="s">
        <v>1261</v>
      </c>
      <c r="BG97" s="66">
        <f t="shared" ref="BG97" ca="1" si="664">($M97=BF97)*$D$12</f>
        <v>0</v>
      </c>
      <c r="BH97" s="57"/>
      <c r="BI97" s="67" t="s">
        <v>1261</v>
      </c>
      <c r="BJ97" s="66">
        <f t="shared" ref="BJ97" ca="1" si="665">($M97=BI97)*$D$12</f>
        <v>0</v>
      </c>
      <c r="BK97" s="57"/>
      <c r="BL97" s="67" t="s">
        <v>1628</v>
      </c>
      <c r="BM97" s="66">
        <f t="shared" ref="BM97" ca="1" si="666">($M97=BL97)*$D$12</f>
        <v>0</v>
      </c>
      <c r="BN97" s="57"/>
      <c r="BO97" s="67" t="s">
        <v>1261</v>
      </c>
      <c r="BP97" s="66">
        <f t="shared" ref="BP97" ca="1" si="667">($M97=BO97)*$D$12</f>
        <v>0</v>
      </c>
      <c r="BQ97" s="57"/>
      <c r="BR97" s="67" t="s">
        <v>1261</v>
      </c>
      <c r="BS97" s="66">
        <f t="shared" ref="BS97" ca="1" si="668">($M97=BR97)*$D$12</f>
        <v>0</v>
      </c>
      <c r="BT97" s="57"/>
      <c r="BU97" s="67"/>
      <c r="BV97" s="66">
        <f t="shared" ref="BV97" ca="1" si="669">($M97=BU97)*$D$12</f>
        <v>0</v>
      </c>
      <c r="BW97" s="57"/>
      <c r="BX97" s="67"/>
      <c r="BY97" s="66">
        <f t="shared" ref="BY97" ca="1" si="670">($M97=BX97)*$D$12</f>
        <v>0</v>
      </c>
      <c r="BZ97" s="57"/>
      <c r="CA97" s="67"/>
      <c r="CB97" s="66">
        <f t="shared" ref="CB97" ca="1" si="671">($M97=CA97)*$D$12</f>
        <v>0</v>
      </c>
      <c r="CC97" s="57"/>
      <c r="CD97" s="67"/>
      <c r="CE97" s="66">
        <f t="shared" ref="CE97" ca="1" si="672">($M97=CD97)*$D$12</f>
        <v>0</v>
      </c>
      <c r="CF97" s="57"/>
      <c r="CG97" s="67"/>
      <c r="CH97" s="66">
        <f t="shared" ref="CH97" ca="1" si="673">($M97=CG97)*$D$12</f>
        <v>0</v>
      </c>
      <c r="CI97" s="57"/>
      <c r="CJ97" s="67"/>
      <c r="CK97" s="66">
        <f t="shared" ref="CK97" ca="1" si="674">($M97=CJ97)*$D$12</f>
        <v>0</v>
      </c>
      <c r="CL97" s="57"/>
      <c r="CM97" s="67"/>
      <c r="CN97" s="66">
        <f t="shared" ref="CN97" ca="1" si="675">($M97=CM97)*$D$12</f>
        <v>0</v>
      </c>
      <c r="CO97" s="57"/>
      <c r="CP97" s="67"/>
      <c r="CQ97" s="66">
        <f t="shared" ref="CQ97" ca="1" si="676">($M97=CP97)*$D$12</f>
        <v>0</v>
      </c>
      <c r="CR97" s="57"/>
      <c r="CS97" s="67"/>
      <c r="CT97" s="66">
        <f t="shared" ref="CT97" ca="1" si="677">($M97=CS97)*$D$12</f>
        <v>0</v>
      </c>
      <c r="CU97" s="57"/>
      <c r="CV97" s="67"/>
      <c r="CW97" s="66">
        <f t="shared" ref="CW97" ca="1" si="678">($M97=CV97)*$D$12</f>
        <v>0</v>
      </c>
      <c r="CX97" s="57"/>
      <c r="CY97" s="67"/>
      <c r="CZ97" s="66">
        <f t="shared" ref="CZ97" ca="1" si="679">($M97=CY97)*$D$12</f>
        <v>0</v>
      </c>
      <c r="DA97" s="57"/>
      <c r="DB97" s="67"/>
      <c r="DC97" s="66">
        <f t="shared" ref="DC97" ca="1" si="680">($M97=DB97)*$D$12</f>
        <v>0</v>
      </c>
      <c r="DD97" s="57"/>
      <c r="DE97" s="67"/>
      <c r="DF97" s="66">
        <f t="shared" ref="DF97" ca="1" si="681">($M97=DE97)*$D$12</f>
        <v>0</v>
      </c>
      <c r="DG97" s="57"/>
      <c r="DH97" s="67"/>
      <c r="DI97" s="66">
        <f t="shared" ref="DI97" ca="1" si="682">($M97=DH97)*$D$12</f>
        <v>0</v>
      </c>
      <c r="DJ97" s="57"/>
      <c r="DK97" s="67"/>
      <c r="DL97" s="66">
        <f t="shared" ref="DL97" ca="1" si="683">($M97=DK97)*$D$12</f>
        <v>0</v>
      </c>
      <c r="DM97" s="57"/>
      <c r="DN97" s="67"/>
      <c r="DO97" s="66">
        <f t="shared" ref="DO97" ca="1" si="684">($M97=DN97)*$D$12</f>
        <v>0</v>
      </c>
      <c r="DP97" s="57"/>
      <c r="DQ97" s="67"/>
      <c r="DR97" s="66">
        <f t="shared" ref="DR97" ca="1" si="685">($M97=DQ97)*$D$12</f>
        <v>0</v>
      </c>
      <c r="DS97" s="57"/>
      <c r="DT97" s="67"/>
      <c r="DU97" s="66">
        <f t="shared" ref="DU97" ca="1" si="686">($M97=DT97)*$D$12</f>
        <v>0</v>
      </c>
      <c r="DV97" s="57"/>
      <c r="DW97" s="67"/>
      <c r="DX97" s="66">
        <f t="shared" ref="DX97" ca="1" si="687">($M97=DW97)*$D$12</f>
        <v>0</v>
      </c>
      <c r="DY97" s="57"/>
      <c r="DZ97" s="67"/>
      <c r="EA97" s="66">
        <f t="shared" ref="EA97" ca="1" si="688">($M97=DZ97)*$D$12</f>
        <v>0</v>
      </c>
      <c r="EB97" s="57"/>
      <c r="EC97" s="67"/>
      <c r="ED97" s="66">
        <f t="shared" ref="ED97" ca="1" si="689">($M97=EC97)*$D$12</f>
        <v>0</v>
      </c>
      <c r="EE97" s="57"/>
      <c r="EF97" s="67"/>
      <c r="EG97" s="66">
        <f t="shared" ref="EG97" ca="1" si="690">($M97=EF97)*$D$12</f>
        <v>0</v>
      </c>
      <c r="EH97" s="57"/>
      <c r="EI97" s="57"/>
    </row>
    <row r="98" spans="1:139">
      <c r="A98" s="43"/>
      <c r="B98" s="43"/>
      <c r="C98" s="43"/>
      <c r="D98" s="43"/>
      <c r="E98" s="43"/>
      <c r="F98" s="712">
        <f t="shared" ref="F98" si="691">$D$13</f>
        <v>5</v>
      </c>
      <c r="G98" s="713">
        <f ca="1">VLOOKUP(H98,Equipos!$Q$1:$R$25,2,0)</f>
        <v>16</v>
      </c>
      <c r="H98" s="774">
        <f ca="1">$H$62</f>
        <v>46199</v>
      </c>
      <c r="I98" s="44"/>
      <c r="J98" s="862"/>
      <c r="K98" s="49" t="str">
        <f>Idiomas!D168</f>
        <v>3º GRUPO E</v>
      </c>
      <c r="L98" s="46"/>
      <c r="M98" s="48" t="str">
        <f ca="1">IF(OR(SUM(WORLDCUP!$AN$38:$AN$41)=12,WORLDCUP!$AJ$99=144),WORLDCUP!AL40,LEFT(K98,1)&amp;RIGHT(K98,1))</f>
        <v>3E</v>
      </c>
      <c r="N98" s="711"/>
      <c r="O98" s="711"/>
      <c r="P98" s="711"/>
      <c r="Q98" s="711"/>
      <c r="R98" s="102"/>
      <c r="S98" s="67" t="s">
        <v>1261</v>
      </c>
      <c r="T98" s="66">
        <f t="shared" ref="T98" ca="1" si="692">($M98=S98)*$D$13</f>
        <v>0</v>
      </c>
      <c r="U98" s="57"/>
      <c r="V98" s="67" t="s">
        <v>1628</v>
      </c>
      <c r="W98" s="66">
        <f t="shared" ref="W98" ca="1" si="693">($M98=V98)*$D$13</f>
        <v>0</v>
      </c>
      <c r="X98" s="57"/>
      <c r="Y98" s="67" t="s">
        <v>1628</v>
      </c>
      <c r="Z98" s="66">
        <f t="shared" ref="Z98" ca="1" si="694">($M98=Y98)*$D$13</f>
        <v>0</v>
      </c>
      <c r="AA98" s="57"/>
      <c r="AB98" s="67" t="s">
        <v>1628</v>
      </c>
      <c r="AC98" s="66">
        <f t="shared" ref="AC98" ca="1" si="695">($M98=AB98)*$D$13</f>
        <v>0</v>
      </c>
      <c r="AD98" s="57"/>
      <c r="AE98" s="67" t="s">
        <v>1261</v>
      </c>
      <c r="AF98" s="66">
        <f t="shared" ref="AF98" ca="1" si="696">($M98=AE98)*$D$13</f>
        <v>0</v>
      </c>
      <c r="AG98" s="57"/>
      <c r="AH98" s="67" t="s">
        <v>1261</v>
      </c>
      <c r="AI98" s="66">
        <f t="shared" ref="AI98" ca="1" si="697">($M98=AH98)*$D$13</f>
        <v>0</v>
      </c>
      <c r="AJ98" s="57"/>
      <c r="AK98" s="67" t="s">
        <v>1261</v>
      </c>
      <c r="AL98" s="66">
        <f t="shared" ref="AL98" ca="1" si="698">($M98=AK98)*$D$13</f>
        <v>0</v>
      </c>
      <c r="AM98" s="57"/>
      <c r="AN98" s="67" t="s">
        <v>1628</v>
      </c>
      <c r="AO98" s="66">
        <f t="shared" ref="AO98" ca="1" si="699">($M98=AN98)*$D$13</f>
        <v>0</v>
      </c>
      <c r="AP98" s="57"/>
      <c r="AQ98" s="67" t="s">
        <v>1628</v>
      </c>
      <c r="AR98" s="66">
        <f t="shared" ref="AR98" ca="1" si="700">($M98=AQ98)*$D$13</f>
        <v>0</v>
      </c>
      <c r="AS98" s="57"/>
      <c r="AT98" s="67" t="s">
        <v>1628</v>
      </c>
      <c r="AU98" s="66">
        <f t="shared" ref="AU98" ca="1" si="701">($M98=AT98)*$D$13</f>
        <v>0</v>
      </c>
      <c r="AV98" s="57"/>
      <c r="AW98" s="67" t="s">
        <v>1261</v>
      </c>
      <c r="AX98" s="66">
        <f t="shared" ref="AX98" ca="1" si="702">($M98=AW98)*$D$13</f>
        <v>0</v>
      </c>
      <c r="AY98" s="57"/>
      <c r="AZ98" s="67" t="s">
        <v>1628</v>
      </c>
      <c r="BA98" s="66">
        <f t="shared" ref="BA98" ca="1" si="703">($M98=AZ98)*$D$13</f>
        <v>0</v>
      </c>
      <c r="BB98" s="57"/>
      <c r="BC98" s="67" t="s">
        <v>1261</v>
      </c>
      <c r="BD98" s="66">
        <f t="shared" ref="BD98" ca="1" si="704">($M98=BC98)*$D$13</f>
        <v>0</v>
      </c>
      <c r="BE98" s="57"/>
      <c r="BF98" s="67" t="s">
        <v>1721</v>
      </c>
      <c r="BG98" s="66">
        <f t="shared" ref="BG98" ca="1" si="705">($M98=BF98)*$D$13</f>
        <v>0</v>
      </c>
      <c r="BH98" s="57"/>
      <c r="BI98" s="67" t="s">
        <v>1628</v>
      </c>
      <c r="BJ98" s="66">
        <f t="shared" ref="BJ98" ca="1" si="706">($M98=BI98)*$D$13</f>
        <v>0</v>
      </c>
      <c r="BK98" s="57"/>
      <c r="BL98" s="67" t="s">
        <v>1261</v>
      </c>
      <c r="BM98" s="66">
        <f t="shared" ref="BM98" ca="1" si="707">($M98=BL98)*$D$13</f>
        <v>0</v>
      </c>
      <c r="BN98" s="57"/>
      <c r="BO98" s="67" t="s">
        <v>1628</v>
      </c>
      <c r="BP98" s="66">
        <f t="shared" ref="BP98" ca="1" si="708">($M98=BO98)*$D$13</f>
        <v>0</v>
      </c>
      <c r="BQ98" s="57"/>
      <c r="BR98" s="67" t="s">
        <v>1628</v>
      </c>
      <c r="BS98" s="66">
        <f t="shared" ref="BS98" ca="1" si="709">($M98=BR98)*$D$13</f>
        <v>0</v>
      </c>
      <c r="BT98" s="57"/>
      <c r="BU98" s="67"/>
      <c r="BV98" s="66">
        <f t="shared" ref="BV98" ca="1" si="710">($M98=BU98)*$D$13</f>
        <v>0</v>
      </c>
      <c r="BW98" s="57"/>
      <c r="BX98" s="67"/>
      <c r="BY98" s="66">
        <f t="shared" ref="BY98" ca="1" si="711">($M98=BX98)*$D$13</f>
        <v>0</v>
      </c>
      <c r="BZ98" s="57"/>
      <c r="CA98" s="67"/>
      <c r="CB98" s="66">
        <f t="shared" ref="CB98" ca="1" si="712">($M98=CA98)*$D$13</f>
        <v>0</v>
      </c>
      <c r="CC98" s="57"/>
      <c r="CD98" s="67"/>
      <c r="CE98" s="66">
        <f t="shared" ref="CE98" ca="1" si="713">($M98=CD98)*$D$13</f>
        <v>0</v>
      </c>
      <c r="CF98" s="57"/>
      <c r="CG98" s="67"/>
      <c r="CH98" s="66">
        <f t="shared" ref="CH98" ca="1" si="714">($M98=CG98)*$D$13</f>
        <v>0</v>
      </c>
      <c r="CI98" s="57"/>
      <c r="CJ98" s="67"/>
      <c r="CK98" s="66">
        <f t="shared" ref="CK98" ca="1" si="715">($M98=CJ98)*$D$13</f>
        <v>0</v>
      </c>
      <c r="CL98" s="57"/>
      <c r="CM98" s="67"/>
      <c r="CN98" s="66">
        <f t="shared" ref="CN98" ca="1" si="716">($M98=CM98)*$D$13</f>
        <v>0</v>
      </c>
      <c r="CO98" s="57"/>
      <c r="CP98" s="67"/>
      <c r="CQ98" s="66">
        <f t="shared" ref="CQ98" ca="1" si="717">($M98=CP98)*$D$13</f>
        <v>0</v>
      </c>
      <c r="CR98" s="57"/>
      <c r="CS98" s="67"/>
      <c r="CT98" s="66">
        <f t="shared" ref="CT98" ca="1" si="718">($M98=CS98)*$D$13</f>
        <v>0</v>
      </c>
      <c r="CU98" s="57"/>
      <c r="CV98" s="67"/>
      <c r="CW98" s="66">
        <f t="shared" ref="CW98" ca="1" si="719">($M98=CV98)*$D$13</f>
        <v>0</v>
      </c>
      <c r="CX98" s="57"/>
      <c r="CY98" s="67"/>
      <c r="CZ98" s="66">
        <f t="shared" ref="CZ98" ca="1" si="720">($M98=CY98)*$D$13</f>
        <v>0</v>
      </c>
      <c r="DA98" s="57"/>
      <c r="DB98" s="67"/>
      <c r="DC98" s="66">
        <f t="shared" ref="DC98" ca="1" si="721">($M98=DB98)*$D$13</f>
        <v>0</v>
      </c>
      <c r="DD98" s="57"/>
      <c r="DE98" s="67"/>
      <c r="DF98" s="66">
        <f t="shared" ref="DF98" ca="1" si="722">($M98=DE98)*$D$13</f>
        <v>0</v>
      </c>
      <c r="DG98" s="57"/>
      <c r="DH98" s="67"/>
      <c r="DI98" s="66">
        <f t="shared" ref="DI98" ca="1" si="723">($M98=DH98)*$D$13</f>
        <v>0</v>
      </c>
      <c r="DJ98" s="57"/>
      <c r="DK98" s="67"/>
      <c r="DL98" s="66">
        <f t="shared" ref="DL98" ca="1" si="724">($M98=DK98)*$D$13</f>
        <v>0</v>
      </c>
      <c r="DM98" s="57"/>
      <c r="DN98" s="67"/>
      <c r="DO98" s="66">
        <f t="shared" ref="DO98" ca="1" si="725">($M98=DN98)*$D$13</f>
        <v>0</v>
      </c>
      <c r="DP98" s="57"/>
      <c r="DQ98" s="67"/>
      <c r="DR98" s="66">
        <f t="shared" ref="DR98" ca="1" si="726">($M98=DQ98)*$D$13</f>
        <v>0</v>
      </c>
      <c r="DS98" s="57"/>
      <c r="DT98" s="67"/>
      <c r="DU98" s="66">
        <f t="shared" ref="DU98" ca="1" si="727">($M98=DT98)*$D$13</f>
        <v>0</v>
      </c>
      <c r="DV98" s="57"/>
      <c r="DW98" s="67"/>
      <c r="DX98" s="66">
        <f t="shared" ref="DX98" ca="1" si="728">($M98=DW98)*$D$13</f>
        <v>0</v>
      </c>
      <c r="DY98" s="57"/>
      <c r="DZ98" s="67"/>
      <c r="EA98" s="66">
        <f t="shared" ref="EA98" ca="1" si="729">($M98=DZ98)*$D$13</f>
        <v>0</v>
      </c>
      <c r="EB98" s="57"/>
      <c r="EC98" s="67"/>
      <c r="ED98" s="66">
        <f t="shared" ref="ED98" ca="1" si="730">($M98=EC98)*$D$13</f>
        <v>0</v>
      </c>
      <c r="EE98" s="57"/>
      <c r="EF98" s="67"/>
      <c r="EG98" s="66">
        <f t="shared" ref="EG98" ca="1" si="731">($M98=EF98)*$D$13</f>
        <v>0</v>
      </c>
      <c r="EH98" s="57"/>
      <c r="EI98" s="57"/>
    </row>
    <row r="99" spans="1:139">
      <c r="A99" s="43"/>
      <c r="B99" s="43"/>
      <c r="C99" s="43"/>
      <c r="D99" s="43"/>
      <c r="E99" s="43"/>
      <c r="F99" s="712">
        <f t="shared" ref="F99" si="732">$D$14</f>
        <v>5</v>
      </c>
      <c r="G99" s="713">
        <f ca="1">VLOOKUP(H99,Equipos!$Q$1:$R$25,2,0)</f>
        <v>16</v>
      </c>
      <c r="H99" s="774">
        <f ca="1">$H$62</f>
        <v>46199</v>
      </c>
      <c r="I99" s="44"/>
      <c r="J99" s="862"/>
      <c r="K99" s="49" t="str">
        <f>Idiomas!D169</f>
        <v>4º GRUPO E</v>
      </c>
      <c r="L99" s="46"/>
      <c r="M99" s="48" t="str">
        <f ca="1">IF(OR(SUM(WORLDCUP!$AN$38:$AN$41)=12,WORLDCUP!$AJ$99=144),WORLDCUP!AL41,LEFT(K99,1)&amp;RIGHT(K99,1))</f>
        <v>4E</v>
      </c>
      <c r="N99" s="711"/>
      <c r="O99" s="711"/>
      <c r="P99" s="711"/>
      <c r="Q99" s="711"/>
      <c r="R99" s="102"/>
      <c r="S99" s="67" t="s">
        <v>1721</v>
      </c>
      <c r="T99" s="66">
        <f t="shared" ref="T99" ca="1" si="733">($M99=S99)*$D$14</f>
        <v>0</v>
      </c>
      <c r="U99" s="57"/>
      <c r="V99" s="67" t="s">
        <v>1721</v>
      </c>
      <c r="W99" s="66">
        <f t="shared" ref="W99" ca="1" si="734">($M99=V99)*$D$14</f>
        <v>0</v>
      </c>
      <c r="X99" s="57"/>
      <c r="Y99" s="67" t="s">
        <v>1721</v>
      </c>
      <c r="Z99" s="66">
        <f t="shared" ref="Z99" ca="1" si="735">($M99=Y99)*$D$14</f>
        <v>0</v>
      </c>
      <c r="AA99" s="57"/>
      <c r="AB99" s="67" t="s">
        <v>1721</v>
      </c>
      <c r="AC99" s="66">
        <f t="shared" ref="AC99" ca="1" si="736">($M99=AB99)*$D$14</f>
        <v>0</v>
      </c>
      <c r="AD99" s="57"/>
      <c r="AE99" s="67" t="s">
        <v>1721</v>
      </c>
      <c r="AF99" s="66">
        <f t="shared" ref="AF99" ca="1" si="737">($M99=AE99)*$D$14</f>
        <v>0</v>
      </c>
      <c r="AG99" s="57"/>
      <c r="AH99" s="67" t="s">
        <v>1721</v>
      </c>
      <c r="AI99" s="66">
        <f t="shared" ref="AI99" ca="1" si="738">($M99=AH99)*$D$14</f>
        <v>0</v>
      </c>
      <c r="AJ99" s="57"/>
      <c r="AK99" s="67" t="s">
        <v>1721</v>
      </c>
      <c r="AL99" s="66">
        <f t="shared" ref="AL99" ca="1" si="739">($M99=AK99)*$D$14</f>
        <v>0</v>
      </c>
      <c r="AM99" s="57"/>
      <c r="AN99" s="67" t="s">
        <v>1721</v>
      </c>
      <c r="AO99" s="66">
        <f t="shared" ref="AO99" ca="1" si="740">($M99=AN99)*$D$14</f>
        <v>0</v>
      </c>
      <c r="AP99" s="57"/>
      <c r="AQ99" s="67" t="s">
        <v>1721</v>
      </c>
      <c r="AR99" s="66">
        <f t="shared" ref="AR99" ca="1" si="741">($M99=AQ99)*$D$14</f>
        <v>0</v>
      </c>
      <c r="AS99" s="57"/>
      <c r="AT99" s="67" t="s">
        <v>1721</v>
      </c>
      <c r="AU99" s="66">
        <f t="shared" ref="AU99" ca="1" si="742">($M99=AT99)*$D$14</f>
        <v>0</v>
      </c>
      <c r="AV99" s="57"/>
      <c r="AW99" s="67" t="s">
        <v>1721</v>
      </c>
      <c r="AX99" s="66">
        <f t="shared" ref="AX99" ca="1" si="743">($M99=AW99)*$D$14</f>
        <v>0</v>
      </c>
      <c r="AY99" s="57"/>
      <c r="AZ99" s="67" t="s">
        <v>1721</v>
      </c>
      <c r="BA99" s="66">
        <f t="shared" ref="BA99" ca="1" si="744">($M99=AZ99)*$D$14</f>
        <v>0</v>
      </c>
      <c r="BB99" s="57"/>
      <c r="BC99" s="67" t="s">
        <v>1721</v>
      </c>
      <c r="BD99" s="66">
        <f t="shared" ref="BD99" ca="1" si="745">($M99=BC99)*$D$14</f>
        <v>0</v>
      </c>
      <c r="BE99" s="57"/>
      <c r="BF99" s="67" t="s">
        <v>1628</v>
      </c>
      <c r="BG99" s="66">
        <f t="shared" ref="BG99" ca="1" si="746">($M99=BF99)*$D$14</f>
        <v>0</v>
      </c>
      <c r="BH99" s="57"/>
      <c r="BI99" s="67" t="s">
        <v>1721</v>
      </c>
      <c r="BJ99" s="66">
        <f t="shared" ref="BJ99" ca="1" si="747">($M99=BI99)*$D$14</f>
        <v>0</v>
      </c>
      <c r="BK99" s="57"/>
      <c r="BL99" s="67" t="s">
        <v>1721</v>
      </c>
      <c r="BM99" s="66">
        <f t="shared" ref="BM99" ca="1" si="748">($M99=BL99)*$D$14</f>
        <v>0</v>
      </c>
      <c r="BN99" s="57"/>
      <c r="BO99" s="67" t="s">
        <v>1721</v>
      </c>
      <c r="BP99" s="66">
        <f t="shared" ref="BP99" ca="1" si="749">($M99=BO99)*$D$14</f>
        <v>0</v>
      </c>
      <c r="BQ99" s="57"/>
      <c r="BR99" s="67" t="s">
        <v>1721</v>
      </c>
      <c r="BS99" s="66">
        <f t="shared" ref="BS99" ca="1" si="750">($M99=BR99)*$D$14</f>
        <v>0</v>
      </c>
      <c r="BT99" s="57"/>
      <c r="BU99" s="67"/>
      <c r="BV99" s="66">
        <f t="shared" ref="BV99" ca="1" si="751">($M99=BU99)*$D$14</f>
        <v>0</v>
      </c>
      <c r="BW99" s="57"/>
      <c r="BX99" s="67"/>
      <c r="BY99" s="66">
        <f t="shared" ref="BY99" ca="1" si="752">($M99=BX99)*$D$14</f>
        <v>0</v>
      </c>
      <c r="BZ99" s="57"/>
      <c r="CA99" s="67"/>
      <c r="CB99" s="66">
        <f t="shared" ref="CB99" ca="1" si="753">($M99=CA99)*$D$14</f>
        <v>0</v>
      </c>
      <c r="CC99" s="57"/>
      <c r="CD99" s="67"/>
      <c r="CE99" s="66">
        <f t="shared" ref="CE99" ca="1" si="754">($M99=CD99)*$D$14</f>
        <v>0</v>
      </c>
      <c r="CF99" s="57"/>
      <c r="CG99" s="67"/>
      <c r="CH99" s="66">
        <f t="shared" ref="CH99" ca="1" si="755">($M99=CG99)*$D$14</f>
        <v>0</v>
      </c>
      <c r="CI99" s="57"/>
      <c r="CJ99" s="67"/>
      <c r="CK99" s="66">
        <f t="shared" ref="CK99" ca="1" si="756">($M99=CJ99)*$D$14</f>
        <v>0</v>
      </c>
      <c r="CL99" s="57"/>
      <c r="CM99" s="67"/>
      <c r="CN99" s="66">
        <f t="shared" ref="CN99" ca="1" si="757">($M99=CM99)*$D$14</f>
        <v>0</v>
      </c>
      <c r="CO99" s="57"/>
      <c r="CP99" s="67"/>
      <c r="CQ99" s="66">
        <f t="shared" ref="CQ99" ca="1" si="758">($M99=CP99)*$D$14</f>
        <v>0</v>
      </c>
      <c r="CR99" s="57"/>
      <c r="CS99" s="67"/>
      <c r="CT99" s="66">
        <f t="shared" ref="CT99" ca="1" si="759">($M99=CS99)*$D$14</f>
        <v>0</v>
      </c>
      <c r="CU99" s="57"/>
      <c r="CV99" s="67"/>
      <c r="CW99" s="66">
        <f t="shared" ref="CW99" ca="1" si="760">($M99=CV99)*$D$14</f>
        <v>0</v>
      </c>
      <c r="CX99" s="57"/>
      <c r="CY99" s="67"/>
      <c r="CZ99" s="66">
        <f t="shared" ref="CZ99" ca="1" si="761">($M99=CY99)*$D$14</f>
        <v>0</v>
      </c>
      <c r="DA99" s="57"/>
      <c r="DB99" s="67"/>
      <c r="DC99" s="66">
        <f t="shared" ref="DC99" ca="1" si="762">($M99=DB99)*$D$14</f>
        <v>0</v>
      </c>
      <c r="DD99" s="57"/>
      <c r="DE99" s="67"/>
      <c r="DF99" s="66">
        <f t="shared" ref="DF99" ca="1" si="763">($M99=DE99)*$D$14</f>
        <v>0</v>
      </c>
      <c r="DG99" s="57"/>
      <c r="DH99" s="67"/>
      <c r="DI99" s="66">
        <f t="shared" ref="DI99" ca="1" si="764">($M99=DH99)*$D$14</f>
        <v>0</v>
      </c>
      <c r="DJ99" s="57"/>
      <c r="DK99" s="67"/>
      <c r="DL99" s="66">
        <f t="shared" ref="DL99" ca="1" si="765">($M99=DK99)*$D$14</f>
        <v>0</v>
      </c>
      <c r="DM99" s="57"/>
      <c r="DN99" s="67"/>
      <c r="DO99" s="66">
        <f t="shared" ref="DO99" ca="1" si="766">($M99=DN99)*$D$14</f>
        <v>0</v>
      </c>
      <c r="DP99" s="57"/>
      <c r="DQ99" s="67"/>
      <c r="DR99" s="66">
        <f t="shared" ref="DR99" ca="1" si="767">($M99=DQ99)*$D$14</f>
        <v>0</v>
      </c>
      <c r="DS99" s="57"/>
      <c r="DT99" s="67"/>
      <c r="DU99" s="66">
        <f t="shared" ref="DU99" ca="1" si="768">($M99=DT99)*$D$14</f>
        <v>0</v>
      </c>
      <c r="DV99" s="57"/>
      <c r="DW99" s="67"/>
      <c r="DX99" s="66">
        <f t="shared" ref="DX99" ca="1" si="769">($M99=DW99)*$D$14</f>
        <v>0</v>
      </c>
      <c r="DY99" s="57"/>
      <c r="DZ99" s="67"/>
      <c r="EA99" s="66">
        <f t="shared" ref="EA99" ca="1" si="770">($M99=DZ99)*$D$14</f>
        <v>0</v>
      </c>
      <c r="EB99" s="57"/>
      <c r="EC99" s="67"/>
      <c r="ED99" s="66">
        <f t="shared" ref="ED99" ca="1" si="771">($M99=EC99)*$D$14</f>
        <v>0</v>
      </c>
      <c r="EE99" s="57"/>
      <c r="EF99" s="67"/>
      <c r="EG99" s="66">
        <f t="shared" ref="EG99" ca="1" si="772">($M99=EF99)*$D$14</f>
        <v>0</v>
      </c>
      <c r="EH99" s="57"/>
      <c r="EI99" s="57"/>
    </row>
    <row r="100" spans="1:139">
      <c r="A100" s="43"/>
      <c r="B100" s="43"/>
      <c r="C100" s="43"/>
      <c r="D100" s="43"/>
      <c r="E100" s="43"/>
      <c r="F100" s="712">
        <f t="shared" ref="F100" si="773">$D$11</f>
        <v>5</v>
      </c>
      <c r="G100" s="713">
        <f ca="1">VLOOKUP(H100,Equipos!$Q$1:$R$25,2,0)</f>
        <v>16</v>
      </c>
      <c r="H100" s="774">
        <f ca="1">$H$64</f>
        <v>46199</v>
      </c>
      <c r="I100" s="44"/>
      <c r="J100" s="861" t="s">
        <v>4</v>
      </c>
      <c r="K100" s="49" t="str">
        <f>Idiomas!D170</f>
        <v>1º GRUPO F</v>
      </c>
      <c r="L100" s="46"/>
      <c r="M100" s="48" t="str">
        <f ca="1">IF(OR(SUM(WORLDCUP!$AN$46:$AN$49)=12,WORLDCUP!$AJ$99=144),WORLDCUP!AL46,LEFT(K100,1)&amp;RIGHT(K100,1))</f>
        <v>1F</v>
      </c>
      <c r="N100" s="711"/>
      <c r="O100" s="711"/>
      <c r="P100" s="711"/>
      <c r="Q100" s="711"/>
      <c r="R100" s="102"/>
      <c r="S100" s="67" t="s">
        <v>111</v>
      </c>
      <c r="T100" s="66">
        <f t="shared" ref="T100" ca="1" si="774">($M100=S100)*$D$11</f>
        <v>0</v>
      </c>
      <c r="U100" s="57"/>
      <c r="V100" s="67" t="s">
        <v>111</v>
      </c>
      <c r="W100" s="66">
        <f t="shared" ref="W100" ca="1" si="775">($M100=V100)*$D$11</f>
        <v>0</v>
      </c>
      <c r="X100" s="57"/>
      <c r="Y100" s="67" t="s">
        <v>111</v>
      </c>
      <c r="Z100" s="66">
        <f t="shared" ref="Z100" ca="1" si="776">($M100=Y100)*$D$11</f>
        <v>0</v>
      </c>
      <c r="AA100" s="57"/>
      <c r="AB100" s="67" t="s">
        <v>111</v>
      </c>
      <c r="AC100" s="66">
        <f t="shared" ref="AC100" ca="1" si="777">($M100=AB100)*$D$11</f>
        <v>0</v>
      </c>
      <c r="AD100" s="57"/>
      <c r="AE100" s="67" t="s">
        <v>111</v>
      </c>
      <c r="AF100" s="66">
        <f t="shared" ref="AF100" ca="1" si="778">($M100=AE100)*$D$11</f>
        <v>0</v>
      </c>
      <c r="AG100" s="57"/>
      <c r="AH100" s="67" t="s">
        <v>111</v>
      </c>
      <c r="AI100" s="66">
        <f t="shared" ref="AI100" ca="1" si="779">($M100=AH100)*$D$11</f>
        <v>0</v>
      </c>
      <c r="AJ100" s="57"/>
      <c r="AK100" s="67" t="s">
        <v>111</v>
      </c>
      <c r="AL100" s="66">
        <f t="shared" ref="AL100" ca="1" si="780">($M100=AK100)*$D$11</f>
        <v>0</v>
      </c>
      <c r="AM100" s="57"/>
      <c r="AN100" s="67" t="s">
        <v>111</v>
      </c>
      <c r="AO100" s="66">
        <f t="shared" ref="AO100" ca="1" si="781">($M100=AN100)*$D$11</f>
        <v>0</v>
      </c>
      <c r="AP100" s="57"/>
      <c r="AQ100" s="67" t="s">
        <v>111</v>
      </c>
      <c r="AR100" s="66">
        <f t="shared" ref="AR100" ca="1" si="782">($M100=AQ100)*$D$11</f>
        <v>0</v>
      </c>
      <c r="AS100" s="57"/>
      <c r="AT100" s="67" t="s">
        <v>111</v>
      </c>
      <c r="AU100" s="66">
        <f t="shared" ref="AU100" ca="1" si="783">($M100=AT100)*$D$11</f>
        <v>0</v>
      </c>
      <c r="AV100" s="57"/>
      <c r="AW100" s="67" t="s">
        <v>111</v>
      </c>
      <c r="AX100" s="66">
        <f t="shared" ref="AX100" ca="1" si="784">($M100=AW100)*$D$11</f>
        <v>0</v>
      </c>
      <c r="AY100" s="57"/>
      <c r="AZ100" s="67" t="s">
        <v>111</v>
      </c>
      <c r="BA100" s="66">
        <f t="shared" ref="BA100" ca="1" si="785">($M100=AZ100)*$D$11</f>
        <v>0</v>
      </c>
      <c r="BB100" s="57"/>
      <c r="BC100" s="67" t="s">
        <v>111</v>
      </c>
      <c r="BD100" s="66">
        <f t="shared" ref="BD100" ca="1" si="786">($M100=BC100)*$D$11</f>
        <v>0</v>
      </c>
      <c r="BE100" s="57"/>
      <c r="BF100" s="67" t="s">
        <v>111</v>
      </c>
      <c r="BG100" s="66">
        <f t="shared" ref="BG100" ca="1" si="787">($M100=BF100)*$D$11</f>
        <v>0</v>
      </c>
      <c r="BH100" s="57"/>
      <c r="BI100" s="67" t="s">
        <v>111</v>
      </c>
      <c r="BJ100" s="66">
        <f t="shared" ref="BJ100" ca="1" si="788">($M100=BI100)*$D$11</f>
        <v>0</v>
      </c>
      <c r="BK100" s="57"/>
      <c r="BL100" s="67" t="s">
        <v>111</v>
      </c>
      <c r="BM100" s="66">
        <f t="shared" ref="BM100" ca="1" si="789">($M100=BL100)*$D$11</f>
        <v>0</v>
      </c>
      <c r="BN100" s="57"/>
      <c r="BO100" s="67" t="s">
        <v>111</v>
      </c>
      <c r="BP100" s="66">
        <f t="shared" ref="BP100" ca="1" si="790">($M100=BO100)*$D$11</f>
        <v>0</v>
      </c>
      <c r="BQ100" s="57"/>
      <c r="BR100" s="67" t="s">
        <v>111</v>
      </c>
      <c r="BS100" s="66">
        <f t="shared" ref="BS100" ca="1" si="791">($M100=BR100)*$D$11</f>
        <v>0</v>
      </c>
      <c r="BT100" s="57"/>
      <c r="BU100" s="67"/>
      <c r="BV100" s="66">
        <f t="shared" ref="BV100" ca="1" si="792">($M100=BU100)*$D$11</f>
        <v>0</v>
      </c>
      <c r="BW100" s="57"/>
      <c r="BX100" s="67"/>
      <c r="BY100" s="66">
        <f t="shared" ref="BY100" ca="1" si="793">($M100=BX100)*$D$11</f>
        <v>0</v>
      </c>
      <c r="BZ100" s="57"/>
      <c r="CA100" s="67"/>
      <c r="CB100" s="66">
        <f t="shared" ref="CB100" ca="1" si="794">($M100=CA100)*$D$11</f>
        <v>0</v>
      </c>
      <c r="CC100" s="57"/>
      <c r="CD100" s="67"/>
      <c r="CE100" s="66">
        <f t="shared" ref="CE100" ca="1" si="795">($M100=CD100)*$D$11</f>
        <v>0</v>
      </c>
      <c r="CF100" s="57"/>
      <c r="CG100" s="67"/>
      <c r="CH100" s="66">
        <f t="shared" ref="CH100" ca="1" si="796">($M100=CG100)*$D$11</f>
        <v>0</v>
      </c>
      <c r="CI100" s="57"/>
      <c r="CJ100" s="67"/>
      <c r="CK100" s="66">
        <f t="shared" ref="CK100" ca="1" si="797">($M100=CJ100)*$D$11</f>
        <v>0</v>
      </c>
      <c r="CL100" s="57"/>
      <c r="CM100" s="67"/>
      <c r="CN100" s="66">
        <f t="shared" ref="CN100" ca="1" si="798">($M100=CM100)*$D$11</f>
        <v>0</v>
      </c>
      <c r="CO100" s="57"/>
      <c r="CP100" s="67"/>
      <c r="CQ100" s="66">
        <f t="shared" ref="CQ100" ca="1" si="799">($M100=CP100)*$D$11</f>
        <v>0</v>
      </c>
      <c r="CR100" s="57"/>
      <c r="CS100" s="67"/>
      <c r="CT100" s="66">
        <f t="shared" ref="CT100" ca="1" si="800">($M100=CS100)*$D$11</f>
        <v>0</v>
      </c>
      <c r="CU100" s="57"/>
      <c r="CV100" s="67"/>
      <c r="CW100" s="66">
        <f t="shared" ref="CW100" ca="1" si="801">($M100=CV100)*$D$11</f>
        <v>0</v>
      </c>
      <c r="CX100" s="57"/>
      <c r="CY100" s="67"/>
      <c r="CZ100" s="66">
        <f t="shared" ref="CZ100" ca="1" si="802">($M100=CY100)*$D$11</f>
        <v>0</v>
      </c>
      <c r="DA100" s="57"/>
      <c r="DB100" s="67"/>
      <c r="DC100" s="66">
        <f t="shared" ref="DC100" ca="1" si="803">($M100=DB100)*$D$11</f>
        <v>0</v>
      </c>
      <c r="DD100" s="57"/>
      <c r="DE100" s="67"/>
      <c r="DF100" s="66">
        <f t="shared" ref="DF100" ca="1" si="804">($M100=DE100)*$D$11</f>
        <v>0</v>
      </c>
      <c r="DG100" s="57"/>
      <c r="DH100" s="67"/>
      <c r="DI100" s="66">
        <f t="shared" ref="DI100" ca="1" si="805">($M100=DH100)*$D$11</f>
        <v>0</v>
      </c>
      <c r="DJ100" s="57"/>
      <c r="DK100" s="67"/>
      <c r="DL100" s="66">
        <f t="shared" ref="DL100" ca="1" si="806">($M100=DK100)*$D$11</f>
        <v>0</v>
      </c>
      <c r="DM100" s="57"/>
      <c r="DN100" s="67"/>
      <c r="DO100" s="66">
        <f t="shared" ref="DO100" ca="1" si="807">($M100=DN100)*$D$11</f>
        <v>0</v>
      </c>
      <c r="DP100" s="57"/>
      <c r="DQ100" s="67"/>
      <c r="DR100" s="66">
        <f t="shared" ref="DR100" ca="1" si="808">($M100=DQ100)*$D$11</f>
        <v>0</v>
      </c>
      <c r="DS100" s="57"/>
      <c r="DT100" s="67"/>
      <c r="DU100" s="66">
        <f t="shared" ref="DU100" ca="1" si="809">($M100=DT100)*$D$11</f>
        <v>0</v>
      </c>
      <c r="DV100" s="57"/>
      <c r="DW100" s="67"/>
      <c r="DX100" s="66">
        <f t="shared" ref="DX100" ca="1" si="810">($M100=DW100)*$D$11</f>
        <v>0</v>
      </c>
      <c r="DY100" s="57"/>
      <c r="DZ100" s="67"/>
      <c r="EA100" s="66">
        <f t="shared" ref="EA100" ca="1" si="811">($M100=DZ100)*$D$11</f>
        <v>0</v>
      </c>
      <c r="EB100" s="57"/>
      <c r="EC100" s="67"/>
      <c r="ED100" s="66">
        <f t="shared" ref="ED100" ca="1" si="812">($M100=EC100)*$D$11</f>
        <v>0</v>
      </c>
      <c r="EE100" s="57"/>
      <c r="EF100" s="67"/>
      <c r="EG100" s="66">
        <f t="shared" ref="EG100" ca="1" si="813">($M100=EF100)*$D$11</f>
        <v>0</v>
      </c>
      <c r="EH100" s="57"/>
      <c r="EI100" s="57"/>
    </row>
    <row r="101" spans="1:139">
      <c r="A101" s="43"/>
      <c r="B101" s="43"/>
      <c r="C101" s="43"/>
      <c r="D101" s="43"/>
      <c r="E101" s="43"/>
      <c r="F101" s="712">
        <f t="shared" ref="F101" si="814">$D$12</f>
        <v>5</v>
      </c>
      <c r="G101" s="713">
        <f ca="1">VLOOKUP(H101,Equipos!$Q$1:$R$25,2,0)</f>
        <v>16</v>
      </c>
      <c r="H101" s="774">
        <f ca="1">$H$64</f>
        <v>46199</v>
      </c>
      <c r="I101" s="44"/>
      <c r="J101" s="861"/>
      <c r="K101" s="49" t="str">
        <f>Idiomas!D171</f>
        <v>2º GRUPO F</v>
      </c>
      <c r="L101" s="46"/>
      <c r="M101" s="48" t="str">
        <f ca="1">IF(OR(SUM(WORLDCUP!$AN$46:$AN$49)=12,WORLDCUP!$AJ$99=144),WORLDCUP!AL47,LEFT(K101,1)&amp;RIGHT(K101,1))</f>
        <v>2F</v>
      </c>
      <c r="N101" s="711"/>
      <c r="O101" s="711"/>
      <c r="P101" s="711"/>
      <c r="Q101" s="711"/>
      <c r="R101" s="102"/>
      <c r="S101" s="67" t="s">
        <v>1827</v>
      </c>
      <c r="T101" s="66">
        <f t="shared" ref="T101" ca="1" si="815">($M101=S101)*$D$12</f>
        <v>0</v>
      </c>
      <c r="U101" s="57"/>
      <c r="V101" s="67" t="s">
        <v>1263</v>
      </c>
      <c r="W101" s="66">
        <f t="shared" ref="W101" ca="1" si="816">($M101=V101)*$D$12</f>
        <v>0</v>
      </c>
      <c r="X101" s="57"/>
      <c r="Y101" s="67" t="s">
        <v>1827</v>
      </c>
      <c r="Z101" s="66">
        <f t="shared" ref="Z101" ca="1" si="817">($M101=Y101)*$D$12</f>
        <v>0</v>
      </c>
      <c r="AA101" s="57"/>
      <c r="AB101" s="67" t="s">
        <v>1263</v>
      </c>
      <c r="AC101" s="66">
        <f t="shared" ref="AC101" ca="1" si="818">($M101=AB101)*$D$12</f>
        <v>0</v>
      </c>
      <c r="AD101" s="57"/>
      <c r="AE101" s="67" t="s">
        <v>1263</v>
      </c>
      <c r="AF101" s="66">
        <f t="shared" ref="AF101" ca="1" si="819">($M101=AE101)*$D$12</f>
        <v>0</v>
      </c>
      <c r="AG101" s="57"/>
      <c r="AH101" s="67" t="s">
        <v>1263</v>
      </c>
      <c r="AI101" s="66">
        <f t="shared" ref="AI101" ca="1" si="820">($M101=AH101)*$D$12</f>
        <v>0</v>
      </c>
      <c r="AJ101" s="57"/>
      <c r="AK101" s="67" t="s">
        <v>1263</v>
      </c>
      <c r="AL101" s="66">
        <f t="shared" ref="AL101" ca="1" si="821">($M101=AK101)*$D$12</f>
        <v>0</v>
      </c>
      <c r="AM101" s="57"/>
      <c r="AN101" s="67" t="s">
        <v>1263</v>
      </c>
      <c r="AO101" s="66">
        <f t="shared" ref="AO101" ca="1" si="822">($M101=AN101)*$D$12</f>
        <v>0</v>
      </c>
      <c r="AP101" s="57"/>
      <c r="AQ101" s="67" t="s">
        <v>1263</v>
      </c>
      <c r="AR101" s="66">
        <f t="shared" ref="AR101" ca="1" si="823">($M101=AQ101)*$D$12</f>
        <v>0</v>
      </c>
      <c r="AS101" s="57"/>
      <c r="AT101" s="67" t="s">
        <v>1263</v>
      </c>
      <c r="AU101" s="66">
        <f t="shared" ref="AU101" ca="1" si="824">($M101=AT101)*$D$12</f>
        <v>0</v>
      </c>
      <c r="AV101" s="57"/>
      <c r="AW101" s="67" t="s">
        <v>1827</v>
      </c>
      <c r="AX101" s="66">
        <f t="shared" ref="AX101" ca="1" si="825">($M101=AW101)*$D$12</f>
        <v>0</v>
      </c>
      <c r="AY101" s="57"/>
      <c r="AZ101" s="67" t="s">
        <v>1827</v>
      </c>
      <c r="BA101" s="66">
        <f t="shared" ref="BA101" ca="1" si="826">($M101=AZ101)*$D$12</f>
        <v>0</v>
      </c>
      <c r="BB101" s="57"/>
      <c r="BC101" s="67" t="s">
        <v>1827</v>
      </c>
      <c r="BD101" s="66">
        <f t="shared" ref="BD101" ca="1" si="827">($M101=BC101)*$D$12</f>
        <v>0</v>
      </c>
      <c r="BE101" s="57"/>
      <c r="BF101" s="67" t="s">
        <v>1827</v>
      </c>
      <c r="BG101" s="66">
        <f t="shared" ref="BG101" ca="1" si="828">($M101=BF101)*$D$12</f>
        <v>0</v>
      </c>
      <c r="BH101" s="57"/>
      <c r="BI101" s="67" t="s">
        <v>1827</v>
      </c>
      <c r="BJ101" s="66">
        <f t="shared" ref="BJ101" ca="1" si="829">($M101=BI101)*$D$12</f>
        <v>0</v>
      </c>
      <c r="BK101" s="57"/>
      <c r="BL101" s="67" t="s">
        <v>1827</v>
      </c>
      <c r="BM101" s="66">
        <f t="shared" ref="BM101" ca="1" si="830">($M101=BL101)*$D$12</f>
        <v>0</v>
      </c>
      <c r="BN101" s="57"/>
      <c r="BO101" s="67" t="s">
        <v>1263</v>
      </c>
      <c r="BP101" s="66">
        <f t="shared" ref="BP101" ca="1" si="831">($M101=BO101)*$D$12</f>
        <v>0</v>
      </c>
      <c r="BQ101" s="57"/>
      <c r="BR101" s="67" t="s">
        <v>1263</v>
      </c>
      <c r="BS101" s="66">
        <f t="shared" ref="BS101" ca="1" si="832">($M101=BR101)*$D$12</f>
        <v>0</v>
      </c>
      <c r="BT101" s="57"/>
      <c r="BU101" s="67"/>
      <c r="BV101" s="66">
        <f t="shared" ref="BV101" ca="1" si="833">($M101=BU101)*$D$12</f>
        <v>0</v>
      </c>
      <c r="BW101" s="57"/>
      <c r="BX101" s="67"/>
      <c r="BY101" s="66">
        <f t="shared" ref="BY101" ca="1" si="834">($M101=BX101)*$D$12</f>
        <v>0</v>
      </c>
      <c r="BZ101" s="57"/>
      <c r="CA101" s="67"/>
      <c r="CB101" s="66">
        <f t="shared" ref="CB101" ca="1" si="835">($M101=CA101)*$D$12</f>
        <v>0</v>
      </c>
      <c r="CC101" s="57"/>
      <c r="CD101" s="67"/>
      <c r="CE101" s="66">
        <f t="shared" ref="CE101" ca="1" si="836">($M101=CD101)*$D$12</f>
        <v>0</v>
      </c>
      <c r="CF101" s="57"/>
      <c r="CG101" s="67"/>
      <c r="CH101" s="66">
        <f t="shared" ref="CH101" ca="1" si="837">($M101=CG101)*$D$12</f>
        <v>0</v>
      </c>
      <c r="CI101" s="57"/>
      <c r="CJ101" s="67"/>
      <c r="CK101" s="66">
        <f t="shared" ref="CK101" ca="1" si="838">($M101=CJ101)*$D$12</f>
        <v>0</v>
      </c>
      <c r="CL101" s="57"/>
      <c r="CM101" s="67"/>
      <c r="CN101" s="66">
        <f t="shared" ref="CN101" ca="1" si="839">($M101=CM101)*$D$12</f>
        <v>0</v>
      </c>
      <c r="CO101" s="57"/>
      <c r="CP101" s="67"/>
      <c r="CQ101" s="66">
        <f t="shared" ref="CQ101" ca="1" si="840">($M101=CP101)*$D$12</f>
        <v>0</v>
      </c>
      <c r="CR101" s="57"/>
      <c r="CS101" s="67"/>
      <c r="CT101" s="66">
        <f t="shared" ref="CT101" ca="1" si="841">($M101=CS101)*$D$12</f>
        <v>0</v>
      </c>
      <c r="CU101" s="57"/>
      <c r="CV101" s="67"/>
      <c r="CW101" s="66">
        <f t="shared" ref="CW101" ca="1" si="842">($M101=CV101)*$D$12</f>
        <v>0</v>
      </c>
      <c r="CX101" s="57"/>
      <c r="CY101" s="67"/>
      <c r="CZ101" s="66">
        <f t="shared" ref="CZ101" ca="1" si="843">($M101=CY101)*$D$12</f>
        <v>0</v>
      </c>
      <c r="DA101" s="57"/>
      <c r="DB101" s="67"/>
      <c r="DC101" s="66">
        <f t="shared" ref="DC101" ca="1" si="844">($M101=DB101)*$D$12</f>
        <v>0</v>
      </c>
      <c r="DD101" s="57"/>
      <c r="DE101" s="67"/>
      <c r="DF101" s="66">
        <f t="shared" ref="DF101" ca="1" si="845">($M101=DE101)*$D$12</f>
        <v>0</v>
      </c>
      <c r="DG101" s="57"/>
      <c r="DH101" s="67"/>
      <c r="DI101" s="66">
        <f t="shared" ref="DI101" ca="1" si="846">($M101=DH101)*$D$12</f>
        <v>0</v>
      </c>
      <c r="DJ101" s="57"/>
      <c r="DK101" s="67"/>
      <c r="DL101" s="66">
        <f t="shared" ref="DL101" ca="1" si="847">($M101=DK101)*$D$12</f>
        <v>0</v>
      </c>
      <c r="DM101" s="57"/>
      <c r="DN101" s="67"/>
      <c r="DO101" s="66">
        <f t="shared" ref="DO101" ca="1" si="848">($M101=DN101)*$D$12</f>
        <v>0</v>
      </c>
      <c r="DP101" s="57"/>
      <c r="DQ101" s="67"/>
      <c r="DR101" s="66">
        <f t="shared" ref="DR101" ca="1" si="849">($M101=DQ101)*$D$12</f>
        <v>0</v>
      </c>
      <c r="DS101" s="57"/>
      <c r="DT101" s="67"/>
      <c r="DU101" s="66">
        <f t="shared" ref="DU101" ca="1" si="850">($M101=DT101)*$D$12</f>
        <v>0</v>
      </c>
      <c r="DV101" s="57"/>
      <c r="DW101" s="67"/>
      <c r="DX101" s="66">
        <f t="shared" ref="DX101" ca="1" si="851">($M101=DW101)*$D$12</f>
        <v>0</v>
      </c>
      <c r="DY101" s="57"/>
      <c r="DZ101" s="67"/>
      <c r="EA101" s="66">
        <f t="shared" ref="EA101" ca="1" si="852">($M101=DZ101)*$D$12</f>
        <v>0</v>
      </c>
      <c r="EB101" s="57"/>
      <c r="EC101" s="67"/>
      <c r="ED101" s="66">
        <f t="shared" ref="ED101" ca="1" si="853">($M101=EC101)*$D$12</f>
        <v>0</v>
      </c>
      <c r="EE101" s="57"/>
      <c r="EF101" s="67"/>
      <c r="EG101" s="66">
        <f t="shared" ref="EG101" ca="1" si="854">($M101=EF101)*$D$12</f>
        <v>0</v>
      </c>
      <c r="EH101" s="57"/>
      <c r="EI101" s="57"/>
    </row>
    <row r="102" spans="1:139">
      <c r="A102" s="43"/>
      <c r="B102" s="43"/>
      <c r="C102" s="43"/>
      <c r="D102" s="43"/>
      <c r="E102" s="43"/>
      <c r="F102" s="712">
        <f t="shared" ref="F102" si="855">$D$13</f>
        <v>5</v>
      </c>
      <c r="G102" s="713">
        <f ca="1">VLOOKUP(H102,Equipos!$Q$1:$R$25,2,0)</f>
        <v>16</v>
      </c>
      <c r="H102" s="774">
        <f ca="1">$H$64</f>
        <v>46199</v>
      </c>
      <c r="I102" s="44"/>
      <c r="J102" s="861"/>
      <c r="K102" s="49" t="str">
        <f>Idiomas!D172</f>
        <v>3º GRUPO F</v>
      </c>
      <c r="L102" s="46"/>
      <c r="M102" s="48" t="str">
        <f ca="1">IF(OR(SUM(WORLDCUP!$AN$46:$AN$49)=12,WORLDCUP!$AJ$99=144),WORLDCUP!AL48,LEFT(K102,1)&amp;RIGHT(K102,1))</f>
        <v>3F</v>
      </c>
      <c r="N102" s="711"/>
      <c r="O102" s="711"/>
      <c r="P102" s="711"/>
      <c r="Q102" s="711"/>
      <c r="R102" s="102"/>
      <c r="S102" s="67" t="s">
        <v>1263</v>
      </c>
      <c r="T102" s="66">
        <f t="shared" ref="T102" ca="1" si="856">($M102=S102)*$D$13</f>
        <v>0</v>
      </c>
      <c r="U102" s="57"/>
      <c r="V102" s="67" t="s">
        <v>1827</v>
      </c>
      <c r="W102" s="66">
        <f t="shared" ref="W102" ca="1" si="857">($M102=V102)*$D$13</f>
        <v>0</v>
      </c>
      <c r="X102" s="57"/>
      <c r="Y102" s="67" t="s">
        <v>1263</v>
      </c>
      <c r="Z102" s="66">
        <f t="shared" ref="Z102" ca="1" si="858">($M102=Y102)*$D$13</f>
        <v>0</v>
      </c>
      <c r="AA102" s="57"/>
      <c r="AB102" s="67" t="s">
        <v>1827</v>
      </c>
      <c r="AC102" s="66">
        <f t="shared" ref="AC102" ca="1" si="859">($M102=AB102)*$D$13</f>
        <v>0</v>
      </c>
      <c r="AD102" s="57"/>
      <c r="AE102" s="67" t="s">
        <v>1827</v>
      </c>
      <c r="AF102" s="66">
        <f t="shared" ref="AF102" ca="1" si="860">($M102=AE102)*$D$13</f>
        <v>0</v>
      </c>
      <c r="AG102" s="57"/>
      <c r="AH102" s="67" t="s">
        <v>1827</v>
      </c>
      <c r="AI102" s="66">
        <f t="shared" ref="AI102" ca="1" si="861">($M102=AH102)*$D$13</f>
        <v>0</v>
      </c>
      <c r="AJ102" s="57"/>
      <c r="AK102" s="67" t="s">
        <v>1827</v>
      </c>
      <c r="AL102" s="66">
        <f t="shared" ref="AL102" ca="1" si="862">($M102=AK102)*$D$13</f>
        <v>0</v>
      </c>
      <c r="AM102" s="57"/>
      <c r="AN102" s="67" t="s">
        <v>1827</v>
      </c>
      <c r="AO102" s="66">
        <f t="shared" ref="AO102" ca="1" si="863">($M102=AN102)*$D$13</f>
        <v>0</v>
      </c>
      <c r="AP102" s="57"/>
      <c r="AQ102" s="67" t="s">
        <v>1827</v>
      </c>
      <c r="AR102" s="66">
        <f t="shared" ref="AR102" ca="1" si="864">($M102=AQ102)*$D$13</f>
        <v>0</v>
      </c>
      <c r="AS102" s="57"/>
      <c r="AT102" s="67" t="s">
        <v>1827</v>
      </c>
      <c r="AU102" s="66">
        <f t="shared" ref="AU102" ca="1" si="865">($M102=AT102)*$D$13</f>
        <v>0</v>
      </c>
      <c r="AV102" s="57"/>
      <c r="AW102" s="67" t="s">
        <v>1263</v>
      </c>
      <c r="AX102" s="66">
        <f t="shared" ref="AX102" ca="1" si="866">($M102=AW102)*$D$13</f>
        <v>0</v>
      </c>
      <c r="AY102" s="57"/>
      <c r="AZ102" s="67" t="s">
        <v>1263</v>
      </c>
      <c r="BA102" s="66">
        <f t="shared" ref="BA102" ca="1" si="867">($M102=AZ102)*$D$13</f>
        <v>0</v>
      </c>
      <c r="BB102" s="57"/>
      <c r="BC102" s="67" t="s">
        <v>1263</v>
      </c>
      <c r="BD102" s="66">
        <f t="shared" ref="BD102" ca="1" si="868">($M102=BC102)*$D$13</f>
        <v>0</v>
      </c>
      <c r="BE102" s="57"/>
      <c r="BF102" s="67" t="s">
        <v>1263</v>
      </c>
      <c r="BG102" s="66">
        <f t="shared" ref="BG102" ca="1" si="869">($M102=BF102)*$D$13</f>
        <v>0</v>
      </c>
      <c r="BH102" s="57"/>
      <c r="BI102" s="67" t="s">
        <v>1263</v>
      </c>
      <c r="BJ102" s="66">
        <f t="shared" ref="BJ102" ca="1" si="870">($M102=BI102)*$D$13</f>
        <v>0</v>
      </c>
      <c r="BK102" s="57"/>
      <c r="BL102" s="67" t="s">
        <v>1263</v>
      </c>
      <c r="BM102" s="66">
        <f t="shared" ref="BM102" ca="1" si="871">($M102=BL102)*$D$13</f>
        <v>0</v>
      </c>
      <c r="BN102" s="57"/>
      <c r="BO102" s="67" t="s">
        <v>1827</v>
      </c>
      <c r="BP102" s="66">
        <f t="shared" ref="BP102" ca="1" si="872">($M102=BO102)*$D$13</f>
        <v>0</v>
      </c>
      <c r="BQ102" s="57"/>
      <c r="BR102" s="67" t="s">
        <v>1827</v>
      </c>
      <c r="BS102" s="66">
        <f t="shared" ref="BS102" ca="1" si="873">($M102=BR102)*$D$13</f>
        <v>0</v>
      </c>
      <c r="BT102" s="57"/>
      <c r="BU102" s="67"/>
      <c r="BV102" s="66">
        <f t="shared" ref="BV102" ca="1" si="874">($M102=BU102)*$D$13</f>
        <v>0</v>
      </c>
      <c r="BW102" s="57"/>
      <c r="BX102" s="67"/>
      <c r="BY102" s="66">
        <f t="shared" ref="BY102" ca="1" si="875">($M102=BX102)*$D$13</f>
        <v>0</v>
      </c>
      <c r="BZ102" s="57"/>
      <c r="CA102" s="67"/>
      <c r="CB102" s="66">
        <f t="shared" ref="CB102" ca="1" si="876">($M102=CA102)*$D$13</f>
        <v>0</v>
      </c>
      <c r="CC102" s="57"/>
      <c r="CD102" s="67"/>
      <c r="CE102" s="66">
        <f t="shared" ref="CE102" ca="1" si="877">($M102=CD102)*$D$13</f>
        <v>0</v>
      </c>
      <c r="CF102" s="57"/>
      <c r="CG102" s="67"/>
      <c r="CH102" s="66">
        <f t="shared" ref="CH102" ca="1" si="878">($M102=CG102)*$D$13</f>
        <v>0</v>
      </c>
      <c r="CI102" s="57"/>
      <c r="CJ102" s="67"/>
      <c r="CK102" s="66">
        <f t="shared" ref="CK102" ca="1" si="879">($M102=CJ102)*$D$13</f>
        <v>0</v>
      </c>
      <c r="CL102" s="57"/>
      <c r="CM102" s="67"/>
      <c r="CN102" s="66">
        <f t="shared" ref="CN102" ca="1" si="880">($M102=CM102)*$D$13</f>
        <v>0</v>
      </c>
      <c r="CO102" s="57"/>
      <c r="CP102" s="67"/>
      <c r="CQ102" s="66">
        <f t="shared" ref="CQ102" ca="1" si="881">($M102=CP102)*$D$13</f>
        <v>0</v>
      </c>
      <c r="CR102" s="57"/>
      <c r="CS102" s="67"/>
      <c r="CT102" s="66">
        <f t="shared" ref="CT102" ca="1" si="882">($M102=CS102)*$D$13</f>
        <v>0</v>
      </c>
      <c r="CU102" s="57"/>
      <c r="CV102" s="67"/>
      <c r="CW102" s="66">
        <f t="shared" ref="CW102" ca="1" si="883">($M102=CV102)*$D$13</f>
        <v>0</v>
      </c>
      <c r="CX102" s="57"/>
      <c r="CY102" s="67"/>
      <c r="CZ102" s="66">
        <f t="shared" ref="CZ102" ca="1" si="884">($M102=CY102)*$D$13</f>
        <v>0</v>
      </c>
      <c r="DA102" s="57"/>
      <c r="DB102" s="67"/>
      <c r="DC102" s="66">
        <f t="shared" ref="DC102" ca="1" si="885">($M102=DB102)*$D$13</f>
        <v>0</v>
      </c>
      <c r="DD102" s="57"/>
      <c r="DE102" s="67"/>
      <c r="DF102" s="66">
        <f t="shared" ref="DF102" ca="1" si="886">($M102=DE102)*$D$13</f>
        <v>0</v>
      </c>
      <c r="DG102" s="57"/>
      <c r="DH102" s="67"/>
      <c r="DI102" s="66">
        <f t="shared" ref="DI102" ca="1" si="887">($M102=DH102)*$D$13</f>
        <v>0</v>
      </c>
      <c r="DJ102" s="57"/>
      <c r="DK102" s="67"/>
      <c r="DL102" s="66">
        <f t="shared" ref="DL102" ca="1" si="888">($M102=DK102)*$D$13</f>
        <v>0</v>
      </c>
      <c r="DM102" s="57"/>
      <c r="DN102" s="67"/>
      <c r="DO102" s="66">
        <f t="shared" ref="DO102" ca="1" si="889">($M102=DN102)*$D$13</f>
        <v>0</v>
      </c>
      <c r="DP102" s="57"/>
      <c r="DQ102" s="67"/>
      <c r="DR102" s="66">
        <f t="shared" ref="DR102" ca="1" si="890">($M102=DQ102)*$D$13</f>
        <v>0</v>
      </c>
      <c r="DS102" s="57"/>
      <c r="DT102" s="67"/>
      <c r="DU102" s="66">
        <f t="shared" ref="DU102" ca="1" si="891">($M102=DT102)*$D$13</f>
        <v>0</v>
      </c>
      <c r="DV102" s="57"/>
      <c r="DW102" s="67"/>
      <c r="DX102" s="66">
        <f t="shared" ref="DX102" ca="1" si="892">($M102=DW102)*$D$13</f>
        <v>0</v>
      </c>
      <c r="DY102" s="57"/>
      <c r="DZ102" s="67"/>
      <c r="EA102" s="66">
        <f t="shared" ref="EA102" ca="1" si="893">($M102=DZ102)*$D$13</f>
        <v>0</v>
      </c>
      <c r="EB102" s="57"/>
      <c r="EC102" s="67"/>
      <c r="ED102" s="66">
        <f t="shared" ref="ED102" ca="1" si="894">($M102=EC102)*$D$13</f>
        <v>0</v>
      </c>
      <c r="EE102" s="57"/>
      <c r="EF102" s="67"/>
      <c r="EG102" s="66">
        <f t="shared" ref="EG102" ca="1" si="895">($M102=EF102)*$D$13</f>
        <v>0</v>
      </c>
      <c r="EH102" s="57"/>
      <c r="EI102" s="57"/>
    </row>
    <row r="103" spans="1:139">
      <c r="A103" s="43"/>
      <c r="B103" s="43"/>
      <c r="C103" s="43"/>
      <c r="D103" s="43"/>
      <c r="E103" s="43"/>
      <c r="F103" s="712">
        <f t="shared" ref="F103" si="896">$D$14</f>
        <v>5</v>
      </c>
      <c r="G103" s="713">
        <f ca="1">VLOOKUP(H103,Equipos!$Q$1:$R$25,2,0)</f>
        <v>16</v>
      </c>
      <c r="H103" s="774">
        <f ca="1">$H$64</f>
        <v>46199</v>
      </c>
      <c r="I103" s="44"/>
      <c r="J103" s="861"/>
      <c r="K103" s="49" t="str">
        <f>Idiomas!D173</f>
        <v>4º GRUPO F</v>
      </c>
      <c r="L103" s="46"/>
      <c r="M103" s="48" t="str">
        <f ca="1">IF(OR(SUM(WORLDCUP!$AN$46:$AN$49)=12,WORLDCUP!$AJ$99=144),WORLDCUP!AL49,LEFT(K103,1)&amp;RIGHT(K103,1))</f>
        <v>4F</v>
      </c>
      <c r="N103" s="711"/>
      <c r="O103" s="711"/>
      <c r="P103" s="711"/>
      <c r="Q103" s="711"/>
      <c r="R103" s="102"/>
      <c r="S103" s="67" t="s">
        <v>1318</v>
      </c>
      <c r="T103" s="66">
        <f t="shared" ref="T103" ca="1" si="897">($M103=S103)*$D$14</f>
        <v>0</v>
      </c>
      <c r="U103" s="57"/>
      <c r="V103" s="67" t="s">
        <v>1318</v>
      </c>
      <c r="W103" s="66">
        <f t="shared" ref="W103" ca="1" si="898">($M103=V103)*$D$14</f>
        <v>0</v>
      </c>
      <c r="X103" s="57"/>
      <c r="Y103" s="67" t="s">
        <v>1318</v>
      </c>
      <c r="Z103" s="66">
        <f t="shared" ref="Z103" ca="1" si="899">($M103=Y103)*$D$14</f>
        <v>0</v>
      </c>
      <c r="AA103" s="57"/>
      <c r="AB103" s="67" t="s">
        <v>1318</v>
      </c>
      <c r="AC103" s="66">
        <f t="shared" ref="AC103" ca="1" si="900">($M103=AB103)*$D$14</f>
        <v>0</v>
      </c>
      <c r="AD103" s="57"/>
      <c r="AE103" s="67" t="s">
        <v>1318</v>
      </c>
      <c r="AF103" s="66">
        <f t="shared" ref="AF103" ca="1" si="901">($M103=AE103)*$D$14</f>
        <v>0</v>
      </c>
      <c r="AG103" s="57"/>
      <c r="AH103" s="67" t="s">
        <v>1318</v>
      </c>
      <c r="AI103" s="66">
        <f t="shared" ref="AI103" ca="1" si="902">($M103=AH103)*$D$14</f>
        <v>0</v>
      </c>
      <c r="AJ103" s="57"/>
      <c r="AK103" s="67" t="s">
        <v>1318</v>
      </c>
      <c r="AL103" s="66">
        <f t="shared" ref="AL103" ca="1" si="903">($M103=AK103)*$D$14</f>
        <v>0</v>
      </c>
      <c r="AM103" s="57"/>
      <c r="AN103" s="67" t="s">
        <v>1318</v>
      </c>
      <c r="AO103" s="66">
        <f t="shared" ref="AO103" ca="1" si="904">($M103=AN103)*$D$14</f>
        <v>0</v>
      </c>
      <c r="AP103" s="57"/>
      <c r="AQ103" s="67" t="s">
        <v>1318</v>
      </c>
      <c r="AR103" s="66">
        <f t="shared" ref="AR103" ca="1" si="905">($M103=AQ103)*$D$14</f>
        <v>0</v>
      </c>
      <c r="AS103" s="57"/>
      <c r="AT103" s="67" t="s">
        <v>1318</v>
      </c>
      <c r="AU103" s="66">
        <f t="shared" ref="AU103" ca="1" si="906">($M103=AT103)*$D$14</f>
        <v>0</v>
      </c>
      <c r="AV103" s="57"/>
      <c r="AW103" s="67" t="s">
        <v>1318</v>
      </c>
      <c r="AX103" s="66">
        <f t="shared" ref="AX103" ca="1" si="907">($M103=AW103)*$D$14</f>
        <v>0</v>
      </c>
      <c r="AY103" s="57"/>
      <c r="AZ103" s="67" t="s">
        <v>1318</v>
      </c>
      <c r="BA103" s="66">
        <f t="shared" ref="BA103" ca="1" si="908">($M103=AZ103)*$D$14</f>
        <v>0</v>
      </c>
      <c r="BB103" s="57"/>
      <c r="BC103" s="67" t="s">
        <v>1318</v>
      </c>
      <c r="BD103" s="66">
        <f t="shared" ref="BD103" ca="1" si="909">($M103=BC103)*$D$14</f>
        <v>0</v>
      </c>
      <c r="BE103" s="57"/>
      <c r="BF103" s="67" t="s">
        <v>1318</v>
      </c>
      <c r="BG103" s="66">
        <f t="shared" ref="BG103" ca="1" si="910">($M103=BF103)*$D$14</f>
        <v>0</v>
      </c>
      <c r="BH103" s="57"/>
      <c r="BI103" s="67" t="s">
        <v>1318</v>
      </c>
      <c r="BJ103" s="66">
        <f t="shared" ref="BJ103" ca="1" si="911">($M103=BI103)*$D$14</f>
        <v>0</v>
      </c>
      <c r="BK103" s="57"/>
      <c r="BL103" s="67" t="s">
        <v>1318</v>
      </c>
      <c r="BM103" s="66">
        <f t="shared" ref="BM103" ca="1" si="912">($M103=BL103)*$D$14</f>
        <v>0</v>
      </c>
      <c r="BN103" s="57"/>
      <c r="BO103" s="67" t="s">
        <v>1318</v>
      </c>
      <c r="BP103" s="66">
        <f t="shared" ref="BP103" ca="1" si="913">($M103=BO103)*$D$14</f>
        <v>0</v>
      </c>
      <c r="BQ103" s="57"/>
      <c r="BR103" s="67" t="s">
        <v>1318</v>
      </c>
      <c r="BS103" s="66">
        <f t="shared" ref="BS103" ca="1" si="914">($M103=BR103)*$D$14</f>
        <v>0</v>
      </c>
      <c r="BT103" s="57"/>
      <c r="BU103" s="67"/>
      <c r="BV103" s="66">
        <f t="shared" ref="BV103" ca="1" si="915">($M103=BU103)*$D$14</f>
        <v>0</v>
      </c>
      <c r="BW103" s="57"/>
      <c r="BX103" s="67"/>
      <c r="BY103" s="66">
        <f t="shared" ref="BY103" ca="1" si="916">($M103=BX103)*$D$14</f>
        <v>0</v>
      </c>
      <c r="BZ103" s="57"/>
      <c r="CA103" s="67"/>
      <c r="CB103" s="66">
        <f t="shared" ref="CB103" ca="1" si="917">($M103=CA103)*$D$14</f>
        <v>0</v>
      </c>
      <c r="CC103" s="57"/>
      <c r="CD103" s="67"/>
      <c r="CE103" s="66">
        <f t="shared" ref="CE103" ca="1" si="918">($M103=CD103)*$D$14</f>
        <v>0</v>
      </c>
      <c r="CF103" s="57"/>
      <c r="CG103" s="67"/>
      <c r="CH103" s="66">
        <f t="shared" ref="CH103" ca="1" si="919">($M103=CG103)*$D$14</f>
        <v>0</v>
      </c>
      <c r="CI103" s="57"/>
      <c r="CJ103" s="67"/>
      <c r="CK103" s="66">
        <f t="shared" ref="CK103" ca="1" si="920">($M103=CJ103)*$D$14</f>
        <v>0</v>
      </c>
      <c r="CL103" s="57"/>
      <c r="CM103" s="67"/>
      <c r="CN103" s="66">
        <f t="shared" ref="CN103" ca="1" si="921">($M103=CM103)*$D$14</f>
        <v>0</v>
      </c>
      <c r="CO103" s="57"/>
      <c r="CP103" s="67"/>
      <c r="CQ103" s="66">
        <f t="shared" ref="CQ103" ca="1" si="922">($M103=CP103)*$D$14</f>
        <v>0</v>
      </c>
      <c r="CR103" s="57"/>
      <c r="CS103" s="67"/>
      <c r="CT103" s="66">
        <f t="shared" ref="CT103" ca="1" si="923">($M103=CS103)*$D$14</f>
        <v>0</v>
      </c>
      <c r="CU103" s="57"/>
      <c r="CV103" s="67"/>
      <c r="CW103" s="66">
        <f t="shared" ref="CW103" ca="1" si="924">($M103=CV103)*$D$14</f>
        <v>0</v>
      </c>
      <c r="CX103" s="57"/>
      <c r="CY103" s="67"/>
      <c r="CZ103" s="66">
        <f t="shared" ref="CZ103" ca="1" si="925">($M103=CY103)*$D$14</f>
        <v>0</v>
      </c>
      <c r="DA103" s="57"/>
      <c r="DB103" s="67"/>
      <c r="DC103" s="66">
        <f t="shared" ref="DC103" ca="1" si="926">($M103=DB103)*$D$14</f>
        <v>0</v>
      </c>
      <c r="DD103" s="57"/>
      <c r="DE103" s="67"/>
      <c r="DF103" s="66">
        <f t="shared" ref="DF103" ca="1" si="927">($M103=DE103)*$D$14</f>
        <v>0</v>
      </c>
      <c r="DG103" s="57"/>
      <c r="DH103" s="67"/>
      <c r="DI103" s="66">
        <f t="shared" ref="DI103" ca="1" si="928">($M103=DH103)*$D$14</f>
        <v>0</v>
      </c>
      <c r="DJ103" s="57"/>
      <c r="DK103" s="67"/>
      <c r="DL103" s="66">
        <f t="shared" ref="DL103" ca="1" si="929">($M103=DK103)*$D$14</f>
        <v>0</v>
      </c>
      <c r="DM103" s="57"/>
      <c r="DN103" s="67"/>
      <c r="DO103" s="66">
        <f t="shared" ref="DO103" ca="1" si="930">($M103=DN103)*$D$14</f>
        <v>0</v>
      </c>
      <c r="DP103" s="57"/>
      <c r="DQ103" s="67"/>
      <c r="DR103" s="66">
        <f t="shared" ref="DR103" ca="1" si="931">($M103=DQ103)*$D$14</f>
        <v>0</v>
      </c>
      <c r="DS103" s="57"/>
      <c r="DT103" s="67"/>
      <c r="DU103" s="66">
        <f t="shared" ref="DU103" ca="1" si="932">($M103=DT103)*$D$14</f>
        <v>0</v>
      </c>
      <c r="DV103" s="57"/>
      <c r="DW103" s="67"/>
      <c r="DX103" s="66">
        <f t="shared" ref="DX103" ca="1" si="933">($M103=DW103)*$D$14</f>
        <v>0</v>
      </c>
      <c r="DY103" s="57"/>
      <c r="DZ103" s="67"/>
      <c r="EA103" s="66">
        <f t="shared" ref="EA103" ca="1" si="934">($M103=DZ103)*$D$14</f>
        <v>0</v>
      </c>
      <c r="EB103" s="57"/>
      <c r="EC103" s="67"/>
      <c r="ED103" s="66">
        <f t="shared" ref="ED103" ca="1" si="935">($M103=EC103)*$D$14</f>
        <v>0</v>
      </c>
      <c r="EE103" s="57"/>
      <c r="EF103" s="67"/>
      <c r="EG103" s="66">
        <f t="shared" ref="EG103" ca="1" si="936">($M103=EF103)*$D$14</f>
        <v>0</v>
      </c>
      <c r="EH103" s="57"/>
      <c r="EI103" s="57"/>
    </row>
    <row r="104" spans="1:139">
      <c r="A104" s="43"/>
      <c r="B104" s="43"/>
      <c r="C104" s="43"/>
      <c r="D104" s="43"/>
      <c r="E104" s="43"/>
      <c r="F104" s="712">
        <f t="shared" ref="F104" si="937">$D$11</f>
        <v>5</v>
      </c>
      <c r="G104" s="713">
        <f ca="1">VLOOKUP(H104,Equipos!$Q$1:$R$25,2,0)</f>
        <v>17</v>
      </c>
      <c r="H104" s="774">
        <f ca="1">$H$66</f>
        <v>46200</v>
      </c>
      <c r="I104" s="44"/>
      <c r="J104" s="862" t="s">
        <v>6</v>
      </c>
      <c r="K104" s="49" t="str">
        <f>Idiomas!D174</f>
        <v>1º GRUPO G</v>
      </c>
      <c r="L104" s="46"/>
      <c r="M104" s="48" t="str">
        <f ca="1">IF(OR(SUM(WORLDCUP!$AN$54:$AN$57)=12,WORLDCUP!$AJ$99=144),WORLDCUP!AL54,LEFT(K104,1)&amp;RIGHT(K104,1))</f>
        <v>1G</v>
      </c>
      <c r="N104" s="711"/>
      <c r="O104" s="711"/>
      <c r="P104" s="711"/>
      <c r="Q104" s="711"/>
      <c r="R104" s="102"/>
      <c r="S104" s="67" t="s">
        <v>110</v>
      </c>
      <c r="T104" s="66">
        <f t="shared" ref="T104" ca="1" si="938">($M104=S104)*$D$11</f>
        <v>0</v>
      </c>
      <c r="U104" s="57"/>
      <c r="V104" s="67" t="s">
        <v>110</v>
      </c>
      <c r="W104" s="66">
        <f t="shared" ref="W104" ca="1" si="939">($M104=V104)*$D$11</f>
        <v>0</v>
      </c>
      <c r="X104" s="57"/>
      <c r="Y104" s="67" t="s">
        <v>110</v>
      </c>
      <c r="Z104" s="66">
        <f t="shared" ref="Z104" ca="1" si="940">($M104=Y104)*$D$11</f>
        <v>0</v>
      </c>
      <c r="AA104" s="57"/>
      <c r="AB104" s="67" t="s">
        <v>110</v>
      </c>
      <c r="AC104" s="66">
        <f t="shared" ref="AC104" ca="1" si="941">($M104=AB104)*$D$11</f>
        <v>0</v>
      </c>
      <c r="AD104" s="57"/>
      <c r="AE104" s="67" t="s">
        <v>110</v>
      </c>
      <c r="AF104" s="66">
        <f t="shared" ref="AF104" ca="1" si="942">($M104=AE104)*$D$11</f>
        <v>0</v>
      </c>
      <c r="AG104" s="57"/>
      <c r="AH104" s="67" t="s">
        <v>110</v>
      </c>
      <c r="AI104" s="66">
        <f t="shared" ref="AI104" ca="1" si="943">($M104=AH104)*$D$11</f>
        <v>0</v>
      </c>
      <c r="AJ104" s="57"/>
      <c r="AK104" s="67" t="s">
        <v>110</v>
      </c>
      <c r="AL104" s="66">
        <f t="shared" ref="AL104" ca="1" si="944">($M104=AK104)*$D$11</f>
        <v>0</v>
      </c>
      <c r="AM104" s="57"/>
      <c r="AN104" s="67" t="s">
        <v>110</v>
      </c>
      <c r="AO104" s="66">
        <f t="shared" ref="AO104" ca="1" si="945">($M104=AN104)*$D$11</f>
        <v>0</v>
      </c>
      <c r="AP104" s="57"/>
      <c r="AQ104" s="67" t="s">
        <v>110</v>
      </c>
      <c r="AR104" s="66">
        <f t="shared" ref="AR104" ca="1" si="946">($M104=AQ104)*$D$11</f>
        <v>0</v>
      </c>
      <c r="AS104" s="57"/>
      <c r="AT104" s="67" t="s">
        <v>110</v>
      </c>
      <c r="AU104" s="66">
        <f t="shared" ref="AU104" ca="1" si="947">($M104=AT104)*$D$11</f>
        <v>0</v>
      </c>
      <c r="AV104" s="57"/>
      <c r="AW104" s="67" t="s">
        <v>110</v>
      </c>
      <c r="AX104" s="66">
        <f t="shared" ref="AX104" ca="1" si="948">($M104=AW104)*$D$11</f>
        <v>0</v>
      </c>
      <c r="AY104" s="57"/>
      <c r="AZ104" s="67" t="s">
        <v>110</v>
      </c>
      <c r="BA104" s="66">
        <f t="shared" ref="BA104" ca="1" si="949">($M104=AZ104)*$D$11</f>
        <v>0</v>
      </c>
      <c r="BB104" s="57"/>
      <c r="BC104" s="67" t="s">
        <v>110</v>
      </c>
      <c r="BD104" s="66">
        <f t="shared" ref="BD104" ca="1" si="950">($M104=BC104)*$D$11</f>
        <v>0</v>
      </c>
      <c r="BE104" s="57"/>
      <c r="BF104" s="67" t="s">
        <v>110</v>
      </c>
      <c r="BG104" s="66">
        <f t="shared" ref="BG104" ca="1" si="951">($M104=BF104)*$D$11</f>
        <v>0</v>
      </c>
      <c r="BH104" s="57"/>
      <c r="BI104" s="67" t="s">
        <v>110</v>
      </c>
      <c r="BJ104" s="66">
        <f t="shared" ref="BJ104" ca="1" si="952">($M104=BI104)*$D$11</f>
        <v>0</v>
      </c>
      <c r="BK104" s="57"/>
      <c r="BL104" s="67" t="s">
        <v>110</v>
      </c>
      <c r="BM104" s="66">
        <f t="shared" ref="BM104" ca="1" si="953">($M104=BL104)*$D$11</f>
        <v>0</v>
      </c>
      <c r="BN104" s="57"/>
      <c r="BO104" s="67" t="s">
        <v>110</v>
      </c>
      <c r="BP104" s="66">
        <f t="shared" ref="BP104" ca="1" si="954">($M104=BO104)*$D$11</f>
        <v>0</v>
      </c>
      <c r="BQ104" s="57"/>
      <c r="BR104" s="67" t="s">
        <v>110</v>
      </c>
      <c r="BS104" s="66">
        <f t="shared" ref="BS104" ca="1" si="955">($M104=BR104)*$D$11</f>
        <v>0</v>
      </c>
      <c r="BT104" s="57"/>
      <c r="BU104" s="67"/>
      <c r="BV104" s="66">
        <f t="shared" ref="BV104" ca="1" si="956">($M104=BU104)*$D$11</f>
        <v>0</v>
      </c>
      <c r="BW104" s="57"/>
      <c r="BX104" s="67"/>
      <c r="BY104" s="66">
        <f t="shared" ref="BY104" ca="1" si="957">($M104=BX104)*$D$11</f>
        <v>0</v>
      </c>
      <c r="BZ104" s="57"/>
      <c r="CA104" s="67"/>
      <c r="CB104" s="66">
        <f t="shared" ref="CB104" ca="1" si="958">($M104=CA104)*$D$11</f>
        <v>0</v>
      </c>
      <c r="CC104" s="57"/>
      <c r="CD104" s="67"/>
      <c r="CE104" s="66">
        <f t="shared" ref="CE104" ca="1" si="959">($M104=CD104)*$D$11</f>
        <v>0</v>
      </c>
      <c r="CF104" s="57"/>
      <c r="CG104" s="67"/>
      <c r="CH104" s="66">
        <f t="shared" ref="CH104" ca="1" si="960">($M104=CG104)*$D$11</f>
        <v>0</v>
      </c>
      <c r="CI104" s="57"/>
      <c r="CJ104" s="67"/>
      <c r="CK104" s="66">
        <f t="shared" ref="CK104" ca="1" si="961">($M104=CJ104)*$D$11</f>
        <v>0</v>
      </c>
      <c r="CL104" s="57"/>
      <c r="CM104" s="67"/>
      <c r="CN104" s="66">
        <f t="shared" ref="CN104" ca="1" si="962">($M104=CM104)*$D$11</f>
        <v>0</v>
      </c>
      <c r="CO104" s="57"/>
      <c r="CP104" s="67"/>
      <c r="CQ104" s="66">
        <f t="shared" ref="CQ104" ca="1" si="963">($M104=CP104)*$D$11</f>
        <v>0</v>
      </c>
      <c r="CR104" s="57"/>
      <c r="CS104" s="67"/>
      <c r="CT104" s="66">
        <f t="shared" ref="CT104" ca="1" si="964">($M104=CS104)*$D$11</f>
        <v>0</v>
      </c>
      <c r="CU104" s="57"/>
      <c r="CV104" s="67"/>
      <c r="CW104" s="66">
        <f t="shared" ref="CW104" ca="1" si="965">($M104=CV104)*$D$11</f>
        <v>0</v>
      </c>
      <c r="CX104" s="57"/>
      <c r="CY104" s="67"/>
      <c r="CZ104" s="66">
        <f t="shared" ref="CZ104" ca="1" si="966">($M104=CY104)*$D$11</f>
        <v>0</v>
      </c>
      <c r="DA104" s="57"/>
      <c r="DB104" s="67"/>
      <c r="DC104" s="66">
        <f t="shared" ref="DC104" ca="1" si="967">($M104=DB104)*$D$11</f>
        <v>0</v>
      </c>
      <c r="DD104" s="57"/>
      <c r="DE104" s="67"/>
      <c r="DF104" s="66">
        <f t="shared" ref="DF104" ca="1" si="968">($M104=DE104)*$D$11</f>
        <v>0</v>
      </c>
      <c r="DG104" s="57"/>
      <c r="DH104" s="67"/>
      <c r="DI104" s="66">
        <f t="shared" ref="DI104" ca="1" si="969">($M104=DH104)*$D$11</f>
        <v>0</v>
      </c>
      <c r="DJ104" s="57"/>
      <c r="DK104" s="67"/>
      <c r="DL104" s="66">
        <f t="shared" ref="DL104" ca="1" si="970">($M104=DK104)*$D$11</f>
        <v>0</v>
      </c>
      <c r="DM104" s="57"/>
      <c r="DN104" s="67"/>
      <c r="DO104" s="66">
        <f t="shared" ref="DO104" ca="1" si="971">($M104=DN104)*$D$11</f>
        <v>0</v>
      </c>
      <c r="DP104" s="57"/>
      <c r="DQ104" s="67"/>
      <c r="DR104" s="66">
        <f t="shared" ref="DR104" ca="1" si="972">($M104=DQ104)*$D$11</f>
        <v>0</v>
      </c>
      <c r="DS104" s="57"/>
      <c r="DT104" s="67"/>
      <c r="DU104" s="66">
        <f t="shared" ref="DU104" ca="1" si="973">($M104=DT104)*$D$11</f>
        <v>0</v>
      </c>
      <c r="DV104" s="57"/>
      <c r="DW104" s="67"/>
      <c r="DX104" s="66">
        <f t="shared" ref="DX104" ca="1" si="974">($M104=DW104)*$D$11</f>
        <v>0</v>
      </c>
      <c r="DY104" s="57"/>
      <c r="DZ104" s="67"/>
      <c r="EA104" s="66">
        <f t="shared" ref="EA104" ca="1" si="975">($M104=DZ104)*$D$11</f>
        <v>0</v>
      </c>
      <c r="EB104" s="57"/>
      <c r="EC104" s="67"/>
      <c r="ED104" s="66">
        <f t="shared" ref="ED104" ca="1" si="976">($M104=EC104)*$D$11</f>
        <v>0</v>
      </c>
      <c r="EE104" s="57"/>
      <c r="EF104" s="67"/>
      <c r="EG104" s="66">
        <f t="shared" ref="EG104" ca="1" si="977">($M104=EF104)*$D$11</f>
        <v>0</v>
      </c>
      <c r="EH104" s="57"/>
      <c r="EI104" s="57"/>
    </row>
    <row r="105" spans="1:139">
      <c r="A105" s="43"/>
      <c r="B105" s="43"/>
      <c r="C105" s="43"/>
      <c r="D105" s="43"/>
      <c r="E105" s="43"/>
      <c r="F105" s="712">
        <f t="shared" ref="F105" si="978">$D$12</f>
        <v>5</v>
      </c>
      <c r="G105" s="713">
        <f ca="1">VLOOKUP(H105,Equipos!$Q$1:$R$25,2,0)</f>
        <v>17</v>
      </c>
      <c r="H105" s="774">
        <f ca="1">$H$66</f>
        <v>46200</v>
      </c>
      <c r="I105" s="44"/>
      <c r="J105" s="862"/>
      <c r="K105" s="49" t="str">
        <f>Idiomas!D175</f>
        <v>2º GRUPO G</v>
      </c>
      <c r="L105" s="46"/>
      <c r="M105" s="48" t="str">
        <f ca="1">IF(OR(SUM(WORLDCUP!$AN$54:$AN$57)=12,WORLDCUP!$AJ$99=144),WORLDCUP!AL55,LEFT(K105,1)&amp;RIGHT(K105,1))</f>
        <v>2G</v>
      </c>
      <c r="N105" s="711"/>
      <c r="O105" s="711"/>
      <c r="P105" s="711"/>
      <c r="Q105" s="711"/>
      <c r="R105" s="102"/>
      <c r="S105" s="67" t="s">
        <v>1545</v>
      </c>
      <c r="T105" s="66">
        <f t="shared" ref="T105" ca="1" si="979">($M105=S105)*$D$12</f>
        <v>0</v>
      </c>
      <c r="U105" s="57"/>
      <c r="V105" s="67" t="s">
        <v>1545</v>
      </c>
      <c r="W105" s="66">
        <f t="shared" ref="W105" ca="1" si="980">($M105=V105)*$D$12</f>
        <v>0</v>
      </c>
      <c r="X105" s="57"/>
      <c r="Y105" s="67" t="s">
        <v>1545</v>
      </c>
      <c r="Z105" s="66">
        <f t="shared" ref="Z105" ca="1" si="981">($M105=Y105)*$D$12</f>
        <v>0</v>
      </c>
      <c r="AA105" s="57"/>
      <c r="AB105" s="67" t="s">
        <v>1262</v>
      </c>
      <c r="AC105" s="66">
        <f t="shared" ref="AC105" ca="1" si="982">($M105=AB105)*$D$12</f>
        <v>0</v>
      </c>
      <c r="AD105" s="57"/>
      <c r="AE105" s="67" t="s">
        <v>1545</v>
      </c>
      <c r="AF105" s="66">
        <f t="shared" ref="AF105" ca="1" si="983">($M105=AE105)*$D$12</f>
        <v>0</v>
      </c>
      <c r="AG105" s="57"/>
      <c r="AH105" s="67" t="s">
        <v>1545</v>
      </c>
      <c r="AI105" s="66">
        <f t="shared" ref="AI105" ca="1" si="984">($M105=AH105)*$D$12</f>
        <v>0</v>
      </c>
      <c r="AJ105" s="57"/>
      <c r="AK105" s="67" t="s">
        <v>1262</v>
      </c>
      <c r="AL105" s="66">
        <f t="shared" ref="AL105" ca="1" si="985">($M105=AK105)*$D$12</f>
        <v>0</v>
      </c>
      <c r="AM105" s="57"/>
      <c r="AN105" s="67" t="s">
        <v>1545</v>
      </c>
      <c r="AO105" s="66">
        <f t="shared" ref="AO105" ca="1" si="986">($M105=AN105)*$D$12</f>
        <v>0</v>
      </c>
      <c r="AP105" s="57"/>
      <c r="AQ105" s="67" t="s">
        <v>1545</v>
      </c>
      <c r="AR105" s="66">
        <f t="shared" ref="AR105" ca="1" si="987">($M105=AQ105)*$D$12</f>
        <v>0</v>
      </c>
      <c r="AS105" s="57"/>
      <c r="AT105" s="67" t="s">
        <v>1545</v>
      </c>
      <c r="AU105" s="66">
        <f t="shared" ref="AU105" ca="1" si="988">($M105=AT105)*$D$12</f>
        <v>0</v>
      </c>
      <c r="AV105" s="57"/>
      <c r="AW105" s="67" t="s">
        <v>1545</v>
      </c>
      <c r="AX105" s="66">
        <f t="shared" ref="AX105" ca="1" si="989">($M105=AW105)*$D$12</f>
        <v>0</v>
      </c>
      <c r="AY105" s="57"/>
      <c r="AZ105" s="67" t="s">
        <v>1545</v>
      </c>
      <c r="BA105" s="66">
        <f t="shared" ref="BA105" ca="1" si="990">($M105=AZ105)*$D$12</f>
        <v>0</v>
      </c>
      <c r="BB105" s="57"/>
      <c r="BC105" s="67" t="s">
        <v>1545</v>
      </c>
      <c r="BD105" s="66">
        <f t="shared" ref="BD105" ca="1" si="991">($M105=BC105)*$D$12</f>
        <v>0</v>
      </c>
      <c r="BE105" s="57"/>
      <c r="BF105" s="67" t="s">
        <v>1545</v>
      </c>
      <c r="BG105" s="66">
        <f t="shared" ref="BG105" ca="1" si="992">($M105=BF105)*$D$12</f>
        <v>0</v>
      </c>
      <c r="BH105" s="57"/>
      <c r="BI105" s="67" t="s">
        <v>1545</v>
      </c>
      <c r="BJ105" s="66">
        <f t="shared" ref="BJ105" ca="1" si="993">($M105=BI105)*$D$12</f>
        <v>0</v>
      </c>
      <c r="BK105" s="57"/>
      <c r="BL105" s="67" t="s">
        <v>1262</v>
      </c>
      <c r="BM105" s="66">
        <f t="shared" ref="BM105" ca="1" si="994">($M105=BL105)*$D$12</f>
        <v>0</v>
      </c>
      <c r="BN105" s="57"/>
      <c r="BO105" s="67" t="s">
        <v>1545</v>
      </c>
      <c r="BP105" s="66">
        <f t="shared" ref="BP105" ca="1" si="995">($M105=BO105)*$D$12</f>
        <v>0</v>
      </c>
      <c r="BQ105" s="57"/>
      <c r="BR105" s="67" t="s">
        <v>1262</v>
      </c>
      <c r="BS105" s="66">
        <f t="shared" ref="BS105" ca="1" si="996">($M105=BR105)*$D$12</f>
        <v>0</v>
      </c>
      <c r="BT105" s="57"/>
      <c r="BU105" s="67"/>
      <c r="BV105" s="66">
        <f t="shared" ref="BV105" ca="1" si="997">($M105=BU105)*$D$12</f>
        <v>0</v>
      </c>
      <c r="BW105" s="57"/>
      <c r="BX105" s="67"/>
      <c r="BY105" s="66">
        <f t="shared" ref="BY105" ca="1" si="998">($M105=BX105)*$D$12</f>
        <v>0</v>
      </c>
      <c r="BZ105" s="57"/>
      <c r="CA105" s="67"/>
      <c r="CB105" s="66">
        <f t="shared" ref="CB105" ca="1" si="999">($M105=CA105)*$D$12</f>
        <v>0</v>
      </c>
      <c r="CC105" s="57"/>
      <c r="CD105" s="67"/>
      <c r="CE105" s="66">
        <f t="shared" ref="CE105" ca="1" si="1000">($M105=CD105)*$D$12</f>
        <v>0</v>
      </c>
      <c r="CF105" s="57"/>
      <c r="CG105" s="67"/>
      <c r="CH105" s="66">
        <f t="shared" ref="CH105" ca="1" si="1001">($M105=CG105)*$D$12</f>
        <v>0</v>
      </c>
      <c r="CI105" s="57"/>
      <c r="CJ105" s="67"/>
      <c r="CK105" s="66">
        <f t="shared" ref="CK105" ca="1" si="1002">($M105=CJ105)*$D$12</f>
        <v>0</v>
      </c>
      <c r="CL105" s="57"/>
      <c r="CM105" s="67"/>
      <c r="CN105" s="66">
        <f t="shared" ref="CN105" ca="1" si="1003">($M105=CM105)*$D$12</f>
        <v>0</v>
      </c>
      <c r="CO105" s="57"/>
      <c r="CP105" s="67"/>
      <c r="CQ105" s="66">
        <f t="shared" ref="CQ105" ca="1" si="1004">($M105=CP105)*$D$12</f>
        <v>0</v>
      </c>
      <c r="CR105" s="57"/>
      <c r="CS105" s="67"/>
      <c r="CT105" s="66">
        <f t="shared" ref="CT105" ca="1" si="1005">($M105=CS105)*$D$12</f>
        <v>0</v>
      </c>
      <c r="CU105" s="57"/>
      <c r="CV105" s="67"/>
      <c r="CW105" s="66">
        <f t="shared" ref="CW105" ca="1" si="1006">($M105=CV105)*$D$12</f>
        <v>0</v>
      </c>
      <c r="CX105" s="57"/>
      <c r="CY105" s="67"/>
      <c r="CZ105" s="66">
        <f t="shared" ref="CZ105" ca="1" si="1007">($M105=CY105)*$D$12</f>
        <v>0</v>
      </c>
      <c r="DA105" s="57"/>
      <c r="DB105" s="67"/>
      <c r="DC105" s="66">
        <f t="shared" ref="DC105" ca="1" si="1008">($M105=DB105)*$D$12</f>
        <v>0</v>
      </c>
      <c r="DD105" s="57"/>
      <c r="DE105" s="67"/>
      <c r="DF105" s="66">
        <f t="shared" ref="DF105" ca="1" si="1009">($M105=DE105)*$D$12</f>
        <v>0</v>
      </c>
      <c r="DG105" s="57"/>
      <c r="DH105" s="67"/>
      <c r="DI105" s="66">
        <f t="shared" ref="DI105" ca="1" si="1010">($M105=DH105)*$D$12</f>
        <v>0</v>
      </c>
      <c r="DJ105" s="57"/>
      <c r="DK105" s="67"/>
      <c r="DL105" s="66">
        <f t="shared" ref="DL105" ca="1" si="1011">($M105=DK105)*$D$12</f>
        <v>0</v>
      </c>
      <c r="DM105" s="57"/>
      <c r="DN105" s="67"/>
      <c r="DO105" s="66">
        <f t="shared" ref="DO105" ca="1" si="1012">($M105=DN105)*$D$12</f>
        <v>0</v>
      </c>
      <c r="DP105" s="57"/>
      <c r="DQ105" s="67"/>
      <c r="DR105" s="66">
        <f t="shared" ref="DR105" ca="1" si="1013">($M105=DQ105)*$D$12</f>
        <v>0</v>
      </c>
      <c r="DS105" s="57"/>
      <c r="DT105" s="67"/>
      <c r="DU105" s="66">
        <f t="shared" ref="DU105" ca="1" si="1014">($M105=DT105)*$D$12</f>
        <v>0</v>
      </c>
      <c r="DV105" s="57"/>
      <c r="DW105" s="67"/>
      <c r="DX105" s="66">
        <f t="shared" ref="DX105" ca="1" si="1015">($M105=DW105)*$D$12</f>
        <v>0</v>
      </c>
      <c r="DY105" s="57"/>
      <c r="DZ105" s="67"/>
      <c r="EA105" s="66">
        <f t="shared" ref="EA105" ca="1" si="1016">($M105=DZ105)*$D$12</f>
        <v>0</v>
      </c>
      <c r="EB105" s="57"/>
      <c r="EC105" s="67"/>
      <c r="ED105" s="66">
        <f t="shared" ref="ED105" ca="1" si="1017">($M105=EC105)*$D$12</f>
        <v>0</v>
      </c>
      <c r="EE105" s="57"/>
      <c r="EF105" s="67"/>
      <c r="EG105" s="66">
        <f t="shared" ref="EG105" ca="1" si="1018">($M105=EF105)*$D$12</f>
        <v>0</v>
      </c>
      <c r="EH105" s="57"/>
      <c r="EI105" s="57"/>
    </row>
    <row r="106" spans="1:139">
      <c r="A106" s="43"/>
      <c r="B106" s="43"/>
      <c r="C106" s="43"/>
      <c r="D106" s="43"/>
      <c r="E106" s="43"/>
      <c r="F106" s="712">
        <f t="shared" ref="F106" si="1019">$D$13</f>
        <v>5</v>
      </c>
      <c r="G106" s="713">
        <f ca="1">VLOOKUP(H106,Equipos!$Q$1:$R$25,2,0)</f>
        <v>17</v>
      </c>
      <c r="H106" s="774">
        <f ca="1">$H$66</f>
        <v>46200</v>
      </c>
      <c r="I106" s="44"/>
      <c r="J106" s="862"/>
      <c r="K106" s="49" t="str">
        <f>Idiomas!D176</f>
        <v>3º GRUPO G</v>
      </c>
      <c r="L106" s="46"/>
      <c r="M106" s="48" t="str">
        <f ca="1">IF(OR(SUM(WORLDCUP!$AN$54:$AN$57)=12,WORLDCUP!$AJ$99=144),WORLDCUP!AL56,LEFT(K106,1)&amp;RIGHT(K106,1))</f>
        <v>3G</v>
      </c>
      <c r="N106" s="711"/>
      <c r="O106" s="711"/>
      <c r="P106" s="711"/>
      <c r="Q106" s="711"/>
      <c r="R106" s="102"/>
      <c r="S106" s="67" t="s">
        <v>1266</v>
      </c>
      <c r="T106" s="66">
        <f t="shared" ref="T106" ca="1" si="1020">($M106=S106)*$D$13</f>
        <v>0</v>
      </c>
      <c r="U106" s="57"/>
      <c r="V106" s="67" t="s">
        <v>1262</v>
      </c>
      <c r="W106" s="66">
        <f t="shared" ref="W106" ca="1" si="1021">($M106=V106)*$D$13</f>
        <v>0</v>
      </c>
      <c r="X106" s="57"/>
      <c r="Y106" s="67" t="s">
        <v>1262</v>
      </c>
      <c r="Z106" s="66">
        <f t="shared" ref="Z106" ca="1" si="1022">($M106=Y106)*$D$13</f>
        <v>0</v>
      </c>
      <c r="AA106" s="57"/>
      <c r="AB106" s="67" t="s">
        <v>1545</v>
      </c>
      <c r="AC106" s="66">
        <f t="shared" ref="AC106" ca="1" si="1023">($M106=AB106)*$D$13</f>
        <v>0</v>
      </c>
      <c r="AD106" s="57"/>
      <c r="AE106" s="67" t="s">
        <v>1262</v>
      </c>
      <c r="AF106" s="66">
        <f t="shared" ref="AF106" ca="1" si="1024">($M106=AE106)*$D$13</f>
        <v>0</v>
      </c>
      <c r="AG106" s="57"/>
      <c r="AH106" s="67" t="s">
        <v>1262</v>
      </c>
      <c r="AI106" s="66">
        <f t="shared" ref="AI106" ca="1" si="1025">($M106=AH106)*$D$13</f>
        <v>0</v>
      </c>
      <c r="AJ106" s="57"/>
      <c r="AK106" s="67" t="s">
        <v>1545</v>
      </c>
      <c r="AL106" s="66">
        <f t="shared" ref="AL106" ca="1" si="1026">($M106=AK106)*$D$13</f>
        <v>0</v>
      </c>
      <c r="AM106" s="57"/>
      <c r="AN106" s="67" t="s">
        <v>1262</v>
      </c>
      <c r="AO106" s="66">
        <f t="shared" ref="AO106" ca="1" si="1027">($M106=AN106)*$D$13</f>
        <v>0</v>
      </c>
      <c r="AP106" s="57"/>
      <c r="AQ106" s="67" t="s">
        <v>1262</v>
      </c>
      <c r="AR106" s="66">
        <f t="shared" ref="AR106" ca="1" si="1028">($M106=AQ106)*$D$13</f>
        <v>0</v>
      </c>
      <c r="AS106" s="57"/>
      <c r="AT106" s="67" t="s">
        <v>1266</v>
      </c>
      <c r="AU106" s="66">
        <f t="shared" ref="AU106" ca="1" si="1029">($M106=AT106)*$D$13</f>
        <v>0</v>
      </c>
      <c r="AV106" s="57"/>
      <c r="AW106" s="67" t="s">
        <v>1266</v>
      </c>
      <c r="AX106" s="66">
        <f t="shared" ref="AX106" ca="1" si="1030">($M106=AW106)*$D$13</f>
        <v>0</v>
      </c>
      <c r="AY106" s="57"/>
      <c r="AZ106" s="67" t="s">
        <v>1262</v>
      </c>
      <c r="BA106" s="66">
        <f t="shared" ref="BA106" ca="1" si="1031">($M106=AZ106)*$D$13</f>
        <v>0</v>
      </c>
      <c r="BB106" s="57"/>
      <c r="BC106" s="67" t="s">
        <v>1262</v>
      </c>
      <c r="BD106" s="66">
        <f t="shared" ref="BD106" ca="1" si="1032">($M106=BC106)*$D$13</f>
        <v>0</v>
      </c>
      <c r="BE106" s="57"/>
      <c r="BF106" s="67" t="s">
        <v>1262</v>
      </c>
      <c r="BG106" s="66">
        <f t="shared" ref="BG106" ca="1" si="1033">($M106=BF106)*$D$13</f>
        <v>0</v>
      </c>
      <c r="BH106" s="57"/>
      <c r="BI106" s="67" t="s">
        <v>1262</v>
      </c>
      <c r="BJ106" s="66">
        <f t="shared" ref="BJ106" ca="1" si="1034">($M106=BI106)*$D$13</f>
        <v>0</v>
      </c>
      <c r="BK106" s="57"/>
      <c r="BL106" s="67" t="s">
        <v>1266</v>
      </c>
      <c r="BM106" s="66">
        <f t="shared" ref="BM106" ca="1" si="1035">($M106=BL106)*$D$13</f>
        <v>0</v>
      </c>
      <c r="BN106" s="57"/>
      <c r="BO106" s="67" t="s">
        <v>1262</v>
      </c>
      <c r="BP106" s="66">
        <f t="shared" ref="BP106" ca="1" si="1036">($M106=BO106)*$D$13</f>
        <v>0</v>
      </c>
      <c r="BQ106" s="57"/>
      <c r="BR106" s="67" t="s">
        <v>1545</v>
      </c>
      <c r="BS106" s="66">
        <f t="shared" ref="BS106" ca="1" si="1037">($M106=BR106)*$D$13</f>
        <v>0</v>
      </c>
      <c r="BT106" s="57"/>
      <c r="BU106" s="67"/>
      <c r="BV106" s="66">
        <f t="shared" ref="BV106" ca="1" si="1038">($M106=BU106)*$D$13</f>
        <v>0</v>
      </c>
      <c r="BW106" s="57"/>
      <c r="BX106" s="67"/>
      <c r="BY106" s="66">
        <f t="shared" ref="BY106" ca="1" si="1039">($M106=BX106)*$D$13</f>
        <v>0</v>
      </c>
      <c r="BZ106" s="57"/>
      <c r="CA106" s="67"/>
      <c r="CB106" s="66">
        <f t="shared" ref="CB106" ca="1" si="1040">($M106=CA106)*$D$13</f>
        <v>0</v>
      </c>
      <c r="CC106" s="57"/>
      <c r="CD106" s="67"/>
      <c r="CE106" s="66">
        <f t="shared" ref="CE106" ca="1" si="1041">($M106=CD106)*$D$13</f>
        <v>0</v>
      </c>
      <c r="CF106" s="57"/>
      <c r="CG106" s="67"/>
      <c r="CH106" s="66">
        <f t="shared" ref="CH106" ca="1" si="1042">($M106=CG106)*$D$13</f>
        <v>0</v>
      </c>
      <c r="CI106" s="57"/>
      <c r="CJ106" s="67"/>
      <c r="CK106" s="66">
        <f t="shared" ref="CK106" ca="1" si="1043">($M106=CJ106)*$D$13</f>
        <v>0</v>
      </c>
      <c r="CL106" s="57"/>
      <c r="CM106" s="67"/>
      <c r="CN106" s="66">
        <f t="shared" ref="CN106" ca="1" si="1044">($M106=CM106)*$D$13</f>
        <v>0</v>
      </c>
      <c r="CO106" s="57"/>
      <c r="CP106" s="67"/>
      <c r="CQ106" s="66">
        <f t="shared" ref="CQ106" ca="1" si="1045">($M106=CP106)*$D$13</f>
        <v>0</v>
      </c>
      <c r="CR106" s="57"/>
      <c r="CS106" s="67"/>
      <c r="CT106" s="66">
        <f t="shared" ref="CT106" ca="1" si="1046">($M106=CS106)*$D$13</f>
        <v>0</v>
      </c>
      <c r="CU106" s="57"/>
      <c r="CV106" s="67"/>
      <c r="CW106" s="66">
        <f t="shared" ref="CW106" ca="1" si="1047">($M106=CV106)*$D$13</f>
        <v>0</v>
      </c>
      <c r="CX106" s="57"/>
      <c r="CY106" s="67"/>
      <c r="CZ106" s="66">
        <f t="shared" ref="CZ106" ca="1" si="1048">($M106=CY106)*$D$13</f>
        <v>0</v>
      </c>
      <c r="DA106" s="57"/>
      <c r="DB106" s="67"/>
      <c r="DC106" s="66">
        <f t="shared" ref="DC106" ca="1" si="1049">($M106=DB106)*$D$13</f>
        <v>0</v>
      </c>
      <c r="DD106" s="57"/>
      <c r="DE106" s="67"/>
      <c r="DF106" s="66">
        <f t="shared" ref="DF106" ca="1" si="1050">($M106=DE106)*$D$13</f>
        <v>0</v>
      </c>
      <c r="DG106" s="57"/>
      <c r="DH106" s="67"/>
      <c r="DI106" s="66">
        <f t="shared" ref="DI106" ca="1" si="1051">($M106=DH106)*$D$13</f>
        <v>0</v>
      </c>
      <c r="DJ106" s="57"/>
      <c r="DK106" s="67"/>
      <c r="DL106" s="66">
        <f t="shared" ref="DL106" ca="1" si="1052">($M106=DK106)*$D$13</f>
        <v>0</v>
      </c>
      <c r="DM106" s="57"/>
      <c r="DN106" s="67"/>
      <c r="DO106" s="66">
        <f t="shared" ref="DO106" ca="1" si="1053">($M106=DN106)*$D$13</f>
        <v>0</v>
      </c>
      <c r="DP106" s="57"/>
      <c r="DQ106" s="67"/>
      <c r="DR106" s="66">
        <f t="shared" ref="DR106" ca="1" si="1054">($M106=DQ106)*$D$13</f>
        <v>0</v>
      </c>
      <c r="DS106" s="57"/>
      <c r="DT106" s="67"/>
      <c r="DU106" s="66">
        <f t="shared" ref="DU106" ca="1" si="1055">($M106=DT106)*$D$13</f>
        <v>0</v>
      </c>
      <c r="DV106" s="57"/>
      <c r="DW106" s="67"/>
      <c r="DX106" s="66">
        <f t="shared" ref="DX106" ca="1" si="1056">($M106=DW106)*$D$13</f>
        <v>0</v>
      </c>
      <c r="DY106" s="57"/>
      <c r="DZ106" s="67"/>
      <c r="EA106" s="66">
        <f t="shared" ref="EA106" ca="1" si="1057">($M106=DZ106)*$D$13</f>
        <v>0</v>
      </c>
      <c r="EB106" s="57"/>
      <c r="EC106" s="67"/>
      <c r="ED106" s="66">
        <f t="shared" ref="ED106" ca="1" si="1058">($M106=EC106)*$D$13</f>
        <v>0</v>
      </c>
      <c r="EE106" s="57"/>
      <c r="EF106" s="67"/>
      <c r="EG106" s="66">
        <f t="shared" ref="EG106" ca="1" si="1059">($M106=EF106)*$D$13</f>
        <v>0</v>
      </c>
      <c r="EH106" s="57"/>
      <c r="EI106" s="57"/>
    </row>
    <row r="107" spans="1:139">
      <c r="A107" s="43"/>
      <c r="B107" s="43"/>
      <c r="C107" s="43"/>
      <c r="D107" s="43"/>
      <c r="E107" s="43"/>
      <c r="F107" s="712">
        <f t="shared" ref="F107" si="1060">$D$14</f>
        <v>5</v>
      </c>
      <c r="G107" s="713">
        <f ca="1">VLOOKUP(H107,Equipos!$Q$1:$R$25,2,0)</f>
        <v>17</v>
      </c>
      <c r="H107" s="774">
        <f ca="1">$H$66</f>
        <v>46200</v>
      </c>
      <c r="I107" s="44"/>
      <c r="J107" s="862"/>
      <c r="K107" s="49" t="str">
        <f>Idiomas!D177</f>
        <v>4º GRUPO G</v>
      </c>
      <c r="L107" s="46"/>
      <c r="M107" s="48" t="str">
        <f ca="1">IF(OR(SUM(WORLDCUP!$AN$54:$AN$57)=12,WORLDCUP!$AJ$99=144),WORLDCUP!AL57,LEFT(K107,1)&amp;RIGHT(K107,1))</f>
        <v>4G</v>
      </c>
      <c r="N107" s="711"/>
      <c r="O107" s="711"/>
      <c r="P107" s="711"/>
      <c r="Q107" s="711"/>
      <c r="R107" s="102"/>
      <c r="S107" s="67" t="s">
        <v>1262</v>
      </c>
      <c r="T107" s="66">
        <f t="shared" ref="T107" ca="1" si="1061">($M107=S107)*$D$14</f>
        <v>0</v>
      </c>
      <c r="U107" s="57"/>
      <c r="V107" s="67" t="s">
        <v>1266</v>
      </c>
      <c r="W107" s="66">
        <f t="shared" ref="W107" ca="1" si="1062">($M107=V107)*$D$14</f>
        <v>0</v>
      </c>
      <c r="X107" s="57"/>
      <c r="Y107" s="67" t="s">
        <v>1266</v>
      </c>
      <c r="Z107" s="66">
        <f t="shared" ref="Z107" ca="1" si="1063">($M107=Y107)*$D$14</f>
        <v>0</v>
      </c>
      <c r="AA107" s="57"/>
      <c r="AB107" s="67" t="s">
        <v>1266</v>
      </c>
      <c r="AC107" s="66">
        <f t="shared" ref="AC107" ca="1" si="1064">($M107=AB107)*$D$14</f>
        <v>0</v>
      </c>
      <c r="AD107" s="57"/>
      <c r="AE107" s="67" t="s">
        <v>1266</v>
      </c>
      <c r="AF107" s="66">
        <f t="shared" ref="AF107" ca="1" si="1065">($M107=AE107)*$D$14</f>
        <v>0</v>
      </c>
      <c r="AG107" s="57"/>
      <c r="AH107" s="67" t="s">
        <v>1266</v>
      </c>
      <c r="AI107" s="66">
        <f t="shared" ref="AI107" ca="1" si="1066">($M107=AH107)*$D$14</f>
        <v>0</v>
      </c>
      <c r="AJ107" s="57"/>
      <c r="AK107" s="67" t="s">
        <v>1266</v>
      </c>
      <c r="AL107" s="66">
        <f t="shared" ref="AL107" ca="1" si="1067">($M107=AK107)*$D$14</f>
        <v>0</v>
      </c>
      <c r="AM107" s="57"/>
      <c r="AN107" s="67" t="s">
        <v>1266</v>
      </c>
      <c r="AO107" s="66">
        <f t="shared" ref="AO107" ca="1" si="1068">($M107=AN107)*$D$14</f>
        <v>0</v>
      </c>
      <c r="AP107" s="57"/>
      <c r="AQ107" s="67" t="s">
        <v>1266</v>
      </c>
      <c r="AR107" s="66">
        <f t="shared" ref="AR107" ca="1" si="1069">($M107=AQ107)*$D$14</f>
        <v>0</v>
      </c>
      <c r="AS107" s="57"/>
      <c r="AT107" s="67" t="s">
        <v>1262</v>
      </c>
      <c r="AU107" s="66">
        <f t="shared" ref="AU107" ca="1" si="1070">($M107=AT107)*$D$14</f>
        <v>0</v>
      </c>
      <c r="AV107" s="57"/>
      <c r="AW107" s="67" t="s">
        <v>1262</v>
      </c>
      <c r="AX107" s="66">
        <f t="shared" ref="AX107" ca="1" si="1071">($M107=AW107)*$D$14</f>
        <v>0</v>
      </c>
      <c r="AY107" s="57"/>
      <c r="AZ107" s="67" t="s">
        <v>1266</v>
      </c>
      <c r="BA107" s="66">
        <f t="shared" ref="BA107" ca="1" si="1072">($M107=AZ107)*$D$14</f>
        <v>0</v>
      </c>
      <c r="BB107" s="57"/>
      <c r="BC107" s="67" t="s">
        <v>1266</v>
      </c>
      <c r="BD107" s="66">
        <f t="shared" ref="BD107" ca="1" si="1073">($M107=BC107)*$D$14</f>
        <v>0</v>
      </c>
      <c r="BE107" s="57"/>
      <c r="BF107" s="67" t="s">
        <v>1266</v>
      </c>
      <c r="BG107" s="66">
        <f t="shared" ref="BG107" ca="1" si="1074">($M107=BF107)*$D$14</f>
        <v>0</v>
      </c>
      <c r="BH107" s="57"/>
      <c r="BI107" s="67" t="s">
        <v>1266</v>
      </c>
      <c r="BJ107" s="66">
        <f t="shared" ref="BJ107" ca="1" si="1075">($M107=BI107)*$D$14</f>
        <v>0</v>
      </c>
      <c r="BK107" s="57"/>
      <c r="BL107" s="67" t="s">
        <v>1545</v>
      </c>
      <c r="BM107" s="66">
        <f t="shared" ref="BM107" ca="1" si="1076">($M107=BL107)*$D$14</f>
        <v>0</v>
      </c>
      <c r="BN107" s="57"/>
      <c r="BO107" s="67" t="s">
        <v>1266</v>
      </c>
      <c r="BP107" s="66">
        <f t="shared" ref="BP107" ca="1" si="1077">($M107=BO107)*$D$14</f>
        <v>0</v>
      </c>
      <c r="BQ107" s="57"/>
      <c r="BR107" s="67" t="s">
        <v>1266</v>
      </c>
      <c r="BS107" s="66">
        <f t="shared" ref="BS107" ca="1" si="1078">($M107=BR107)*$D$14</f>
        <v>0</v>
      </c>
      <c r="BT107" s="57"/>
      <c r="BU107" s="67"/>
      <c r="BV107" s="66">
        <f t="shared" ref="BV107" ca="1" si="1079">($M107=BU107)*$D$14</f>
        <v>0</v>
      </c>
      <c r="BW107" s="57"/>
      <c r="BX107" s="67"/>
      <c r="BY107" s="66">
        <f t="shared" ref="BY107" ca="1" si="1080">($M107=BX107)*$D$14</f>
        <v>0</v>
      </c>
      <c r="BZ107" s="57"/>
      <c r="CA107" s="67"/>
      <c r="CB107" s="66">
        <f t="shared" ref="CB107" ca="1" si="1081">($M107=CA107)*$D$14</f>
        <v>0</v>
      </c>
      <c r="CC107" s="57"/>
      <c r="CD107" s="67"/>
      <c r="CE107" s="66">
        <f t="shared" ref="CE107" ca="1" si="1082">($M107=CD107)*$D$14</f>
        <v>0</v>
      </c>
      <c r="CF107" s="57"/>
      <c r="CG107" s="67"/>
      <c r="CH107" s="66">
        <f t="shared" ref="CH107" ca="1" si="1083">($M107=CG107)*$D$14</f>
        <v>0</v>
      </c>
      <c r="CI107" s="57"/>
      <c r="CJ107" s="67"/>
      <c r="CK107" s="66">
        <f t="shared" ref="CK107" ca="1" si="1084">($M107=CJ107)*$D$14</f>
        <v>0</v>
      </c>
      <c r="CL107" s="57"/>
      <c r="CM107" s="67"/>
      <c r="CN107" s="66">
        <f t="shared" ref="CN107" ca="1" si="1085">($M107=CM107)*$D$14</f>
        <v>0</v>
      </c>
      <c r="CO107" s="57"/>
      <c r="CP107" s="67"/>
      <c r="CQ107" s="66">
        <f t="shared" ref="CQ107" ca="1" si="1086">($M107=CP107)*$D$14</f>
        <v>0</v>
      </c>
      <c r="CR107" s="57"/>
      <c r="CS107" s="67"/>
      <c r="CT107" s="66">
        <f t="shared" ref="CT107" ca="1" si="1087">($M107=CS107)*$D$14</f>
        <v>0</v>
      </c>
      <c r="CU107" s="57"/>
      <c r="CV107" s="67"/>
      <c r="CW107" s="66">
        <f t="shared" ref="CW107" ca="1" si="1088">($M107=CV107)*$D$14</f>
        <v>0</v>
      </c>
      <c r="CX107" s="57"/>
      <c r="CY107" s="67"/>
      <c r="CZ107" s="66">
        <f t="shared" ref="CZ107" ca="1" si="1089">($M107=CY107)*$D$14</f>
        <v>0</v>
      </c>
      <c r="DA107" s="57"/>
      <c r="DB107" s="67"/>
      <c r="DC107" s="66">
        <f t="shared" ref="DC107" ca="1" si="1090">($M107=DB107)*$D$14</f>
        <v>0</v>
      </c>
      <c r="DD107" s="57"/>
      <c r="DE107" s="67"/>
      <c r="DF107" s="66">
        <f t="shared" ref="DF107" ca="1" si="1091">($M107=DE107)*$D$14</f>
        <v>0</v>
      </c>
      <c r="DG107" s="57"/>
      <c r="DH107" s="67"/>
      <c r="DI107" s="66">
        <f t="shared" ref="DI107" ca="1" si="1092">($M107=DH107)*$D$14</f>
        <v>0</v>
      </c>
      <c r="DJ107" s="57"/>
      <c r="DK107" s="67"/>
      <c r="DL107" s="66">
        <f t="shared" ref="DL107" ca="1" si="1093">($M107=DK107)*$D$14</f>
        <v>0</v>
      </c>
      <c r="DM107" s="57"/>
      <c r="DN107" s="67"/>
      <c r="DO107" s="66">
        <f t="shared" ref="DO107" ca="1" si="1094">($M107=DN107)*$D$14</f>
        <v>0</v>
      </c>
      <c r="DP107" s="57"/>
      <c r="DQ107" s="67"/>
      <c r="DR107" s="66">
        <f t="shared" ref="DR107" ca="1" si="1095">($M107=DQ107)*$D$14</f>
        <v>0</v>
      </c>
      <c r="DS107" s="57"/>
      <c r="DT107" s="67"/>
      <c r="DU107" s="66">
        <f t="shared" ref="DU107" ca="1" si="1096">($M107=DT107)*$D$14</f>
        <v>0</v>
      </c>
      <c r="DV107" s="57"/>
      <c r="DW107" s="67"/>
      <c r="DX107" s="66">
        <f t="shared" ref="DX107" ca="1" si="1097">($M107=DW107)*$D$14</f>
        <v>0</v>
      </c>
      <c r="DY107" s="57"/>
      <c r="DZ107" s="67"/>
      <c r="EA107" s="66">
        <f t="shared" ref="EA107" ca="1" si="1098">($M107=DZ107)*$D$14</f>
        <v>0</v>
      </c>
      <c r="EB107" s="57"/>
      <c r="EC107" s="67"/>
      <c r="ED107" s="66">
        <f t="shared" ref="ED107" ca="1" si="1099">($M107=EC107)*$D$14</f>
        <v>0</v>
      </c>
      <c r="EE107" s="57"/>
      <c r="EF107" s="67"/>
      <c r="EG107" s="66">
        <f t="shared" ref="EG107" ca="1" si="1100">($M107=EF107)*$D$14</f>
        <v>0</v>
      </c>
      <c r="EH107" s="57"/>
      <c r="EI107" s="57"/>
    </row>
    <row r="108" spans="1:139">
      <c r="A108" s="43"/>
      <c r="B108" s="43"/>
      <c r="C108" s="43"/>
      <c r="D108" s="43"/>
      <c r="E108" s="43"/>
      <c r="F108" s="712">
        <f t="shared" ref="F108" si="1101">$D$11</f>
        <v>5</v>
      </c>
      <c r="G108" s="713">
        <f ca="1">VLOOKUP(H108,Equipos!$Q$1:$R$25,2,0)</f>
        <v>17</v>
      </c>
      <c r="H108" s="774">
        <f ca="1">$H$68</f>
        <v>46200</v>
      </c>
      <c r="I108" s="44"/>
      <c r="J108" s="861" t="s">
        <v>437</v>
      </c>
      <c r="K108" s="49" t="str">
        <f>Idiomas!D178</f>
        <v>1º GRUPO H</v>
      </c>
      <c r="L108" s="46"/>
      <c r="M108" s="48" t="str">
        <f ca="1">IF(OR(SUM(WORLDCUP!$AN$62:$AN$65)=12,WORLDCUP!$AJ$99=144),WORLDCUP!AL62,LEFT(K108,1)&amp;RIGHT(K108,1))</f>
        <v>1H</v>
      </c>
      <c r="N108" s="711"/>
      <c r="O108" s="711"/>
      <c r="P108" s="711"/>
      <c r="Q108" s="711"/>
      <c r="R108" s="102"/>
      <c r="S108" s="67" t="s">
        <v>38</v>
      </c>
      <c r="T108" s="66">
        <f t="shared" ref="T108" ca="1" si="1102">($M108=S108)*$D$11</f>
        <v>0</v>
      </c>
      <c r="U108" s="57"/>
      <c r="V108" s="67" t="s">
        <v>38</v>
      </c>
      <c r="W108" s="66">
        <f t="shared" ref="W108" ca="1" si="1103">($M108=V108)*$D$11</f>
        <v>0</v>
      </c>
      <c r="X108" s="57"/>
      <c r="Y108" s="67" t="s">
        <v>38</v>
      </c>
      <c r="Z108" s="66">
        <f t="shared" ref="Z108" ca="1" si="1104">($M108=Y108)*$D$11</f>
        <v>0</v>
      </c>
      <c r="AA108" s="57"/>
      <c r="AB108" s="67" t="s">
        <v>38</v>
      </c>
      <c r="AC108" s="66">
        <f t="shared" ref="AC108" ca="1" si="1105">($M108=AB108)*$D$11</f>
        <v>0</v>
      </c>
      <c r="AD108" s="57"/>
      <c r="AE108" s="67" t="s">
        <v>38</v>
      </c>
      <c r="AF108" s="66">
        <f t="shared" ref="AF108" ca="1" si="1106">($M108=AE108)*$D$11</f>
        <v>0</v>
      </c>
      <c r="AG108" s="57"/>
      <c r="AH108" s="67" t="s">
        <v>38</v>
      </c>
      <c r="AI108" s="66">
        <f t="shared" ref="AI108" ca="1" si="1107">($M108=AH108)*$D$11</f>
        <v>0</v>
      </c>
      <c r="AJ108" s="57"/>
      <c r="AK108" s="67" t="s">
        <v>38</v>
      </c>
      <c r="AL108" s="66">
        <f t="shared" ref="AL108" ca="1" si="1108">($M108=AK108)*$D$11</f>
        <v>0</v>
      </c>
      <c r="AM108" s="57"/>
      <c r="AN108" s="67" t="s">
        <v>38</v>
      </c>
      <c r="AO108" s="66">
        <f t="shared" ref="AO108" ca="1" si="1109">($M108=AN108)*$D$11</f>
        <v>0</v>
      </c>
      <c r="AP108" s="57"/>
      <c r="AQ108" s="67" t="s">
        <v>38</v>
      </c>
      <c r="AR108" s="66">
        <f t="shared" ref="AR108" ca="1" si="1110">($M108=AQ108)*$D$11</f>
        <v>0</v>
      </c>
      <c r="AS108" s="57"/>
      <c r="AT108" s="67" t="s">
        <v>38</v>
      </c>
      <c r="AU108" s="66">
        <f t="shared" ref="AU108" ca="1" si="1111">($M108=AT108)*$D$11</f>
        <v>0</v>
      </c>
      <c r="AV108" s="57"/>
      <c r="AW108" s="67" t="s">
        <v>38</v>
      </c>
      <c r="AX108" s="66">
        <f t="shared" ref="AX108" ca="1" si="1112">($M108=AW108)*$D$11</f>
        <v>0</v>
      </c>
      <c r="AY108" s="57"/>
      <c r="AZ108" s="67" t="s">
        <v>38</v>
      </c>
      <c r="BA108" s="66">
        <f t="shared" ref="BA108" ca="1" si="1113">($M108=AZ108)*$D$11</f>
        <v>0</v>
      </c>
      <c r="BB108" s="57"/>
      <c r="BC108" s="67" t="s">
        <v>38</v>
      </c>
      <c r="BD108" s="66">
        <f t="shared" ref="BD108" ca="1" si="1114">($M108=BC108)*$D$11</f>
        <v>0</v>
      </c>
      <c r="BE108" s="57"/>
      <c r="BF108" s="67" t="s">
        <v>38</v>
      </c>
      <c r="BG108" s="66">
        <f t="shared" ref="BG108" ca="1" si="1115">($M108=BF108)*$D$11</f>
        <v>0</v>
      </c>
      <c r="BH108" s="57"/>
      <c r="BI108" s="67" t="s">
        <v>38</v>
      </c>
      <c r="BJ108" s="66">
        <f t="shared" ref="BJ108" ca="1" si="1116">($M108=BI108)*$D$11</f>
        <v>0</v>
      </c>
      <c r="BK108" s="57"/>
      <c r="BL108" s="67" t="s">
        <v>38</v>
      </c>
      <c r="BM108" s="66">
        <f t="shared" ref="BM108" ca="1" si="1117">($M108=BL108)*$D$11</f>
        <v>0</v>
      </c>
      <c r="BN108" s="57"/>
      <c r="BO108" s="67" t="s">
        <v>38</v>
      </c>
      <c r="BP108" s="66">
        <f t="shared" ref="BP108" ca="1" si="1118">($M108=BO108)*$D$11</f>
        <v>0</v>
      </c>
      <c r="BQ108" s="57"/>
      <c r="BR108" s="67" t="s">
        <v>38</v>
      </c>
      <c r="BS108" s="66">
        <f t="shared" ref="BS108" ca="1" si="1119">($M108=BR108)*$D$11</f>
        <v>0</v>
      </c>
      <c r="BT108" s="57"/>
      <c r="BU108" s="67"/>
      <c r="BV108" s="66">
        <f t="shared" ref="BV108" ca="1" si="1120">($M108=BU108)*$D$11</f>
        <v>0</v>
      </c>
      <c r="BW108" s="57"/>
      <c r="BX108" s="67"/>
      <c r="BY108" s="66">
        <f t="shared" ref="BY108" ca="1" si="1121">($M108=BX108)*$D$11</f>
        <v>0</v>
      </c>
      <c r="BZ108" s="57"/>
      <c r="CA108" s="67"/>
      <c r="CB108" s="66">
        <f t="shared" ref="CB108" ca="1" si="1122">($M108=CA108)*$D$11</f>
        <v>0</v>
      </c>
      <c r="CC108" s="57"/>
      <c r="CD108" s="67"/>
      <c r="CE108" s="66">
        <f t="shared" ref="CE108" ca="1" si="1123">($M108=CD108)*$D$11</f>
        <v>0</v>
      </c>
      <c r="CF108" s="57"/>
      <c r="CG108" s="67"/>
      <c r="CH108" s="66">
        <f t="shared" ref="CH108" ca="1" si="1124">($M108=CG108)*$D$11</f>
        <v>0</v>
      </c>
      <c r="CI108" s="57"/>
      <c r="CJ108" s="67"/>
      <c r="CK108" s="66">
        <f t="shared" ref="CK108" ca="1" si="1125">($M108=CJ108)*$D$11</f>
        <v>0</v>
      </c>
      <c r="CL108" s="57"/>
      <c r="CM108" s="67"/>
      <c r="CN108" s="66">
        <f t="shared" ref="CN108" ca="1" si="1126">($M108=CM108)*$D$11</f>
        <v>0</v>
      </c>
      <c r="CO108" s="57"/>
      <c r="CP108" s="67"/>
      <c r="CQ108" s="66">
        <f t="shared" ref="CQ108" ca="1" si="1127">($M108=CP108)*$D$11</f>
        <v>0</v>
      </c>
      <c r="CR108" s="57"/>
      <c r="CS108" s="67"/>
      <c r="CT108" s="66">
        <f t="shared" ref="CT108" ca="1" si="1128">($M108=CS108)*$D$11</f>
        <v>0</v>
      </c>
      <c r="CU108" s="57"/>
      <c r="CV108" s="67"/>
      <c r="CW108" s="66">
        <f t="shared" ref="CW108" ca="1" si="1129">($M108=CV108)*$D$11</f>
        <v>0</v>
      </c>
      <c r="CX108" s="57"/>
      <c r="CY108" s="67"/>
      <c r="CZ108" s="66">
        <f t="shared" ref="CZ108" ca="1" si="1130">($M108=CY108)*$D$11</f>
        <v>0</v>
      </c>
      <c r="DA108" s="57"/>
      <c r="DB108" s="67"/>
      <c r="DC108" s="66">
        <f t="shared" ref="DC108" ca="1" si="1131">($M108=DB108)*$D$11</f>
        <v>0</v>
      </c>
      <c r="DD108" s="57"/>
      <c r="DE108" s="67"/>
      <c r="DF108" s="66">
        <f t="shared" ref="DF108" ca="1" si="1132">($M108=DE108)*$D$11</f>
        <v>0</v>
      </c>
      <c r="DG108" s="57"/>
      <c r="DH108" s="67"/>
      <c r="DI108" s="66">
        <f t="shared" ref="DI108" ca="1" si="1133">($M108=DH108)*$D$11</f>
        <v>0</v>
      </c>
      <c r="DJ108" s="57"/>
      <c r="DK108" s="67"/>
      <c r="DL108" s="66">
        <f t="shared" ref="DL108" ca="1" si="1134">($M108=DK108)*$D$11</f>
        <v>0</v>
      </c>
      <c r="DM108" s="57"/>
      <c r="DN108" s="67"/>
      <c r="DO108" s="66">
        <f t="shared" ref="DO108" ca="1" si="1135">($M108=DN108)*$D$11</f>
        <v>0</v>
      </c>
      <c r="DP108" s="57"/>
      <c r="DQ108" s="67"/>
      <c r="DR108" s="66">
        <f t="shared" ref="DR108" ca="1" si="1136">($M108=DQ108)*$D$11</f>
        <v>0</v>
      </c>
      <c r="DS108" s="57"/>
      <c r="DT108" s="67"/>
      <c r="DU108" s="66">
        <f t="shared" ref="DU108" ca="1" si="1137">($M108=DT108)*$D$11</f>
        <v>0</v>
      </c>
      <c r="DV108" s="57"/>
      <c r="DW108" s="67"/>
      <c r="DX108" s="66">
        <f t="shared" ref="DX108" ca="1" si="1138">($M108=DW108)*$D$11</f>
        <v>0</v>
      </c>
      <c r="DY108" s="57"/>
      <c r="DZ108" s="67"/>
      <c r="EA108" s="66">
        <f t="shared" ref="EA108" ca="1" si="1139">($M108=DZ108)*$D$11</f>
        <v>0</v>
      </c>
      <c r="EB108" s="57"/>
      <c r="EC108" s="67"/>
      <c r="ED108" s="66">
        <f t="shared" ref="ED108" ca="1" si="1140">($M108=EC108)*$D$11</f>
        <v>0</v>
      </c>
      <c r="EE108" s="57"/>
      <c r="EF108" s="67"/>
      <c r="EG108" s="66">
        <f t="shared" ref="EG108" ca="1" si="1141">($M108=EF108)*$D$11</f>
        <v>0</v>
      </c>
      <c r="EH108" s="57"/>
      <c r="EI108" s="57"/>
    </row>
    <row r="109" spans="1:139">
      <c r="A109" s="43"/>
      <c r="B109" s="43"/>
      <c r="C109" s="43"/>
      <c r="D109" s="43"/>
      <c r="E109" s="43"/>
      <c r="F109" s="712">
        <f t="shared" ref="F109" si="1142">$D$12</f>
        <v>5</v>
      </c>
      <c r="G109" s="713">
        <f ca="1">VLOOKUP(H109,Equipos!$Q$1:$R$25,2,0)</f>
        <v>17</v>
      </c>
      <c r="H109" s="774">
        <f ca="1">$H$68</f>
        <v>46200</v>
      </c>
      <c r="I109" s="44"/>
      <c r="J109" s="861"/>
      <c r="K109" s="49" t="str">
        <f>Idiomas!D179</f>
        <v>2º GRUPO H</v>
      </c>
      <c r="L109" s="46"/>
      <c r="M109" s="48" t="str">
        <f ca="1">IF(OR(SUM(WORLDCUP!$AN$62:$AN$65)=12,WORLDCUP!$AJ$99=144),WORLDCUP!AL63,LEFT(K109,1)&amp;RIGHT(K109,1))</f>
        <v>2H</v>
      </c>
      <c r="N109" s="711"/>
      <c r="O109" s="711"/>
      <c r="P109" s="711"/>
      <c r="Q109" s="711"/>
      <c r="R109" s="102"/>
      <c r="S109" s="67" t="s">
        <v>1314</v>
      </c>
      <c r="T109" s="66">
        <f t="shared" ref="T109" ca="1" si="1143">($M109=S109)*$D$12</f>
        <v>0</v>
      </c>
      <c r="U109" s="57"/>
      <c r="V109" s="67" t="s">
        <v>1314</v>
      </c>
      <c r="W109" s="66">
        <f t="shared" ref="W109" ca="1" si="1144">($M109=V109)*$D$12</f>
        <v>0</v>
      </c>
      <c r="X109" s="57"/>
      <c r="Y109" s="67" t="s">
        <v>1314</v>
      </c>
      <c r="Z109" s="66">
        <f t="shared" ref="Z109" ca="1" si="1145">($M109=Y109)*$D$12</f>
        <v>0</v>
      </c>
      <c r="AA109" s="57"/>
      <c r="AB109" s="67" t="s">
        <v>1314</v>
      </c>
      <c r="AC109" s="66">
        <f t="shared" ref="AC109" ca="1" si="1146">($M109=AB109)*$D$12</f>
        <v>0</v>
      </c>
      <c r="AD109" s="57"/>
      <c r="AE109" s="67" t="s">
        <v>1314</v>
      </c>
      <c r="AF109" s="66">
        <f t="shared" ref="AF109" ca="1" si="1147">($M109=AE109)*$D$12</f>
        <v>0</v>
      </c>
      <c r="AG109" s="57"/>
      <c r="AH109" s="67" t="s">
        <v>1314</v>
      </c>
      <c r="AI109" s="66">
        <f t="shared" ref="AI109" ca="1" si="1148">($M109=AH109)*$D$12</f>
        <v>0</v>
      </c>
      <c r="AJ109" s="57"/>
      <c r="AK109" s="67" t="s">
        <v>1314</v>
      </c>
      <c r="AL109" s="66">
        <f t="shared" ref="AL109" ca="1" si="1149">($M109=AK109)*$D$12</f>
        <v>0</v>
      </c>
      <c r="AM109" s="57"/>
      <c r="AN109" s="67" t="s">
        <v>1314</v>
      </c>
      <c r="AO109" s="66">
        <f t="shared" ref="AO109" ca="1" si="1150">($M109=AN109)*$D$12</f>
        <v>0</v>
      </c>
      <c r="AP109" s="57"/>
      <c r="AQ109" s="67" t="s">
        <v>1314</v>
      </c>
      <c r="AR109" s="66">
        <f t="shared" ref="AR109" ca="1" si="1151">($M109=AQ109)*$D$12</f>
        <v>0</v>
      </c>
      <c r="AS109" s="57"/>
      <c r="AT109" s="67" t="s">
        <v>1314</v>
      </c>
      <c r="AU109" s="66">
        <f t="shared" ref="AU109" ca="1" si="1152">($M109=AT109)*$D$12</f>
        <v>0</v>
      </c>
      <c r="AV109" s="57"/>
      <c r="AW109" s="67" t="s">
        <v>1314</v>
      </c>
      <c r="AX109" s="66">
        <f t="shared" ref="AX109" ca="1" si="1153">($M109=AW109)*$D$12</f>
        <v>0</v>
      </c>
      <c r="AY109" s="57"/>
      <c r="AZ109" s="67" t="s">
        <v>1314</v>
      </c>
      <c r="BA109" s="66">
        <f t="shared" ref="BA109" ca="1" si="1154">($M109=AZ109)*$D$12</f>
        <v>0</v>
      </c>
      <c r="BB109" s="57"/>
      <c r="BC109" s="67" t="s">
        <v>1314</v>
      </c>
      <c r="BD109" s="66">
        <f t="shared" ref="BD109" ca="1" si="1155">($M109=BC109)*$D$12</f>
        <v>0</v>
      </c>
      <c r="BE109" s="57"/>
      <c r="BF109" s="67" t="s">
        <v>1314</v>
      </c>
      <c r="BG109" s="66">
        <f t="shared" ref="BG109" ca="1" si="1156">($M109=BF109)*$D$12</f>
        <v>0</v>
      </c>
      <c r="BH109" s="57"/>
      <c r="BI109" s="67" t="s">
        <v>1547</v>
      </c>
      <c r="BJ109" s="66">
        <f t="shared" ref="BJ109" ca="1" si="1157">($M109=BI109)*$D$12</f>
        <v>0</v>
      </c>
      <c r="BK109" s="57"/>
      <c r="BL109" s="67" t="s">
        <v>1314</v>
      </c>
      <c r="BM109" s="66">
        <f t="shared" ref="BM109" ca="1" si="1158">($M109=BL109)*$D$12</f>
        <v>0</v>
      </c>
      <c r="BN109" s="57"/>
      <c r="BO109" s="67" t="s">
        <v>1314</v>
      </c>
      <c r="BP109" s="66">
        <f t="shared" ref="BP109" ca="1" si="1159">($M109=BO109)*$D$12</f>
        <v>0</v>
      </c>
      <c r="BQ109" s="57"/>
      <c r="BR109" s="67" t="s">
        <v>1314</v>
      </c>
      <c r="BS109" s="66">
        <f t="shared" ref="BS109" ca="1" si="1160">($M109=BR109)*$D$12</f>
        <v>0</v>
      </c>
      <c r="BT109" s="57"/>
      <c r="BU109" s="67"/>
      <c r="BV109" s="66">
        <f t="shared" ref="BV109" ca="1" si="1161">($M109=BU109)*$D$12</f>
        <v>0</v>
      </c>
      <c r="BW109" s="57"/>
      <c r="BX109" s="67"/>
      <c r="BY109" s="66">
        <f t="shared" ref="BY109" ca="1" si="1162">($M109=BX109)*$D$12</f>
        <v>0</v>
      </c>
      <c r="BZ109" s="57"/>
      <c r="CA109" s="67"/>
      <c r="CB109" s="66">
        <f t="shared" ref="CB109" ca="1" si="1163">($M109=CA109)*$D$12</f>
        <v>0</v>
      </c>
      <c r="CC109" s="57"/>
      <c r="CD109" s="67"/>
      <c r="CE109" s="66">
        <f t="shared" ref="CE109" ca="1" si="1164">($M109=CD109)*$D$12</f>
        <v>0</v>
      </c>
      <c r="CF109" s="57"/>
      <c r="CG109" s="67"/>
      <c r="CH109" s="66">
        <f t="shared" ref="CH109" ca="1" si="1165">($M109=CG109)*$D$12</f>
        <v>0</v>
      </c>
      <c r="CI109" s="57"/>
      <c r="CJ109" s="67"/>
      <c r="CK109" s="66">
        <f t="shared" ref="CK109" ca="1" si="1166">($M109=CJ109)*$D$12</f>
        <v>0</v>
      </c>
      <c r="CL109" s="57"/>
      <c r="CM109" s="67"/>
      <c r="CN109" s="66">
        <f t="shared" ref="CN109" ca="1" si="1167">($M109=CM109)*$D$12</f>
        <v>0</v>
      </c>
      <c r="CO109" s="57"/>
      <c r="CP109" s="67"/>
      <c r="CQ109" s="66">
        <f t="shared" ref="CQ109" ca="1" si="1168">($M109=CP109)*$D$12</f>
        <v>0</v>
      </c>
      <c r="CR109" s="57"/>
      <c r="CS109" s="67"/>
      <c r="CT109" s="66">
        <f t="shared" ref="CT109" ca="1" si="1169">($M109=CS109)*$D$12</f>
        <v>0</v>
      </c>
      <c r="CU109" s="57"/>
      <c r="CV109" s="67"/>
      <c r="CW109" s="66">
        <f t="shared" ref="CW109" ca="1" si="1170">($M109=CV109)*$D$12</f>
        <v>0</v>
      </c>
      <c r="CX109" s="57"/>
      <c r="CY109" s="67"/>
      <c r="CZ109" s="66">
        <f t="shared" ref="CZ109" ca="1" si="1171">($M109=CY109)*$D$12</f>
        <v>0</v>
      </c>
      <c r="DA109" s="57"/>
      <c r="DB109" s="67"/>
      <c r="DC109" s="66">
        <f t="shared" ref="DC109" ca="1" si="1172">($M109=DB109)*$D$12</f>
        <v>0</v>
      </c>
      <c r="DD109" s="57"/>
      <c r="DE109" s="67"/>
      <c r="DF109" s="66">
        <f t="shared" ref="DF109" ca="1" si="1173">($M109=DE109)*$D$12</f>
        <v>0</v>
      </c>
      <c r="DG109" s="57"/>
      <c r="DH109" s="67"/>
      <c r="DI109" s="66">
        <f t="shared" ref="DI109" ca="1" si="1174">($M109=DH109)*$D$12</f>
        <v>0</v>
      </c>
      <c r="DJ109" s="57"/>
      <c r="DK109" s="67"/>
      <c r="DL109" s="66">
        <f t="shared" ref="DL109" ca="1" si="1175">($M109=DK109)*$D$12</f>
        <v>0</v>
      </c>
      <c r="DM109" s="57"/>
      <c r="DN109" s="67"/>
      <c r="DO109" s="66">
        <f t="shared" ref="DO109" ca="1" si="1176">($M109=DN109)*$D$12</f>
        <v>0</v>
      </c>
      <c r="DP109" s="57"/>
      <c r="DQ109" s="67"/>
      <c r="DR109" s="66">
        <f t="shared" ref="DR109" ca="1" si="1177">($M109=DQ109)*$D$12</f>
        <v>0</v>
      </c>
      <c r="DS109" s="57"/>
      <c r="DT109" s="67"/>
      <c r="DU109" s="66">
        <f t="shared" ref="DU109" ca="1" si="1178">($M109=DT109)*$D$12</f>
        <v>0</v>
      </c>
      <c r="DV109" s="57"/>
      <c r="DW109" s="67"/>
      <c r="DX109" s="66">
        <f t="shared" ref="DX109" ca="1" si="1179">($M109=DW109)*$D$12</f>
        <v>0</v>
      </c>
      <c r="DY109" s="57"/>
      <c r="DZ109" s="67"/>
      <c r="EA109" s="66">
        <f t="shared" ref="EA109" ca="1" si="1180">($M109=DZ109)*$D$12</f>
        <v>0</v>
      </c>
      <c r="EB109" s="57"/>
      <c r="EC109" s="67"/>
      <c r="ED109" s="66">
        <f t="shared" ref="ED109" ca="1" si="1181">($M109=EC109)*$D$12</f>
        <v>0</v>
      </c>
      <c r="EE109" s="57"/>
      <c r="EF109" s="67"/>
      <c r="EG109" s="66">
        <f t="shared" ref="EG109" ca="1" si="1182">($M109=EF109)*$D$12</f>
        <v>0</v>
      </c>
      <c r="EH109" s="57"/>
      <c r="EI109" s="57"/>
    </row>
    <row r="110" spans="1:139">
      <c r="A110" s="43"/>
      <c r="B110" s="43"/>
      <c r="C110" s="43"/>
      <c r="D110" s="43"/>
      <c r="E110" s="43"/>
      <c r="F110" s="712">
        <f t="shared" ref="F110" si="1183">$D$13</f>
        <v>5</v>
      </c>
      <c r="G110" s="713">
        <f ca="1">VLOOKUP(H110,Equipos!$Q$1:$R$25,2,0)</f>
        <v>17</v>
      </c>
      <c r="H110" s="774">
        <f ca="1">$H$68</f>
        <v>46200</v>
      </c>
      <c r="I110" s="44"/>
      <c r="J110" s="861"/>
      <c r="K110" s="49" t="str">
        <f>Idiomas!D180</f>
        <v>3º GRUPO H</v>
      </c>
      <c r="L110" s="46"/>
      <c r="M110" s="48" t="str">
        <f ca="1">IF(OR(SUM(WORLDCUP!$AN$62:$AN$65)=12,WORLDCUP!$AJ$99=144),WORLDCUP!AL64,LEFT(K110,1)&amp;RIGHT(K110,1))</f>
        <v>3H</v>
      </c>
      <c r="N110" s="711"/>
      <c r="O110" s="711"/>
      <c r="P110" s="711"/>
      <c r="Q110" s="711"/>
      <c r="R110" s="102"/>
      <c r="S110" s="67" t="s">
        <v>1627</v>
      </c>
      <c r="T110" s="66">
        <f t="shared" ref="T110" ca="1" si="1184">($M110=S110)*$D$13</f>
        <v>0</v>
      </c>
      <c r="U110" s="57"/>
      <c r="V110" s="67" t="s">
        <v>1627</v>
      </c>
      <c r="W110" s="66">
        <f t="shared" ref="W110" ca="1" si="1185">($M110=V110)*$D$13</f>
        <v>0</v>
      </c>
      <c r="X110" s="57"/>
      <c r="Y110" s="67" t="s">
        <v>1627</v>
      </c>
      <c r="Z110" s="66">
        <f t="shared" ref="Z110" ca="1" si="1186">($M110=Y110)*$D$13</f>
        <v>0</v>
      </c>
      <c r="AA110" s="57"/>
      <c r="AB110" s="67" t="s">
        <v>1627</v>
      </c>
      <c r="AC110" s="66">
        <f t="shared" ref="AC110" ca="1" si="1187">($M110=AB110)*$D$13</f>
        <v>0</v>
      </c>
      <c r="AD110" s="57"/>
      <c r="AE110" s="67" t="s">
        <v>1627</v>
      </c>
      <c r="AF110" s="66">
        <f t="shared" ref="AF110" ca="1" si="1188">($M110=AE110)*$D$13</f>
        <v>0</v>
      </c>
      <c r="AG110" s="57"/>
      <c r="AH110" s="67" t="s">
        <v>1627</v>
      </c>
      <c r="AI110" s="66">
        <f t="shared" ref="AI110" ca="1" si="1189">($M110=AH110)*$D$13</f>
        <v>0</v>
      </c>
      <c r="AJ110" s="57"/>
      <c r="AK110" s="67" t="s">
        <v>1547</v>
      </c>
      <c r="AL110" s="66">
        <f t="shared" ref="AL110" ca="1" si="1190">($M110=AK110)*$D$13</f>
        <v>0</v>
      </c>
      <c r="AM110" s="57"/>
      <c r="AN110" s="67" t="s">
        <v>1627</v>
      </c>
      <c r="AO110" s="66">
        <f t="shared" ref="AO110" ca="1" si="1191">($M110=AN110)*$D$13</f>
        <v>0</v>
      </c>
      <c r="AP110" s="57"/>
      <c r="AQ110" s="67" t="s">
        <v>1627</v>
      </c>
      <c r="AR110" s="66">
        <f t="shared" ref="AR110" ca="1" si="1192">($M110=AQ110)*$D$13</f>
        <v>0</v>
      </c>
      <c r="AS110" s="57"/>
      <c r="AT110" s="67" t="s">
        <v>1627</v>
      </c>
      <c r="AU110" s="66">
        <f t="shared" ref="AU110" ca="1" si="1193">($M110=AT110)*$D$13</f>
        <v>0</v>
      </c>
      <c r="AV110" s="57"/>
      <c r="AW110" s="67" t="s">
        <v>1627</v>
      </c>
      <c r="AX110" s="66">
        <f t="shared" ref="AX110" ca="1" si="1194">($M110=AW110)*$D$13</f>
        <v>0</v>
      </c>
      <c r="AY110" s="57"/>
      <c r="AZ110" s="67" t="s">
        <v>1627</v>
      </c>
      <c r="BA110" s="66">
        <f t="shared" ref="BA110" ca="1" si="1195">($M110=AZ110)*$D$13</f>
        <v>0</v>
      </c>
      <c r="BB110" s="57"/>
      <c r="BC110" s="67" t="s">
        <v>1627</v>
      </c>
      <c r="BD110" s="66">
        <f t="shared" ref="BD110" ca="1" si="1196">($M110=BC110)*$D$13</f>
        <v>0</v>
      </c>
      <c r="BE110" s="57"/>
      <c r="BF110" s="67" t="s">
        <v>1627</v>
      </c>
      <c r="BG110" s="66">
        <f t="shared" ref="BG110" ca="1" si="1197">($M110=BF110)*$D$13</f>
        <v>0</v>
      </c>
      <c r="BH110" s="57"/>
      <c r="BI110" s="67" t="s">
        <v>1314</v>
      </c>
      <c r="BJ110" s="66">
        <f t="shared" ref="BJ110" ca="1" si="1198">($M110=BI110)*$D$13</f>
        <v>0</v>
      </c>
      <c r="BK110" s="57"/>
      <c r="BL110" s="67" t="s">
        <v>1627</v>
      </c>
      <c r="BM110" s="66">
        <f t="shared" ref="BM110" ca="1" si="1199">($M110=BL110)*$D$13</f>
        <v>0</v>
      </c>
      <c r="BN110" s="57"/>
      <c r="BO110" s="67" t="s">
        <v>1627</v>
      </c>
      <c r="BP110" s="66">
        <f t="shared" ref="BP110" ca="1" si="1200">($M110=BO110)*$D$13</f>
        <v>0</v>
      </c>
      <c r="BQ110" s="57"/>
      <c r="BR110" s="67" t="s">
        <v>1627</v>
      </c>
      <c r="BS110" s="66">
        <f t="shared" ref="BS110" ca="1" si="1201">($M110=BR110)*$D$13</f>
        <v>0</v>
      </c>
      <c r="BT110" s="57"/>
      <c r="BU110" s="67"/>
      <c r="BV110" s="66">
        <f t="shared" ref="BV110" ca="1" si="1202">($M110=BU110)*$D$13</f>
        <v>0</v>
      </c>
      <c r="BW110" s="57"/>
      <c r="BX110" s="67"/>
      <c r="BY110" s="66">
        <f t="shared" ref="BY110" ca="1" si="1203">($M110=BX110)*$D$13</f>
        <v>0</v>
      </c>
      <c r="BZ110" s="57"/>
      <c r="CA110" s="67"/>
      <c r="CB110" s="66">
        <f t="shared" ref="CB110" ca="1" si="1204">($M110=CA110)*$D$13</f>
        <v>0</v>
      </c>
      <c r="CC110" s="57"/>
      <c r="CD110" s="67"/>
      <c r="CE110" s="66">
        <f t="shared" ref="CE110" ca="1" si="1205">($M110=CD110)*$D$13</f>
        <v>0</v>
      </c>
      <c r="CF110" s="57"/>
      <c r="CG110" s="67"/>
      <c r="CH110" s="66">
        <f t="shared" ref="CH110" ca="1" si="1206">($M110=CG110)*$D$13</f>
        <v>0</v>
      </c>
      <c r="CI110" s="57"/>
      <c r="CJ110" s="67"/>
      <c r="CK110" s="66">
        <f t="shared" ref="CK110" ca="1" si="1207">($M110=CJ110)*$D$13</f>
        <v>0</v>
      </c>
      <c r="CL110" s="57"/>
      <c r="CM110" s="67"/>
      <c r="CN110" s="66">
        <f t="shared" ref="CN110" ca="1" si="1208">($M110=CM110)*$D$13</f>
        <v>0</v>
      </c>
      <c r="CO110" s="57"/>
      <c r="CP110" s="67"/>
      <c r="CQ110" s="66">
        <f t="shared" ref="CQ110" ca="1" si="1209">($M110=CP110)*$D$13</f>
        <v>0</v>
      </c>
      <c r="CR110" s="57"/>
      <c r="CS110" s="67"/>
      <c r="CT110" s="66">
        <f t="shared" ref="CT110" ca="1" si="1210">($M110=CS110)*$D$13</f>
        <v>0</v>
      </c>
      <c r="CU110" s="57"/>
      <c r="CV110" s="67"/>
      <c r="CW110" s="66">
        <f t="shared" ref="CW110" ca="1" si="1211">($M110=CV110)*$D$13</f>
        <v>0</v>
      </c>
      <c r="CX110" s="57"/>
      <c r="CY110" s="67"/>
      <c r="CZ110" s="66">
        <f t="shared" ref="CZ110" ca="1" si="1212">($M110=CY110)*$D$13</f>
        <v>0</v>
      </c>
      <c r="DA110" s="57"/>
      <c r="DB110" s="67"/>
      <c r="DC110" s="66">
        <f t="shared" ref="DC110" ca="1" si="1213">($M110=DB110)*$D$13</f>
        <v>0</v>
      </c>
      <c r="DD110" s="57"/>
      <c r="DE110" s="67"/>
      <c r="DF110" s="66">
        <f t="shared" ref="DF110" ca="1" si="1214">($M110=DE110)*$D$13</f>
        <v>0</v>
      </c>
      <c r="DG110" s="57"/>
      <c r="DH110" s="67"/>
      <c r="DI110" s="66">
        <f t="shared" ref="DI110" ca="1" si="1215">($M110=DH110)*$D$13</f>
        <v>0</v>
      </c>
      <c r="DJ110" s="57"/>
      <c r="DK110" s="67"/>
      <c r="DL110" s="66">
        <f t="shared" ref="DL110" ca="1" si="1216">($M110=DK110)*$D$13</f>
        <v>0</v>
      </c>
      <c r="DM110" s="57"/>
      <c r="DN110" s="67"/>
      <c r="DO110" s="66">
        <f t="shared" ref="DO110" ca="1" si="1217">($M110=DN110)*$D$13</f>
        <v>0</v>
      </c>
      <c r="DP110" s="57"/>
      <c r="DQ110" s="67"/>
      <c r="DR110" s="66">
        <f t="shared" ref="DR110" ca="1" si="1218">($M110=DQ110)*$D$13</f>
        <v>0</v>
      </c>
      <c r="DS110" s="57"/>
      <c r="DT110" s="67"/>
      <c r="DU110" s="66">
        <f t="shared" ref="DU110" ca="1" si="1219">($M110=DT110)*$D$13</f>
        <v>0</v>
      </c>
      <c r="DV110" s="57"/>
      <c r="DW110" s="67"/>
      <c r="DX110" s="66">
        <f t="shared" ref="DX110" ca="1" si="1220">($M110=DW110)*$D$13</f>
        <v>0</v>
      </c>
      <c r="DY110" s="57"/>
      <c r="DZ110" s="67"/>
      <c r="EA110" s="66">
        <f t="shared" ref="EA110" ca="1" si="1221">($M110=DZ110)*$D$13</f>
        <v>0</v>
      </c>
      <c r="EB110" s="57"/>
      <c r="EC110" s="67"/>
      <c r="ED110" s="66">
        <f t="shared" ref="ED110" ca="1" si="1222">($M110=EC110)*$D$13</f>
        <v>0</v>
      </c>
      <c r="EE110" s="57"/>
      <c r="EF110" s="67"/>
      <c r="EG110" s="66">
        <f t="shared" ref="EG110" ca="1" si="1223">($M110=EF110)*$D$13</f>
        <v>0</v>
      </c>
      <c r="EH110" s="57"/>
      <c r="EI110" s="57"/>
    </row>
    <row r="111" spans="1:139">
      <c r="A111" s="43"/>
      <c r="B111" s="43"/>
      <c r="C111" s="43"/>
      <c r="D111" s="43"/>
      <c r="E111" s="43"/>
      <c r="F111" s="712">
        <f t="shared" ref="F111" si="1224">$D$14</f>
        <v>5</v>
      </c>
      <c r="G111" s="713">
        <f ca="1">VLOOKUP(H111,Equipos!$Q$1:$R$25,2,0)</f>
        <v>17</v>
      </c>
      <c r="H111" s="774">
        <f ca="1">$H$68</f>
        <v>46200</v>
      </c>
      <c r="I111" s="44"/>
      <c r="J111" s="861"/>
      <c r="K111" s="49" t="str">
        <f>Idiomas!D181</f>
        <v>4º GRUPO H</v>
      </c>
      <c r="L111" s="46"/>
      <c r="M111" s="48" t="str">
        <f ca="1">IF(OR(SUM(WORLDCUP!$AN$62:$AN$65)=12,WORLDCUP!$AJ$99=144),WORLDCUP!AL65,LEFT(K111,1)&amp;RIGHT(K111,1))</f>
        <v>4H</v>
      </c>
      <c r="N111" s="711"/>
      <c r="O111" s="711"/>
      <c r="P111" s="711"/>
      <c r="Q111" s="711"/>
      <c r="R111" s="102"/>
      <c r="S111" s="67" t="s">
        <v>1547</v>
      </c>
      <c r="T111" s="66">
        <f t="shared" ref="T111" ca="1" si="1225">($M111=S111)*$D$14</f>
        <v>0</v>
      </c>
      <c r="U111" s="57"/>
      <c r="V111" s="67" t="s">
        <v>1547</v>
      </c>
      <c r="W111" s="66">
        <f t="shared" ref="W111" ca="1" si="1226">($M111=V111)*$D$14</f>
        <v>0</v>
      </c>
      <c r="X111" s="57"/>
      <c r="Y111" s="67" t="s">
        <v>1547</v>
      </c>
      <c r="Z111" s="66">
        <f t="shared" ref="Z111" ca="1" si="1227">($M111=Y111)*$D$14</f>
        <v>0</v>
      </c>
      <c r="AA111" s="57"/>
      <c r="AB111" s="67" t="s">
        <v>1547</v>
      </c>
      <c r="AC111" s="66">
        <f t="shared" ref="AC111" ca="1" si="1228">($M111=AB111)*$D$14</f>
        <v>0</v>
      </c>
      <c r="AD111" s="57"/>
      <c r="AE111" s="67" t="s">
        <v>1547</v>
      </c>
      <c r="AF111" s="66">
        <f t="shared" ref="AF111" ca="1" si="1229">($M111=AE111)*$D$14</f>
        <v>0</v>
      </c>
      <c r="AG111" s="57"/>
      <c r="AH111" s="67" t="s">
        <v>1547</v>
      </c>
      <c r="AI111" s="66">
        <f t="shared" ref="AI111" ca="1" si="1230">($M111=AH111)*$D$14</f>
        <v>0</v>
      </c>
      <c r="AJ111" s="57"/>
      <c r="AK111" s="67" t="s">
        <v>1627</v>
      </c>
      <c r="AL111" s="66">
        <f t="shared" ref="AL111" ca="1" si="1231">($M111=AK111)*$D$14</f>
        <v>0</v>
      </c>
      <c r="AM111" s="57"/>
      <c r="AN111" s="67" t="s">
        <v>1547</v>
      </c>
      <c r="AO111" s="66">
        <f t="shared" ref="AO111" ca="1" si="1232">($M111=AN111)*$D$14</f>
        <v>0</v>
      </c>
      <c r="AP111" s="57"/>
      <c r="AQ111" s="67" t="s">
        <v>1547</v>
      </c>
      <c r="AR111" s="66">
        <f t="shared" ref="AR111" ca="1" si="1233">($M111=AQ111)*$D$14</f>
        <v>0</v>
      </c>
      <c r="AS111" s="57"/>
      <c r="AT111" s="67" t="s">
        <v>1547</v>
      </c>
      <c r="AU111" s="66">
        <f t="shared" ref="AU111" ca="1" si="1234">($M111=AT111)*$D$14</f>
        <v>0</v>
      </c>
      <c r="AV111" s="57"/>
      <c r="AW111" s="67" t="s">
        <v>1547</v>
      </c>
      <c r="AX111" s="66">
        <f t="shared" ref="AX111" ca="1" si="1235">($M111=AW111)*$D$14</f>
        <v>0</v>
      </c>
      <c r="AY111" s="57"/>
      <c r="AZ111" s="67" t="s">
        <v>1547</v>
      </c>
      <c r="BA111" s="66">
        <f t="shared" ref="BA111" ca="1" si="1236">($M111=AZ111)*$D$14</f>
        <v>0</v>
      </c>
      <c r="BB111" s="57"/>
      <c r="BC111" s="67" t="s">
        <v>1547</v>
      </c>
      <c r="BD111" s="66">
        <f t="shared" ref="BD111" ca="1" si="1237">($M111=BC111)*$D$14</f>
        <v>0</v>
      </c>
      <c r="BE111" s="57"/>
      <c r="BF111" s="67" t="s">
        <v>1547</v>
      </c>
      <c r="BG111" s="66">
        <f t="shared" ref="BG111" ca="1" si="1238">($M111=BF111)*$D$14</f>
        <v>0</v>
      </c>
      <c r="BH111" s="57"/>
      <c r="BI111" s="67" t="s">
        <v>1627</v>
      </c>
      <c r="BJ111" s="66">
        <f t="shared" ref="BJ111" ca="1" si="1239">($M111=BI111)*$D$14</f>
        <v>0</v>
      </c>
      <c r="BK111" s="57"/>
      <c r="BL111" s="67" t="s">
        <v>1547</v>
      </c>
      <c r="BM111" s="66">
        <f t="shared" ref="BM111" ca="1" si="1240">($M111=BL111)*$D$14</f>
        <v>0</v>
      </c>
      <c r="BN111" s="57"/>
      <c r="BO111" s="67" t="s">
        <v>1547</v>
      </c>
      <c r="BP111" s="66">
        <f t="shared" ref="BP111" ca="1" si="1241">($M111=BO111)*$D$14</f>
        <v>0</v>
      </c>
      <c r="BQ111" s="57"/>
      <c r="BR111" s="67" t="s">
        <v>1547</v>
      </c>
      <c r="BS111" s="66">
        <f t="shared" ref="BS111" ca="1" si="1242">($M111=BR111)*$D$14</f>
        <v>0</v>
      </c>
      <c r="BT111" s="57"/>
      <c r="BU111" s="67"/>
      <c r="BV111" s="66">
        <f t="shared" ref="BV111" ca="1" si="1243">($M111=BU111)*$D$14</f>
        <v>0</v>
      </c>
      <c r="BW111" s="57"/>
      <c r="BX111" s="67"/>
      <c r="BY111" s="66">
        <f t="shared" ref="BY111" ca="1" si="1244">($M111=BX111)*$D$14</f>
        <v>0</v>
      </c>
      <c r="BZ111" s="57"/>
      <c r="CA111" s="67"/>
      <c r="CB111" s="66">
        <f t="shared" ref="CB111" ca="1" si="1245">($M111=CA111)*$D$14</f>
        <v>0</v>
      </c>
      <c r="CC111" s="57"/>
      <c r="CD111" s="67"/>
      <c r="CE111" s="66">
        <f t="shared" ref="CE111" ca="1" si="1246">($M111=CD111)*$D$14</f>
        <v>0</v>
      </c>
      <c r="CF111" s="57"/>
      <c r="CG111" s="67"/>
      <c r="CH111" s="66">
        <f t="shared" ref="CH111" ca="1" si="1247">($M111=CG111)*$D$14</f>
        <v>0</v>
      </c>
      <c r="CI111" s="57"/>
      <c r="CJ111" s="67"/>
      <c r="CK111" s="66">
        <f t="shared" ref="CK111" ca="1" si="1248">($M111=CJ111)*$D$14</f>
        <v>0</v>
      </c>
      <c r="CL111" s="57"/>
      <c r="CM111" s="67"/>
      <c r="CN111" s="66">
        <f t="shared" ref="CN111" ca="1" si="1249">($M111=CM111)*$D$14</f>
        <v>0</v>
      </c>
      <c r="CO111" s="57"/>
      <c r="CP111" s="67"/>
      <c r="CQ111" s="66">
        <f t="shared" ref="CQ111" ca="1" si="1250">($M111=CP111)*$D$14</f>
        <v>0</v>
      </c>
      <c r="CR111" s="57"/>
      <c r="CS111" s="67"/>
      <c r="CT111" s="66">
        <f t="shared" ref="CT111" ca="1" si="1251">($M111=CS111)*$D$14</f>
        <v>0</v>
      </c>
      <c r="CU111" s="57"/>
      <c r="CV111" s="67"/>
      <c r="CW111" s="66">
        <f t="shared" ref="CW111" ca="1" si="1252">($M111=CV111)*$D$14</f>
        <v>0</v>
      </c>
      <c r="CX111" s="57"/>
      <c r="CY111" s="67"/>
      <c r="CZ111" s="66">
        <f t="shared" ref="CZ111" ca="1" si="1253">($M111=CY111)*$D$14</f>
        <v>0</v>
      </c>
      <c r="DA111" s="57"/>
      <c r="DB111" s="67"/>
      <c r="DC111" s="66">
        <f t="shared" ref="DC111" ca="1" si="1254">($M111=DB111)*$D$14</f>
        <v>0</v>
      </c>
      <c r="DD111" s="57"/>
      <c r="DE111" s="67"/>
      <c r="DF111" s="66">
        <f t="shared" ref="DF111" ca="1" si="1255">($M111=DE111)*$D$14</f>
        <v>0</v>
      </c>
      <c r="DG111" s="57"/>
      <c r="DH111" s="67"/>
      <c r="DI111" s="66">
        <f t="shared" ref="DI111" ca="1" si="1256">($M111=DH111)*$D$14</f>
        <v>0</v>
      </c>
      <c r="DJ111" s="57"/>
      <c r="DK111" s="67"/>
      <c r="DL111" s="66">
        <f t="shared" ref="DL111" ca="1" si="1257">($M111=DK111)*$D$14</f>
        <v>0</v>
      </c>
      <c r="DM111" s="57"/>
      <c r="DN111" s="67"/>
      <c r="DO111" s="66">
        <f t="shared" ref="DO111" ca="1" si="1258">($M111=DN111)*$D$14</f>
        <v>0</v>
      </c>
      <c r="DP111" s="57"/>
      <c r="DQ111" s="67"/>
      <c r="DR111" s="66">
        <f t="shared" ref="DR111" ca="1" si="1259">($M111=DQ111)*$D$14</f>
        <v>0</v>
      </c>
      <c r="DS111" s="57"/>
      <c r="DT111" s="67"/>
      <c r="DU111" s="66">
        <f t="shared" ref="DU111" ca="1" si="1260">($M111=DT111)*$D$14</f>
        <v>0</v>
      </c>
      <c r="DV111" s="57"/>
      <c r="DW111" s="67"/>
      <c r="DX111" s="66">
        <f t="shared" ref="DX111" ca="1" si="1261">($M111=DW111)*$D$14</f>
        <v>0</v>
      </c>
      <c r="DY111" s="57"/>
      <c r="DZ111" s="67"/>
      <c r="EA111" s="66">
        <f t="shared" ref="EA111" ca="1" si="1262">($M111=DZ111)*$D$14</f>
        <v>0</v>
      </c>
      <c r="EB111" s="57"/>
      <c r="EC111" s="67"/>
      <c r="ED111" s="66">
        <f t="shared" ref="ED111" ca="1" si="1263">($M111=EC111)*$D$14</f>
        <v>0</v>
      </c>
      <c r="EE111" s="57"/>
      <c r="EF111" s="67"/>
      <c r="EG111" s="66">
        <f t="shared" ref="EG111" ca="1" si="1264">($M111=EF111)*$D$14</f>
        <v>0</v>
      </c>
      <c r="EH111" s="57"/>
      <c r="EI111" s="57"/>
    </row>
    <row r="112" spans="1:139">
      <c r="A112" s="43"/>
      <c r="B112" s="43"/>
      <c r="C112" s="43"/>
      <c r="D112" s="43"/>
      <c r="E112" s="43"/>
      <c r="F112" s="712">
        <f t="shared" ref="F112" si="1265">$D$11</f>
        <v>5</v>
      </c>
      <c r="G112" s="713">
        <f ca="1">VLOOKUP(H112,Equipos!$Q$1:$R$25,2,0)</f>
        <v>16</v>
      </c>
      <c r="H112" s="774">
        <f ca="1">$H$70</f>
        <v>46199</v>
      </c>
      <c r="I112" s="44"/>
      <c r="J112" s="862" t="s">
        <v>438</v>
      </c>
      <c r="K112" s="49" t="str">
        <f>Idiomas!D182</f>
        <v>1º GRUPO I</v>
      </c>
      <c r="L112" s="46"/>
      <c r="M112" s="48" t="str">
        <f ca="1">IF(OR(SUM(WORLDCUP!$AN$70:$AN$73)=12,WORLDCUP!$AJ$99=144),WORLDCUP!AL70,LEFT(K112,1)&amp;RIGHT(K112,1))</f>
        <v>1I</v>
      </c>
      <c r="N112" s="711"/>
      <c r="O112" s="711"/>
      <c r="P112" s="711"/>
      <c r="Q112" s="711"/>
      <c r="R112" s="102"/>
      <c r="S112" s="67" t="s">
        <v>74</v>
      </c>
      <c r="T112" s="66">
        <f t="shared" ref="T112" ca="1" si="1266">($M112=S112)*$D$11</f>
        <v>0</v>
      </c>
      <c r="U112" s="57"/>
      <c r="V112" s="67" t="s">
        <v>74</v>
      </c>
      <c r="W112" s="66">
        <f t="shared" ref="W112" ca="1" si="1267">($M112=V112)*$D$11</f>
        <v>0</v>
      </c>
      <c r="X112" s="57"/>
      <c r="Y112" s="67" t="s">
        <v>74</v>
      </c>
      <c r="Z112" s="66">
        <f t="shared" ref="Z112" ca="1" si="1268">($M112=Y112)*$D$11</f>
        <v>0</v>
      </c>
      <c r="AA112" s="57"/>
      <c r="AB112" s="67" t="s">
        <v>74</v>
      </c>
      <c r="AC112" s="66">
        <f t="shared" ref="AC112" ca="1" si="1269">($M112=AB112)*$D$11</f>
        <v>0</v>
      </c>
      <c r="AD112" s="57"/>
      <c r="AE112" s="67" t="s">
        <v>74</v>
      </c>
      <c r="AF112" s="66">
        <f t="shared" ref="AF112" ca="1" si="1270">($M112=AE112)*$D$11</f>
        <v>0</v>
      </c>
      <c r="AG112" s="57"/>
      <c r="AH112" s="67" t="s">
        <v>74</v>
      </c>
      <c r="AI112" s="66">
        <f t="shared" ref="AI112" ca="1" si="1271">($M112=AH112)*$D$11</f>
        <v>0</v>
      </c>
      <c r="AJ112" s="57"/>
      <c r="AK112" s="67" t="s">
        <v>74</v>
      </c>
      <c r="AL112" s="66">
        <f t="shared" ref="AL112" ca="1" si="1272">($M112=AK112)*$D$11</f>
        <v>0</v>
      </c>
      <c r="AM112" s="57"/>
      <c r="AN112" s="67" t="s">
        <v>74</v>
      </c>
      <c r="AO112" s="66">
        <f t="shared" ref="AO112" ca="1" si="1273">($M112=AN112)*$D$11</f>
        <v>0</v>
      </c>
      <c r="AP112" s="57"/>
      <c r="AQ112" s="67" t="s">
        <v>1629</v>
      </c>
      <c r="AR112" s="66">
        <f t="shared" ref="AR112" ca="1" si="1274">($M112=AQ112)*$D$11</f>
        <v>0</v>
      </c>
      <c r="AS112" s="57"/>
      <c r="AT112" s="67" t="s">
        <v>74</v>
      </c>
      <c r="AU112" s="66">
        <f t="shared" ref="AU112" ca="1" si="1275">($M112=AT112)*$D$11</f>
        <v>0</v>
      </c>
      <c r="AV112" s="57"/>
      <c r="AW112" s="67" t="s">
        <v>74</v>
      </c>
      <c r="AX112" s="66">
        <f t="shared" ref="AX112" ca="1" si="1276">($M112=AW112)*$D$11</f>
        <v>0</v>
      </c>
      <c r="AY112" s="57"/>
      <c r="AZ112" s="67" t="s">
        <v>74</v>
      </c>
      <c r="BA112" s="66">
        <f t="shared" ref="BA112" ca="1" si="1277">($M112=AZ112)*$D$11</f>
        <v>0</v>
      </c>
      <c r="BB112" s="57"/>
      <c r="BC112" s="67" t="s">
        <v>74</v>
      </c>
      <c r="BD112" s="66">
        <f t="shared" ref="BD112" ca="1" si="1278">($M112=BC112)*$D$11</f>
        <v>0</v>
      </c>
      <c r="BE112" s="57"/>
      <c r="BF112" s="67" t="s">
        <v>74</v>
      </c>
      <c r="BG112" s="66">
        <f t="shared" ref="BG112" ca="1" si="1279">($M112=BF112)*$D$11</f>
        <v>0</v>
      </c>
      <c r="BH112" s="57"/>
      <c r="BI112" s="67" t="s">
        <v>74</v>
      </c>
      <c r="BJ112" s="66">
        <f t="shared" ref="BJ112" ca="1" si="1280">($M112=BI112)*$D$11</f>
        <v>0</v>
      </c>
      <c r="BK112" s="57"/>
      <c r="BL112" s="67" t="s">
        <v>74</v>
      </c>
      <c r="BM112" s="66">
        <f t="shared" ref="BM112" ca="1" si="1281">($M112=BL112)*$D$11</f>
        <v>0</v>
      </c>
      <c r="BN112" s="57"/>
      <c r="BO112" s="67" t="s">
        <v>74</v>
      </c>
      <c r="BP112" s="66">
        <f t="shared" ref="BP112" ca="1" si="1282">($M112=BO112)*$D$11</f>
        <v>0</v>
      </c>
      <c r="BQ112" s="57"/>
      <c r="BR112" s="67" t="s">
        <v>74</v>
      </c>
      <c r="BS112" s="66">
        <f t="shared" ref="BS112" ca="1" si="1283">($M112=BR112)*$D$11</f>
        <v>0</v>
      </c>
      <c r="BT112" s="57"/>
      <c r="BU112" s="67"/>
      <c r="BV112" s="66">
        <f t="shared" ref="BV112" ca="1" si="1284">($M112=BU112)*$D$11</f>
        <v>0</v>
      </c>
      <c r="BW112" s="57"/>
      <c r="BX112" s="67"/>
      <c r="BY112" s="66">
        <f t="shared" ref="BY112" ca="1" si="1285">($M112=BX112)*$D$11</f>
        <v>0</v>
      </c>
      <c r="BZ112" s="57"/>
      <c r="CA112" s="67"/>
      <c r="CB112" s="66">
        <f t="shared" ref="CB112" ca="1" si="1286">($M112=CA112)*$D$11</f>
        <v>0</v>
      </c>
      <c r="CC112" s="57"/>
      <c r="CD112" s="67"/>
      <c r="CE112" s="66">
        <f t="shared" ref="CE112" ca="1" si="1287">($M112=CD112)*$D$11</f>
        <v>0</v>
      </c>
      <c r="CF112" s="57"/>
      <c r="CG112" s="67"/>
      <c r="CH112" s="66">
        <f t="shared" ref="CH112" ca="1" si="1288">($M112=CG112)*$D$11</f>
        <v>0</v>
      </c>
      <c r="CI112" s="57"/>
      <c r="CJ112" s="67"/>
      <c r="CK112" s="66">
        <f t="shared" ref="CK112" ca="1" si="1289">($M112=CJ112)*$D$11</f>
        <v>0</v>
      </c>
      <c r="CL112" s="57"/>
      <c r="CM112" s="67"/>
      <c r="CN112" s="66">
        <f t="shared" ref="CN112" ca="1" si="1290">($M112=CM112)*$D$11</f>
        <v>0</v>
      </c>
      <c r="CO112" s="57"/>
      <c r="CP112" s="67"/>
      <c r="CQ112" s="66">
        <f t="shared" ref="CQ112" ca="1" si="1291">($M112=CP112)*$D$11</f>
        <v>0</v>
      </c>
      <c r="CR112" s="57"/>
      <c r="CS112" s="67"/>
      <c r="CT112" s="66">
        <f t="shared" ref="CT112" ca="1" si="1292">($M112=CS112)*$D$11</f>
        <v>0</v>
      </c>
      <c r="CU112" s="57"/>
      <c r="CV112" s="67"/>
      <c r="CW112" s="66">
        <f t="shared" ref="CW112" ca="1" si="1293">($M112=CV112)*$D$11</f>
        <v>0</v>
      </c>
      <c r="CX112" s="57"/>
      <c r="CY112" s="67"/>
      <c r="CZ112" s="66">
        <f t="shared" ref="CZ112" ca="1" si="1294">($M112=CY112)*$D$11</f>
        <v>0</v>
      </c>
      <c r="DA112" s="57"/>
      <c r="DB112" s="67"/>
      <c r="DC112" s="66">
        <f t="shared" ref="DC112" ca="1" si="1295">($M112=DB112)*$D$11</f>
        <v>0</v>
      </c>
      <c r="DD112" s="57"/>
      <c r="DE112" s="67"/>
      <c r="DF112" s="66">
        <f t="shared" ref="DF112" ca="1" si="1296">($M112=DE112)*$D$11</f>
        <v>0</v>
      </c>
      <c r="DG112" s="57"/>
      <c r="DH112" s="67"/>
      <c r="DI112" s="66">
        <f t="shared" ref="DI112" ca="1" si="1297">($M112=DH112)*$D$11</f>
        <v>0</v>
      </c>
      <c r="DJ112" s="57"/>
      <c r="DK112" s="67"/>
      <c r="DL112" s="66">
        <f t="shared" ref="DL112" ca="1" si="1298">($M112=DK112)*$D$11</f>
        <v>0</v>
      </c>
      <c r="DM112" s="57"/>
      <c r="DN112" s="67"/>
      <c r="DO112" s="66">
        <f t="shared" ref="DO112" ca="1" si="1299">($M112=DN112)*$D$11</f>
        <v>0</v>
      </c>
      <c r="DP112" s="57"/>
      <c r="DQ112" s="67"/>
      <c r="DR112" s="66">
        <f t="shared" ref="DR112" ca="1" si="1300">($M112=DQ112)*$D$11</f>
        <v>0</v>
      </c>
      <c r="DS112" s="57"/>
      <c r="DT112" s="67"/>
      <c r="DU112" s="66">
        <f t="shared" ref="DU112" ca="1" si="1301">($M112=DT112)*$D$11</f>
        <v>0</v>
      </c>
      <c r="DV112" s="57"/>
      <c r="DW112" s="67"/>
      <c r="DX112" s="66">
        <f t="shared" ref="DX112" ca="1" si="1302">($M112=DW112)*$D$11</f>
        <v>0</v>
      </c>
      <c r="DY112" s="57"/>
      <c r="DZ112" s="67"/>
      <c r="EA112" s="66">
        <f t="shared" ref="EA112" ca="1" si="1303">($M112=DZ112)*$D$11</f>
        <v>0</v>
      </c>
      <c r="EB112" s="57"/>
      <c r="EC112" s="67"/>
      <c r="ED112" s="66">
        <f t="shared" ref="ED112" ca="1" si="1304">($M112=EC112)*$D$11</f>
        <v>0</v>
      </c>
      <c r="EE112" s="57"/>
      <c r="EF112" s="67"/>
      <c r="EG112" s="66">
        <f t="shared" ref="EG112" ca="1" si="1305">($M112=EF112)*$D$11</f>
        <v>0</v>
      </c>
      <c r="EH112" s="57"/>
      <c r="EI112" s="57"/>
    </row>
    <row r="113" spans="1:139">
      <c r="A113" s="43"/>
      <c r="B113" s="43"/>
      <c r="C113" s="43"/>
      <c r="D113" s="43"/>
      <c r="E113" s="43"/>
      <c r="F113" s="712">
        <f t="shared" ref="F113" si="1306">$D$12</f>
        <v>5</v>
      </c>
      <c r="G113" s="713">
        <f ca="1">VLOOKUP(H113,Equipos!$Q$1:$R$25,2,0)</f>
        <v>16</v>
      </c>
      <c r="H113" s="774">
        <f ca="1">$H$70</f>
        <v>46199</v>
      </c>
      <c r="I113" s="44"/>
      <c r="J113" s="862"/>
      <c r="K113" s="49" t="str">
        <f>Idiomas!D183</f>
        <v>2º GRUPO I</v>
      </c>
      <c r="L113" s="46"/>
      <c r="M113" s="48" t="str">
        <f ca="1">IF(OR(SUM(WORLDCUP!$AN$70:$AN$73)=12,WORLDCUP!$AJ$99=144),WORLDCUP!AL71,LEFT(K113,1)&amp;RIGHT(K113,1))</f>
        <v>2I</v>
      </c>
      <c r="N113" s="711"/>
      <c r="O113" s="711"/>
      <c r="P113" s="711"/>
      <c r="Q113" s="711"/>
      <c r="R113" s="102"/>
      <c r="S113" s="67" t="s">
        <v>1629</v>
      </c>
      <c r="T113" s="66">
        <f t="shared" ref="T113" ca="1" si="1307">($M113=S113)*$D$12</f>
        <v>0</v>
      </c>
      <c r="U113" s="57"/>
      <c r="V113" s="67" t="s">
        <v>135</v>
      </c>
      <c r="W113" s="66">
        <f t="shared" ref="W113" ca="1" si="1308">($M113=V113)*$D$12</f>
        <v>0</v>
      </c>
      <c r="X113" s="57"/>
      <c r="Y113" s="67" t="s">
        <v>1629</v>
      </c>
      <c r="Z113" s="66">
        <f t="shared" ref="Z113" ca="1" si="1309">($M113=Y113)*$D$12</f>
        <v>0</v>
      </c>
      <c r="AA113" s="57"/>
      <c r="AB113" s="67" t="s">
        <v>135</v>
      </c>
      <c r="AC113" s="66">
        <f t="shared" ref="AC113" ca="1" si="1310">($M113=AB113)*$D$12</f>
        <v>0</v>
      </c>
      <c r="AD113" s="57"/>
      <c r="AE113" s="67" t="s">
        <v>135</v>
      </c>
      <c r="AF113" s="66">
        <f t="shared" ref="AF113" ca="1" si="1311">($M113=AE113)*$D$12</f>
        <v>0</v>
      </c>
      <c r="AG113" s="57"/>
      <c r="AH113" s="67" t="s">
        <v>135</v>
      </c>
      <c r="AI113" s="66">
        <f t="shared" ref="AI113" ca="1" si="1312">($M113=AH113)*$D$12</f>
        <v>0</v>
      </c>
      <c r="AJ113" s="57"/>
      <c r="AK113" s="67" t="s">
        <v>1629</v>
      </c>
      <c r="AL113" s="66">
        <f t="shared" ref="AL113" ca="1" si="1313">($M113=AK113)*$D$12</f>
        <v>0</v>
      </c>
      <c r="AM113" s="57"/>
      <c r="AN113" s="67" t="s">
        <v>135</v>
      </c>
      <c r="AO113" s="66">
        <f t="shared" ref="AO113" ca="1" si="1314">($M113=AN113)*$D$12</f>
        <v>0</v>
      </c>
      <c r="AP113" s="57"/>
      <c r="AQ113" s="67" t="s">
        <v>74</v>
      </c>
      <c r="AR113" s="66">
        <f t="shared" ref="AR113" ca="1" si="1315">($M113=AQ113)*$D$12</f>
        <v>0</v>
      </c>
      <c r="AS113" s="57"/>
      <c r="AT113" s="67" t="s">
        <v>135</v>
      </c>
      <c r="AU113" s="66">
        <f t="shared" ref="AU113" ca="1" si="1316">($M113=AT113)*$D$12</f>
        <v>0</v>
      </c>
      <c r="AV113" s="57"/>
      <c r="AW113" s="67" t="s">
        <v>135</v>
      </c>
      <c r="AX113" s="66">
        <f t="shared" ref="AX113" ca="1" si="1317">($M113=AW113)*$D$12</f>
        <v>0</v>
      </c>
      <c r="AY113" s="57"/>
      <c r="AZ113" s="67" t="s">
        <v>135</v>
      </c>
      <c r="BA113" s="66">
        <f t="shared" ref="BA113" ca="1" si="1318">($M113=AZ113)*$D$12</f>
        <v>0</v>
      </c>
      <c r="BB113" s="57"/>
      <c r="BC113" s="67" t="s">
        <v>135</v>
      </c>
      <c r="BD113" s="66">
        <f t="shared" ref="BD113" ca="1" si="1319">($M113=BC113)*$D$12</f>
        <v>0</v>
      </c>
      <c r="BE113" s="57"/>
      <c r="BF113" s="67" t="s">
        <v>135</v>
      </c>
      <c r="BG113" s="66">
        <f t="shared" ref="BG113" ca="1" si="1320">($M113=BF113)*$D$12</f>
        <v>0</v>
      </c>
      <c r="BH113" s="57"/>
      <c r="BI113" s="67" t="s">
        <v>135</v>
      </c>
      <c r="BJ113" s="66">
        <f t="shared" ref="BJ113" ca="1" si="1321">($M113=BI113)*$D$12</f>
        <v>0</v>
      </c>
      <c r="BK113" s="57"/>
      <c r="BL113" s="67" t="s">
        <v>135</v>
      </c>
      <c r="BM113" s="66">
        <f t="shared" ref="BM113" ca="1" si="1322">($M113=BL113)*$D$12</f>
        <v>0</v>
      </c>
      <c r="BN113" s="57"/>
      <c r="BO113" s="67" t="s">
        <v>1629</v>
      </c>
      <c r="BP113" s="66">
        <f t="shared" ref="BP113" ca="1" si="1323">($M113=BO113)*$D$12</f>
        <v>0</v>
      </c>
      <c r="BQ113" s="57"/>
      <c r="BR113" s="67" t="s">
        <v>1629</v>
      </c>
      <c r="BS113" s="66">
        <f t="shared" ref="BS113" ca="1" si="1324">($M113=BR113)*$D$12</f>
        <v>0</v>
      </c>
      <c r="BT113" s="57"/>
      <c r="BU113" s="67"/>
      <c r="BV113" s="66">
        <f t="shared" ref="BV113" ca="1" si="1325">($M113=BU113)*$D$12</f>
        <v>0</v>
      </c>
      <c r="BW113" s="57"/>
      <c r="BX113" s="67"/>
      <c r="BY113" s="66">
        <f t="shared" ref="BY113" ca="1" si="1326">($M113=BX113)*$D$12</f>
        <v>0</v>
      </c>
      <c r="BZ113" s="57"/>
      <c r="CA113" s="67"/>
      <c r="CB113" s="66">
        <f t="shared" ref="CB113" ca="1" si="1327">($M113=CA113)*$D$12</f>
        <v>0</v>
      </c>
      <c r="CC113" s="57"/>
      <c r="CD113" s="67"/>
      <c r="CE113" s="66">
        <f t="shared" ref="CE113" ca="1" si="1328">($M113=CD113)*$D$12</f>
        <v>0</v>
      </c>
      <c r="CF113" s="57"/>
      <c r="CG113" s="67"/>
      <c r="CH113" s="66">
        <f t="shared" ref="CH113" ca="1" si="1329">($M113=CG113)*$D$12</f>
        <v>0</v>
      </c>
      <c r="CI113" s="57"/>
      <c r="CJ113" s="67"/>
      <c r="CK113" s="66">
        <f t="shared" ref="CK113" ca="1" si="1330">($M113=CJ113)*$D$12</f>
        <v>0</v>
      </c>
      <c r="CL113" s="57"/>
      <c r="CM113" s="67"/>
      <c r="CN113" s="66">
        <f t="shared" ref="CN113" ca="1" si="1331">($M113=CM113)*$D$12</f>
        <v>0</v>
      </c>
      <c r="CO113" s="57"/>
      <c r="CP113" s="67"/>
      <c r="CQ113" s="66">
        <f t="shared" ref="CQ113" ca="1" si="1332">($M113=CP113)*$D$12</f>
        <v>0</v>
      </c>
      <c r="CR113" s="57"/>
      <c r="CS113" s="67"/>
      <c r="CT113" s="66">
        <f t="shared" ref="CT113" ca="1" si="1333">($M113=CS113)*$D$12</f>
        <v>0</v>
      </c>
      <c r="CU113" s="57"/>
      <c r="CV113" s="67"/>
      <c r="CW113" s="66">
        <f t="shared" ref="CW113" ca="1" si="1334">($M113=CV113)*$D$12</f>
        <v>0</v>
      </c>
      <c r="CX113" s="57"/>
      <c r="CY113" s="67"/>
      <c r="CZ113" s="66">
        <f t="shared" ref="CZ113" ca="1" si="1335">($M113=CY113)*$D$12</f>
        <v>0</v>
      </c>
      <c r="DA113" s="57"/>
      <c r="DB113" s="67"/>
      <c r="DC113" s="66">
        <f t="shared" ref="DC113" ca="1" si="1336">($M113=DB113)*$D$12</f>
        <v>0</v>
      </c>
      <c r="DD113" s="57"/>
      <c r="DE113" s="67"/>
      <c r="DF113" s="66">
        <f t="shared" ref="DF113" ca="1" si="1337">($M113=DE113)*$D$12</f>
        <v>0</v>
      </c>
      <c r="DG113" s="57"/>
      <c r="DH113" s="67"/>
      <c r="DI113" s="66">
        <f t="shared" ref="DI113" ca="1" si="1338">($M113=DH113)*$D$12</f>
        <v>0</v>
      </c>
      <c r="DJ113" s="57"/>
      <c r="DK113" s="67"/>
      <c r="DL113" s="66">
        <f t="shared" ref="DL113" ca="1" si="1339">($M113=DK113)*$D$12</f>
        <v>0</v>
      </c>
      <c r="DM113" s="57"/>
      <c r="DN113" s="67"/>
      <c r="DO113" s="66">
        <f t="shared" ref="DO113" ca="1" si="1340">($M113=DN113)*$D$12</f>
        <v>0</v>
      </c>
      <c r="DP113" s="57"/>
      <c r="DQ113" s="67"/>
      <c r="DR113" s="66">
        <f t="shared" ref="DR113" ca="1" si="1341">($M113=DQ113)*$D$12</f>
        <v>0</v>
      </c>
      <c r="DS113" s="57"/>
      <c r="DT113" s="67"/>
      <c r="DU113" s="66">
        <f t="shared" ref="DU113" ca="1" si="1342">($M113=DT113)*$D$12</f>
        <v>0</v>
      </c>
      <c r="DV113" s="57"/>
      <c r="DW113" s="67"/>
      <c r="DX113" s="66">
        <f t="shared" ref="DX113" ca="1" si="1343">($M113=DW113)*$D$12</f>
        <v>0</v>
      </c>
      <c r="DY113" s="57"/>
      <c r="DZ113" s="67"/>
      <c r="EA113" s="66">
        <f t="shared" ref="EA113" ca="1" si="1344">($M113=DZ113)*$D$12</f>
        <v>0</v>
      </c>
      <c r="EB113" s="57"/>
      <c r="EC113" s="67"/>
      <c r="ED113" s="66">
        <f t="shared" ref="ED113" ca="1" si="1345">($M113=EC113)*$D$12</f>
        <v>0</v>
      </c>
      <c r="EE113" s="57"/>
      <c r="EF113" s="67"/>
      <c r="EG113" s="66">
        <f t="shared" ref="EG113" ca="1" si="1346">($M113=EF113)*$D$12</f>
        <v>0</v>
      </c>
      <c r="EH113" s="57"/>
      <c r="EI113" s="57"/>
    </row>
    <row r="114" spans="1:139">
      <c r="A114" s="43"/>
      <c r="B114" s="43"/>
      <c r="C114" s="43"/>
      <c r="D114" s="43"/>
      <c r="E114" s="43"/>
      <c r="F114" s="712">
        <f t="shared" ref="F114" si="1347">$D$13</f>
        <v>5</v>
      </c>
      <c r="G114" s="713">
        <f ca="1">VLOOKUP(H114,Equipos!$Q$1:$R$25,2,0)</f>
        <v>16</v>
      </c>
      <c r="H114" s="774">
        <f ca="1">$H$70</f>
        <v>46199</v>
      </c>
      <c r="I114" s="44"/>
      <c r="J114" s="862"/>
      <c r="K114" s="49" t="str">
        <f>Idiomas!D184</f>
        <v>3º GRUPO I</v>
      </c>
      <c r="L114" s="46"/>
      <c r="M114" s="48" t="str">
        <f ca="1">IF(OR(SUM(WORLDCUP!$AN$70:$AN$73)=12,WORLDCUP!$AJ$99=144),WORLDCUP!AL72,LEFT(K114,1)&amp;RIGHT(K114,1))</f>
        <v>3I</v>
      </c>
      <c r="N114" s="711"/>
      <c r="O114" s="711"/>
      <c r="P114" s="711"/>
      <c r="Q114" s="711"/>
      <c r="R114" s="102"/>
      <c r="S114" s="67" t="s">
        <v>135</v>
      </c>
      <c r="T114" s="66">
        <f t="shared" ref="T114" ca="1" si="1348">($M114=S114)*$D$13</f>
        <v>0</v>
      </c>
      <c r="U114" s="57"/>
      <c r="V114" s="67" t="s">
        <v>1629</v>
      </c>
      <c r="W114" s="66">
        <f t="shared" ref="W114" ca="1" si="1349">($M114=V114)*$D$13</f>
        <v>0</v>
      </c>
      <c r="X114" s="57"/>
      <c r="Y114" s="67" t="s">
        <v>135</v>
      </c>
      <c r="Z114" s="66">
        <f t="shared" ref="Z114" ca="1" si="1350">($M114=Y114)*$D$13</f>
        <v>0</v>
      </c>
      <c r="AA114" s="57"/>
      <c r="AB114" s="67" t="s">
        <v>1629</v>
      </c>
      <c r="AC114" s="66">
        <f t="shared" ref="AC114" ca="1" si="1351">($M114=AB114)*$D$13</f>
        <v>0</v>
      </c>
      <c r="AD114" s="57"/>
      <c r="AE114" s="67" t="s">
        <v>1629</v>
      </c>
      <c r="AF114" s="66">
        <f t="shared" ref="AF114" ca="1" si="1352">($M114=AE114)*$D$13</f>
        <v>0</v>
      </c>
      <c r="AG114" s="57"/>
      <c r="AH114" s="67" t="s">
        <v>1629</v>
      </c>
      <c r="AI114" s="66">
        <f t="shared" ref="AI114" ca="1" si="1353">($M114=AH114)*$D$13</f>
        <v>0</v>
      </c>
      <c r="AJ114" s="57"/>
      <c r="AK114" s="67" t="s">
        <v>135</v>
      </c>
      <c r="AL114" s="66">
        <f t="shared" ref="AL114" ca="1" si="1354">($M114=AK114)*$D$13</f>
        <v>0</v>
      </c>
      <c r="AM114" s="57"/>
      <c r="AN114" s="67" t="s">
        <v>1629</v>
      </c>
      <c r="AO114" s="66">
        <f t="shared" ref="AO114" ca="1" si="1355">($M114=AN114)*$D$13</f>
        <v>0</v>
      </c>
      <c r="AP114" s="57"/>
      <c r="AQ114" s="67" t="s">
        <v>135</v>
      </c>
      <c r="AR114" s="66">
        <f t="shared" ref="AR114" ca="1" si="1356">($M114=AQ114)*$D$13</f>
        <v>0</v>
      </c>
      <c r="AS114" s="57"/>
      <c r="AT114" s="67" t="s">
        <v>1629</v>
      </c>
      <c r="AU114" s="66">
        <f t="shared" ref="AU114" ca="1" si="1357">($M114=AT114)*$D$13</f>
        <v>0</v>
      </c>
      <c r="AV114" s="57"/>
      <c r="AW114" s="67" t="s">
        <v>1629</v>
      </c>
      <c r="AX114" s="66">
        <f t="shared" ref="AX114" ca="1" si="1358">($M114=AW114)*$D$13</f>
        <v>0</v>
      </c>
      <c r="AY114" s="57"/>
      <c r="AZ114" s="67" t="s">
        <v>1629</v>
      </c>
      <c r="BA114" s="66">
        <f t="shared" ref="BA114" ca="1" si="1359">($M114=AZ114)*$D$13</f>
        <v>0</v>
      </c>
      <c r="BB114" s="57"/>
      <c r="BC114" s="67" t="s">
        <v>1629</v>
      </c>
      <c r="BD114" s="66">
        <f t="shared" ref="BD114" ca="1" si="1360">($M114=BC114)*$D$13</f>
        <v>0</v>
      </c>
      <c r="BE114" s="57"/>
      <c r="BF114" s="67" t="s">
        <v>1751</v>
      </c>
      <c r="BG114" s="66">
        <f t="shared" ref="BG114" ca="1" si="1361">($M114=BF114)*$D$13</f>
        <v>0</v>
      </c>
      <c r="BH114" s="57"/>
      <c r="BI114" s="67" t="s">
        <v>1629</v>
      </c>
      <c r="BJ114" s="66">
        <f t="shared" ref="BJ114" ca="1" si="1362">($M114=BI114)*$D$13</f>
        <v>0</v>
      </c>
      <c r="BK114" s="57"/>
      <c r="BL114" s="67" t="s">
        <v>1629</v>
      </c>
      <c r="BM114" s="66">
        <f t="shared" ref="BM114" ca="1" si="1363">($M114=BL114)*$D$13</f>
        <v>0</v>
      </c>
      <c r="BN114" s="57"/>
      <c r="BO114" s="67" t="s">
        <v>135</v>
      </c>
      <c r="BP114" s="66">
        <f t="shared" ref="BP114" ca="1" si="1364">($M114=BO114)*$D$13</f>
        <v>0</v>
      </c>
      <c r="BQ114" s="57"/>
      <c r="BR114" s="67" t="s">
        <v>135</v>
      </c>
      <c r="BS114" s="66">
        <f t="shared" ref="BS114" ca="1" si="1365">($M114=BR114)*$D$13</f>
        <v>0</v>
      </c>
      <c r="BT114" s="57"/>
      <c r="BU114" s="67"/>
      <c r="BV114" s="66">
        <f t="shared" ref="BV114" ca="1" si="1366">($M114=BU114)*$D$13</f>
        <v>0</v>
      </c>
      <c r="BW114" s="57"/>
      <c r="BX114" s="67"/>
      <c r="BY114" s="66">
        <f t="shared" ref="BY114" ca="1" si="1367">($M114=BX114)*$D$13</f>
        <v>0</v>
      </c>
      <c r="BZ114" s="57"/>
      <c r="CA114" s="67"/>
      <c r="CB114" s="66">
        <f t="shared" ref="CB114" ca="1" si="1368">($M114=CA114)*$D$13</f>
        <v>0</v>
      </c>
      <c r="CC114" s="57"/>
      <c r="CD114" s="67"/>
      <c r="CE114" s="66">
        <f t="shared" ref="CE114" ca="1" si="1369">($M114=CD114)*$D$13</f>
        <v>0</v>
      </c>
      <c r="CF114" s="57"/>
      <c r="CG114" s="67"/>
      <c r="CH114" s="66">
        <f t="shared" ref="CH114" ca="1" si="1370">($M114=CG114)*$D$13</f>
        <v>0</v>
      </c>
      <c r="CI114" s="57"/>
      <c r="CJ114" s="67"/>
      <c r="CK114" s="66">
        <f t="shared" ref="CK114" ca="1" si="1371">($M114=CJ114)*$D$13</f>
        <v>0</v>
      </c>
      <c r="CL114" s="57"/>
      <c r="CM114" s="67"/>
      <c r="CN114" s="66">
        <f t="shared" ref="CN114" ca="1" si="1372">($M114=CM114)*$D$13</f>
        <v>0</v>
      </c>
      <c r="CO114" s="57"/>
      <c r="CP114" s="67"/>
      <c r="CQ114" s="66">
        <f t="shared" ref="CQ114" ca="1" si="1373">($M114=CP114)*$D$13</f>
        <v>0</v>
      </c>
      <c r="CR114" s="57"/>
      <c r="CS114" s="67"/>
      <c r="CT114" s="66">
        <f t="shared" ref="CT114" ca="1" si="1374">($M114=CS114)*$D$13</f>
        <v>0</v>
      </c>
      <c r="CU114" s="57"/>
      <c r="CV114" s="67"/>
      <c r="CW114" s="66">
        <f t="shared" ref="CW114" ca="1" si="1375">($M114=CV114)*$D$13</f>
        <v>0</v>
      </c>
      <c r="CX114" s="57"/>
      <c r="CY114" s="67"/>
      <c r="CZ114" s="66">
        <f t="shared" ref="CZ114" ca="1" si="1376">($M114=CY114)*$D$13</f>
        <v>0</v>
      </c>
      <c r="DA114" s="57"/>
      <c r="DB114" s="67"/>
      <c r="DC114" s="66">
        <f t="shared" ref="DC114" ca="1" si="1377">($M114=DB114)*$D$13</f>
        <v>0</v>
      </c>
      <c r="DD114" s="57"/>
      <c r="DE114" s="67"/>
      <c r="DF114" s="66">
        <f t="shared" ref="DF114" ca="1" si="1378">($M114=DE114)*$D$13</f>
        <v>0</v>
      </c>
      <c r="DG114" s="57"/>
      <c r="DH114" s="67"/>
      <c r="DI114" s="66">
        <f t="shared" ref="DI114" ca="1" si="1379">($M114=DH114)*$D$13</f>
        <v>0</v>
      </c>
      <c r="DJ114" s="57"/>
      <c r="DK114" s="67"/>
      <c r="DL114" s="66">
        <f t="shared" ref="DL114" ca="1" si="1380">($M114=DK114)*$D$13</f>
        <v>0</v>
      </c>
      <c r="DM114" s="57"/>
      <c r="DN114" s="67"/>
      <c r="DO114" s="66">
        <f t="shared" ref="DO114" ca="1" si="1381">($M114=DN114)*$D$13</f>
        <v>0</v>
      </c>
      <c r="DP114" s="57"/>
      <c r="DQ114" s="67"/>
      <c r="DR114" s="66">
        <f t="shared" ref="DR114" ca="1" si="1382">($M114=DQ114)*$D$13</f>
        <v>0</v>
      </c>
      <c r="DS114" s="57"/>
      <c r="DT114" s="67"/>
      <c r="DU114" s="66">
        <f t="shared" ref="DU114" ca="1" si="1383">($M114=DT114)*$D$13</f>
        <v>0</v>
      </c>
      <c r="DV114" s="57"/>
      <c r="DW114" s="67"/>
      <c r="DX114" s="66">
        <f t="shared" ref="DX114" ca="1" si="1384">($M114=DW114)*$D$13</f>
        <v>0</v>
      </c>
      <c r="DY114" s="57"/>
      <c r="DZ114" s="67"/>
      <c r="EA114" s="66">
        <f t="shared" ref="EA114" ca="1" si="1385">($M114=DZ114)*$D$13</f>
        <v>0</v>
      </c>
      <c r="EB114" s="57"/>
      <c r="EC114" s="67"/>
      <c r="ED114" s="66">
        <f t="shared" ref="ED114" ca="1" si="1386">($M114=EC114)*$D$13</f>
        <v>0</v>
      </c>
      <c r="EE114" s="57"/>
      <c r="EF114" s="67"/>
      <c r="EG114" s="66">
        <f t="shared" ref="EG114" ca="1" si="1387">($M114=EF114)*$D$13</f>
        <v>0</v>
      </c>
      <c r="EH114" s="57"/>
      <c r="EI114" s="57"/>
    </row>
    <row r="115" spans="1:139">
      <c r="A115" s="43"/>
      <c r="B115" s="43"/>
      <c r="C115" s="43"/>
      <c r="D115" s="43"/>
      <c r="E115" s="43"/>
      <c r="F115" s="712">
        <f t="shared" ref="F115" si="1388">$D$14</f>
        <v>5</v>
      </c>
      <c r="G115" s="713">
        <f ca="1">VLOOKUP(H115,Equipos!$Q$1:$R$25,2,0)</f>
        <v>16</v>
      </c>
      <c r="H115" s="774">
        <f ca="1">$H$70</f>
        <v>46199</v>
      </c>
      <c r="I115" s="44"/>
      <c r="J115" s="862"/>
      <c r="K115" s="49" t="str">
        <f>Idiomas!D185</f>
        <v>4º GRUPO I</v>
      </c>
      <c r="L115" s="46"/>
      <c r="M115" s="48" t="str">
        <f ca="1">IF(OR(SUM(WORLDCUP!$AN$70:$AN$73)=12,WORLDCUP!$AJ$99=144),WORLDCUP!AL73,LEFT(K115,1)&amp;RIGHT(K115,1))</f>
        <v>4I</v>
      </c>
      <c r="N115" s="711"/>
      <c r="O115" s="711"/>
      <c r="P115" s="711"/>
      <c r="Q115" s="711"/>
      <c r="R115" s="102"/>
      <c r="S115" s="67" t="s">
        <v>1751</v>
      </c>
      <c r="T115" s="66">
        <f t="shared" ref="T115" ca="1" si="1389">($M115=S115)*$D$14</f>
        <v>0</v>
      </c>
      <c r="U115" s="57"/>
      <c r="V115" s="67" t="s">
        <v>1751</v>
      </c>
      <c r="W115" s="66">
        <f t="shared" ref="W115" ca="1" si="1390">($M115=V115)*$D$14</f>
        <v>0</v>
      </c>
      <c r="X115" s="57"/>
      <c r="Y115" s="67" t="s">
        <v>1751</v>
      </c>
      <c r="Z115" s="66">
        <f t="shared" ref="Z115" ca="1" si="1391">($M115=Y115)*$D$14</f>
        <v>0</v>
      </c>
      <c r="AA115" s="57"/>
      <c r="AB115" s="67" t="s">
        <v>1751</v>
      </c>
      <c r="AC115" s="66">
        <f t="shared" ref="AC115" ca="1" si="1392">($M115=AB115)*$D$14</f>
        <v>0</v>
      </c>
      <c r="AD115" s="57"/>
      <c r="AE115" s="67" t="s">
        <v>1751</v>
      </c>
      <c r="AF115" s="66">
        <f t="shared" ref="AF115" ca="1" si="1393">($M115=AE115)*$D$14</f>
        <v>0</v>
      </c>
      <c r="AG115" s="57"/>
      <c r="AH115" s="67" t="s">
        <v>1751</v>
      </c>
      <c r="AI115" s="66">
        <f t="shared" ref="AI115" ca="1" si="1394">($M115=AH115)*$D$14</f>
        <v>0</v>
      </c>
      <c r="AJ115" s="57"/>
      <c r="AK115" s="67" t="s">
        <v>1751</v>
      </c>
      <c r="AL115" s="66">
        <f t="shared" ref="AL115" ca="1" si="1395">($M115=AK115)*$D$14</f>
        <v>0</v>
      </c>
      <c r="AM115" s="57"/>
      <c r="AN115" s="67" t="s">
        <v>1751</v>
      </c>
      <c r="AO115" s="66">
        <f t="shared" ref="AO115" ca="1" si="1396">($M115=AN115)*$D$14</f>
        <v>0</v>
      </c>
      <c r="AP115" s="57"/>
      <c r="AQ115" s="67" t="s">
        <v>1751</v>
      </c>
      <c r="AR115" s="66">
        <f t="shared" ref="AR115" ca="1" si="1397">($M115=AQ115)*$D$14</f>
        <v>0</v>
      </c>
      <c r="AS115" s="57"/>
      <c r="AT115" s="67" t="s">
        <v>1751</v>
      </c>
      <c r="AU115" s="66">
        <f t="shared" ref="AU115" ca="1" si="1398">($M115=AT115)*$D$14</f>
        <v>0</v>
      </c>
      <c r="AV115" s="57"/>
      <c r="AW115" s="67" t="s">
        <v>1751</v>
      </c>
      <c r="AX115" s="66">
        <f t="shared" ref="AX115" ca="1" si="1399">($M115=AW115)*$D$14</f>
        <v>0</v>
      </c>
      <c r="AY115" s="57"/>
      <c r="AZ115" s="67" t="s">
        <v>1751</v>
      </c>
      <c r="BA115" s="66">
        <f t="shared" ref="BA115" ca="1" si="1400">($M115=AZ115)*$D$14</f>
        <v>0</v>
      </c>
      <c r="BB115" s="57"/>
      <c r="BC115" s="67" t="s">
        <v>1751</v>
      </c>
      <c r="BD115" s="66">
        <f t="shared" ref="BD115" ca="1" si="1401">($M115=BC115)*$D$14</f>
        <v>0</v>
      </c>
      <c r="BE115" s="57"/>
      <c r="BF115" s="67" t="s">
        <v>1629</v>
      </c>
      <c r="BG115" s="66">
        <f t="shared" ref="BG115" ca="1" si="1402">($M115=BF115)*$D$14</f>
        <v>0</v>
      </c>
      <c r="BH115" s="57"/>
      <c r="BI115" s="67" t="s">
        <v>1751</v>
      </c>
      <c r="BJ115" s="66">
        <f t="shared" ref="BJ115" ca="1" si="1403">($M115=BI115)*$D$14</f>
        <v>0</v>
      </c>
      <c r="BK115" s="57"/>
      <c r="BL115" s="67" t="s">
        <v>1751</v>
      </c>
      <c r="BM115" s="66">
        <f t="shared" ref="BM115" ca="1" si="1404">($M115=BL115)*$D$14</f>
        <v>0</v>
      </c>
      <c r="BN115" s="57"/>
      <c r="BO115" s="67" t="s">
        <v>1751</v>
      </c>
      <c r="BP115" s="66">
        <f t="shared" ref="BP115" ca="1" si="1405">($M115=BO115)*$D$14</f>
        <v>0</v>
      </c>
      <c r="BQ115" s="57"/>
      <c r="BR115" s="67" t="s">
        <v>1751</v>
      </c>
      <c r="BS115" s="66">
        <f t="shared" ref="BS115" ca="1" si="1406">($M115=BR115)*$D$14</f>
        <v>0</v>
      </c>
      <c r="BT115" s="57"/>
      <c r="BU115" s="67"/>
      <c r="BV115" s="66">
        <f t="shared" ref="BV115" ca="1" si="1407">($M115=BU115)*$D$14</f>
        <v>0</v>
      </c>
      <c r="BW115" s="57"/>
      <c r="BX115" s="67"/>
      <c r="BY115" s="66">
        <f t="shared" ref="BY115" ca="1" si="1408">($M115=BX115)*$D$14</f>
        <v>0</v>
      </c>
      <c r="BZ115" s="57"/>
      <c r="CA115" s="67"/>
      <c r="CB115" s="66">
        <f t="shared" ref="CB115" ca="1" si="1409">($M115=CA115)*$D$14</f>
        <v>0</v>
      </c>
      <c r="CC115" s="57"/>
      <c r="CD115" s="67"/>
      <c r="CE115" s="66">
        <f t="shared" ref="CE115" ca="1" si="1410">($M115=CD115)*$D$14</f>
        <v>0</v>
      </c>
      <c r="CF115" s="57"/>
      <c r="CG115" s="67"/>
      <c r="CH115" s="66">
        <f t="shared" ref="CH115" ca="1" si="1411">($M115=CG115)*$D$14</f>
        <v>0</v>
      </c>
      <c r="CI115" s="57"/>
      <c r="CJ115" s="67"/>
      <c r="CK115" s="66">
        <f t="shared" ref="CK115" ca="1" si="1412">($M115=CJ115)*$D$14</f>
        <v>0</v>
      </c>
      <c r="CL115" s="57"/>
      <c r="CM115" s="67"/>
      <c r="CN115" s="66">
        <f t="shared" ref="CN115" ca="1" si="1413">($M115=CM115)*$D$14</f>
        <v>0</v>
      </c>
      <c r="CO115" s="57"/>
      <c r="CP115" s="67"/>
      <c r="CQ115" s="66">
        <f t="shared" ref="CQ115" ca="1" si="1414">($M115=CP115)*$D$14</f>
        <v>0</v>
      </c>
      <c r="CR115" s="57"/>
      <c r="CS115" s="67"/>
      <c r="CT115" s="66">
        <f t="shared" ref="CT115" ca="1" si="1415">($M115=CS115)*$D$14</f>
        <v>0</v>
      </c>
      <c r="CU115" s="57"/>
      <c r="CV115" s="67"/>
      <c r="CW115" s="66">
        <f t="shared" ref="CW115" ca="1" si="1416">($M115=CV115)*$D$14</f>
        <v>0</v>
      </c>
      <c r="CX115" s="57"/>
      <c r="CY115" s="67"/>
      <c r="CZ115" s="66">
        <f t="shared" ref="CZ115" ca="1" si="1417">($M115=CY115)*$D$14</f>
        <v>0</v>
      </c>
      <c r="DA115" s="57"/>
      <c r="DB115" s="67"/>
      <c r="DC115" s="66">
        <f t="shared" ref="DC115" ca="1" si="1418">($M115=DB115)*$D$14</f>
        <v>0</v>
      </c>
      <c r="DD115" s="57"/>
      <c r="DE115" s="67"/>
      <c r="DF115" s="66">
        <f t="shared" ref="DF115" ca="1" si="1419">($M115=DE115)*$D$14</f>
        <v>0</v>
      </c>
      <c r="DG115" s="57"/>
      <c r="DH115" s="67"/>
      <c r="DI115" s="66">
        <f t="shared" ref="DI115" ca="1" si="1420">($M115=DH115)*$D$14</f>
        <v>0</v>
      </c>
      <c r="DJ115" s="57"/>
      <c r="DK115" s="67"/>
      <c r="DL115" s="66">
        <f t="shared" ref="DL115" ca="1" si="1421">($M115=DK115)*$D$14</f>
        <v>0</v>
      </c>
      <c r="DM115" s="57"/>
      <c r="DN115" s="67"/>
      <c r="DO115" s="66">
        <f t="shared" ref="DO115" ca="1" si="1422">($M115=DN115)*$D$14</f>
        <v>0</v>
      </c>
      <c r="DP115" s="57"/>
      <c r="DQ115" s="67"/>
      <c r="DR115" s="66">
        <f t="shared" ref="DR115" ca="1" si="1423">($M115=DQ115)*$D$14</f>
        <v>0</v>
      </c>
      <c r="DS115" s="57"/>
      <c r="DT115" s="67"/>
      <c r="DU115" s="66">
        <f t="shared" ref="DU115" ca="1" si="1424">($M115=DT115)*$D$14</f>
        <v>0</v>
      </c>
      <c r="DV115" s="57"/>
      <c r="DW115" s="67"/>
      <c r="DX115" s="66">
        <f t="shared" ref="DX115" ca="1" si="1425">($M115=DW115)*$D$14</f>
        <v>0</v>
      </c>
      <c r="DY115" s="57"/>
      <c r="DZ115" s="67"/>
      <c r="EA115" s="66">
        <f t="shared" ref="EA115" ca="1" si="1426">($M115=DZ115)*$D$14</f>
        <v>0</v>
      </c>
      <c r="EB115" s="57"/>
      <c r="EC115" s="67"/>
      <c r="ED115" s="66">
        <f t="shared" ref="ED115" ca="1" si="1427">($M115=EC115)*$D$14</f>
        <v>0</v>
      </c>
      <c r="EE115" s="57"/>
      <c r="EF115" s="67"/>
      <c r="EG115" s="66">
        <f t="shared" ref="EG115" ca="1" si="1428">($M115=EF115)*$D$14</f>
        <v>0</v>
      </c>
      <c r="EH115" s="57"/>
      <c r="EI115" s="57"/>
    </row>
    <row r="116" spans="1:139">
      <c r="A116" s="43"/>
      <c r="B116" s="43"/>
      <c r="C116" s="43"/>
      <c r="D116" s="43"/>
      <c r="E116" s="43"/>
      <c r="F116" s="712">
        <f t="shared" ref="F116" si="1429">$D$11</f>
        <v>5</v>
      </c>
      <c r="G116" s="713">
        <f ca="1">VLOOKUP(H116,Equipos!$Q$1:$R$25,2,0)</f>
        <v>18</v>
      </c>
      <c r="H116" s="774">
        <f ca="1">$H$72</f>
        <v>46201</v>
      </c>
      <c r="I116" s="44"/>
      <c r="J116" s="861" t="s">
        <v>5</v>
      </c>
      <c r="K116" s="49" t="str">
        <f>Idiomas!D186</f>
        <v>1º GRUPO J</v>
      </c>
      <c r="L116" s="46"/>
      <c r="M116" s="48" t="str">
        <f ca="1">IF(OR(SUM(WORLDCUP!$AN$78:$AN$81)=12,WORLDCUP!$AJ$99=144),WORLDCUP!AL78,LEFT(K116,1)&amp;RIGHT(K116,1))</f>
        <v>1J</v>
      </c>
      <c r="N116" s="711"/>
      <c r="O116" s="711"/>
      <c r="P116" s="711"/>
      <c r="Q116" s="711"/>
      <c r="R116" s="102"/>
      <c r="S116" s="67" t="s">
        <v>1256</v>
      </c>
      <c r="T116" s="66">
        <f t="shared" ref="T116" ca="1" si="1430">($M116=S116)*$D$11</f>
        <v>0</v>
      </c>
      <c r="U116" s="57"/>
      <c r="V116" s="67" t="s">
        <v>1256</v>
      </c>
      <c r="W116" s="66">
        <f t="shared" ref="W116" ca="1" si="1431">($M116=V116)*$D$11</f>
        <v>0</v>
      </c>
      <c r="X116" s="57"/>
      <c r="Y116" s="67" t="s">
        <v>1256</v>
      </c>
      <c r="Z116" s="66">
        <f t="shared" ref="Z116" ca="1" si="1432">($M116=Y116)*$D$11</f>
        <v>0</v>
      </c>
      <c r="AA116" s="57"/>
      <c r="AB116" s="67" t="s">
        <v>1256</v>
      </c>
      <c r="AC116" s="66">
        <f t="shared" ref="AC116" ca="1" si="1433">($M116=AB116)*$D$11</f>
        <v>0</v>
      </c>
      <c r="AD116" s="57"/>
      <c r="AE116" s="67" t="s">
        <v>1256</v>
      </c>
      <c r="AF116" s="66">
        <f t="shared" ref="AF116" ca="1" si="1434">($M116=AE116)*$D$11</f>
        <v>0</v>
      </c>
      <c r="AG116" s="57"/>
      <c r="AH116" s="67" t="s">
        <v>1256</v>
      </c>
      <c r="AI116" s="66">
        <f t="shared" ref="AI116" ca="1" si="1435">($M116=AH116)*$D$11</f>
        <v>0</v>
      </c>
      <c r="AJ116" s="57"/>
      <c r="AK116" s="67" t="s">
        <v>1256</v>
      </c>
      <c r="AL116" s="66">
        <f t="shared" ref="AL116" ca="1" si="1436">($M116=AK116)*$D$11</f>
        <v>0</v>
      </c>
      <c r="AM116" s="57"/>
      <c r="AN116" s="67" t="s">
        <v>1256</v>
      </c>
      <c r="AO116" s="66">
        <f t="shared" ref="AO116" ca="1" si="1437">($M116=AN116)*$D$11</f>
        <v>0</v>
      </c>
      <c r="AP116" s="57"/>
      <c r="AQ116" s="67" t="s">
        <v>80</v>
      </c>
      <c r="AR116" s="66">
        <f t="shared" ref="AR116" ca="1" si="1438">($M116=AQ116)*$D$11</f>
        <v>0</v>
      </c>
      <c r="AS116" s="57"/>
      <c r="AT116" s="67" t="s">
        <v>1256</v>
      </c>
      <c r="AU116" s="66">
        <f t="shared" ref="AU116" ca="1" si="1439">($M116=AT116)*$D$11</f>
        <v>0</v>
      </c>
      <c r="AV116" s="57"/>
      <c r="AW116" s="67" t="s">
        <v>1256</v>
      </c>
      <c r="AX116" s="66">
        <f t="shared" ref="AX116" ca="1" si="1440">($M116=AW116)*$D$11</f>
        <v>0</v>
      </c>
      <c r="AY116" s="57"/>
      <c r="AZ116" s="67" t="s">
        <v>1256</v>
      </c>
      <c r="BA116" s="66">
        <f t="shared" ref="BA116" ca="1" si="1441">($M116=AZ116)*$D$11</f>
        <v>0</v>
      </c>
      <c r="BB116" s="57"/>
      <c r="BC116" s="67" t="s">
        <v>1256</v>
      </c>
      <c r="BD116" s="66">
        <f t="shared" ref="BD116" ca="1" si="1442">($M116=BC116)*$D$11</f>
        <v>0</v>
      </c>
      <c r="BE116" s="57"/>
      <c r="BF116" s="67" t="s">
        <v>1256</v>
      </c>
      <c r="BG116" s="66">
        <f t="shared" ref="BG116" ca="1" si="1443">($M116=BF116)*$D$11</f>
        <v>0</v>
      </c>
      <c r="BH116" s="57"/>
      <c r="BI116" s="67" t="s">
        <v>1256</v>
      </c>
      <c r="BJ116" s="66">
        <f t="shared" ref="BJ116" ca="1" si="1444">($M116=BI116)*$D$11</f>
        <v>0</v>
      </c>
      <c r="BK116" s="57"/>
      <c r="BL116" s="67" t="s">
        <v>1256</v>
      </c>
      <c r="BM116" s="66">
        <f t="shared" ref="BM116" ca="1" si="1445">($M116=BL116)*$D$11</f>
        <v>0</v>
      </c>
      <c r="BN116" s="57"/>
      <c r="BO116" s="67" t="s">
        <v>1256</v>
      </c>
      <c r="BP116" s="66">
        <f t="shared" ref="BP116" ca="1" si="1446">($M116=BO116)*$D$11</f>
        <v>0</v>
      </c>
      <c r="BQ116" s="57"/>
      <c r="BR116" s="67" t="s">
        <v>1256</v>
      </c>
      <c r="BS116" s="66">
        <f t="shared" ref="BS116" ca="1" si="1447">($M116=BR116)*$D$11</f>
        <v>0</v>
      </c>
      <c r="BT116" s="57"/>
      <c r="BU116" s="67"/>
      <c r="BV116" s="66">
        <f t="shared" ref="BV116" ca="1" si="1448">($M116=BU116)*$D$11</f>
        <v>0</v>
      </c>
      <c r="BW116" s="57"/>
      <c r="BX116" s="67"/>
      <c r="BY116" s="66">
        <f t="shared" ref="BY116" ca="1" si="1449">($M116=BX116)*$D$11</f>
        <v>0</v>
      </c>
      <c r="BZ116" s="57"/>
      <c r="CA116" s="67"/>
      <c r="CB116" s="66">
        <f t="shared" ref="CB116" ca="1" si="1450">($M116=CA116)*$D$11</f>
        <v>0</v>
      </c>
      <c r="CC116" s="57"/>
      <c r="CD116" s="67"/>
      <c r="CE116" s="66">
        <f t="shared" ref="CE116" ca="1" si="1451">($M116=CD116)*$D$11</f>
        <v>0</v>
      </c>
      <c r="CF116" s="57"/>
      <c r="CG116" s="67"/>
      <c r="CH116" s="66">
        <f t="shared" ref="CH116" ca="1" si="1452">($M116=CG116)*$D$11</f>
        <v>0</v>
      </c>
      <c r="CI116" s="57"/>
      <c r="CJ116" s="67"/>
      <c r="CK116" s="66">
        <f t="shared" ref="CK116" ca="1" si="1453">($M116=CJ116)*$D$11</f>
        <v>0</v>
      </c>
      <c r="CL116" s="57"/>
      <c r="CM116" s="67"/>
      <c r="CN116" s="66">
        <f t="shared" ref="CN116" ca="1" si="1454">($M116=CM116)*$D$11</f>
        <v>0</v>
      </c>
      <c r="CO116" s="57"/>
      <c r="CP116" s="67"/>
      <c r="CQ116" s="66">
        <f t="shared" ref="CQ116" ca="1" si="1455">($M116=CP116)*$D$11</f>
        <v>0</v>
      </c>
      <c r="CR116" s="57"/>
      <c r="CS116" s="67"/>
      <c r="CT116" s="66">
        <f t="shared" ref="CT116" ca="1" si="1456">($M116=CS116)*$D$11</f>
        <v>0</v>
      </c>
      <c r="CU116" s="57"/>
      <c r="CV116" s="67"/>
      <c r="CW116" s="66">
        <f t="shared" ref="CW116" ca="1" si="1457">($M116=CV116)*$D$11</f>
        <v>0</v>
      </c>
      <c r="CX116" s="57"/>
      <c r="CY116" s="67"/>
      <c r="CZ116" s="66">
        <f t="shared" ref="CZ116" ca="1" si="1458">($M116=CY116)*$D$11</f>
        <v>0</v>
      </c>
      <c r="DA116" s="57"/>
      <c r="DB116" s="67"/>
      <c r="DC116" s="66">
        <f t="shared" ref="DC116" ca="1" si="1459">($M116=DB116)*$D$11</f>
        <v>0</v>
      </c>
      <c r="DD116" s="57"/>
      <c r="DE116" s="67"/>
      <c r="DF116" s="66">
        <f t="shared" ref="DF116" ca="1" si="1460">($M116=DE116)*$D$11</f>
        <v>0</v>
      </c>
      <c r="DG116" s="57"/>
      <c r="DH116" s="67"/>
      <c r="DI116" s="66">
        <f t="shared" ref="DI116" ca="1" si="1461">($M116=DH116)*$D$11</f>
        <v>0</v>
      </c>
      <c r="DJ116" s="57"/>
      <c r="DK116" s="67"/>
      <c r="DL116" s="66">
        <f t="shared" ref="DL116" ca="1" si="1462">($M116=DK116)*$D$11</f>
        <v>0</v>
      </c>
      <c r="DM116" s="57"/>
      <c r="DN116" s="67"/>
      <c r="DO116" s="66">
        <f t="shared" ref="DO116" ca="1" si="1463">($M116=DN116)*$D$11</f>
        <v>0</v>
      </c>
      <c r="DP116" s="57"/>
      <c r="DQ116" s="67"/>
      <c r="DR116" s="66">
        <f t="shared" ref="DR116" ca="1" si="1464">($M116=DQ116)*$D$11</f>
        <v>0</v>
      </c>
      <c r="DS116" s="57"/>
      <c r="DT116" s="67"/>
      <c r="DU116" s="66">
        <f t="shared" ref="DU116" ca="1" si="1465">($M116=DT116)*$D$11</f>
        <v>0</v>
      </c>
      <c r="DV116" s="57"/>
      <c r="DW116" s="67"/>
      <c r="DX116" s="66">
        <f t="shared" ref="DX116" ca="1" si="1466">($M116=DW116)*$D$11</f>
        <v>0</v>
      </c>
      <c r="DY116" s="57"/>
      <c r="DZ116" s="67"/>
      <c r="EA116" s="66">
        <f t="shared" ref="EA116" ca="1" si="1467">($M116=DZ116)*$D$11</f>
        <v>0</v>
      </c>
      <c r="EB116" s="57"/>
      <c r="EC116" s="67"/>
      <c r="ED116" s="66">
        <f t="shared" ref="ED116" ca="1" si="1468">($M116=EC116)*$D$11</f>
        <v>0</v>
      </c>
      <c r="EE116" s="57"/>
      <c r="EF116" s="67"/>
      <c r="EG116" s="66">
        <f t="shared" ref="EG116" ca="1" si="1469">($M116=EF116)*$D$11</f>
        <v>0</v>
      </c>
      <c r="EH116" s="57"/>
      <c r="EI116" s="57"/>
    </row>
    <row r="117" spans="1:139">
      <c r="A117" s="43"/>
      <c r="B117" s="43"/>
      <c r="C117" s="43"/>
      <c r="D117" s="43"/>
      <c r="E117" s="43"/>
      <c r="F117" s="712">
        <f t="shared" ref="F117" si="1470">$D$12</f>
        <v>5</v>
      </c>
      <c r="G117" s="713">
        <f ca="1">VLOOKUP(H117,Equipos!$Q$1:$R$25,2,0)</f>
        <v>18</v>
      </c>
      <c r="H117" s="774">
        <f ca="1">$H$72</f>
        <v>46201</v>
      </c>
      <c r="I117" s="44"/>
      <c r="J117" s="861"/>
      <c r="K117" s="49" t="str">
        <f>Idiomas!D187</f>
        <v>2º GRUPO J</v>
      </c>
      <c r="L117" s="46"/>
      <c r="M117" s="48" t="str">
        <f ca="1">IF(OR(SUM(WORLDCUP!$AN$78:$AN$81)=12,WORLDCUP!$AJ$99=144),WORLDCUP!AL79,LEFT(K117,1)&amp;RIGHT(K117,1))</f>
        <v>2J</v>
      </c>
      <c r="N117" s="711"/>
      <c r="O117" s="711"/>
      <c r="P117" s="711"/>
      <c r="Q117" s="711"/>
      <c r="R117" s="102"/>
      <c r="S117" s="67" t="s">
        <v>80</v>
      </c>
      <c r="T117" s="66">
        <f t="shared" ref="T117" ca="1" si="1471">($M117=S117)*$D$12</f>
        <v>0</v>
      </c>
      <c r="U117" s="57"/>
      <c r="V117" s="67" t="s">
        <v>80</v>
      </c>
      <c r="W117" s="66">
        <f t="shared" ref="W117" ca="1" si="1472">($M117=V117)*$D$12</f>
        <v>0</v>
      </c>
      <c r="X117" s="57"/>
      <c r="Y117" s="67" t="s">
        <v>80</v>
      </c>
      <c r="Z117" s="66">
        <f t="shared" ref="Z117" ca="1" si="1473">($M117=Y117)*$D$12</f>
        <v>0</v>
      </c>
      <c r="AA117" s="57"/>
      <c r="AB117" s="67" t="s">
        <v>80</v>
      </c>
      <c r="AC117" s="66">
        <f t="shared" ref="AC117" ca="1" si="1474">($M117=AB117)*$D$12</f>
        <v>0</v>
      </c>
      <c r="AD117" s="57"/>
      <c r="AE117" s="67" t="s">
        <v>1553</v>
      </c>
      <c r="AF117" s="66">
        <f t="shared" ref="AF117" ca="1" si="1475">($M117=AE117)*$D$12</f>
        <v>0</v>
      </c>
      <c r="AG117" s="57"/>
      <c r="AH117" s="67" t="s">
        <v>80</v>
      </c>
      <c r="AI117" s="66">
        <f t="shared" ref="AI117" ca="1" si="1476">($M117=AH117)*$D$12</f>
        <v>0</v>
      </c>
      <c r="AJ117" s="57"/>
      <c r="AK117" s="67" t="s">
        <v>80</v>
      </c>
      <c r="AL117" s="66">
        <f t="shared" ref="AL117" ca="1" si="1477">($M117=AK117)*$D$12</f>
        <v>0</v>
      </c>
      <c r="AM117" s="57"/>
      <c r="AN117" s="67" t="s">
        <v>1553</v>
      </c>
      <c r="AO117" s="66">
        <f t="shared" ref="AO117" ca="1" si="1478">($M117=AN117)*$D$12</f>
        <v>0</v>
      </c>
      <c r="AP117" s="57"/>
      <c r="AQ117" s="67" t="s">
        <v>1553</v>
      </c>
      <c r="AR117" s="66">
        <f t="shared" ref="AR117" ca="1" si="1479">($M117=AQ117)*$D$12</f>
        <v>0</v>
      </c>
      <c r="AS117" s="57"/>
      <c r="AT117" s="67" t="s">
        <v>80</v>
      </c>
      <c r="AU117" s="66">
        <f t="shared" ref="AU117" ca="1" si="1480">($M117=AT117)*$D$12</f>
        <v>0</v>
      </c>
      <c r="AV117" s="57"/>
      <c r="AW117" s="67" t="s">
        <v>1553</v>
      </c>
      <c r="AX117" s="66">
        <f t="shared" ref="AX117" ca="1" si="1481">($M117=AW117)*$D$12</f>
        <v>0</v>
      </c>
      <c r="AY117" s="57"/>
      <c r="AZ117" s="67" t="s">
        <v>80</v>
      </c>
      <c r="BA117" s="66">
        <f t="shared" ref="BA117" ca="1" si="1482">($M117=AZ117)*$D$12</f>
        <v>0</v>
      </c>
      <c r="BB117" s="57"/>
      <c r="BC117" s="67" t="s">
        <v>80</v>
      </c>
      <c r="BD117" s="66">
        <f t="shared" ref="BD117" ca="1" si="1483">($M117=BC117)*$D$12</f>
        <v>0</v>
      </c>
      <c r="BE117" s="57"/>
      <c r="BF117" s="67" t="s">
        <v>80</v>
      </c>
      <c r="BG117" s="66">
        <f t="shared" ref="BG117" ca="1" si="1484">($M117=BF117)*$D$12</f>
        <v>0</v>
      </c>
      <c r="BH117" s="57"/>
      <c r="BI117" s="67" t="s">
        <v>80</v>
      </c>
      <c r="BJ117" s="66">
        <f t="shared" ref="BJ117" ca="1" si="1485">($M117=BI117)*$D$12</f>
        <v>0</v>
      </c>
      <c r="BK117" s="57"/>
      <c r="BL117" s="67" t="s">
        <v>80</v>
      </c>
      <c r="BM117" s="66">
        <f t="shared" ref="BM117" ca="1" si="1486">($M117=BL117)*$D$12</f>
        <v>0</v>
      </c>
      <c r="BN117" s="57"/>
      <c r="BO117" s="67" t="s">
        <v>80</v>
      </c>
      <c r="BP117" s="66">
        <f t="shared" ref="BP117" ca="1" si="1487">($M117=BO117)*$D$12</f>
        <v>0</v>
      </c>
      <c r="BQ117" s="57"/>
      <c r="BR117" s="67" t="s">
        <v>80</v>
      </c>
      <c r="BS117" s="66">
        <f t="shared" ref="BS117" ca="1" si="1488">($M117=BR117)*$D$12</f>
        <v>0</v>
      </c>
      <c r="BT117" s="57"/>
      <c r="BU117" s="67"/>
      <c r="BV117" s="66">
        <f t="shared" ref="BV117" ca="1" si="1489">($M117=BU117)*$D$12</f>
        <v>0</v>
      </c>
      <c r="BW117" s="57"/>
      <c r="BX117" s="67"/>
      <c r="BY117" s="66">
        <f t="shared" ref="BY117" ca="1" si="1490">($M117=BX117)*$D$12</f>
        <v>0</v>
      </c>
      <c r="BZ117" s="57"/>
      <c r="CA117" s="67"/>
      <c r="CB117" s="66">
        <f t="shared" ref="CB117" ca="1" si="1491">($M117=CA117)*$D$12</f>
        <v>0</v>
      </c>
      <c r="CC117" s="57"/>
      <c r="CD117" s="67"/>
      <c r="CE117" s="66">
        <f t="shared" ref="CE117" ca="1" si="1492">($M117=CD117)*$D$12</f>
        <v>0</v>
      </c>
      <c r="CF117" s="57"/>
      <c r="CG117" s="67"/>
      <c r="CH117" s="66">
        <f t="shared" ref="CH117" ca="1" si="1493">($M117=CG117)*$D$12</f>
        <v>0</v>
      </c>
      <c r="CI117" s="57"/>
      <c r="CJ117" s="67"/>
      <c r="CK117" s="66">
        <f t="shared" ref="CK117" ca="1" si="1494">($M117=CJ117)*$D$12</f>
        <v>0</v>
      </c>
      <c r="CL117" s="57"/>
      <c r="CM117" s="67"/>
      <c r="CN117" s="66">
        <f t="shared" ref="CN117" ca="1" si="1495">($M117=CM117)*$D$12</f>
        <v>0</v>
      </c>
      <c r="CO117" s="57"/>
      <c r="CP117" s="67"/>
      <c r="CQ117" s="66">
        <f t="shared" ref="CQ117" ca="1" si="1496">($M117=CP117)*$D$12</f>
        <v>0</v>
      </c>
      <c r="CR117" s="57"/>
      <c r="CS117" s="67"/>
      <c r="CT117" s="66">
        <f t="shared" ref="CT117" ca="1" si="1497">($M117=CS117)*$D$12</f>
        <v>0</v>
      </c>
      <c r="CU117" s="57"/>
      <c r="CV117" s="67"/>
      <c r="CW117" s="66">
        <f t="shared" ref="CW117" ca="1" si="1498">($M117=CV117)*$D$12</f>
        <v>0</v>
      </c>
      <c r="CX117" s="57"/>
      <c r="CY117" s="67"/>
      <c r="CZ117" s="66">
        <f t="shared" ref="CZ117" ca="1" si="1499">($M117=CY117)*$D$12</f>
        <v>0</v>
      </c>
      <c r="DA117" s="57"/>
      <c r="DB117" s="67"/>
      <c r="DC117" s="66">
        <f t="shared" ref="DC117" ca="1" si="1500">($M117=DB117)*$D$12</f>
        <v>0</v>
      </c>
      <c r="DD117" s="57"/>
      <c r="DE117" s="67"/>
      <c r="DF117" s="66">
        <f t="shared" ref="DF117" ca="1" si="1501">($M117=DE117)*$D$12</f>
        <v>0</v>
      </c>
      <c r="DG117" s="57"/>
      <c r="DH117" s="67"/>
      <c r="DI117" s="66">
        <f t="shared" ref="DI117" ca="1" si="1502">($M117=DH117)*$D$12</f>
        <v>0</v>
      </c>
      <c r="DJ117" s="57"/>
      <c r="DK117" s="67"/>
      <c r="DL117" s="66">
        <f t="shared" ref="DL117" ca="1" si="1503">($M117=DK117)*$D$12</f>
        <v>0</v>
      </c>
      <c r="DM117" s="57"/>
      <c r="DN117" s="67"/>
      <c r="DO117" s="66">
        <f t="shared" ref="DO117" ca="1" si="1504">($M117=DN117)*$D$12</f>
        <v>0</v>
      </c>
      <c r="DP117" s="57"/>
      <c r="DQ117" s="67"/>
      <c r="DR117" s="66">
        <f t="shared" ref="DR117" ca="1" si="1505">($M117=DQ117)*$D$12</f>
        <v>0</v>
      </c>
      <c r="DS117" s="57"/>
      <c r="DT117" s="67"/>
      <c r="DU117" s="66">
        <f t="shared" ref="DU117" ca="1" si="1506">($M117=DT117)*$D$12</f>
        <v>0</v>
      </c>
      <c r="DV117" s="57"/>
      <c r="DW117" s="67"/>
      <c r="DX117" s="66">
        <f t="shared" ref="DX117" ca="1" si="1507">($M117=DW117)*$D$12</f>
        <v>0</v>
      </c>
      <c r="DY117" s="57"/>
      <c r="DZ117" s="67"/>
      <c r="EA117" s="66">
        <f t="shared" ref="EA117" ca="1" si="1508">($M117=DZ117)*$D$12</f>
        <v>0</v>
      </c>
      <c r="EB117" s="57"/>
      <c r="EC117" s="67"/>
      <c r="ED117" s="66">
        <f t="shared" ref="ED117" ca="1" si="1509">($M117=EC117)*$D$12</f>
        <v>0</v>
      </c>
      <c r="EE117" s="57"/>
      <c r="EF117" s="67"/>
      <c r="EG117" s="66">
        <f t="shared" ref="EG117" ca="1" si="1510">($M117=EF117)*$D$12</f>
        <v>0</v>
      </c>
      <c r="EH117" s="57"/>
      <c r="EI117" s="57"/>
    </row>
    <row r="118" spans="1:139">
      <c r="A118" s="43"/>
      <c r="B118" s="43"/>
      <c r="C118" s="43"/>
      <c r="D118" s="43"/>
      <c r="E118" s="43"/>
      <c r="F118" s="712">
        <f t="shared" ref="F118" si="1511">$D$13</f>
        <v>5</v>
      </c>
      <c r="G118" s="713">
        <f ca="1">VLOOKUP(H118,Equipos!$Q$1:$R$25,2,0)</f>
        <v>18</v>
      </c>
      <c r="H118" s="774">
        <f ca="1">$H$72</f>
        <v>46201</v>
      </c>
      <c r="I118" s="44"/>
      <c r="J118" s="861"/>
      <c r="K118" s="49" t="str">
        <f>Idiomas!D188</f>
        <v>3º GRUPO J</v>
      </c>
      <c r="L118" s="46"/>
      <c r="M118" s="48" t="str">
        <f ca="1">IF(OR(SUM(WORLDCUP!$AN$78:$AN$81)=12,WORLDCUP!$AJ$99=144),WORLDCUP!AL80,LEFT(K118,1)&amp;RIGHT(K118,1))</f>
        <v>3J</v>
      </c>
      <c r="N118" s="711"/>
      <c r="O118" s="711"/>
      <c r="P118" s="711"/>
      <c r="Q118" s="711"/>
      <c r="R118" s="102"/>
      <c r="S118" s="67" t="s">
        <v>1553</v>
      </c>
      <c r="T118" s="66">
        <f t="shared" ref="T118" ca="1" si="1512">($M118=S118)*$D$13</f>
        <v>0</v>
      </c>
      <c r="U118" s="57"/>
      <c r="V118" s="67" t="s">
        <v>1553</v>
      </c>
      <c r="W118" s="66">
        <f t="shared" ref="W118" ca="1" si="1513">($M118=V118)*$D$13</f>
        <v>0</v>
      </c>
      <c r="X118" s="57"/>
      <c r="Y118" s="67" t="s">
        <v>1553</v>
      </c>
      <c r="Z118" s="66">
        <f t="shared" ref="Z118" ca="1" si="1514">($M118=Y118)*$D$13</f>
        <v>0</v>
      </c>
      <c r="AA118" s="57"/>
      <c r="AB118" s="67" t="s">
        <v>1553</v>
      </c>
      <c r="AC118" s="66">
        <f t="shared" ref="AC118" ca="1" si="1515">($M118=AB118)*$D$13</f>
        <v>0</v>
      </c>
      <c r="AD118" s="57"/>
      <c r="AE118" s="67" t="s">
        <v>80</v>
      </c>
      <c r="AF118" s="66">
        <f t="shared" ref="AF118" ca="1" si="1516">($M118=AE118)*$D$13</f>
        <v>0</v>
      </c>
      <c r="AG118" s="57"/>
      <c r="AH118" s="67" t="s">
        <v>1553</v>
      </c>
      <c r="AI118" s="66">
        <f t="shared" ref="AI118" ca="1" si="1517">($M118=AH118)*$D$13</f>
        <v>0</v>
      </c>
      <c r="AJ118" s="57"/>
      <c r="AK118" s="67" t="s">
        <v>1553</v>
      </c>
      <c r="AL118" s="66">
        <f t="shared" ref="AL118" ca="1" si="1518">($M118=AK118)*$D$13</f>
        <v>0</v>
      </c>
      <c r="AM118" s="57"/>
      <c r="AN118" s="67" t="s">
        <v>80</v>
      </c>
      <c r="AO118" s="66">
        <f t="shared" ref="AO118" ca="1" si="1519">($M118=AN118)*$D$13</f>
        <v>0</v>
      </c>
      <c r="AP118" s="57"/>
      <c r="AQ118" s="67" t="s">
        <v>1256</v>
      </c>
      <c r="AR118" s="66">
        <f t="shared" ref="AR118" ca="1" si="1520">($M118=AQ118)*$D$13</f>
        <v>0</v>
      </c>
      <c r="AS118" s="57"/>
      <c r="AT118" s="67" t="s">
        <v>1553</v>
      </c>
      <c r="AU118" s="66">
        <f t="shared" ref="AU118" ca="1" si="1521">($M118=AT118)*$D$13</f>
        <v>0</v>
      </c>
      <c r="AV118" s="57"/>
      <c r="AW118" s="67" t="s">
        <v>80</v>
      </c>
      <c r="AX118" s="66">
        <f t="shared" ref="AX118" ca="1" si="1522">($M118=AW118)*$D$13</f>
        <v>0</v>
      </c>
      <c r="AY118" s="57"/>
      <c r="AZ118" s="67" t="s">
        <v>1264</v>
      </c>
      <c r="BA118" s="66">
        <f t="shared" ref="BA118" ca="1" si="1523">($M118=AZ118)*$D$13</f>
        <v>0</v>
      </c>
      <c r="BB118" s="57"/>
      <c r="BC118" s="67" t="s">
        <v>1553</v>
      </c>
      <c r="BD118" s="66">
        <f t="shared" ref="BD118" ca="1" si="1524">($M118=BC118)*$D$13</f>
        <v>0</v>
      </c>
      <c r="BE118" s="57"/>
      <c r="BF118" s="67" t="s">
        <v>1553</v>
      </c>
      <c r="BG118" s="66">
        <f t="shared" ref="BG118" ca="1" si="1525">($M118=BF118)*$D$13</f>
        <v>0</v>
      </c>
      <c r="BH118" s="57"/>
      <c r="BI118" s="67" t="s">
        <v>1553</v>
      </c>
      <c r="BJ118" s="66">
        <f t="shared" ref="BJ118" ca="1" si="1526">($M118=BI118)*$D$13</f>
        <v>0</v>
      </c>
      <c r="BK118" s="57"/>
      <c r="BL118" s="67" t="s">
        <v>1553</v>
      </c>
      <c r="BM118" s="66">
        <f t="shared" ref="BM118" ca="1" si="1527">($M118=BL118)*$D$13</f>
        <v>0</v>
      </c>
      <c r="BN118" s="57"/>
      <c r="BO118" s="67" t="s">
        <v>1553</v>
      </c>
      <c r="BP118" s="66">
        <f t="shared" ref="BP118" ca="1" si="1528">($M118=BO118)*$D$13</f>
        <v>0</v>
      </c>
      <c r="BQ118" s="57"/>
      <c r="BR118" s="67" t="s">
        <v>1553</v>
      </c>
      <c r="BS118" s="66">
        <f t="shared" ref="BS118" ca="1" si="1529">($M118=BR118)*$D$13</f>
        <v>0</v>
      </c>
      <c r="BT118" s="57"/>
      <c r="BU118" s="67"/>
      <c r="BV118" s="66">
        <f t="shared" ref="BV118" ca="1" si="1530">($M118=BU118)*$D$13</f>
        <v>0</v>
      </c>
      <c r="BW118" s="57"/>
      <c r="BX118" s="67"/>
      <c r="BY118" s="66">
        <f t="shared" ref="BY118" ca="1" si="1531">($M118=BX118)*$D$13</f>
        <v>0</v>
      </c>
      <c r="BZ118" s="57"/>
      <c r="CA118" s="67"/>
      <c r="CB118" s="66">
        <f t="shared" ref="CB118" ca="1" si="1532">($M118=CA118)*$D$13</f>
        <v>0</v>
      </c>
      <c r="CC118" s="57"/>
      <c r="CD118" s="67"/>
      <c r="CE118" s="66">
        <f t="shared" ref="CE118" ca="1" si="1533">($M118=CD118)*$D$13</f>
        <v>0</v>
      </c>
      <c r="CF118" s="57"/>
      <c r="CG118" s="67"/>
      <c r="CH118" s="66">
        <f t="shared" ref="CH118" ca="1" si="1534">($M118=CG118)*$D$13</f>
        <v>0</v>
      </c>
      <c r="CI118" s="57"/>
      <c r="CJ118" s="67"/>
      <c r="CK118" s="66">
        <f t="shared" ref="CK118" ca="1" si="1535">($M118=CJ118)*$D$13</f>
        <v>0</v>
      </c>
      <c r="CL118" s="57"/>
      <c r="CM118" s="67"/>
      <c r="CN118" s="66">
        <f t="shared" ref="CN118" ca="1" si="1536">($M118=CM118)*$D$13</f>
        <v>0</v>
      </c>
      <c r="CO118" s="57"/>
      <c r="CP118" s="67"/>
      <c r="CQ118" s="66">
        <f t="shared" ref="CQ118" ca="1" si="1537">($M118=CP118)*$D$13</f>
        <v>0</v>
      </c>
      <c r="CR118" s="57"/>
      <c r="CS118" s="67"/>
      <c r="CT118" s="66">
        <f t="shared" ref="CT118" ca="1" si="1538">($M118=CS118)*$D$13</f>
        <v>0</v>
      </c>
      <c r="CU118" s="57"/>
      <c r="CV118" s="67"/>
      <c r="CW118" s="66">
        <f t="shared" ref="CW118" ca="1" si="1539">($M118=CV118)*$D$13</f>
        <v>0</v>
      </c>
      <c r="CX118" s="57"/>
      <c r="CY118" s="67"/>
      <c r="CZ118" s="66">
        <f t="shared" ref="CZ118" ca="1" si="1540">($M118=CY118)*$D$13</f>
        <v>0</v>
      </c>
      <c r="DA118" s="57"/>
      <c r="DB118" s="67"/>
      <c r="DC118" s="66">
        <f t="shared" ref="DC118" ca="1" si="1541">($M118=DB118)*$D$13</f>
        <v>0</v>
      </c>
      <c r="DD118" s="57"/>
      <c r="DE118" s="67"/>
      <c r="DF118" s="66">
        <f t="shared" ref="DF118" ca="1" si="1542">($M118=DE118)*$D$13</f>
        <v>0</v>
      </c>
      <c r="DG118" s="57"/>
      <c r="DH118" s="67"/>
      <c r="DI118" s="66">
        <f t="shared" ref="DI118" ca="1" si="1543">($M118=DH118)*$D$13</f>
        <v>0</v>
      </c>
      <c r="DJ118" s="57"/>
      <c r="DK118" s="67"/>
      <c r="DL118" s="66">
        <f t="shared" ref="DL118" ca="1" si="1544">($M118=DK118)*$D$13</f>
        <v>0</v>
      </c>
      <c r="DM118" s="57"/>
      <c r="DN118" s="67"/>
      <c r="DO118" s="66">
        <f t="shared" ref="DO118" ca="1" si="1545">($M118=DN118)*$D$13</f>
        <v>0</v>
      </c>
      <c r="DP118" s="57"/>
      <c r="DQ118" s="67"/>
      <c r="DR118" s="66">
        <f t="shared" ref="DR118" ca="1" si="1546">($M118=DQ118)*$D$13</f>
        <v>0</v>
      </c>
      <c r="DS118" s="57"/>
      <c r="DT118" s="67"/>
      <c r="DU118" s="66">
        <f t="shared" ref="DU118" ca="1" si="1547">($M118=DT118)*$D$13</f>
        <v>0</v>
      </c>
      <c r="DV118" s="57"/>
      <c r="DW118" s="67"/>
      <c r="DX118" s="66">
        <f t="shared" ref="DX118" ca="1" si="1548">($M118=DW118)*$D$13</f>
        <v>0</v>
      </c>
      <c r="DY118" s="57"/>
      <c r="DZ118" s="67"/>
      <c r="EA118" s="66">
        <f t="shared" ref="EA118" ca="1" si="1549">($M118=DZ118)*$D$13</f>
        <v>0</v>
      </c>
      <c r="EB118" s="57"/>
      <c r="EC118" s="67"/>
      <c r="ED118" s="66">
        <f t="shared" ref="ED118" ca="1" si="1550">($M118=EC118)*$D$13</f>
        <v>0</v>
      </c>
      <c r="EE118" s="57"/>
      <c r="EF118" s="67"/>
      <c r="EG118" s="66">
        <f t="shared" ref="EG118" ca="1" si="1551">($M118=EF118)*$D$13</f>
        <v>0</v>
      </c>
      <c r="EH118" s="57"/>
      <c r="EI118" s="57"/>
    </row>
    <row r="119" spans="1:139">
      <c r="A119" s="43"/>
      <c r="B119" s="43"/>
      <c r="C119" s="43"/>
      <c r="D119" s="43"/>
      <c r="E119" s="43"/>
      <c r="F119" s="712">
        <f t="shared" ref="F119" si="1552">$D$14</f>
        <v>5</v>
      </c>
      <c r="G119" s="713">
        <f ca="1">VLOOKUP(H119,Equipos!$Q$1:$R$25,2,0)</f>
        <v>18</v>
      </c>
      <c r="H119" s="774">
        <f ca="1">$H$72</f>
        <v>46201</v>
      </c>
      <c r="I119" s="44"/>
      <c r="J119" s="861"/>
      <c r="K119" s="49" t="str">
        <f>Idiomas!D189</f>
        <v>4º GRUPO J</v>
      </c>
      <c r="L119" s="46"/>
      <c r="M119" s="48" t="str">
        <f ca="1">IF(OR(SUM(WORLDCUP!$AN$78:$AN$81)=12,WORLDCUP!$AJ$99=144),WORLDCUP!AL81,LEFT(K119,1)&amp;RIGHT(K119,1))</f>
        <v>4J</v>
      </c>
      <c r="N119" s="711"/>
      <c r="O119" s="711"/>
      <c r="P119" s="711"/>
      <c r="Q119" s="711"/>
      <c r="R119" s="102"/>
      <c r="S119" s="67" t="s">
        <v>1264</v>
      </c>
      <c r="T119" s="66">
        <f t="shared" ref="T119" ca="1" si="1553">($M119=S119)*$D$14</f>
        <v>0</v>
      </c>
      <c r="U119" s="57"/>
      <c r="V119" s="67" t="s">
        <v>1264</v>
      </c>
      <c r="W119" s="66">
        <f t="shared" ref="W119" ca="1" si="1554">($M119=V119)*$D$14</f>
        <v>0</v>
      </c>
      <c r="X119" s="57"/>
      <c r="Y119" s="67" t="s">
        <v>1264</v>
      </c>
      <c r="Z119" s="66">
        <f t="shared" ref="Z119" ca="1" si="1555">($M119=Y119)*$D$14</f>
        <v>0</v>
      </c>
      <c r="AA119" s="57"/>
      <c r="AB119" s="67" t="s">
        <v>1264</v>
      </c>
      <c r="AC119" s="66">
        <f t="shared" ref="AC119" ca="1" si="1556">($M119=AB119)*$D$14</f>
        <v>0</v>
      </c>
      <c r="AD119" s="57"/>
      <c r="AE119" s="67" t="s">
        <v>1264</v>
      </c>
      <c r="AF119" s="66">
        <f t="shared" ref="AF119" ca="1" si="1557">($M119=AE119)*$D$14</f>
        <v>0</v>
      </c>
      <c r="AG119" s="57"/>
      <c r="AH119" s="67" t="s">
        <v>1264</v>
      </c>
      <c r="AI119" s="66">
        <f t="shared" ref="AI119" ca="1" si="1558">($M119=AH119)*$D$14</f>
        <v>0</v>
      </c>
      <c r="AJ119" s="57"/>
      <c r="AK119" s="67" t="s">
        <v>1264</v>
      </c>
      <c r="AL119" s="66">
        <f t="shared" ref="AL119" ca="1" si="1559">($M119=AK119)*$D$14</f>
        <v>0</v>
      </c>
      <c r="AM119" s="57"/>
      <c r="AN119" s="67" t="s">
        <v>1264</v>
      </c>
      <c r="AO119" s="66">
        <f t="shared" ref="AO119" ca="1" si="1560">($M119=AN119)*$D$14</f>
        <v>0</v>
      </c>
      <c r="AP119" s="57"/>
      <c r="AQ119" s="67" t="s">
        <v>1264</v>
      </c>
      <c r="AR119" s="66">
        <f t="shared" ref="AR119" ca="1" si="1561">($M119=AQ119)*$D$14</f>
        <v>0</v>
      </c>
      <c r="AS119" s="57"/>
      <c r="AT119" s="67" t="s">
        <v>1264</v>
      </c>
      <c r="AU119" s="66">
        <f t="shared" ref="AU119" ca="1" si="1562">($M119=AT119)*$D$14</f>
        <v>0</v>
      </c>
      <c r="AV119" s="57"/>
      <c r="AW119" s="67" t="s">
        <v>1264</v>
      </c>
      <c r="AX119" s="66">
        <f t="shared" ref="AX119" ca="1" si="1563">($M119=AW119)*$D$14</f>
        <v>0</v>
      </c>
      <c r="AY119" s="57"/>
      <c r="AZ119" s="67" t="s">
        <v>1553</v>
      </c>
      <c r="BA119" s="66">
        <f t="shared" ref="BA119" ca="1" si="1564">($M119=AZ119)*$D$14</f>
        <v>0</v>
      </c>
      <c r="BB119" s="57"/>
      <c r="BC119" s="67" t="s">
        <v>1264</v>
      </c>
      <c r="BD119" s="66">
        <f t="shared" ref="BD119" ca="1" si="1565">($M119=BC119)*$D$14</f>
        <v>0</v>
      </c>
      <c r="BE119" s="57"/>
      <c r="BF119" s="67" t="s">
        <v>1264</v>
      </c>
      <c r="BG119" s="66">
        <f t="shared" ref="BG119" ca="1" si="1566">($M119=BF119)*$D$14</f>
        <v>0</v>
      </c>
      <c r="BH119" s="57"/>
      <c r="BI119" s="67" t="s">
        <v>1264</v>
      </c>
      <c r="BJ119" s="66">
        <f t="shared" ref="BJ119" ca="1" si="1567">($M119=BI119)*$D$14</f>
        <v>0</v>
      </c>
      <c r="BK119" s="57"/>
      <c r="BL119" s="67" t="s">
        <v>1264</v>
      </c>
      <c r="BM119" s="66">
        <f t="shared" ref="BM119" ca="1" si="1568">($M119=BL119)*$D$14</f>
        <v>0</v>
      </c>
      <c r="BN119" s="57"/>
      <c r="BO119" s="67" t="s">
        <v>1264</v>
      </c>
      <c r="BP119" s="66">
        <f t="shared" ref="BP119" ca="1" si="1569">($M119=BO119)*$D$14</f>
        <v>0</v>
      </c>
      <c r="BQ119" s="57"/>
      <c r="BR119" s="67" t="s">
        <v>1264</v>
      </c>
      <c r="BS119" s="66">
        <f t="shared" ref="BS119" ca="1" si="1570">($M119=BR119)*$D$14</f>
        <v>0</v>
      </c>
      <c r="BT119" s="57"/>
      <c r="BU119" s="67"/>
      <c r="BV119" s="66">
        <f t="shared" ref="BV119" ca="1" si="1571">($M119=BU119)*$D$14</f>
        <v>0</v>
      </c>
      <c r="BW119" s="57"/>
      <c r="BX119" s="67"/>
      <c r="BY119" s="66">
        <f t="shared" ref="BY119" ca="1" si="1572">($M119=BX119)*$D$14</f>
        <v>0</v>
      </c>
      <c r="BZ119" s="57"/>
      <c r="CA119" s="67"/>
      <c r="CB119" s="66">
        <f t="shared" ref="CB119" ca="1" si="1573">($M119=CA119)*$D$14</f>
        <v>0</v>
      </c>
      <c r="CC119" s="57"/>
      <c r="CD119" s="67"/>
      <c r="CE119" s="66">
        <f t="shared" ref="CE119" ca="1" si="1574">($M119=CD119)*$D$14</f>
        <v>0</v>
      </c>
      <c r="CF119" s="57"/>
      <c r="CG119" s="67"/>
      <c r="CH119" s="66">
        <f t="shared" ref="CH119" ca="1" si="1575">($M119=CG119)*$D$14</f>
        <v>0</v>
      </c>
      <c r="CI119" s="57"/>
      <c r="CJ119" s="67"/>
      <c r="CK119" s="66">
        <f t="shared" ref="CK119" ca="1" si="1576">($M119=CJ119)*$D$14</f>
        <v>0</v>
      </c>
      <c r="CL119" s="57"/>
      <c r="CM119" s="67"/>
      <c r="CN119" s="66">
        <f t="shared" ref="CN119" ca="1" si="1577">($M119=CM119)*$D$14</f>
        <v>0</v>
      </c>
      <c r="CO119" s="57"/>
      <c r="CP119" s="67"/>
      <c r="CQ119" s="66">
        <f t="shared" ref="CQ119" ca="1" si="1578">($M119=CP119)*$D$14</f>
        <v>0</v>
      </c>
      <c r="CR119" s="57"/>
      <c r="CS119" s="67"/>
      <c r="CT119" s="66">
        <f t="shared" ref="CT119" ca="1" si="1579">($M119=CS119)*$D$14</f>
        <v>0</v>
      </c>
      <c r="CU119" s="57"/>
      <c r="CV119" s="67"/>
      <c r="CW119" s="66">
        <f t="shared" ref="CW119" ca="1" si="1580">($M119=CV119)*$D$14</f>
        <v>0</v>
      </c>
      <c r="CX119" s="57"/>
      <c r="CY119" s="67"/>
      <c r="CZ119" s="66">
        <f t="shared" ref="CZ119" ca="1" si="1581">($M119=CY119)*$D$14</f>
        <v>0</v>
      </c>
      <c r="DA119" s="57"/>
      <c r="DB119" s="67"/>
      <c r="DC119" s="66">
        <f t="shared" ref="DC119" ca="1" si="1582">($M119=DB119)*$D$14</f>
        <v>0</v>
      </c>
      <c r="DD119" s="57"/>
      <c r="DE119" s="67"/>
      <c r="DF119" s="66">
        <f t="shared" ref="DF119" ca="1" si="1583">($M119=DE119)*$D$14</f>
        <v>0</v>
      </c>
      <c r="DG119" s="57"/>
      <c r="DH119" s="67"/>
      <c r="DI119" s="66">
        <f t="shared" ref="DI119" ca="1" si="1584">($M119=DH119)*$D$14</f>
        <v>0</v>
      </c>
      <c r="DJ119" s="57"/>
      <c r="DK119" s="67"/>
      <c r="DL119" s="66">
        <f t="shared" ref="DL119" ca="1" si="1585">($M119=DK119)*$D$14</f>
        <v>0</v>
      </c>
      <c r="DM119" s="57"/>
      <c r="DN119" s="67"/>
      <c r="DO119" s="66">
        <f t="shared" ref="DO119" ca="1" si="1586">($M119=DN119)*$D$14</f>
        <v>0</v>
      </c>
      <c r="DP119" s="57"/>
      <c r="DQ119" s="67"/>
      <c r="DR119" s="66">
        <f t="shared" ref="DR119" ca="1" si="1587">($M119=DQ119)*$D$14</f>
        <v>0</v>
      </c>
      <c r="DS119" s="57"/>
      <c r="DT119" s="67"/>
      <c r="DU119" s="66">
        <f t="shared" ref="DU119" ca="1" si="1588">($M119=DT119)*$D$14</f>
        <v>0</v>
      </c>
      <c r="DV119" s="57"/>
      <c r="DW119" s="67"/>
      <c r="DX119" s="66">
        <f t="shared" ref="DX119" ca="1" si="1589">($M119=DW119)*$D$14</f>
        <v>0</v>
      </c>
      <c r="DY119" s="57"/>
      <c r="DZ119" s="67"/>
      <c r="EA119" s="66">
        <f t="shared" ref="EA119" ca="1" si="1590">($M119=DZ119)*$D$14</f>
        <v>0</v>
      </c>
      <c r="EB119" s="57"/>
      <c r="EC119" s="67"/>
      <c r="ED119" s="66">
        <f t="shared" ref="ED119" ca="1" si="1591">($M119=EC119)*$D$14</f>
        <v>0</v>
      </c>
      <c r="EE119" s="57"/>
      <c r="EF119" s="67"/>
      <c r="EG119" s="66">
        <f t="shared" ref="EG119" ca="1" si="1592">($M119=EF119)*$D$14</f>
        <v>0</v>
      </c>
      <c r="EH119" s="57"/>
      <c r="EI119" s="57"/>
    </row>
    <row r="120" spans="1:139">
      <c r="A120" s="43"/>
      <c r="B120" s="43"/>
      <c r="C120" s="43"/>
      <c r="D120" s="43"/>
      <c r="E120" s="43"/>
      <c r="F120" s="712">
        <f t="shared" ref="F120" si="1593">$D$11</f>
        <v>5</v>
      </c>
      <c r="G120" s="713">
        <f ca="1">VLOOKUP(H120,Equipos!$Q$1:$R$25,2,0)</f>
        <v>18</v>
      </c>
      <c r="H120" s="774">
        <f ca="1">$H$74</f>
        <v>46201</v>
      </c>
      <c r="I120" s="44"/>
      <c r="J120" s="862" t="s">
        <v>439</v>
      </c>
      <c r="K120" s="49" t="str">
        <f>Idiomas!D190</f>
        <v>1º GRUPO K</v>
      </c>
      <c r="L120" s="46"/>
      <c r="M120" s="48" t="str">
        <f ca="1">IF(OR(SUM(WORLDCUP!$AN$86:$AN$89)=12,WORLDCUP!$AJ$99=144),WORLDCUP!AL86,LEFT(K120,1)&amp;RIGHT(K120,1))</f>
        <v>1K</v>
      </c>
      <c r="N120" s="711"/>
      <c r="O120" s="711"/>
      <c r="P120" s="711"/>
      <c r="Q120" s="711"/>
      <c r="R120" s="102"/>
      <c r="S120" s="67" t="s">
        <v>79</v>
      </c>
      <c r="T120" s="66">
        <f t="shared" ref="T120" ca="1" si="1594">($M120=S120)*$D$11</f>
        <v>0</v>
      </c>
      <c r="U120" s="57"/>
      <c r="V120" s="67" t="s">
        <v>79</v>
      </c>
      <c r="W120" s="66">
        <f t="shared" ref="W120" ca="1" si="1595">($M120=V120)*$D$11</f>
        <v>0</v>
      </c>
      <c r="X120" s="57"/>
      <c r="Y120" s="67" t="s">
        <v>79</v>
      </c>
      <c r="Z120" s="66">
        <f t="shared" ref="Z120" ca="1" si="1596">($M120=Y120)*$D$11</f>
        <v>0</v>
      </c>
      <c r="AA120" s="57"/>
      <c r="AB120" s="67" t="s">
        <v>79</v>
      </c>
      <c r="AC120" s="66">
        <f t="shared" ref="AC120" ca="1" si="1597">($M120=AB120)*$D$11</f>
        <v>0</v>
      </c>
      <c r="AD120" s="57"/>
      <c r="AE120" s="67" t="s">
        <v>79</v>
      </c>
      <c r="AF120" s="66">
        <f t="shared" ref="AF120" ca="1" si="1598">($M120=AE120)*$D$11</f>
        <v>0</v>
      </c>
      <c r="AG120" s="57"/>
      <c r="AH120" s="67" t="s">
        <v>79</v>
      </c>
      <c r="AI120" s="66">
        <f t="shared" ref="AI120" ca="1" si="1599">($M120=AH120)*$D$11</f>
        <v>0</v>
      </c>
      <c r="AJ120" s="57"/>
      <c r="AK120" s="67" t="s">
        <v>79</v>
      </c>
      <c r="AL120" s="66">
        <f t="shared" ref="AL120" ca="1" si="1600">($M120=AK120)*$D$11</f>
        <v>0</v>
      </c>
      <c r="AM120" s="57"/>
      <c r="AN120" s="67" t="s">
        <v>79</v>
      </c>
      <c r="AO120" s="66">
        <f t="shared" ref="AO120" ca="1" si="1601">($M120=AN120)*$D$11</f>
        <v>0</v>
      </c>
      <c r="AP120" s="57"/>
      <c r="AQ120" s="67" t="s">
        <v>79</v>
      </c>
      <c r="AR120" s="66">
        <f t="shared" ref="AR120" ca="1" si="1602">($M120=AQ120)*$D$11</f>
        <v>0</v>
      </c>
      <c r="AS120" s="57"/>
      <c r="AT120" s="67" t="s">
        <v>79</v>
      </c>
      <c r="AU120" s="66">
        <f t="shared" ref="AU120" ca="1" si="1603">($M120=AT120)*$D$11</f>
        <v>0</v>
      </c>
      <c r="AV120" s="57"/>
      <c r="AW120" s="67" t="s">
        <v>79</v>
      </c>
      <c r="AX120" s="66">
        <f t="shared" ref="AX120" ca="1" si="1604">($M120=AW120)*$D$11</f>
        <v>0</v>
      </c>
      <c r="AY120" s="57"/>
      <c r="AZ120" s="67" t="s">
        <v>79</v>
      </c>
      <c r="BA120" s="66">
        <f t="shared" ref="BA120" ca="1" si="1605">($M120=AZ120)*$D$11</f>
        <v>0</v>
      </c>
      <c r="BB120" s="57"/>
      <c r="BC120" s="67" t="s">
        <v>79</v>
      </c>
      <c r="BD120" s="66">
        <f t="shared" ref="BD120" ca="1" si="1606">($M120=BC120)*$D$11</f>
        <v>0</v>
      </c>
      <c r="BE120" s="57"/>
      <c r="BF120" s="67" t="s">
        <v>79</v>
      </c>
      <c r="BG120" s="66">
        <f t="shared" ref="BG120" ca="1" si="1607">($M120=BF120)*$D$11</f>
        <v>0</v>
      </c>
      <c r="BH120" s="57"/>
      <c r="BI120" s="67" t="s">
        <v>79</v>
      </c>
      <c r="BJ120" s="66">
        <f t="shared" ref="BJ120" ca="1" si="1608">($M120=BI120)*$D$11</f>
        <v>0</v>
      </c>
      <c r="BK120" s="57"/>
      <c r="BL120" s="67" t="s">
        <v>79</v>
      </c>
      <c r="BM120" s="66">
        <f t="shared" ref="BM120" ca="1" si="1609">($M120=BL120)*$D$11</f>
        <v>0</v>
      </c>
      <c r="BN120" s="57"/>
      <c r="BO120" s="67" t="s">
        <v>79</v>
      </c>
      <c r="BP120" s="66">
        <f t="shared" ref="BP120" ca="1" si="1610">($M120=BO120)*$D$11</f>
        <v>0</v>
      </c>
      <c r="BQ120" s="57"/>
      <c r="BR120" s="67" t="s">
        <v>79</v>
      </c>
      <c r="BS120" s="66">
        <f t="shared" ref="BS120" ca="1" si="1611">($M120=BR120)*$D$11</f>
        <v>0</v>
      </c>
      <c r="BT120" s="57"/>
      <c r="BU120" s="67"/>
      <c r="BV120" s="66">
        <f t="shared" ref="BV120" ca="1" si="1612">($M120=BU120)*$D$11</f>
        <v>0</v>
      </c>
      <c r="BW120" s="57"/>
      <c r="BX120" s="67"/>
      <c r="BY120" s="66">
        <f t="shared" ref="BY120" ca="1" si="1613">($M120=BX120)*$D$11</f>
        <v>0</v>
      </c>
      <c r="BZ120" s="57"/>
      <c r="CA120" s="67"/>
      <c r="CB120" s="66">
        <f t="shared" ref="CB120" ca="1" si="1614">($M120=CA120)*$D$11</f>
        <v>0</v>
      </c>
      <c r="CC120" s="57"/>
      <c r="CD120" s="67"/>
      <c r="CE120" s="66">
        <f t="shared" ref="CE120" ca="1" si="1615">($M120=CD120)*$D$11</f>
        <v>0</v>
      </c>
      <c r="CF120" s="57"/>
      <c r="CG120" s="67"/>
      <c r="CH120" s="66">
        <f t="shared" ref="CH120" ca="1" si="1616">($M120=CG120)*$D$11</f>
        <v>0</v>
      </c>
      <c r="CI120" s="57"/>
      <c r="CJ120" s="67"/>
      <c r="CK120" s="66">
        <f t="shared" ref="CK120" ca="1" si="1617">($M120=CJ120)*$D$11</f>
        <v>0</v>
      </c>
      <c r="CL120" s="57"/>
      <c r="CM120" s="67"/>
      <c r="CN120" s="66">
        <f t="shared" ref="CN120" ca="1" si="1618">($M120=CM120)*$D$11</f>
        <v>0</v>
      </c>
      <c r="CO120" s="57"/>
      <c r="CP120" s="67"/>
      <c r="CQ120" s="66">
        <f t="shared" ref="CQ120" ca="1" si="1619">($M120=CP120)*$D$11</f>
        <v>0</v>
      </c>
      <c r="CR120" s="57"/>
      <c r="CS120" s="67"/>
      <c r="CT120" s="66">
        <f t="shared" ref="CT120" ca="1" si="1620">($M120=CS120)*$D$11</f>
        <v>0</v>
      </c>
      <c r="CU120" s="57"/>
      <c r="CV120" s="67"/>
      <c r="CW120" s="66">
        <f t="shared" ref="CW120" ca="1" si="1621">($M120=CV120)*$D$11</f>
        <v>0</v>
      </c>
      <c r="CX120" s="57"/>
      <c r="CY120" s="67"/>
      <c r="CZ120" s="66">
        <f t="shared" ref="CZ120" ca="1" si="1622">($M120=CY120)*$D$11</f>
        <v>0</v>
      </c>
      <c r="DA120" s="57"/>
      <c r="DB120" s="67"/>
      <c r="DC120" s="66">
        <f t="shared" ref="DC120" ca="1" si="1623">($M120=DB120)*$D$11</f>
        <v>0</v>
      </c>
      <c r="DD120" s="57"/>
      <c r="DE120" s="67"/>
      <c r="DF120" s="66">
        <f t="shared" ref="DF120" ca="1" si="1624">($M120=DE120)*$D$11</f>
        <v>0</v>
      </c>
      <c r="DG120" s="57"/>
      <c r="DH120" s="67"/>
      <c r="DI120" s="66">
        <f t="shared" ref="DI120" ca="1" si="1625">($M120=DH120)*$D$11</f>
        <v>0</v>
      </c>
      <c r="DJ120" s="57"/>
      <c r="DK120" s="67"/>
      <c r="DL120" s="66">
        <f t="shared" ref="DL120" ca="1" si="1626">($M120=DK120)*$D$11</f>
        <v>0</v>
      </c>
      <c r="DM120" s="57"/>
      <c r="DN120" s="67"/>
      <c r="DO120" s="66">
        <f t="shared" ref="DO120" ca="1" si="1627">($M120=DN120)*$D$11</f>
        <v>0</v>
      </c>
      <c r="DP120" s="57"/>
      <c r="DQ120" s="67"/>
      <c r="DR120" s="66">
        <f t="shared" ref="DR120" ca="1" si="1628">($M120=DQ120)*$D$11</f>
        <v>0</v>
      </c>
      <c r="DS120" s="57"/>
      <c r="DT120" s="67"/>
      <c r="DU120" s="66">
        <f t="shared" ref="DU120" ca="1" si="1629">($M120=DT120)*$D$11</f>
        <v>0</v>
      </c>
      <c r="DV120" s="57"/>
      <c r="DW120" s="67"/>
      <c r="DX120" s="66">
        <f t="shared" ref="DX120" ca="1" si="1630">($M120=DW120)*$D$11</f>
        <v>0</v>
      </c>
      <c r="DY120" s="57"/>
      <c r="DZ120" s="67"/>
      <c r="EA120" s="66">
        <f t="shared" ref="EA120" ca="1" si="1631">($M120=DZ120)*$D$11</f>
        <v>0</v>
      </c>
      <c r="EB120" s="57"/>
      <c r="EC120" s="67"/>
      <c r="ED120" s="66">
        <f t="shared" ref="ED120" ca="1" si="1632">($M120=EC120)*$D$11</f>
        <v>0</v>
      </c>
      <c r="EE120" s="57"/>
      <c r="EF120" s="67"/>
      <c r="EG120" s="66">
        <f t="shared" ref="EG120" ca="1" si="1633">($M120=EF120)*$D$11</f>
        <v>0</v>
      </c>
      <c r="EH120" s="57"/>
      <c r="EI120" s="57"/>
    </row>
    <row r="121" spans="1:139">
      <c r="A121" s="43"/>
      <c r="B121" s="43"/>
      <c r="C121" s="43"/>
      <c r="D121" s="43"/>
      <c r="E121" s="43"/>
      <c r="F121" s="712">
        <f t="shared" ref="F121" si="1634">$D$12</f>
        <v>5</v>
      </c>
      <c r="G121" s="713">
        <f ca="1">VLOOKUP(H121,Equipos!$Q$1:$R$25,2,0)</f>
        <v>18</v>
      </c>
      <c r="H121" s="774">
        <f ca="1">$H$74</f>
        <v>46201</v>
      </c>
      <c r="I121" s="44"/>
      <c r="J121" s="862"/>
      <c r="K121" s="49" t="str">
        <f>Idiomas!D191</f>
        <v>2º GRUPO K</v>
      </c>
      <c r="L121" s="46"/>
      <c r="M121" s="48" t="str">
        <f ca="1">IF(OR(SUM(WORLDCUP!$AN$86:$AN$89)=12,WORLDCUP!$AJ$99=144),WORLDCUP!AL87,LEFT(K121,1)&amp;RIGHT(K121,1))</f>
        <v>2K</v>
      </c>
      <c r="N121" s="711"/>
      <c r="O121" s="711"/>
      <c r="P121" s="711"/>
      <c r="Q121" s="711"/>
      <c r="R121" s="102"/>
      <c r="S121" s="67" t="s">
        <v>1316</v>
      </c>
      <c r="T121" s="66">
        <f t="shared" ref="T121" ca="1" si="1635">($M121=S121)*$D$12</f>
        <v>0</v>
      </c>
      <c r="U121" s="57"/>
      <c r="V121" s="67" t="s">
        <v>1316</v>
      </c>
      <c r="W121" s="66">
        <f t="shared" ref="W121" ca="1" si="1636">($M121=V121)*$D$12</f>
        <v>0</v>
      </c>
      <c r="X121" s="57"/>
      <c r="Y121" s="67" t="s">
        <v>1316</v>
      </c>
      <c r="Z121" s="66">
        <f t="shared" ref="Z121" ca="1" si="1637">($M121=Y121)*$D$12</f>
        <v>0</v>
      </c>
      <c r="AA121" s="57"/>
      <c r="AB121" s="67" t="s">
        <v>1316</v>
      </c>
      <c r="AC121" s="66">
        <f t="shared" ref="AC121" ca="1" si="1638">($M121=AB121)*$D$12</f>
        <v>0</v>
      </c>
      <c r="AD121" s="57"/>
      <c r="AE121" s="67" t="s">
        <v>1316</v>
      </c>
      <c r="AF121" s="66">
        <f t="shared" ref="AF121" ca="1" si="1639">($M121=AE121)*$D$12</f>
        <v>0</v>
      </c>
      <c r="AG121" s="57"/>
      <c r="AH121" s="67" t="s">
        <v>1316</v>
      </c>
      <c r="AI121" s="66">
        <f t="shared" ref="AI121" ca="1" si="1640">($M121=AH121)*$D$12</f>
        <v>0</v>
      </c>
      <c r="AJ121" s="57"/>
      <c r="AK121" s="67" t="s">
        <v>1316</v>
      </c>
      <c r="AL121" s="66">
        <f t="shared" ref="AL121" ca="1" si="1641">($M121=AK121)*$D$12</f>
        <v>0</v>
      </c>
      <c r="AM121" s="57"/>
      <c r="AN121" s="67" t="s">
        <v>1316</v>
      </c>
      <c r="AO121" s="66">
        <f t="shared" ref="AO121" ca="1" si="1642">($M121=AN121)*$D$12</f>
        <v>0</v>
      </c>
      <c r="AP121" s="57"/>
      <c r="AQ121" s="67" t="s">
        <v>1316</v>
      </c>
      <c r="AR121" s="66">
        <f t="shared" ref="AR121" ca="1" si="1643">($M121=AQ121)*$D$12</f>
        <v>0</v>
      </c>
      <c r="AS121" s="57"/>
      <c r="AT121" s="67" t="s">
        <v>1316</v>
      </c>
      <c r="AU121" s="66">
        <f t="shared" ref="AU121" ca="1" si="1644">($M121=AT121)*$D$12</f>
        <v>0</v>
      </c>
      <c r="AV121" s="57"/>
      <c r="AW121" s="67" t="s">
        <v>1316</v>
      </c>
      <c r="AX121" s="66">
        <f t="shared" ref="AX121" ca="1" si="1645">($M121=AW121)*$D$12</f>
        <v>0</v>
      </c>
      <c r="AY121" s="57"/>
      <c r="AZ121" s="67" t="s">
        <v>1316</v>
      </c>
      <c r="BA121" s="66">
        <f t="shared" ref="BA121" ca="1" si="1646">($M121=AZ121)*$D$12</f>
        <v>0</v>
      </c>
      <c r="BB121" s="57"/>
      <c r="BC121" s="67" t="s">
        <v>1316</v>
      </c>
      <c r="BD121" s="66">
        <f t="shared" ref="BD121" ca="1" si="1647">($M121=BC121)*$D$12</f>
        <v>0</v>
      </c>
      <c r="BE121" s="57"/>
      <c r="BF121" s="67" t="s">
        <v>1316</v>
      </c>
      <c r="BG121" s="66">
        <f t="shared" ref="BG121" ca="1" si="1648">($M121=BF121)*$D$12</f>
        <v>0</v>
      </c>
      <c r="BH121" s="57"/>
      <c r="BI121" s="67" t="s">
        <v>1316</v>
      </c>
      <c r="BJ121" s="66">
        <f t="shared" ref="BJ121" ca="1" si="1649">($M121=BI121)*$D$12</f>
        <v>0</v>
      </c>
      <c r="BK121" s="57"/>
      <c r="BL121" s="67" t="s">
        <v>1316</v>
      </c>
      <c r="BM121" s="66">
        <f t="shared" ref="BM121" ca="1" si="1650">($M121=BL121)*$D$12</f>
        <v>0</v>
      </c>
      <c r="BN121" s="57"/>
      <c r="BO121" s="67" t="s">
        <v>1316</v>
      </c>
      <c r="BP121" s="66">
        <f t="shared" ref="BP121" ca="1" si="1651">($M121=BO121)*$D$12</f>
        <v>0</v>
      </c>
      <c r="BQ121" s="57"/>
      <c r="BR121" s="67" t="s">
        <v>1316</v>
      </c>
      <c r="BS121" s="66">
        <f t="shared" ref="BS121" ca="1" si="1652">($M121=BR121)*$D$12</f>
        <v>0</v>
      </c>
      <c r="BT121" s="57"/>
      <c r="BU121" s="67"/>
      <c r="BV121" s="66">
        <f t="shared" ref="BV121" ca="1" si="1653">($M121=BU121)*$D$12</f>
        <v>0</v>
      </c>
      <c r="BW121" s="57"/>
      <c r="BX121" s="67"/>
      <c r="BY121" s="66">
        <f t="shared" ref="BY121" ca="1" si="1654">($M121=BX121)*$D$12</f>
        <v>0</v>
      </c>
      <c r="BZ121" s="57"/>
      <c r="CA121" s="67"/>
      <c r="CB121" s="66">
        <f t="shared" ref="CB121" ca="1" si="1655">($M121=CA121)*$D$12</f>
        <v>0</v>
      </c>
      <c r="CC121" s="57"/>
      <c r="CD121" s="67"/>
      <c r="CE121" s="66">
        <f t="shared" ref="CE121" ca="1" si="1656">($M121=CD121)*$D$12</f>
        <v>0</v>
      </c>
      <c r="CF121" s="57"/>
      <c r="CG121" s="67"/>
      <c r="CH121" s="66">
        <f t="shared" ref="CH121" ca="1" si="1657">($M121=CG121)*$D$12</f>
        <v>0</v>
      </c>
      <c r="CI121" s="57"/>
      <c r="CJ121" s="67"/>
      <c r="CK121" s="66">
        <f t="shared" ref="CK121" ca="1" si="1658">($M121=CJ121)*$D$12</f>
        <v>0</v>
      </c>
      <c r="CL121" s="57"/>
      <c r="CM121" s="67"/>
      <c r="CN121" s="66">
        <f t="shared" ref="CN121" ca="1" si="1659">($M121=CM121)*$D$12</f>
        <v>0</v>
      </c>
      <c r="CO121" s="57"/>
      <c r="CP121" s="67"/>
      <c r="CQ121" s="66">
        <f t="shared" ref="CQ121" ca="1" si="1660">($M121=CP121)*$D$12</f>
        <v>0</v>
      </c>
      <c r="CR121" s="57"/>
      <c r="CS121" s="67"/>
      <c r="CT121" s="66">
        <f t="shared" ref="CT121" ca="1" si="1661">($M121=CS121)*$D$12</f>
        <v>0</v>
      </c>
      <c r="CU121" s="57"/>
      <c r="CV121" s="67"/>
      <c r="CW121" s="66">
        <f t="shared" ref="CW121" ca="1" si="1662">($M121=CV121)*$D$12</f>
        <v>0</v>
      </c>
      <c r="CX121" s="57"/>
      <c r="CY121" s="67"/>
      <c r="CZ121" s="66">
        <f t="shared" ref="CZ121" ca="1" si="1663">($M121=CY121)*$D$12</f>
        <v>0</v>
      </c>
      <c r="DA121" s="57"/>
      <c r="DB121" s="67"/>
      <c r="DC121" s="66">
        <f t="shared" ref="DC121" ca="1" si="1664">($M121=DB121)*$D$12</f>
        <v>0</v>
      </c>
      <c r="DD121" s="57"/>
      <c r="DE121" s="67"/>
      <c r="DF121" s="66">
        <f t="shared" ref="DF121" ca="1" si="1665">($M121=DE121)*$D$12</f>
        <v>0</v>
      </c>
      <c r="DG121" s="57"/>
      <c r="DH121" s="67"/>
      <c r="DI121" s="66">
        <f t="shared" ref="DI121" ca="1" si="1666">($M121=DH121)*$D$12</f>
        <v>0</v>
      </c>
      <c r="DJ121" s="57"/>
      <c r="DK121" s="67"/>
      <c r="DL121" s="66">
        <f t="shared" ref="DL121" ca="1" si="1667">($M121=DK121)*$D$12</f>
        <v>0</v>
      </c>
      <c r="DM121" s="57"/>
      <c r="DN121" s="67"/>
      <c r="DO121" s="66">
        <f t="shared" ref="DO121" ca="1" si="1668">($M121=DN121)*$D$12</f>
        <v>0</v>
      </c>
      <c r="DP121" s="57"/>
      <c r="DQ121" s="67"/>
      <c r="DR121" s="66">
        <f t="shared" ref="DR121" ca="1" si="1669">($M121=DQ121)*$D$12</f>
        <v>0</v>
      </c>
      <c r="DS121" s="57"/>
      <c r="DT121" s="67"/>
      <c r="DU121" s="66">
        <f t="shared" ref="DU121" ca="1" si="1670">($M121=DT121)*$D$12</f>
        <v>0</v>
      </c>
      <c r="DV121" s="57"/>
      <c r="DW121" s="67"/>
      <c r="DX121" s="66">
        <f t="shared" ref="DX121" ca="1" si="1671">($M121=DW121)*$D$12</f>
        <v>0</v>
      </c>
      <c r="DY121" s="57"/>
      <c r="DZ121" s="67"/>
      <c r="EA121" s="66">
        <f t="shared" ref="EA121" ca="1" si="1672">($M121=DZ121)*$D$12</f>
        <v>0</v>
      </c>
      <c r="EB121" s="57"/>
      <c r="EC121" s="67"/>
      <c r="ED121" s="66">
        <f t="shared" ref="ED121" ca="1" si="1673">($M121=EC121)*$D$12</f>
        <v>0</v>
      </c>
      <c r="EE121" s="57"/>
      <c r="EF121" s="67"/>
      <c r="EG121" s="66">
        <f t="shared" ref="EG121" ca="1" si="1674">($M121=EF121)*$D$12</f>
        <v>0</v>
      </c>
      <c r="EH121" s="57"/>
      <c r="EI121" s="57"/>
    </row>
    <row r="122" spans="1:139">
      <c r="A122" s="43"/>
      <c r="B122" s="43"/>
      <c r="C122" s="43"/>
      <c r="D122" s="43"/>
      <c r="E122" s="43"/>
      <c r="F122" s="712">
        <f t="shared" ref="F122" si="1675">$D$13</f>
        <v>5</v>
      </c>
      <c r="G122" s="713">
        <f ca="1">VLOOKUP(H122,Equipos!$Q$1:$R$25,2,0)</f>
        <v>18</v>
      </c>
      <c r="H122" s="774">
        <f ca="1">$H$74</f>
        <v>46201</v>
      </c>
      <c r="I122" s="44"/>
      <c r="J122" s="862"/>
      <c r="K122" s="49" t="str">
        <f>Idiomas!D192</f>
        <v>3º GRUPO K</v>
      </c>
      <c r="L122" s="46"/>
      <c r="M122" s="48" t="str">
        <f ca="1">IF(OR(SUM(WORLDCUP!$AN$86:$AN$89)=12,WORLDCUP!$AJ$99=144),WORLDCUP!AL88,LEFT(K122,1)&amp;RIGHT(K122,1))</f>
        <v>3K</v>
      </c>
      <c r="N122" s="711"/>
      <c r="O122" s="711"/>
      <c r="P122" s="711"/>
      <c r="Q122" s="711"/>
      <c r="R122" s="102"/>
      <c r="S122" s="67" t="s">
        <v>1833</v>
      </c>
      <c r="T122" s="66">
        <f t="shared" ref="T122" ca="1" si="1676">($M122=S122)*$D$13</f>
        <v>0</v>
      </c>
      <c r="U122" s="57"/>
      <c r="V122" s="67" t="s">
        <v>1833</v>
      </c>
      <c r="W122" s="66">
        <f t="shared" ref="W122" ca="1" si="1677">($M122=V122)*$D$13</f>
        <v>0</v>
      </c>
      <c r="X122" s="57"/>
      <c r="Y122" s="67" t="s">
        <v>1833</v>
      </c>
      <c r="Z122" s="66">
        <f t="shared" ref="Z122" ca="1" si="1678">($M122=Y122)*$D$13</f>
        <v>0</v>
      </c>
      <c r="AA122" s="57"/>
      <c r="AB122" s="67" t="s">
        <v>1267</v>
      </c>
      <c r="AC122" s="66">
        <f t="shared" ref="AC122" ca="1" si="1679">($M122=AB122)*$D$13</f>
        <v>0</v>
      </c>
      <c r="AD122" s="57"/>
      <c r="AE122" s="67" t="s">
        <v>1833</v>
      </c>
      <c r="AF122" s="66">
        <f t="shared" ref="AF122" ca="1" si="1680">($M122=AE122)*$D$13</f>
        <v>0</v>
      </c>
      <c r="AG122" s="57"/>
      <c r="AH122" s="67" t="s">
        <v>1267</v>
      </c>
      <c r="AI122" s="66">
        <f t="shared" ref="AI122" ca="1" si="1681">($M122=AH122)*$D$13</f>
        <v>0</v>
      </c>
      <c r="AJ122" s="57"/>
      <c r="AK122" s="67" t="s">
        <v>1267</v>
      </c>
      <c r="AL122" s="66">
        <f t="shared" ref="AL122" ca="1" si="1682">($M122=AK122)*$D$13</f>
        <v>0</v>
      </c>
      <c r="AM122" s="57"/>
      <c r="AN122" s="67" t="s">
        <v>1833</v>
      </c>
      <c r="AO122" s="66">
        <f t="shared" ref="AO122" ca="1" si="1683">($M122=AN122)*$D$13</f>
        <v>0</v>
      </c>
      <c r="AP122" s="57"/>
      <c r="AQ122" s="67" t="s">
        <v>1267</v>
      </c>
      <c r="AR122" s="66">
        <f t="shared" ref="AR122" ca="1" si="1684">($M122=AQ122)*$D$13</f>
        <v>0</v>
      </c>
      <c r="AS122" s="57"/>
      <c r="AT122" s="67" t="s">
        <v>1267</v>
      </c>
      <c r="AU122" s="66">
        <f t="shared" ref="AU122" ca="1" si="1685">($M122=AT122)*$D$13</f>
        <v>0</v>
      </c>
      <c r="AV122" s="57"/>
      <c r="AW122" s="67" t="s">
        <v>1267</v>
      </c>
      <c r="AX122" s="66">
        <f t="shared" ref="AX122" ca="1" si="1686">($M122=AW122)*$D$13</f>
        <v>0</v>
      </c>
      <c r="AY122" s="57"/>
      <c r="AZ122" s="67" t="s">
        <v>1267</v>
      </c>
      <c r="BA122" s="66">
        <f t="shared" ref="BA122" ca="1" si="1687">($M122=AZ122)*$D$13</f>
        <v>0</v>
      </c>
      <c r="BB122" s="57"/>
      <c r="BC122" s="67" t="s">
        <v>1833</v>
      </c>
      <c r="BD122" s="66">
        <f t="shared" ref="BD122" ca="1" si="1688">($M122=BC122)*$D$13</f>
        <v>0</v>
      </c>
      <c r="BE122" s="57"/>
      <c r="BF122" s="67" t="s">
        <v>1833</v>
      </c>
      <c r="BG122" s="66">
        <f t="shared" ref="BG122" ca="1" si="1689">($M122=BF122)*$D$13</f>
        <v>0</v>
      </c>
      <c r="BH122" s="57"/>
      <c r="BI122" s="67" t="s">
        <v>1833</v>
      </c>
      <c r="BJ122" s="66">
        <f t="shared" ref="BJ122" ca="1" si="1690">($M122=BI122)*$D$13</f>
        <v>0</v>
      </c>
      <c r="BK122" s="57"/>
      <c r="BL122" s="67" t="s">
        <v>1833</v>
      </c>
      <c r="BM122" s="66">
        <f t="shared" ref="BM122" ca="1" si="1691">($M122=BL122)*$D$13</f>
        <v>0</v>
      </c>
      <c r="BN122" s="57"/>
      <c r="BO122" s="67" t="s">
        <v>1833</v>
      </c>
      <c r="BP122" s="66">
        <f t="shared" ref="BP122" ca="1" si="1692">($M122=BO122)*$D$13</f>
        <v>0</v>
      </c>
      <c r="BQ122" s="57"/>
      <c r="BR122" s="67" t="s">
        <v>1833</v>
      </c>
      <c r="BS122" s="66">
        <f t="shared" ref="BS122" ca="1" si="1693">($M122=BR122)*$D$13</f>
        <v>0</v>
      </c>
      <c r="BT122" s="57"/>
      <c r="BU122" s="67"/>
      <c r="BV122" s="66">
        <f t="shared" ref="BV122" ca="1" si="1694">($M122=BU122)*$D$13</f>
        <v>0</v>
      </c>
      <c r="BW122" s="57"/>
      <c r="BX122" s="67"/>
      <c r="BY122" s="66">
        <f t="shared" ref="BY122" ca="1" si="1695">($M122=BX122)*$D$13</f>
        <v>0</v>
      </c>
      <c r="BZ122" s="57"/>
      <c r="CA122" s="67"/>
      <c r="CB122" s="66">
        <f t="shared" ref="CB122" ca="1" si="1696">($M122=CA122)*$D$13</f>
        <v>0</v>
      </c>
      <c r="CC122" s="57"/>
      <c r="CD122" s="67"/>
      <c r="CE122" s="66">
        <f t="shared" ref="CE122" ca="1" si="1697">($M122=CD122)*$D$13</f>
        <v>0</v>
      </c>
      <c r="CF122" s="57"/>
      <c r="CG122" s="67"/>
      <c r="CH122" s="66">
        <f t="shared" ref="CH122" ca="1" si="1698">($M122=CG122)*$D$13</f>
        <v>0</v>
      </c>
      <c r="CI122" s="57"/>
      <c r="CJ122" s="67"/>
      <c r="CK122" s="66">
        <f t="shared" ref="CK122" ca="1" si="1699">($M122=CJ122)*$D$13</f>
        <v>0</v>
      </c>
      <c r="CL122" s="57"/>
      <c r="CM122" s="67"/>
      <c r="CN122" s="66">
        <f t="shared" ref="CN122" ca="1" si="1700">($M122=CM122)*$D$13</f>
        <v>0</v>
      </c>
      <c r="CO122" s="57"/>
      <c r="CP122" s="67"/>
      <c r="CQ122" s="66">
        <f t="shared" ref="CQ122" ca="1" si="1701">($M122=CP122)*$D$13</f>
        <v>0</v>
      </c>
      <c r="CR122" s="57"/>
      <c r="CS122" s="67"/>
      <c r="CT122" s="66">
        <f t="shared" ref="CT122" ca="1" si="1702">($M122=CS122)*$D$13</f>
        <v>0</v>
      </c>
      <c r="CU122" s="57"/>
      <c r="CV122" s="67"/>
      <c r="CW122" s="66">
        <f t="shared" ref="CW122" ca="1" si="1703">($M122=CV122)*$D$13</f>
        <v>0</v>
      </c>
      <c r="CX122" s="57"/>
      <c r="CY122" s="67"/>
      <c r="CZ122" s="66">
        <f t="shared" ref="CZ122" ca="1" si="1704">($M122=CY122)*$D$13</f>
        <v>0</v>
      </c>
      <c r="DA122" s="57"/>
      <c r="DB122" s="67"/>
      <c r="DC122" s="66">
        <f t="shared" ref="DC122" ca="1" si="1705">($M122=DB122)*$D$13</f>
        <v>0</v>
      </c>
      <c r="DD122" s="57"/>
      <c r="DE122" s="67"/>
      <c r="DF122" s="66">
        <f t="shared" ref="DF122" ca="1" si="1706">($M122=DE122)*$D$13</f>
        <v>0</v>
      </c>
      <c r="DG122" s="57"/>
      <c r="DH122" s="67"/>
      <c r="DI122" s="66">
        <f t="shared" ref="DI122" ca="1" si="1707">($M122=DH122)*$D$13</f>
        <v>0</v>
      </c>
      <c r="DJ122" s="57"/>
      <c r="DK122" s="67"/>
      <c r="DL122" s="66">
        <f t="shared" ref="DL122" ca="1" si="1708">($M122=DK122)*$D$13</f>
        <v>0</v>
      </c>
      <c r="DM122" s="57"/>
      <c r="DN122" s="67"/>
      <c r="DO122" s="66">
        <f t="shared" ref="DO122" ca="1" si="1709">($M122=DN122)*$D$13</f>
        <v>0</v>
      </c>
      <c r="DP122" s="57"/>
      <c r="DQ122" s="67"/>
      <c r="DR122" s="66">
        <f t="shared" ref="DR122" ca="1" si="1710">($M122=DQ122)*$D$13</f>
        <v>0</v>
      </c>
      <c r="DS122" s="57"/>
      <c r="DT122" s="67"/>
      <c r="DU122" s="66">
        <f t="shared" ref="DU122" ca="1" si="1711">($M122=DT122)*$D$13</f>
        <v>0</v>
      </c>
      <c r="DV122" s="57"/>
      <c r="DW122" s="67"/>
      <c r="DX122" s="66">
        <f t="shared" ref="DX122" ca="1" si="1712">($M122=DW122)*$D$13</f>
        <v>0</v>
      </c>
      <c r="DY122" s="57"/>
      <c r="DZ122" s="67"/>
      <c r="EA122" s="66">
        <f t="shared" ref="EA122" ca="1" si="1713">($M122=DZ122)*$D$13</f>
        <v>0</v>
      </c>
      <c r="EB122" s="57"/>
      <c r="EC122" s="67"/>
      <c r="ED122" s="66">
        <f t="shared" ref="ED122" ca="1" si="1714">($M122=EC122)*$D$13</f>
        <v>0</v>
      </c>
      <c r="EE122" s="57"/>
      <c r="EF122" s="67"/>
      <c r="EG122" s="66">
        <f t="shared" ref="EG122" ca="1" si="1715">($M122=EF122)*$D$13</f>
        <v>0</v>
      </c>
      <c r="EH122" s="57"/>
      <c r="EI122" s="57"/>
    </row>
    <row r="123" spans="1:139">
      <c r="A123" s="43"/>
      <c r="B123" s="43"/>
      <c r="C123" s="43"/>
      <c r="D123" s="43"/>
      <c r="E123" s="43"/>
      <c r="F123" s="712">
        <f t="shared" ref="F123" si="1716">$D$14</f>
        <v>5</v>
      </c>
      <c r="G123" s="713">
        <f ca="1">VLOOKUP(H123,Equipos!$Q$1:$R$25,2,0)</f>
        <v>18</v>
      </c>
      <c r="H123" s="774">
        <f ca="1">$H$74</f>
        <v>46201</v>
      </c>
      <c r="I123" s="44"/>
      <c r="J123" s="862"/>
      <c r="K123" s="49" t="str">
        <f>Idiomas!D193</f>
        <v>4º GRUPO K</v>
      </c>
      <c r="L123" s="46"/>
      <c r="M123" s="48" t="str">
        <f ca="1">IF(OR(SUM(WORLDCUP!$AN$86:$AN$89)=12,WORLDCUP!$AJ$99=144),WORLDCUP!AL89,LEFT(K123,1)&amp;RIGHT(K123,1))</f>
        <v>4K</v>
      </c>
      <c r="N123" s="711"/>
      <c r="O123" s="711"/>
      <c r="P123" s="711"/>
      <c r="Q123" s="711"/>
      <c r="R123" s="102"/>
      <c r="S123" s="67" t="s">
        <v>1267</v>
      </c>
      <c r="T123" s="66">
        <f t="shared" ref="T123" ca="1" si="1717">($M123=S123)*$D$14</f>
        <v>0</v>
      </c>
      <c r="U123" s="57"/>
      <c r="V123" s="67" t="s">
        <v>1267</v>
      </c>
      <c r="W123" s="66">
        <f t="shared" ref="W123" ca="1" si="1718">($M123=V123)*$D$14</f>
        <v>0</v>
      </c>
      <c r="X123" s="57"/>
      <c r="Y123" s="67" t="s">
        <v>1267</v>
      </c>
      <c r="Z123" s="66">
        <f t="shared" ref="Z123" ca="1" si="1719">($M123=Y123)*$D$14</f>
        <v>0</v>
      </c>
      <c r="AA123" s="57"/>
      <c r="AB123" s="67" t="s">
        <v>1833</v>
      </c>
      <c r="AC123" s="66">
        <f t="shared" ref="AC123" ca="1" si="1720">($M123=AB123)*$D$14</f>
        <v>0</v>
      </c>
      <c r="AD123" s="57"/>
      <c r="AE123" s="67" t="s">
        <v>1267</v>
      </c>
      <c r="AF123" s="66">
        <f t="shared" ref="AF123" ca="1" si="1721">($M123=AE123)*$D$14</f>
        <v>0</v>
      </c>
      <c r="AG123" s="57"/>
      <c r="AH123" s="67" t="s">
        <v>1833</v>
      </c>
      <c r="AI123" s="66">
        <f t="shared" ref="AI123" ca="1" si="1722">($M123=AH123)*$D$14</f>
        <v>0</v>
      </c>
      <c r="AJ123" s="57"/>
      <c r="AK123" s="67" t="s">
        <v>1833</v>
      </c>
      <c r="AL123" s="66">
        <f t="shared" ref="AL123" ca="1" si="1723">($M123=AK123)*$D$14</f>
        <v>0</v>
      </c>
      <c r="AM123" s="57"/>
      <c r="AN123" s="67" t="s">
        <v>1267</v>
      </c>
      <c r="AO123" s="66">
        <f t="shared" ref="AO123" ca="1" si="1724">($M123=AN123)*$D$14</f>
        <v>0</v>
      </c>
      <c r="AP123" s="57"/>
      <c r="AQ123" s="67" t="s">
        <v>1833</v>
      </c>
      <c r="AR123" s="66">
        <f t="shared" ref="AR123" ca="1" si="1725">($M123=AQ123)*$D$14</f>
        <v>0</v>
      </c>
      <c r="AS123" s="57"/>
      <c r="AT123" s="67" t="s">
        <v>1833</v>
      </c>
      <c r="AU123" s="66">
        <f t="shared" ref="AU123" ca="1" si="1726">($M123=AT123)*$D$14</f>
        <v>0</v>
      </c>
      <c r="AV123" s="57"/>
      <c r="AW123" s="67" t="s">
        <v>1833</v>
      </c>
      <c r="AX123" s="66">
        <f t="shared" ref="AX123" ca="1" si="1727">($M123=AW123)*$D$14</f>
        <v>0</v>
      </c>
      <c r="AY123" s="57"/>
      <c r="AZ123" s="67" t="s">
        <v>1833</v>
      </c>
      <c r="BA123" s="66">
        <f t="shared" ref="BA123" ca="1" si="1728">($M123=AZ123)*$D$14</f>
        <v>0</v>
      </c>
      <c r="BB123" s="57"/>
      <c r="BC123" s="67" t="s">
        <v>1267</v>
      </c>
      <c r="BD123" s="66">
        <f t="shared" ref="BD123" ca="1" si="1729">($M123=BC123)*$D$14</f>
        <v>0</v>
      </c>
      <c r="BE123" s="57"/>
      <c r="BF123" s="67" t="s">
        <v>1267</v>
      </c>
      <c r="BG123" s="66">
        <f t="shared" ref="BG123" ca="1" si="1730">($M123=BF123)*$D$14</f>
        <v>0</v>
      </c>
      <c r="BH123" s="57"/>
      <c r="BI123" s="67" t="s">
        <v>1267</v>
      </c>
      <c r="BJ123" s="66">
        <f t="shared" ref="BJ123" ca="1" si="1731">($M123=BI123)*$D$14</f>
        <v>0</v>
      </c>
      <c r="BK123" s="57"/>
      <c r="BL123" s="67" t="s">
        <v>1267</v>
      </c>
      <c r="BM123" s="66">
        <f t="shared" ref="BM123" ca="1" si="1732">($M123=BL123)*$D$14</f>
        <v>0</v>
      </c>
      <c r="BN123" s="57"/>
      <c r="BO123" s="67" t="s">
        <v>1267</v>
      </c>
      <c r="BP123" s="66">
        <f t="shared" ref="BP123" ca="1" si="1733">($M123=BO123)*$D$14</f>
        <v>0</v>
      </c>
      <c r="BQ123" s="57"/>
      <c r="BR123" s="67" t="s">
        <v>1267</v>
      </c>
      <c r="BS123" s="66">
        <f t="shared" ref="BS123" ca="1" si="1734">($M123=BR123)*$D$14</f>
        <v>0</v>
      </c>
      <c r="BT123" s="57"/>
      <c r="BU123" s="67"/>
      <c r="BV123" s="66">
        <f t="shared" ref="BV123" ca="1" si="1735">($M123=BU123)*$D$14</f>
        <v>0</v>
      </c>
      <c r="BW123" s="57"/>
      <c r="BX123" s="67"/>
      <c r="BY123" s="66">
        <f t="shared" ref="BY123" ca="1" si="1736">($M123=BX123)*$D$14</f>
        <v>0</v>
      </c>
      <c r="BZ123" s="57"/>
      <c r="CA123" s="67"/>
      <c r="CB123" s="66">
        <f t="shared" ref="CB123" ca="1" si="1737">($M123=CA123)*$D$14</f>
        <v>0</v>
      </c>
      <c r="CC123" s="57"/>
      <c r="CD123" s="67"/>
      <c r="CE123" s="66">
        <f t="shared" ref="CE123" ca="1" si="1738">($M123=CD123)*$D$14</f>
        <v>0</v>
      </c>
      <c r="CF123" s="57"/>
      <c r="CG123" s="67"/>
      <c r="CH123" s="66">
        <f t="shared" ref="CH123" ca="1" si="1739">($M123=CG123)*$D$14</f>
        <v>0</v>
      </c>
      <c r="CI123" s="57"/>
      <c r="CJ123" s="67"/>
      <c r="CK123" s="66">
        <f t="shared" ref="CK123" ca="1" si="1740">($M123=CJ123)*$D$14</f>
        <v>0</v>
      </c>
      <c r="CL123" s="57"/>
      <c r="CM123" s="67"/>
      <c r="CN123" s="66">
        <f t="shared" ref="CN123" ca="1" si="1741">($M123=CM123)*$D$14</f>
        <v>0</v>
      </c>
      <c r="CO123" s="57"/>
      <c r="CP123" s="67"/>
      <c r="CQ123" s="66">
        <f t="shared" ref="CQ123" ca="1" si="1742">($M123=CP123)*$D$14</f>
        <v>0</v>
      </c>
      <c r="CR123" s="57"/>
      <c r="CS123" s="67"/>
      <c r="CT123" s="66">
        <f t="shared" ref="CT123" ca="1" si="1743">($M123=CS123)*$D$14</f>
        <v>0</v>
      </c>
      <c r="CU123" s="57"/>
      <c r="CV123" s="67"/>
      <c r="CW123" s="66">
        <f t="shared" ref="CW123" ca="1" si="1744">($M123=CV123)*$D$14</f>
        <v>0</v>
      </c>
      <c r="CX123" s="57"/>
      <c r="CY123" s="67"/>
      <c r="CZ123" s="66">
        <f t="shared" ref="CZ123" ca="1" si="1745">($M123=CY123)*$D$14</f>
        <v>0</v>
      </c>
      <c r="DA123" s="57"/>
      <c r="DB123" s="67"/>
      <c r="DC123" s="66">
        <f t="shared" ref="DC123" ca="1" si="1746">($M123=DB123)*$D$14</f>
        <v>0</v>
      </c>
      <c r="DD123" s="57"/>
      <c r="DE123" s="67"/>
      <c r="DF123" s="66">
        <f t="shared" ref="DF123" ca="1" si="1747">($M123=DE123)*$D$14</f>
        <v>0</v>
      </c>
      <c r="DG123" s="57"/>
      <c r="DH123" s="67"/>
      <c r="DI123" s="66">
        <f t="shared" ref="DI123" ca="1" si="1748">($M123=DH123)*$D$14</f>
        <v>0</v>
      </c>
      <c r="DJ123" s="57"/>
      <c r="DK123" s="67"/>
      <c r="DL123" s="66">
        <f t="shared" ref="DL123" ca="1" si="1749">($M123=DK123)*$D$14</f>
        <v>0</v>
      </c>
      <c r="DM123" s="57"/>
      <c r="DN123" s="67"/>
      <c r="DO123" s="66">
        <f t="shared" ref="DO123" ca="1" si="1750">($M123=DN123)*$D$14</f>
        <v>0</v>
      </c>
      <c r="DP123" s="57"/>
      <c r="DQ123" s="67"/>
      <c r="DR123" s="66">
        <f t="shared" ref="DR123" ca="1" si="1751">($M123=DQ123)*$D$14</f>
        <v>0</v>
      </c>
      <c r="DS123" s="57"/>
      <c r="DT123" s="67"/>
      <c r="DU123" s="66">
        <f t="shared" ref="DU123" ca="1" si="1752">($M123=DT123)*$D$14</f>
        <v>0</v>
      </c>
      <c r="DV123" s="57"/>
      <c r="DW123" s="67"/>
      <c r="DX123" s="66">
        <f t="shared" ref="DX123" ca="1" si="1753">($M123=DW123)*$D$14</f>
        <v>0</v>
      </c>
      <c r="DY123" s="57"/>
      <c r="DZ123" s="67"/>
      <c r="EA123" s="66">
        <f t="shared" ref="EA123" ca="1" si="1754">($M123=DZ123)*$D$14</f>
        <v>0</v>
      </c>
      <c r="EB123" s="57"/>
      <c r="EC123" s="67"/>
      <c r="ED123" s="66">
        <f t="shared" ref="ED123" ca="1" si="1755">($M123=EC123)*$D$14</f>
        <v>0</v>
      </c>
      <c r="EE123" s="57"/>
      <c r="EF123" s="67"/>
      <c r="EG123" s="66">
        <f t="shared" ref="EG123" ca="1" si="1756">($M123=EF123)*$D$14</f>
        <v>0</v>
      </c>
      <c r="EH123" s="57"/>
      <c r="EI123" s="57"/>
    </row>
    <row r="124" spans="1:139">
      <c r="A124" s="43"/>
      <c r="B124" s="43"/>
      <c r="C124" s="43"/>
      <c r="D124" s="43"/>
      <c r="E124" s="43"/>
      <c r="F124" s="712">
        <f t="shared" ref="F124" si="1757">$D$11</f>
        <v>5</v>
      </c>
      <c r="G124" s="713">
        <f ca="1">VLOOKUP(H124,Equipos!$Q$1:$R$25,2,0)</f>
        <v>18</v>
      </c>
      <c r="H124" s="774">
        <f ca="1">$H$76</f>
        <v>46201</v>
      </c>
      <c r="I124" s="44"/>
      <c r="J124" s="861" t="s">
        <v>238</v>
      </c>
      <c r="K124" s="49" t="str">
        <f>Idiomas!D194</f>
        <v>1º GRUPO L</v>
      </c>
      <c r="L124" s="46"/>
      <c r="M124" s="48" t="str">
        <f ca="1">IF(OR(SUM(WORLDCUP!$AN$94:$AN$97)=12,WORLDCUP!$AJ$99=144),WORLDCUP!AL94,LEFT(K124,1)&amp;RIGHT(K124,1))</f>
        <v>1L</v>
      </c>
      <c r="N124" s="711"/>
      <c r="O124" s="711"/>
      <c r="P124" s="711"/>
      <c r="Q124" s="711"/>
      <c r="R124" s="102"/>
      <c r="S124" s="67" t="s">
        <v>76</v>
      </c>
      <c r="T124" s="66">
        <f t="shared" ref="T124" ca="1" si="1758">($M124=S124)*$D$11</f>
        <v>0</v>
      </c>
      <c r="U124" s="57"/>
      <c r="V124" s="67" t="s">
        <v>76</v>
      </c>
      <c r="W124" s="66">
        <f t="shared" ref="W124" ca="1" si="1759">($M124=V124)*$D$11</f>
        <v>0</v>
      </c>
      <c r="X124" s="57"/>
      <c r="Y124" s="67" t="s">
        <v>76</v>
      </c>
      <c r="Z124" s="66">
        <f t="shared" ref="Z124" ca="1" si="1760">($M124=Y124)*$D$11</f>
        <v>0</v>
      </c>
      <c r="AA124" s="57"/>
      <c r="AB124" s="67" t="s">
        <v>78</v>
      </c>
      <c r="AC124" s="66">
        <f t="shared" ref="AC124" ca="1" si="1761">($M124=AB124)*$D$11</f>
        <v>0</v>
      </c>
      <c r="AD124" s="57"/>
      <c r="AE124" s="67" t="s">
        <v>76</v>
      </c>
      <c r="AF124" s="66">
        <f t="shared" ref="AF124" ca="1" si="1762">($M124=AE124)*$D$11</f>
        <v>0</v>
      </c>
      <c r="AG124" s="57"/>
      <c r="AH124" s="67" t="s">
        <v>76</v>
      </c>
      <c r="AI124" s="66">
        <f t="shared" ref="AI124" ca="1" si="1763">($M124=AH124)*$D$11</f>
        <v>0</v>
      </c>
      <c r="AJ124" s="57"/>
      <c r="AK124" s="67" t="s">
        <v>76</v>
      </c>
      <c r="AL124" s="66">
        <f t="shared" ref="AL124" ca="1" si="1764">($M124=AK124)*$D$11</f>
        <v>0</v>
      </c>
      <c r="AM124" s="57"/>
      <c r="AN124" s="67" t="s">
        <v>76</v>
      </c>
      <c r="AO124" s="66">
        <f t="shared" ref="AO124" ca="1" si="1765">($M124=AN124)*$D$11</f>
        <v>0</v>
      </c>
      <c r="AP124" s="57"/>
      <c r="AQ124" s="67" t="s">
        <v>76</v>
      </c>
      <c r="AR124" s="66">
        <f t="shared" ref="AR124" ca="1" si="1766">($M124=AQ124)*$D$11</f>
        <v>0</v>
      </c>
      <c r="AS124" s="57"/>
      <c r="AT124" s="67" t="s">
        <v>76</v>
      </c>
      <c r="AU124" s="66">
        <f t="shared" ref="AU124" ca="1" si="1767">($M124=AT124)*$D$11</f>
        <v>0</v>
      </c>
      <c r="AV124" s="57"/>
      <c r="AW124" s="67" t="s">
        <v>76</v>
      </c>
      <c r="AX124" s="66">
        <f t="shared" ref="AX124" ca="1" si="1768">($M124=AW124)*$D$11</f>
        <v>0</v>
      </c>
      <c r="AY124" s="57"/>
      <c r="AZ124" s="67" t="s">
        <v>76</v>
      </c>
      <c r="BA124" s="66">
        <f t="shared" ref="BA124" ca="1" si="1769">($M124=AZ124)*$D$11</f>
        <v>0</v>
      </c>
      <c r="BB124" s="57"/>
      <c r="BC124" s="67" t="s">
        <v>1546</v>
      </c>
      <c r="BD124" s="66">
        <f t="shared" ref="BD124" ca="1" si="1770">($M124=BC124)*$D$11</f>
        <v>0</v>
      </c>
      <c r="BE124" s="57"/>
      <c r="BF124" s="67" t="s">
        <v>76</v>
      </c>
      <c r="BG124" s="66">
        <f t="shared" ref="BG124" ca="1" si="1771">($M124=BF124)*$D$11</f>
        <v>0</v>
      </c>
      <c r="BH124" s="57"/>
      <c r="BI124" s="67" t="s">
        <v>76</v>
      </c>
      <c r="BJ124" s="66">
        <f t="shared" ref="BJ124" ca="1" si="1772">($M124=BI124)*$D$11</f>
        <v>0</v>
      </c>
      <c r="BK124" s="57"/>
      <c r="BL124" s="67" t="s">
        <v>76</v>
      </c>
      <c r="BM124" s="66">
        <f t="shared" ref="BM124" ca="1" si="1773">($M124=BL124)*$D$11</f>
        <v>0</v>
      </c>
      <c r="BN124" s="57"/>
      <c r="BO124" s="67" t="s">
        <v>76</v>
      </c>
      <c r="BP124" s="66">
        <f t="shared" ref="BP124" ca="1" si="1774">($M124=BO124)*$D$11</f>
        <v>0</v>
      </c>
      <c r="BQ124" s="57"/>
      <c r="BR124" s="67" t="s">
        <v>76</v>
      </c>
      <c r="BS124" s="66">
        <f t="shared" ref="BS124" ca="1" si="1775">($M124=BR124)*$D$11</f>
        <v>0</v>
      </c>
      <c r="BT124" s="57"/>
      <c r="BU124" s="67"/>
      <c r="BV124" s="66">
        <f t="shared" ref="BV124" ca="1" si="1776">($M124=BU124)*$D$11</f>
        <v>0</v>
      </c>
      <c r="BW124" s="57"/>
      <c r="BX124" s="67"/>
      <c r="BY124" s="66">
        <f t="shared" ref="BY124" ca="1" si="1777">($M124=BX124)*$D$11</f>
        <v>0</v>
      </c>
      <c r="BZ124" s="57"/>
      <c r="CA124" s="67"/>
      <c r="CB124" s="66">
        <f t="shared" ref="CB124" ca="1" si="1778">($M124=CA124)*$D$11</f>
        <v>0</v>
      </c>
      <c r="CC124" s="57"/>
      <c r="CD124" s="67"/>
      <c r="CE124" s="66">
        <f t="shared" ref="CE124" ca="1" si="1779">($M124=CD124)*$D$11</f>
        <v>0</v>
      </c>
      <c r="CF124" s="57"/>
      <c r="CG124" s="67"/>
      <c r="CH124" s="66">
        <f t="shared" ref="CH124" ca="1" si="1780">($M124=CG124)*$D$11</f>
        <v>0</v>
      </c>
      <c r="CI124" s="57"/>
      <c r="CJ124" s="67"/>
      <c r="CK124" s="66">
        <f t="shared" ref="CK124" ca="1" si="1781">($M124=CJ124)*$D$11</f>
        <v>0</v>
      </c>
      <c r="CL124" s="57"/>
      <c r="CM124" s="67"/>
      <c r="CN124" s="66">
        <f t="shared" ref="CN124" ca="1" si="1782">($M124=CM124)*$D$11</f>
        <v>0</v>
      </c>
      <c r="CO124" s="57"/>
      <c r="CP124" s="67"/>
      <c r="CQ124" s="66">
        <f t="shared" ref="CQ124" ca="1" si="1783">($M124=CP124)*$D$11</f>
        <v>0</v>
      </c>
      <c r="CR124" s="57"/>
      <c r="CS124" s="67"/>
      <c r="CT124" s="66">
        <f t="shared" ref="CT124" ca="1" si="1784">($M124=CS124)*$D$11</f>
        <v>0</v>
      </c>
      <c r="CU124" s="57"/>
      <c r="CV124" s="67"/>
      <c r="CW124" s="66">
        <f t="shared" ref="CW124" ca="1" si="1785">($M124=CV124)*$D$11</f>
        <v>0</v>
      </c>
      <c r="CX124" s="57"/>
      <c r="CY124" s="67"/>
      <c r="CZ124" s="66">
        <f t="shared" ref="CZ124" ca="1" si="1786">($M124=CY124)*$D$11</f>
        <v>0</v>
      </c>
      <c r="DA124" s="57"/>
      <c r="DB124" s="67"/>
      <c r="DC124" s="66">
        <f t="shared" ref="DC124" ca="1" si="1787">($M124=DB124)*$D$11</f>
        <v>0</v>
      </c>
      <c r="DD124" s="57"/>
      <c r="DE124" s="67"/>
      <c r="DF124" s="66">
        <f t="shared" ref="DF124" ca="1" si="1788">($M124=DE124)*$D$11</f>
        <v>0</v>
      </c>
      <c r="DG124" s="57"/>
      <c r="DH124" s="67"/>
      <c r="DI124" s="66">
        <f t="shared" ref="DI124" ca="1" si="1789">($M124=DH124)*$D$11</f>
        <v>0</v>
      </c>
      <c r="DJ124" s="57"/>
      <c r="DK124" s="67"/>
      <c r="DL124" s="66">
        <f t="shared" ref="DL124" ca="1" si="1790">($M124=DK124)*$D$11</f>
        <v>0</v>
      </c>
      <c r="DM124" s="57"/>
      <c r="DN124" s="67"/>
      <c r="DO124" s="66">
        <f t="shared" ref="DO124" ca="1" si="1791">($M124=DN124)*$D$11</f>
        <v>0</v>
      </c>
      <c r="DP124" s="57"/>
      <c r="DQ124" s="67"/>
      <c r="DR124" s="66">
        <f t="shared" ref="DR124" ca="1" si="1792">($M124=DQ124)*$D$11</f>
        <v>0</v>
      </c>
      <c r="DS124" s="57"/>
      <c r="DT124" s="67"/>
      <c r="DU124" s="66">
        <f t="shared" ref="DU124" ca="1" si="1793">($M124=DT124)*$D$11</f>
        <v>0</v>
      </c>
      <c r="DV124" s="57"/>
      <c r="DW124" s="67"/>
      <c r="DX124" s="66">
        <f t="shared" ref="DX124" ca="1" si="1794">($M124=DW124)*$D$11</f>
        <v>0</v>
      </c>
      <c r="DY124" s="57"/>
      <c r="DZ124" s="67"/>
      <c r="EA124" s="66">
        <f t="shared" ref="EA124" ca="1" si="1795">($M124=DZ124)*$D$11</f>
        <v>0</v>
      </c>
      <c r="EB124" s="57"/>
      <c r="EC124" s="67"/>
      <c r="ED124" s="66">
        <f t="shared" ref="ED124" ca="1" si="1796">($M124=EC124)*$D$11</f>
        <v>0</v>
      </c>
      <c r="EE124" s="57"/>
      <c r="EF124" s="67"/>
      <c r="EG124" s="66">
        <f t="shared" ref="EG124" ca="1" si="1797">($M124=EF124)*$D$11</f>
        <v>0</v>
      </c>
      <c r="EH124" s="57"/>
      <c r="EI124" s="57"/>
    </row>
    <row r="125" spans="1:139">
      <c r="A125" s="43"/>
      <c r="B125" s="43"/>
      <c r="C125" s="43"/>
      <c r="D125" s="43"/>
      <c r="E125" s="43"/>
      <c r="F125" s="712">
        <f t="shared" ref="F125" si="1798">$D$12</f>
        <v>5</v>
      </c>
      <c r="G125" s="713">
        <f ca="1">VLOOKUP(H125,Equipos!$Q$1:$R$25,2,0)</f>
        <v>18</v>
      </c>
      <c r="H125" s="774">
        <f ca="1">$H$76</f>
        <v>46201</v>
      </c>
      <c r="I125" s="44"/>
      <c r="J125" s="861"/>
      <c r="K125" s="49" t="str">
        <f>Idiomas!D195</f>
        <v>2º GRUPO L</v>
      </c>
      <c r="L125" s="46"/>
      <c r="M125" s="48" t="str">
        <f ca="1">IF(OR(SUM(WORLDCUP!$AN$94:$AN$97)=12,WORLDCUP!$AJ$99=144),WORLDCUP!AL95,LEFT(K125,1)&amp;RIGHT(K125,1))</f>
        <v>2L</v>
      </c>
      <c r="N125" s="711"/>
      <c r="O125" s="711"/>
      <c r="P125" s="711"/>
      <c r="Q125" s="711"/>
      <c r="R125" s="102"/>
      <c r="S125" s="67" t="s">
        <v>78</v>
      </c>
      <c r="T125" s="66">
        <f t="shared" ref="T125" ca="1" si="1799">($M125=S125)*$D$12</f>
        <v>0</v>
      </c>
      <c r="U125" s="57"/>
      <c r="V125" s="67" t="s">
        <v>78</v>
      </c>
      <c r="W125" s="66">
        <f t="shared" ref="W125" ca="1" si="1800">($M125=V125)*$D$12</f>
        <v>0</v>
      </c>
      <c r="X125" s="57"/>
      <c r="Y125" s="67" t="s">
        <v>78</v>
      </c>
      <c r="Z125" s="66">
        <f t="shared" ref="Z125" ca="1" si="1801">($M125=Y125)*$D$12</f>
        <v>0</v>
      </c>
      <c r="AA125" s="57"/>
      <c r="AB125" s="67" t="s">
        <v>76</v>
      </c>
      <c r="AC125" s="66">
        <f t="shared" ref="AC125" ca="1" si="1802">($M125=AB125)*$D$12</f>
        <v>0</v>
      </c>
      <c r="AD125" s="57"/>
      <c r="AE125" s="67" t="s">
        <v>78</v>
      </c>
      <c r="AF125" s="66">
        <f t="shared" ref="AF125" ca="1" si="1803">($M125=AE125)*$D$12</f>
        <v>0</v>
      </c>
      <c r="AG125" s="57"/>
      <c r="AH125" s="67" t="s">
        <v>78</v>
      </c>
      <c r="AI125" s="66">
        <f t="shared" ref="AI125" ca="1" si="1804">($M125=AH125)*$D$12</f>
        <v>0</v>
      </c>
      <c r="AJ125" s="57"/>
      <c r="AK125" s="67" t="s">
        <v>78</v>
      </c>
      <c r="AL125" s="66">
        <f t="shared" ref="AL125" ca="1" si="1805">($M125=AK125)*$D$12</f>
        <v>0</v>
      </c>
      <c r="AM125" s="57"/>
      <c r="AN125" s="67" t="s">
        <v>78</v>
      </c>
      <c r="AO125" s="66">
        <f t="shared" ref="AO125" ca="1" si="1806">($M125=AN125)*$D$12</f>
        <v>0</v>
      </c>
      <c r="AP125" s="57"/>
      <c r="AQ125" s="67" t="s">
        <v>78</v>
      </c>
      <c r="AR125" s="66">
        <f t="shared" ref="AR125" ca="1" si="1807">($M125=AQ125)*$D$12</f>
        <v>0</v>
      </c>
      <c r="AS125" s="57"/>
      <c r="AT125" s="67" t="s">
        <v>78</v>
      </c>
      <c r="AU125" s="66">
        <f t="shared" ref="AU125" ca="1" si="1808">($M125=AT125)*$D$12</f>
        <v>0</v>
      </c>
      <c r="AV125" s="57"/>
      <c r="AW125" s="67" t="s">
        <v>78</v>
      </c>
      <c r="AX125" s="66">
        <f t="shared" ref="AX125" ca="1" si="1809">($M125=AW125)*$D$12</f>
        <v>0</v>
      </c>
      <c r="AY125" s="57"/>
      <c r="AZ125" s="67" t="s">
        <v>78</v>
      </c>
      <c r="BA125" s="66">
        <f t="shared" ref="BA125" ca="1" si="1810">($M125=AZ125)*$D$12</f>
        <v>0</v>
      </c>
      <c r="BB125" s="57"/>
      <c r="BC125" s="67" t="s">
        <v>76</v>
      </c>
      <c r="BD125" s="66">
        <f t="shared" ref="BD125" ca="1" si="1811">($M125=BC125)*$D$12</f>
        <v>0</v>
      </c>
      <c r="BE125" s="57"/>
      <c r="BF125" s="67" t="s">
        <v>1725</v>
      </c>
      <c r="BG125" s="66">
        <f t="shared" ref="BG125" ca="1" si="1812">($M125=BF125)*$D$12</f>
        <v>0</v>
      </c>
      <c r="BH125" s="57"/>
      <c r="BI125" s="67" t="s">
        <v>78</v>
      </c>
      <c r="BJ125" s="66">
        <f t="shared" ref="BJ125" ca="1" si="1813">($M125=BI125)*$D$12</f>
        <v>0</v>
      </c>
      <c r="BK125" s="57"/>
      <c r="BL125" s="67" t="s">
        <v>78</v>
      </c>
      <c r="BM125" s="66">
        <f t="shared" ref="BM125" ca="1" si="1814">($M125=BL125)*$D$12</f>
        <v>0</v>
      </c>
      <c r="BN125" s="57"/>
      <c r="BO125" s="67" t="s">
        <v>1546</v>
      </c>
      <c r="BP125" s="66">
        <f t="shared" ref="BP125" ca="1" si="1815">($M125=BO125)*$D$12</f>
        <v>0</v>
      </c>
      <c r="BQ125" s="57"/>
      <c r="BR125" s="67" t="s">
        <v>78</v>
      </c>
      <c r="BS125" s="66">
        <f t="shared" ref="BS125" ca="1" si="1816">($M125=BR125)*$D$12</f>
        <v>0</v>
      </c>
      <c r="BT125" s="57"/>
      <c r="BU125" s="67"/>
      <c r="BV125" s="66">
        <f t="shared" ref="BV125" ca="1" si="1817">($M125=BU125)*$D$12</f>
        <v>0</v>
      </c>
      <c r="BW125" s="57"/>
      <c r="BX125" s="67"/>
      <c r="BY125" s="66">
        <f t="shared" ref="BY125" ca="1" si="1818">($M125=BX125)*$D$12</f>
        <v>0</v>
      </c>
      <c r="BZ125" s="57"/>
      <c r="CA125" s="67"/>
      <c r="CB125" s="66">
        <f t="shared" ref="CB125" ca="1" si="1819">($M125=CA125)*$D$12</f>
        <v>0</v>
      </c>
      <c r="CC125" s="57"/>
      <c r="CD125" s="67"/>
      <c r="CE125" s="66">
        <f t="shared" ref="CE125" ca="1" si="1820">($M125=CD125)*$D$12</f>
        <v>0</v>
      </c>
      <c r="CF125" s="57"/>
      <c r="CG125" s="67"/>
      <c r="CH125" s="66">
        <f t="shared" ref="CH125" ca="1" si="1821">($M125=CG125)*$D$12</f>
        <v>0</v>
      </c>
      <c r="CI125" s="57"/>
      <c r="CJ125" s="67"/>
      <c r="CK125" s="66">
        <f t="shared" ref="CK125" ca="1" si="1822">($M125=CJ125)*$D$12</f>
        <v>0</v>
      </c>
      <c r="CL125" s="57"/>
      <c r="CM125" s="67"/>
      <c r="CN125" s="66">
        <f t="shared" ref="CN125" ca="1" si="1823">($M125=CM125)*$D$12</f>
        <v>0</v>
      </c>
      <c r="CO125" s="57"/>
      <c r="CP125" s="67"/>
      <c r="CQ125" s="66">
        <f t="shared" ref="CQ125" ca="1" si="1824">($M125=CP125)*$D$12</f>
        <v>0</v>
      </c>
      <c r="CR125" s="57"/>
      <c r="CS125" s="67"/>
      <c r="CT125" s="66">
        <f t="shared" ref="CT125" ca="1" si="1825">($M125=CS125)*$D$12</f>
        <v>0</v>
      </c>
      <c r="CU125" s="57"/>
      <c r="CV125" s="67"/>
      <c r="CW125" s="66">
        <f t="shared" ref="CW125" ca="1" si="1826">($M125=CV125)*$D$12</f>
        <v>0</v>
      </c>
      <c r="CX125" s="57"/>
      <c r="CY125" s="67"/>
      <c r="CZ125" s="66">
        <f t="shared" ref="CZ125" ca="1" si="1827">($M125=CY125)*$D$12</f>
        <v>0</v>
      </c>
      <c r="DA125" s="57"/>
      <c r="DB125" s="67"/>
      <c r="DC125" s="66">
        <f t="shared" ref="DC125" ca="1" si="1828">($M125=DB125)*$D$12</f>
        <v>0</v>
      </c>
      <c r="DD125" s="57"/>
      <c r="DE125" s="67"/>
      <c r="DF125" s="66">
        <f t="shared" ref="DF125" ca="1" si="1829">($M125=DE125)*$D$12</f>
        <v>0</v>
      </c>
      <c r="DG125" s="57"/>
      <c r="DH125" s="67"/>
      <c r="DI125" s="66">
        <f t="shared" ref="DI125" ca="1" si="1830">($M125=DH125)*$D$12</f>
        <v>0</v>
      </c>
      <c r="DJ125" s="57"/>
      <c r="DK125" s="67"/>
      <c r="DL125" s="66">
        <f t="shared" ref="DL125" ca="1" si="1831">($M125=DK125)*$D$12</f>
        <v>0</v>
      </c>
      <c r="DM125" s="57"/>
      <c r="DN125" s="67"/>
      <c r="DO125" s="66">
        <f t="shared" ref="DO125" ca="1" si="1832">($M125=DN125)*$D$12</f>
        <v>0</v>
      </c>
      <c r="DP125" s="57"/>
      <c r="DQ125" s="67"/>
      <c r="DR125" s="66">
        <f t="shared" ref="DR125" ca="1" si="1833">($M125=DQ125)*$D$12</f>
        <v>0</v>
      </c>
      <c r="DS125" s="57"/>
      <c r="DT125" s="67"/>
      <c r="DU125" s="66">
        <f t="shared" ref="DU125" ca="1" si="1834">($M125=DT125)*$D$12</f>
        <v>0</v>
      </c>
      <c r="DV125" s="57"/>
      <c r="DW125" s="67"/>
      <c r="DX125" s="66">
        <f t="shared" ref="DX125" ca="1" si="1835">($M125=DW125)*$D$12</f>
        <v>0</v>
      </c>
      <c r="DY125" s="57"/>
      <c r="DZ125" s="67"/>
      <c r="EA125" s="66">
        <f t="shared" ref="EA125" ca="1" si="1836">($M125=DZ125)*$D$12</f>
        <v>0</v>
      </c>
      <c r="EB125" s="57"/>
      <c r="EC125" s="67"/>
      <c r="ED125" s="66">
        <f t="shared" ref="ED125" ca="1" si="1837">($M125=EC125)*$D$12</f>
        <v>0</v>
      </c>
      <c r="EE125" s="57"/>
      <c r="EF125" s="67"/>
      <c r="EG125" s="66">
        <f t="shared" ref="EG125" ca="1" si="1838">($M125=EF125)*$D$12</f>
        <v>0</v>
      </c>
      <c r="EH125" s="57"/>
      <c r="EI125" s="57"/>
    </row>
    <row r="126" spans="1:139">
      <c r="A126" s="43"/>
      <c r="B126" s="43"/>
      <c r="C126" s="43"/>
      <c r="D126" s="43"/>
      <c r="E126" s="43"/>
      <c r="F126" s="712">
        <f t="shared" ref="F126" si="1839">$D$13</f>
        <v>5</v>
      </c>
      <c r="G126" s="713">
        <f ca="1">VLOOKUP(H126,Equipos!$Q$1:$R$25,2,0)</f>
        <v>18</v>
      </c>
      <c r="H126" s="774">
        <f ca="1">$H$76</f>
        <v>46201</v>
      </c>
      <c r="I126" s="44"/>
      <c r="J126" s="861"/>
      <c r="K126" s="49" t="str">
        <f>Idiomas!D196</f>
        <v>3º GRUPO L</v>
      </c>
      <c r="L126" s="46"/>
      <c r="M126" s="48" t="str">
        <f ca="1">IF(OR(SUM(WORLDCUP!$AN$94:$AN$97)=12,WORLDCUP!$AJ$99=144),WORLDCUP!AL96,LEFT(K126,1)&amp;RIGHT(K126,1))</f>
        <v>3L</v>
      </c>
      <c r="N126" s="711"/>
      <c r="O126" s="711"/>
      <c r="P126" s="711"/>
      <c r="Q126" s="711"/>
      <c r="R126" s="102"/>
      <c r="S126" s="67" t="s">
        <v>1546</v>
      </c>
      <c r="T126" s="66">
        <f t="shared" ref="T126" ca="1" si="1840">($M126=S126)*$D$13</f>
        <v>0</v>
      </c>
      <c r="U126" s="57"/>
      <c r="V126" s="67" t="s">
        <v>1546</v>
      </c>
      <c r="W126" s="66">
        <f t="shared" ref="W126" ca="1" si="1841">($M126=V126)*$D$13</f>
        <v>0</v>
      </c>
      <c r="X126" s="57"/>
      <c r="Y126" s="67" t="s">
        <v>1546</v>
      </c>
      <c r="Z126" s="66">
        <f t="shared" ref="Z126" ca="1" si="1842">($M126=Y126)*$D$13</f>
        <v>0</v>
      </c>
      <c r="AA126" s="57"/>
      <c r="AB126" s="67" t="s">
        <v>1546</v>
      </c>
      <c r="AC126" s="66">
        <f t="shared" ref="AC126" ca="1" si="1843">($M126=AB126)*$D$13</f>
        <v>0</v>
      </c>
      <c r="AD126" s="57"/>
      <c r="AE126" s="67" t="s">
        <v>1546</v>
      </c>
      <c r="AF126" s="66">
        <f t="shared" ref="AF126" ca="1" si="1844">($M126=AE126)*$D$13</f>
        <v>0</v>
      </c>
      <c r="AG126" s="57"/>
      <c r="AH126" s="67" t="s">
        <v>1546</v>
      </c>
      <c r="AI126" s="66">
        <f t="shared" ref="AI126" ca="1" si="1845">($M126=AH126)*$D$13</f>
        <v>0</v>
      </c>
      <c r="AJ126" s="57"/>
      <c r="AK126" s="67" t="s">
        <v>1546</v>
      </c>
      <c r="AL126" s="66">
        <f t="shared" ref="AL126" ca="1" si="1846">($M126=AK126)*$D$13</f>
        <v>0</v>
      </c>
      <c r="AM126" s="57"/>
      <c r="AN126" s="67" t="s">
        <v>1546</v>
      </c>
      <c r="AO126" s="66">
        <f t="shared" ref="AO126" ca="1" si="1847">($M126=AN126)*$D$13</f>
        <v>0</v>
      </c>
      <c r="AP126" s="57"/>
      <c r="AQ126" s="67" t="s">
        <v>1546</v>
      </c>
      <c r="AR126" s="66">
        <f t="shared" ref="AR126" ca="1" si="1848">($M126=AQ126)*$D$13</f>
        <v>0</v>
      </c>
      <c r="AS126" s="57"/>
      <c r="AT126" s="67" t="s">
        <v>1546</v>
      </c>
      <c r="AU126" s="66">
        <f t="shared" ref="AU126" ca="1" si="1849">($M126=AT126)*$D$13</f>
        <v>0</v>
      </c>
      <c r="AV126" s="57"/>
      <c r="AW126" s="67" t="s">
        <v>1546</v>
      </c>
      <c r="AX126" s="66">
        <f t="shared" ref="AX126" ca="1" si="1850">($M126=AW126)*$D$13</f>
        <v>0</v>
      </c>
      <c r="AY126" s="57"/>
      <c r="AZ126" s="67" t="s">
        <v>1546</v>
      </c>
      <c r="BA126" s="66">
        <f t="shared" ref="BA126" ca="1" si="1851">($M126=AZ126)*$D$13</f>
        <v>0</v>
      </c>
      <c r="BB126" s="57"/>
      <c r="BC126" s="67" t="s">
        <v>78</v>
      </c>
      <c r="BD126" s="66">
        <f t="shared" ref="BD126" ca="1" si="1852">($M126=BC126)*$D$13</f>
        <v>0</v>
      </c>
      <c r="BE126" s="57"/>
      <c r="BF126" s="67" t="s">
        <v>78</v>
      </c>
      <c r="BG126" s="66">
        <f t="shared" ref="BG126" ca="1" si="1853">($M126=BF126)*$D$13</f>
        <v>0</v>
      </c>
      <c r="BH126" s="57"/>
      <c r="BI126" s="67" t="s">
        <v>1546</v>
      </c>
      <c r="BJ126" s="66">
        <f t="shared" ref="BJ126" ca="1" si="1854">($M126=BI126)*$D$13</f>
        <v>0</v>
      </c>
      <c r="BK126" s="57"/>
      <c r="BL126" s="67" t="s">
        <v>1546</v>
      </c>
      <c r="BM126" s="66">
        <f t="shared" ref="BM126" ca="1" si="1855">($M126=BL126)*$D$13</f>
        <v>0</v>
      </c>
      <c r="BN126" s="57"/>
      <c r="BO126" s="67" t="s">
        <v>78</v>
      </c>
      <c r="BP126" s="66">
        <f t="shared" ref="BP126" ca="1" si="1856">($M126=BO126)*$D$13</f>
        <v>0</v>
      </c>
      <c r="BQ126" s="57"/>
      <c r="BR126" s="67" t="s">
        <v>1546</v>
      </c>
      <c r="BS126" s="66">
        <f t="shared" ref="BS126" ca="1" si="1857">($M126=BR126)*$D$13</f>
        <v>0</v>
      </c>
      <c r="BT126" s="57"/>
      <c r="BU126" s="67"/>
      <c r="BV126" s="66">
        <f t="shared" ref="BV126" ca="1" si="1858">($M126=BU126)*$D$13</f>
        <v>0</v>
      </c>
      <c r="BW126" s="57"/>
      <c r="BX126" s="67"/>
      <c r="BY126" s="66">
        <f t="shared" ref="BY126" ca="1" si="1859">($M126=BX126)*$D$13</f>
        <v>0</v>
      </c>
      <c r="BZ126" s="57"/>
      <c r="CA126" s="67"/>
      <c r="CB126" s="66">
        <f t="shared" ref="CB126" ca="1" si="1860">($M126=CA126)*$D$13</f>
        <v>0</v>
      </c>
      <c r="CC126" s="57"/>
      <c r="CD126" s="67"/>
      <c r="CE126" s="66">
        <f t="shared" ref="CE126" ca="1" si="1861">($M126=CD126)*$D$13</f>
        <v>0</v>
      </c>
      <c r="CF126" s="57"/>
      <c r="CG126" s="67"/>
      <c r="CH126" s="66">
        <f t="shared" ref="CH126" ca="1" si="1862">($M126=CG126)*$D$13</f>
        <v>0</v>
      </c>
      <c r="CI126" s="57"/>
      <c r="CJ126" s="67"/>
      <c r="CK126" s="66">
        <f t="shared" ref="CK126" ca="1" si="1863">($M126=CJ126)*$D$13</f>
        <v>0</v>
      </c>
      <c r="CL126" s="57"/>
      <c r="CM126" s="67"/>
      <c r="CN126" s="66">
        <f t="shared" ref="CN126" ca="1" si="1864">($M126=CM126)*$D$13</f>
        <v>0</v>
      </c>
      <c r="CO126" s="57"/>
      <c r="CP126" s="67"/>
      <c r="CQ126" s="66">
        <f t="shared" ref="CQ126" ca="1" si="1865">($M126=CP126)*$D$13</f>
        <v>0</v>
      </c>
      <c r="CR126" s="57"/>
      <c r="CS126" s="67"/>
      <c r="CT126" s="66">
        <f t="shared" ref="CT126" ca="1" si="1866">($M126=CS126)*$D$13</f>
        <v>0</v>
      </c>
      <c r="CU126" s="57"/>
      <c r="CV126" s="67"/>
      <c r="CW126" s="66">
        <f t="shared" ref="CW126" ca="1" si="1867">($M126=CV126)*$D$13</f>
        <v>0</v>
      </c>
      <c r="CX126" s="57"/>
      <c r="CY126" s="67"/>
      <c r="CZ126" s="66">
        <f t="shared" ref="CZ126" ca="1" si="1868">($M126=CY126)*$D$13</f>
        <v>0</v>
      </c>
      <c r="DA126" s="57"/>
      <c r="DB126" s="67"/>
      <c r="DC126" s="66">
        <f t="shared" ref="DC126" ca="1" si="1869">($M126=DB126)*$D$13</f>
        <v>0</v>
      </c>
      <c r="DD126" s="57"/>
      <c r="DE126" s="67"/>
      <c r="DF126" s="66">
        <f t="shared" ref="DF126" ca="1" si="1870">($M126=DE126)*$D$13</f>
        <v>0</v>
      </c>
      <c r="DG126" s="57"/>
      <c r="DH126" s="67"/>
      <c r="DI126" s="66">
        <f t="shared" ref="DI126" ca="1" si="1871">($M126=DH126)*$D$13</f>
        <v>0</v>
      </c>
      <c r="DJ126" s="57"/>
      <c r="DK126" s="67"/>
      <c r="DL126" s="66">
        <f t="shared" ref="DL126" ca="1" si="1872">($M126=DK126)*$D$13</f>
        <v>0</v>
      </c>
      <c r="DM126" s="57"/>
      <c r="DN126" s="67"/>
      <c r="DO126" s="66">
        <f t="shared" ref="DO126" ca="1" si="1873">($M126=DN126)*$D$13</f>
        <v>0</v>
      </c>
      <c r="DP126" s="57"/>
      <c r="DQ126" s="67"/>
      <c r="DR126" s="66">
        <f t="shared" ref="DR126" ca="1" si="1874">($M126=DQ126)*$D$13</f>
        <v>0</v>
      </c>
      <c r="DS126" s="57"/>
      <c r="DT126" s="67"/>
      <c r="DU126" s="66">
        <f t="shared" ref="DU126" ca="1" si="1875">($M126=DT126)*$D$13</f>
        <v>0</v>
      </c>
      <c r="DV126" s="57"/>
      <c r="DW126" s="67"/>
      <c r="DX126" s="66">
        <f t="shared" ref="DX126" ca="1" si="1876">($M126=DW126)*$D$13</f>
        <v>0</v>
      </c>
      <c r="DY126" s="57"/>
      <c r="DZ126" s="67"/>
      <c r="EA126" s="66">
        <f t="shared" ref="EA126" ca="1" si="1877">($M126=DZ126)*$D$13</f>
        <v>0</v>
      </c>
      <c r="EB126" s="57"/>
      <c r="EC126" s="67"/>
      <c r="ED126" s="66">
        <f t="shared" ref="ED126" ca="1" si="1878">($M126=EC126)*$D$13</f>
        <v>0</v>
      </c>
      <c r="EE126" s="57"/>
      <c r="EF126" s="67"/>
      <c r="EG126" s="66">
        <f t="shared" ref="EG126" ca="1" si="1879">($M126=EF126)*$D$13</f>
        <v>0</v>
      </c>
      <c r="EH126" s="57"/>
      <c r="EI126" s="57"/>
    </row>
    <row r="127" spans="1:139">
      <c r="A127" s="43"/>
      <c r="B127" s="43"/>
      <c r="C127" s="43"/>
      <c r="D127" s="43"/>
      <c r="E127" s="43"/>
      <c r="F127" s="712">
        <f t="shared" ref="F127" si="1880">$D$14</f>
        <v>5</v>
      </c>
      <c r="G127" s="713">
        <f ca="1">VLOOKUP(H127,Equipos!$Q$1:$R$25,2,0)</f>
        <v>18</v>
      </c>
      <c r="H127" s="774">
        <f ca="1">$H$76</f>
        <v>46201</v>
      </c>
      <c r="I127" s="44"/>
      <c r="J127" s="861"/>
      <c r="K127" s="107" t="str">
        <f>Idiomas!D197</f>
        <v>4º GRUPO L</v>
      </c>
      <c r="L127" s="107"/>
      <c r="M127" s="108" t="str">
        <f ca="1">IF(OR(SUM(WORLDCUP!$AN$94:$AN$97)=12,WORLDCUP!$AJ$99=144),WORLDCUP!AL97,LEFT(K127,1)&amp;RIGHT(K127,1))</f>
        <v>4L</v>
      </c>
      <c r="N127" s="711"/>
      <c r="O127" s="711"/>
      <c r="P127" s="711"/>
      <c r="Q127" s="711"/>
      <c r="R127" s="102"/>
      <c r="S127" s="73" t="s">
        <v>1725</v>
      </c>
      <c r="T127" s="74">
        <f t="shared" ref="T127" ca="1" si="1881">($M127=S127)*$D$14</f>
        <v>0</v>
      </c>
      <c r="U127" s="57"/>
      <c r="V127" s="73" t="s">
        <v>1725</v>
      </c>
      <c r="W127" s="74">
        <f t="shared" ref="W127" ca="1" si="1882">($M127=V127)*$D$14</f>
        <v>0</v>
      </c>
      <c r="X127" s="57"/>
      <c r="Y127" s="73" t="s">
        <v>1725</v>
      </c>
      <c r="Z127" s="74">
        <f t="shared" ref="Z127" ca="1" si="1883">($M127=Y127)*$D$14</f>
        <v>0</v>
      </c>
      <c r="AA127" s="57"/>
      <c r="AB127" s="73" t="s">
        <v>1725</v>
      </c>
      <c r="AC127" s="74">
        <f t="shared" ref="AC127" ca="1" si="1884">($M127=AB127)*$D$14</f>
        <v>0</v>
      </c>
      <c r="AD127" s="57"/>
      <c r="AE127" s="73" t="s">
        <v>1725</v>
      </c>
      <c r="AF127" s="74">
        <f t="shared" ref="AF127" ca="1" si="1885">($M127=AE127)*$D$14</f>
        <v>0</v>
      </c>
      <c r="AG127" s="57"/>
      <c r="AH127" s="73" t="s">
        <v>1725</v>
      </c>
      <c r="AI127" s="74">
        <f t="shared" ref="AI127" ca="1" si="1886">($M127=AH127)*$D$14</f>
        <v>0</v>
      </c>
      <c r="AJ127" s="57"/>
      <c r="AK127" s="73" t="s">
        <v>1725</v>
      </c>
      <c r="AL127" s="74">
        <f t="shared" ref="AL127" ca="1" si="1887">($M127=AK127)*$D$14</f>
        <v>0</v>
      </c>
      <c r="AM127" s="57"/>
      <c r="AN127" s="73" t="s">
        <v>1725</v>
      </c>
      <c r="AO127" s="74">
        <f t="shared" ref="AO127" ca="1" si="1888">($M127=AN127)*$D$14</f>
        <v>0</v>
      </c>
      <c r="AP127" s="57"/>
      <c r="AQ127" s="73" t="s">
        <v>1725</v>
      </c>
      <c r="AR127" s="74">
        <f t="shared" ref="AR127" ca="1" si="1889">($M127=AQ127)*$D$14</f>
        <v>0</v>
      </c>
      <c r="AS127" s="57"/>
      <c r="AT127" s="73" t="s">
        <v>1725</v>
      </c>
      <c r="AU127" s="74">
        <f t="shared" ref="AU127" ca="1" si="1890">($M127=AT127)*$D$14</f>
        <v>0</v>
      </c>
      <c r="AV127" s="57"/>
      <c r="AW127" s="73" t="s">
        <v>1725</v>
      </c>
      <c r="AX127" s="74">
        <f t="shared" ref="AX127" ca="1" si="1891">($M127=AW127)*$D$14</f>
        <v>0</v>
      </c>
      <c r="AY127" s="57"/>
      <c r="AZ127" s="73" t="s">
        <v>1725</v>
      </c>
      <c r="BA127" s="74">
        <f t="shared" ref="BA127" ca="1" si="1892">($M127=AZ127)*$D$14</f>
        <v>0</v>
      </c>
      <c r="BB127" s="57"/>
      <c r="BC127" s="73" t="s">
        <v>1725</v>
      </c>
      <c r="BD127" s="74">
        <f t="shared" ref="BD127" ca="1" si="1893">($M127=BC127)*$D$14</f>
        <v>0</v>
      </c>
      <c r="BE127" s="57"/>
      <c r="BF127" s="73" t="s">
        <v>1546</v>
      </c>
      <c r="BG127" s="74">
        <f t="shared" ref="BG127" ca="1" si="1894">($M127=BF127)*$D$14</f>
        <v>0</v>
      </c>
      <c r="BH127" s="57"/>
      <c r="BI127" s="73" t="s">
        <v>1725</v>
      </c>
      <c r="BJ127" s="74">
        <f t="shared" ref="BJ127" ca="1" si="1895">($M127=BI127)*$D$14</f>
        <v>0</v>
      </c>
      <c r="BK127" s="57"/>
      <c r="BL127" s="73" t="s">
        <v>1725</v>
      </c>
      <c r="BM127" s="74">
        <f t="shared" ref="BM127" ca="1" si="1896">($M127=BL127)*$D$14</f>
        <v>0</v>
      </c>
      <c r="BN127" s="57"/>
      <c r="BO127" s="73" t="s">
        <v>1725</v>
      </c>
      <c r="BP127" s="74">
        <f t="shared" ref="BP127" ca="1" si="1897">($M127=BO127)*$D$14</f>
        <v>0</v>
      </c>
      <c r="BQ127" s="57"/>
      <c r="BR127" s="73" t="s">
        <v>1725</v>
      </c>
      <c r="BS127" s="74">
        <f t="shared" ref="BS127" ca="1" si="1898">($M127=BR127)*$D$14</f>
        <v>0</v>
      </c>
      <c r="BT127" s="57"/>
      <c r="BU127" s="73"/>
      <c r="BV127" s="74">
        <f t="shared" ref="BV127" ca="1" si="1899">($M127=BU127)*$D$14</f>
        <v>0</v>
      </c>
      <c r="BW127" s="57"/>
      <c r="BX127" s="73"/>
      <c r="BY127" s="74">
        <f t="shared" ref="BY127" ca="1" si="1900">($M127=BX127)*$D$14</f>
        <v>0</v>
      </c>
      <c r="BZ127" s="57"/>
      <c r="CA127" s="73"/>
      <c r="CB127" s="74">
        <f t="shared" ref="CB127" ca="1" si="1901">($M127=CA127)*$D$14</f>
        <v>0</v>
      </c>
      <c r="CC127" s="57"/>
      <c r="CD127" s="73"/>
      <c r="CE127" s="74">
        <f t="shared" ref="CE127" ca="1" si="1902">($M127=CD127)*$D$14</f>
        <v>0</v>
      </c>
      <c r="CF127" s="57"/>
      <c r="CG127" s="73"/>
      <c r="CH127" s="74">
        <f t="shared" ref="CH127" ca="1" si="1903">($M127=CG127)*$D$14</f>
        <v>0</v>
      </c>
      <c r="CI127" s="57"/>
      <c r="CJ127" s="73"/>
      <c r="CK127" s="74">
        <f t="shared" ref="CK127" ca="1" si="1904">($M127=CJ127)*$D$14</f>
        <v>0</v>
      </c>
      <c r="CL127" s="57"/>
      <c r="CM127" s="73"/>
      <c r="CN127" s="74">
        <f t="shared" ref="CN127" ca="1" si="1905">($M127=CM127)*$D$14</f>
        <v>0</v>
      </c>
      <c r="CO127" s="57"/>
      <c r="CP127" s="73"/>
      <c r="CQ127" s="74">
        <f t="shared" ref="CQ127" ca="1" si="1906">($M127=CP127)*$D$14</f>
        <v>0</v>
      </c>
      <c r="CR127" s="57"/>
      <c r="CS127" s="73"/>
      <c r="CT127" s="74">
        <f t="shared" ref="CT127" ca="1" si="1907">($M127=CS127)*$D$14</f>
        <v>0</v>
      </c>
      <c r="CU127" s="57"/>
      <c r="CV127" s="73"/>
      <c r="CW127" s="74">
        <f t="shared" ref="CW127" ca="1" si="1908">($M127=CV127)*$D$14</f>
        <v>0</v>
      </c>
      <c r="CX127" s="57"/>
      <c r="CY127" s="73"/>
      <c r="CZ127" s="74">
        <f t="shared" ref="CZ127" ca="1" si="1909">($M127=CY127)*$D$14</f>
        <v>0</v>
      </c>
      <c r="DA127" s="57"/>
      <c r="DB127" s="73"/>
      <c r="DC127" s="74">
        <f t="shared" ref="DC127" ca="1" si="1910">($M127=DB127)*$D$14</f>
        <v>0</v>
      </c>
      <c r="DD127" s="57"/>
      <c r="DE127" s="73"/>
      <c r="DF127" s="74">
        <f t="shared" ref="DF127" ca="1" si="1911">($M127=DE127)*$D$14</f>
        <v>0</v>
      </c>
      <c r="DG127" s="57"/>
      <c r="DH127" s="73"/>
      <c r="DI127" s="74">
        <f t="shared" ref="DI127" ca="1" si="1912">($M127=DH127)*$D$14</f>
        <v>0</v>
      </c>
      <c r="DJ127" s="57"/>
      <c r="DK127" s="73"/>
      <c r="DL127" s="74">
        <f t="shared" ref="DL127" ca="1" si="1913">($M127=DK127)*$D$14</f>
        <v>0</v>
      </c>
      <c r="DM127" s="57"/>
      <c r="DN127" s="73"/>
      <c r="DO127" s="74">
        <f t="shared" ref="DO127" ca="1" si="1914">($M127=DN127)*$D$14</f>
        <v>0</v>
      </c>
      <c r="DP127" s="57"/>
      <c r="DQ127" s="73"/>
      <c r="DR127" s="74">
        <f t="shared" ref="DR127" ca="1" si="1915">($M127=DQ127)*$D$14</f>
        <v>0</v>
      </c>
      <c r="DS127" s="57"/>
      <c r="DT127" s="73"/>
      <c r="DU127" s="74">
        <f t="shared" ref="DU127" ca="1" si="1916">($M127=DT127)*$D$14</f>
        <v>0</v>
      </c>
      <c r="DV127" s="57"/>
      <c r="DW127" s="73"/>
      <c r="DX127" s="74">
        <f t="shared" ref="DX127" ca="1" si="1917">($M127=DW127)*$D$14</f>
        <v>0</v>
      </c>
      <c r="DY127" s="57"/>
      <c r="DZ127" s="73"/>
      <c r="EA127" s="74">
        <f t="shared" ref="EA127" ca="1" si="1918">($M127=DZ127)*$D$14</f>
        <v>0</v>
      </c>
      <c r="EB127" s="57"/>
      <c r="EC127" s="73"/>
      <c r="ED127" s="74">
        <f t="shared" ref="ED127" ca="1" si="1919">($M127=EC127)*$D$14</f>
        <v>0</v>
      </c>
      <c r="EE127" s="57"/>
      <c r="EF127" s="73"/>
      <c r="EG127" s="74">
        <f t="shared" ref="EG127" ca="1" si="1920">($M127=EF127)*$D$14</f>
        <v>0</v>
      </c>
      <c r="EH127" s="57"/>
      <c r="EI127" s="57"/>
    </row>
    <row r="128" spans="1:139">
      <c r="A128" s="43"/>
      <c r="B128" s="43"/>
      <c r="C128" s="800"/>
      <c r="D128" s="800"/>
      <c r="E128" s="800"/>
      <c r="F128" s="801"/>
      <c r="G128" s="802"/>
      <c r="H128" s="800"/>
      <c r="I128" s="800"/>
      <c r="J128" s="86"/>
      <c r="K128" s="416" t="str">
        <f>Idiomas!D456</f>
        <v>Pos. Grupos</v>
      </c>
      <c r="L128" s="417"/>
      <c r="M128" s="416" t="str">
        <f>"Max: "&amp;SUM($D$11:$D$14)*12</f>
        <v>Max: 240</v>
      </c>
      <c r="N128" s="711"/>
      <c r="O128" s="711"/>
      <c r="P128" s="711"/>
      <c r="Q128" s="711"/>
      <c r="R128" s="43"/>
      <c r="S128" s="77"/>
      <c r="T128" s="64">
        <f ca="1">SUM(T80:T127)</f>
        <v>0</v>
      </c>
      <c r="U128" s="58"/>
      <c r="V128" s="77"/>
      <c r="W128" s="64">
        <f ca="1">SUM(W80:W127)</f>
        <v>0</v>
      </c>
      <c r="X128" s="58"/>
      <c r="Y128" s="77"/>
      <c r="Z128" s="64">
        <f ca="1">SUM(Z80:Z127)</f>
        <v>0</v>
      </c>
      <c r="AA128" s="58"/>
      <c r="AB128" s="77"/>
      <c r="AC128" s="64">
        <f ca="1">SUM(AC80:AC127)</f>
        <v>0</v>
      </c>
      <c r="AD128" s="58"/>
      <c r="AE128" s="77"/>
      <c r="AF128" s="64">
        <f ca="1">SUM(AF80:AF127)</f>
        <v>0</v>
      </c>
      <c r="AG128" s="58"/>
      <c r="AH128" s="77"/>
      <c r="AI128" s="64">
        <f ca="1">SUM(AI80:AI127)</f>
        <v>0</v>
      </c>
      <c r="AJ128" s="58"/>
      <c r="AK128" s="77"/>
      <c r="AL128" s="64">
        <f ca="1">SUM(AL80:AL127)</f>
        <v>0</v>
      </c>
      <c r="AM128" s="58"/>
      <c r="AN128" s="77"/>
      <c r="AO128" s="64">
        <f ca="1">SUM(AO80:AO127)</f>
        <v>0</v>
      </c>
      <c r="AP128" s="58"/>
      <c r="AQ128" s="77"/>
      <c r="AR128" s="64">
        <f ca="1">SUM(AR80:AR127)</f>
        <v>0</v>
      </c>
      <c r="AS128" s="58"/>
      <c r="AT128" s="77"/>
      <c r="AU128" s="64">
        <f ca="1">SUM(AU80:AU127)</f>
        <v>0</v>
      </c>
      <c r="AV128" s="58"/>
      <c r="AW128" s="77"/>
      <c r="AX128" s="64">
        <f ca="1">SUM(AX80:AX127)</f>
        <v>0</v>
      </c>
      <c r="AY128" s="58"/>
      <c r="AZ128" s="77"/>
      <c r="BA128" s="64">
        <f ca="1">SUM(BA80:BA127)</f>
        <v>0</v>
      </c>
      <c r="BB128" s="58"/>
      <c r="BC128" s="77"/>
      <c r="BD128" s="64">
        <f ca="1">SUM(BD80:BD127)</f>
        <v>0</v>
      </c>
      <c r="BE128" s="58"/>
      <c r="BF128" s="77"/>
      <c r="BG128" s="64">
        <f ca="1">SUM(BG80:BG127)</f>
        <v>0</v>
      </c>
      <c r="BH128" s="58"/>
      <c r="BI128" s="77"/>
      <c r="BJ128" s="64">
        <f ca="1">SUM(BJ80:BJ127)</f>
        <v>0</v>
      </c>
      <c r="BK128" s="58"/>
      <c r="BL128" s="77"/>
      <c r="BM128" s="64">
        <f ca="1">SUM(BM80:BM127)</f>
        <v>0</v>
      </c>
      <c r="BN128" s="58"/>
      <c r="BO128" s="77"/>
      <c r="BP128" s="64">
        <f ca="1">SUM(BP80:BP127)</f>
        <v>0</v>
      </c>
      <c r="BQ128" s="58"/>
      <c r="BR128" s="77"/>
      <c r="BS128" s="64">
        <f ca="1">SUM(BS80:BS127)</f>
        <v>0</v>
      </c>
      <c r="BT128" s="58"/>
      <c r="BU128" s="77"/>
      <c r="BV128" s="64">
        <f ca="1">SUM(BV80:BV127)</f>
        <v>0</v>
      </c>
      <c r="BW128" s="58"/>
      <c r="BX128" s="77"/>
      <c r="BY128" s="64">
        <f ca="1">SUM(BY80:BY127)</f>
        <v>0</v>
      </c>
      <c r="BZ128" s="58"/>
      <c r="CA128" s="77"/>
      <c r="CB128" s="64">
        <f ca="1">SUM(CB80:CB127)</f>
        <v>0</v>
      </c>
      <c r="CC128" s="58"/>
      <c r="CD128" s="77"/>
      <c r="CE128" s="64">
        <f ca="1">SUM(CE80:CE127)</f>
        <v>0</v>
      </c>
      <c r="CF128" s="58"/>
      <c r="CG128" s="77"/>
      <c r="CH128" s="64">
        <f ca="1">SUM(CH80:CH127)</f>
        <v>0</v>
      </c>
      <c r="CI128" s="58"/>
      <c r="CJ128" s="77"/>
      <c r="CK128" s="64">
        <f ca="1">SUM(CK80:CK127)</f>
        <v>0</v>
      </c>
      <c r="CL128" s="58"/>
      <c r="CM128" s="77"/>
      <c r="CN128" s="64">
        <f ca="1">SUM(CN80:CN127)</f>
        <v>0</v>
      </c>
      <c r="CO128" s="58"/>
      <c r="CP128" s="77"/>
      <c r="CQ128" s="64">
        <f ca="1">SUM(CQ80:CQ127)</f>
        <v>0</v>
      </c>
      <c r="CR128" s="58"/>
      <c r="CS128" s="77"/>
      <c r="CT128" s="64">
        <f ca="1">SUM(CT80:CT127)</f>
        <v>0</v>
      </c>
      <c r="CU128" s="58"/>
      <c r="CV128" s="77"/>
      <c r="CW128" s="64">
        <f ca="1">SUM(CW80:CW127)</f>
        <v>0</v>
      </c>
      <c r="CX128" s="58"/>
      <c r="CY128" s="77"/>
      <c r="CZ128" s="64">
        <f ca="1">SUM(CZ80:CZ127)</f>
        <v>0</v>
      </c>
      <c r="DA128" s="58"/>
      <c r="DB128" s="77"/>
      <c r="DC128" s="64">
        <f ca="1">SUM(DC80:DC127)</f>
        <v>0</v>
      </c>
      <c r="DD128" s="58"/>
      <c r="DE128" s="77"/>
      <c r="DF128" s="64">
        <f ca="1">SUM(DF80:DF127)</f>
        <v>0</v>
      </c>
      <c r="DG128" s="58"/>
      <c r="DH128" s="77"/>
      <c r="DI128" s="64">
        <f ca="1">SUM(DI80:DI127)</f>
        <v>0</v>
      </c>
      <c r="DJ128" s="58"/>
      <c r="DK128" s="77"/>
      <c r="DL128" s="64">
        <f ca="1">SUM(DL80:DL127)</f>
        <v>0</v>
      </c>
      <c r="DM128" s="58"/>
      <c r="DN128" s="77"/>
      <c r="DO128" s="64">
        <f ca="1">SUM(DO80:DO127)</f>
        <v>0</v>
      </c>
      <c r="DP128" s="58"/>
      <c r="DQ128" s="77"/>
      <c r="DR128" s="64">
        <f ca="1">SUM(DR80:DR127)</f>
        <v>0</v>
      </c>
      <c r="DS128" s="58"/>
      <c r="DT128" s="77"/>
      <c r="DU128" s="64">
        <f ca="1">SUM(DU80:DU127)</f>
        <v>0</v>
      </c>
      <c r="DV128" s="58"/>
      <c r="DW128" s="77"/>
      <c r="DX128" s="64">
        <f ca="1">SUM(DX80:DX127)</f>
        <v>0</v>
      </c>
      <c r="DY128" s="58"/>
      <c r="DZ128" s="77"/>
      <c r="EA128" s="64">
        <f ca="1">SUM(EA80:EA127)</f>
        <v>0</v>
      </c>
      <c r="EB128" s="58"/>
      <c r="EC128" s="77"/>
      <c r="ED128" s="64">
        <f ca="1">SUM(ED80:ED127)</f>
        <v>0</v>
      </c>
      <c r="EE128" s="58"/>
      <c r="EF128" s="77"/>
      <c r="EG128" s="64">
        <f ca="1">SUM(EG80:EG127)</f>
        <v>0</v>
      </c>
      <c r="EH128" s="58"/>
      <c r="EI128" s="58"/>
    </row>
    <row r="129" spans="1:139">
      <c r="A129" s="43"/>
      <c r="B129" s="43"/>
      <c r="C129" s="800"/>
      <c r="D129" s="800"/>
      <c r="E129" s="800"/>
      <c r="F129" s="801"/>
      <c r="G129" s="802"/>
      <c r="H129" s="800"/>
      <c r="I129" s="800"/>
      <c r="J129" s="86"/>
      <c r="K129" s="105" t="str">
        <f>Idiomas!D137</f>
        <v>CLASIFICADOS PARA DIECISEISAVOS</v>
      </c>
      <c r="L129" s="44"/>
      <c r="M129" s="64"/>
      <c r="N129" s="711"/>
      <c r="O129" s="711"/>
      <c r="P129" s="711"/>
      <c r="Q129" s="711"/>
      <c r="R129" s="43"/>
      <c r="S129" s="77"/>
      <c r="T129" s="64"/>
      <c r="U129" s="58"/>
      <c r="V129" s="77"/>
      <c r="W129" s="64"/>
      <c r="X129" s="58"/>
      <c r="Y129" s="77"/>
      <c r="Z129" s="64"/>
      <c r="AA129" s="58"/>
      <c r="AB129" s="77"/>
      <c r="AC129" s="64"/>
      <c r="AD129" s="58"/>
      <c r="AE129" s="77"/>
      <c r="AF129" s="64"/>
      <c r="AG129" s="58"/>
      <c r="AH129" s="77"/>
      <c r="AI129" s="64"/>
      <c r="AJ129" s="58"/>
      <c r="AK129" s="77"/>
      <c r="AL129" s="64"/>
      <c r="AM129" s="58"/>
      <c r="AN129" s="77"/>
      <c r="AO129" s="64"/>
      <c r="AP129" s="58"/>
      <c r="AQ129" s="77"/>
      <c r="AR129" s="64"/>
      <c r="AS129" s="58"/>
      <c r="AT129" s="77"/>
      <c r="AU129" s="64"/>
      <c r="AV129" s="58"/>
      <c r="AW129" s="77"/>
      <c r="AX129" s="64"/>
      <c r="AY129" s="58"/>
      <c r="AZ129" s="77"/>
      <c r="BA129" s="64"/>
      <c r="BB129" s="58"/>
      <c r="BC129" s="77"/>
      <c r="BD129" s="64"/>
      <c r="BE129" s="58"/>
      <c r="BF129" s="77"/>
      <c r="BG129" s="64"/>
      <c r="BH129" s="58"/>
      <c r="BI129" s="77"/>
      <c r="BJ129" s="64"/>
      <c r="BK129" s="58"/>
      <c r="BL129" s="77"/>
      <c r="BM129" s="64"/>
      <c r="BN129" s="58"/>
      <c r="BO129" s="77"/>
      <c r="BP129" s="64"/>
      <c r="BQ129" s="58"/>
      <c r="BR129" s="77"/>
      <c r="BS129" s="64"/>
      <c r="BT129" s="58"/>
      <c r="BU129" s="77"/>
      <c r="BV129" s="64"/>
      <c r="BW129" s="58"/>
      <c r="BX129" s="77"/>
      <c r="BY129" s="64"/>
      <c r="BZ129" s="58"/>
      <c r="CA129" s="77"/>
      <c r="CB129" s="64"/>
      <c r="CC129" s="58"/>
      <c r="CD129" s="77"/>
      <c r="CE129" s="64"/>
      <c r="CF129" s="58"/>
      <c r="CG129" s="77"/>
      <c r="CH129" s="64"/>
      <c r="CI129" s="58"/>
      <c r="CJ129" s="77"/>
      <c r="CK129" s="64"/>
      <c r="CL129" s="58"/>
      <c r="CM129" s="77"/>
      <c r="CN129" s="64"/>
      <c r="CO129" s="58"/>
      <c r="CP129" s="77"/>
      <c r="CQ129" s="64"/>
      <c r="CR129" s="58"/>
      <c r="CS129" s="77"/>
      <c r="CT129" s="64"/>
      <c r="CU129" s="58"/>
      <c r="CV129" s="77"/>
      <c r="CW129" s="64"/>
      <c r="CX129" s="58"/>
      <c r="CY129" s="77"/>
      <c r="CZ129" s="64"/>
      <c r="DA129" s="58"/>
      <c r="DB129" s="77"/>
      <c r="DC129" s="64"/>
      <c r="DD129" s="58"/>
      <c r="DE129" s="77"/>
      <c r="DF129" s="64"/>
      <c r="DG129" s="58"/>
      <c r="DH129" s="77"/>
      <c r="DI129" s="64"/>
      <c r="DJ129" s="58"/>
      <c r="DK129" s="77"/>
      <c r="DL129" s="64"/>
      <c r="DM129" s="58"/>
      <c r="DN129" s="77"/>
      <c r="DO129" s="64"/>
      <c r="DP129" s="58"/>
      <c r="DQ129" s="77"/>
      <c r="DR129" s="64"/>
      <c r="DS129" s="58"/>
      <c r="DT129" s="77"/>
      <c r="DU129" s="64"/>
      <c r="DV129" s="58"/>
      <c r="DW129" s="77"/>
      <c r="DX129" s="64"/>
      <c r="DY129" s="58"/>
      <c r="DZ129" s="77"/>
      <c r="EA129" s="64"/>
      <c r="EB129" s="58"/>
      <c r="EC129" s="77"/>
      <c r="ED129" s="64"/>
      <c r="EE129" s="58"/>
      <c r="EF129" s="77"/>
      <c r="EG129" s="64"/>
      <c r="EH129" s="58"/>
      <c r="EI129" s="58"/>
    </row>
    <row r="130" spans="1:139">
      <c r="A130" s="43"/>
      <c r="B130" s="43"/>
      <c r="C130" s="800"/>
      <c r="D130" s="800"/>
      <c r="E130" s="800"/>
      <c r="F130" s="801">
        <f>$D$15</f>
        <v>3</v>
      </c>
      <c r="G130" s="802">
        <f ca="1">VLOOKUP(H130,Equipos!$Q$1:$R$25,2,0)</f>
        <v>19</v>
      </c>
      <c r="H130" s="803" t="str">
        <f>Idiomas!$D$137</f>
        <v>CLASIFICADOS PARA DIECISEISAVOS</v>
      </c>
      <c r="I130" s="800"/>
      <c r="J130" s="859" t="s">
        <v>483</v>
      </c>
      <c r="K130" s="46" t="str">
        <f>Idiomas!$D$198&amp;"-"&amp;ROWS($L$130:L130)</f>
        <v>Dieciseisavofinalista-1</v>
      </c>
      <c r="L130" s="46"/>
      <c r="M130" s="48" t="str">
        <f ca="1">WORLDCUP!AA101</f>
        <v>2A</v>
      </c>
      <c r="N130" s="711"/>
      <c r="O130" s="711"/>
      <c r="P130" s="711"/>
      <c r="Q130" s="711"/>
      <c r="R130" s="102"/>
      <c r="S130" s="69" t="s">
        <v>1837</v>
      </c>
      <c r="T130" s="70">
        <f t="shared" ref="T130:T161" ca="1" si="1921">COUNTIF($M$130:$M$161,S130)*$D$15</f>
        <v>0</v>
      </c>
      <c r="U130" s="57"/>
      <c r="V130" s="69" t="s">
        <v>1260</v>
      </c>
      <c r="W130" s="70">
        <f t="shared" ref="W130:W161" ca="1" si="1922">COUNTIF($M$130:$M$161,V130)*$D$15</f>
        <v>0</v>
      </c>
      <c r="X130" s="57"/>
      <c r="Y130" s="69" t="s">
        <v>1625</v>
      </c>
      <c r="Z130" s="70">
        <f t="shared" ref="Z130:Z161" ca="1" si="1923">COUNTIF($M$130:$M$161,Y130)*$D$15</f>
        <v>0</v>
      </c>
      <c r="AA130" s="57"/>
      <c r="AB130" s="69" t="s">
        <v>1265</v>
      </c>
      <c r="AC130" s="70">
        <f t="shared" ref="AC130:AC161" ca="1" si="1924">COUNTIF($M$130:$M$161,AB130)*$D$15</f>
        <v>0</v>
      </c>
      <c r="AD130" s="57"/>
      <c r="AE130" s="69" t="s">
        <v>1265</v>
      </c>
      <c r="AF130" s="70">
        <f t="shared" ref="AF130:AF161" ca="1" si="1925">COUNTIF($M$130:$M$161,AE130)*$D$15</f>
        <v>0</v>
      </c>
      <c r="AG130" s="57"/>
      <c r="AH130" s="69" t="s">
        <v>1260</v>
      </c>
      <c r="AI130" s="70">
        <f t="shared" ref="AI130:AI161" ca="1" si="1926">COUNTIF($M$130:$M$161,AH130)*$D$15</f>
        <v>0</v>
      </c>
      <c r="AJ130" s="57"/>
      <c r="AK130" s="69" t="s">
        <v>1260</v>
      </c>
      <c r="AL130" s="70">
        <f t="shared" ref="AL130:AL161" ca="1" si="1927">COUNTIF($M$130:$M$161,AK130)*$D$15</f>
        <v>0</v>
      </c>
      <c r="AM130" s="57"/>
      <c r="AN130" s="69" t="s">
        <v>1260</v>
      </c>
      <c r="AO130" s="70">
        <f t="shared" ref="AO130:AO161" ca="1" si="1928">COUNTIF($M$130:$M$161,AN130)*$D$15</f>
        <v>0</v>
      </c>
      <c r="AP130" s="57"/>
      <c r="AQ130" s="69" t="s">
        <v>1265</v>
      </c>
      <c r="AR130" s="70">
        <f t="shared" ref="AR130:AR161" ca="1" si="1929">COUNTIF($M$130:$M$161,AQ130)*$D$15</f>
        <v>0</v>
      </c>
      <c r="AS130" s="57"/>
      <c r="AT130" s="69" t="s">
        <v>1265</v>
      </c>
      <c r="AU130" s="70">
        <f t="shared" ref="AU130:AU161" ca="1" si="1930">COUNTIF($M$130:$M$161,AT130)*$D$15</f>
        <v>0</v>
      </c>
      <c r="AV130" s="57"/>
      <c r="AW130" s="69" t="s">
        <v>1260</v>
      </c>
      <c r="AX130" s="70">
        <f t="shared" ref="AX130:AX161" ca="1" si="1931">COUNTIF($M$130:$M$161,AW130)*$D$15</f>
        <v>0</v>
      </c>
      <c r="AY130" s="57"/>
      <c r="AZ130" s="69" t="s">
        <v>1837</v>
      </c>
      <c r="BA130" s="70">
        <f t="shared" ref="BA130:BA161" ca="1" si="1932">COUNTIF($M$130:$M$161,AZ130)*$D$15</f>
        <v>0</v>
      </c>
      <c r="BB130" s="57"/>
      <c r="BC130" s="69" t="s">
        <v>1837</v>
      </c>
      <c r="BD130" s="70">
        <f t="shared" ref="BD130:BD161" ca="1" si="1933">COUNTIF($M$130:$M$161,BC130)*$D$15</f>
        <v>0</v>
      </c>
      <c r="BE130" s="57"/>
      <c r="BF130" s="69" t="s">
        <v>1837</v>
      </c>
      <c r="BG130" s="70">
        <f t="shared" ref="BG130:BG161" ca="1" si="1934">COUNTIF($M$130:$M$161,BF130)*$D$15</f>
        <v>0</v>
      </c>
      <c r="BH130" s="57"/>
      <c r="BI130" s="69" t="s">
        <v>1260</v>
      </c>
      <c r="BJ130" s="70">
        <f t="shared" ref="BJ130:BJ161" ca="1" si="1935">COUNTIF($M$130:$M$161,BI130)*$D$15</f>
        <v>0</v>
      </c>
      <c r="BK130" s="57"/>
      <c r="BL130" s="69" t="s">
        <v>1265</v>
      </c>
      <c r="BM130" s="70">
        <f t="shared" ref="BM130:BM161" ca="1" si="1936">COUNTIF($M$130:$M$161,BL130)*$D$15</f>
        <v>0</v>
      </c>
      <c r="BN130" s="57"/>
      <c r="BO130" s="69" t="s">
        <v>1837</v>
      </c>
      <c r="BP130" s="70">
        <f t="shared" ref="BP130:BP161" ca="1" si="1937">COUNTIF($M$130:$M$161,BO130)*$D$15</f>
        <v>0</v>
      </c>
      <c r="BQ130" s="57"/>
      <c r="BR130" s="69" t="s">
        <v>1260</v>
      </c>
      <c r="BS130" s="70">
        <f t="shared" ref="BS130:BS161" ca="1" si="1938">COUNTIF($M$130:$M$161,BR130)*$D$15</f>
        <v>0</v>
      </c>
      <c r="BT130" s="57"/>
      <c r="BU130" s="69"/>
      <c r="BV130" s="70">
        <f t="shared" ref="BV130:BV161" ca="1" si="1939">COUNTIF($M$130:$M$161,BU130)*$D$15</f>
        <v>0</v>
      </c>
      <c r="BW130" s="57"/>
      <c r="BX130" s="69"/>
      <c r="BY130" s="70">
        <f t="shared" ref="BY130:BY161" ca="1" si="1940">COUNTIF($M$130:$M$161,BX130)*$D$15</f>
        <v>0</v>
      </c>
      <c r="BZ130" s="57"/>
      <c r="CA130" s="69"/>
      <c r="CB130" s="70">
        <f t="shared" ref="CB130:CB161" ca="1" si="1941">COUNTIF($M$130:$M$161,CA130)*$D$15</f>
        <v>0</v>
      </c>
      <c r="CC130" s="57"/>
      <c r="CD130" s="69"/>
      <c r="CE130" s="70">
        <f t="shared" ref="CE130:CE161" ca="1" si="1942">COUNTIF($M$130:$M$161,CD130)*$D$15</f>
        <v>0</v>
      </c>
      <c r="CF130" s="57"/>
      <c r="CG130" s="69"/>
      <c r="CH130" s="70">
        <f t="shared" ref="CH130:CH161" ca="1" si="1943">COUNTIF($M$130:$M$161,CG130)*$D$15</f>
        <v>0</v>
      </c>
      <c r="CI130" s="57"/>
      <c r="CJ130" s="69"/>
      <c r="CK130" s="70">
        <f t="shared" ref="CK130:CK161" ca="1" si="1944">COUNTIF($M$130:$M$161,CJ130)*$D$15</f>
        <v>0</v>
      </c>
      <c r="CL130" s="57"/>
      <c r="CM130" s="69"/>
      <c r="CN130" s="70">
        <f t="shared" ref="CN130:CN161" ca="1" si="1945">COUNTIF($M$130:$M$161,CM130)*$D$15</f>
        <v>0</v>
      </c>
      <c r="CO130" s="57"/>
      <c r="CP130" s="69"/>
      <c r="CQ130" s="70">
        <f t="shared" ref="CQ130:CQ161" ca="1" si="1946">COUNTIF($M$130:$M$161,CP130)*$D$15</f>
        <v>0</v>
      </c>
      <c r="CR130" s="57"/>
      <c r="CS130" s="69"/>
      <c r="CT130" s="70">
        <f t="shared" ref="CT130:CT161" ca="1" si="1947">COUNTIF($M$130:$M$161,CS130)*$D$15</f>
        <v>0</v>
      </c>
      <c r="CU130" s="57"/>
      <c r="CV130" s="69"/>
      <c r="CW130" s="70">
        <f t="shared" ref="CW130:CW161" ca="1" si="1948">COUNTIF($M$130:$M$161,CV130)*$D$15</f>
        <v>0</v>
      </c>
      <c r="CX130" s="57"/>
      <c r="CY130" s="69"/>
      <c r="CZ130" s="70">
        <f t="shared" ref="CZ130:CZ161" ca="1" si="1949">COUNTIF($M$130:$M$161,CY130)*$D$15</f>
        <v>0</v>
      </c>
      <c r="DA130" s="57"/>
      <c r="DB130" s="69"/>
      <c r="DC130" s="70">
        <f t="shared" ref="DC130:DC161" ca="1" si="1950">COUNTIF($M$130:$M$161,DB130)*$D$15</f>
        <v>0</v>
      </c>
      <c r="DD130" s="57"/>
      <c r="DE130" s="69"/>
      <c r="DF130" s="70">
        <f t="shared" ref="DF130:DF161" ca="1" si="1951">COUNTIF($M$130:$M$161,DE130)*$D$15</f>
        <v>0</v>
      </c>
      <c r="DG130" s="57"/>
      <c r="DH130" s="69"/>
      <c r="DI130" s="70">
        <f t="shared" ref="DI130:DI161" ca="1" si="1952">COUNTIF($M$130:$M$161,DH130)*$D$15</f>
        <v>0</v>
      </c>
      <c r="DJ130" s="57"/>
      <c r="DK130" s="69"/>
      <c r="DL130" s="70">
        <f t="shared" ref="DL130:DL161" ca="1" si="1953">COUNTIF($M$130:$M$161,DK130)*$D$15</f>
        <v>0</v>
      </c>
      <c r="DM130" s="57"/>
      <c r="DN130" s="69"/>
      <c r="DO130" s="70">
        <f t="shared" ref="DO130:DO161" ca="1" si="1954">COUNTIF($M$130:$M$161,DN130)*$D$15</f>
        <v>0</v>
      </c>
      <c r="DP130" s="57"/>
      <c r="DQ130" s="69"/>
      <c r="DR130" s="70">
        <f t="shared" ref="DR130:DR161" ca="1" si="1955">COUNTIF($M$130:$M$161,DQ130)*$D$15</f>
        <v>0</v>
      </c>
      <c r="DS130" s="57"/>
      <c r="DT130" s="69"/>
      <c r="DU130" s="70">
        <f t="shared" ref="DU130:DU161" ca="1" si="1956">COUNTIF($M$130:$M$161,DT130)*$D$15</f>
        <v>0</v>
      </c>
      <c r="DV130" s="57"/>
      <c r="DW130" s="69"/>
      <c r="DX130" s="70">
        <f t="shared" ref="DX130:DX161" ca="1" si="1957">COUNTIF($M$130:$M$161,DW130)*$D$15</f>
        <v>0</v>
      </c>
      <c r="DY130" s="57"/>
      <c r="DZ130" s="69"/>
      <c r="EA130" s="70">
        <f t="shared" ref="EA130:EA161" ca="1" si="1958">COUNTIF($M$130:$M$161,DZ130)*$D$15</f>
        <v>0</v>
      </c>
      <c r="EB130" s="57"/>
      <c r="EC130" s="69"/>
      <c r="ED130" s="70">
        <f t="shared" ref="ED130:ED161" ca="1" si="1959">COUNTIF($M$130:$M$161,EC130)*$D$15</f>
        <v>0</v>
      </c>
      <c r="EE130" s="57"/>
      <c r="EF130" s="69"/>
      <c r="EG130" s="70">
        <f t="shared" ref="EG130:EG161" ca="1" si="1960">COUNTIF($M$130:$M$161,EF130)*$D$15</f>
        <v>0</v>
      </c>
      <c r="EH130" s="57"/>
      <c r="EI130" s="57"/>
    </row>
    <row r="131" spans="1:139">
      <c r="A131" s="43"/>
      <c r="B131" s="43"/>
      <c r="C131" s="800"/>
      <c r="D131" s="800"/>
      <c r="E131" s="800"/>
      <c r="F131" s="801">
        <f t="shared" ref="F131:F161" si="1961">$D$15</f>
        <v>3</v>
      </c>
      <c r="G131" s="802">
        <f ca="1">VLOOKUP(H131,Equipos!$Q$1:$R$25,2,0)</f>
        <v>19</v>
      </c>
      <c r="H131" s="803" t="str">
        <f>Idiomas!$D$137</f>
        <v>CLASIFICADOS PARA DIECISEISAVOS</v>
      </c>
      <c r="I131" s="800"/>
      <c r="J131" s="859"/>
      <c r="K131" s="49" t="str">
        <f>Idiomas!$D$198&amp;"-"&amp;ROWS($L$130:L131)</f>
        <v>Dieciseisavofinalista-2</v>
      </c>
      <c r="L131" s="46"/>
      <c r="M131" s="48" t="str">
        <f ca="1">WORLDCUP!AA102</f>
        <v>1C</v>
      </c>
      <c r="N131" s="711"/>
      <c r="O131" s="711"/>
      <c r="P131" s="711"/>
      <c r="Q131" s="711"/>
      <c r="R131" s="102"/>
      <c r="S131" s="67" t="s">
        <v>1258</v>
      </c>
      <c r="T131" s="66">
        <f t="shared" ca="1" si="1921"/>
        <v>0</v>
      </c>
      <c r="U131" s="57"/>
      <c r="V131" s="67" t="s">
        <v>1258</v>
      </c>
      <c r="W131" s="66">
        <f t="shared" ca="1" si="1922"/>
        <v>0</v>
      </c>
      <c r="X131" s="57"/>
      <c r="Y131" s="67" t="s">
        <v>1258</v>
      </c>
      <c r="Z131" s="66">
        <f t="shared" ca="1" si="1923"/>
        <v>0</v>
      </c>
      <c r="AA131" s="57"/>
      <c r="AB131" s="67" t="s">
        <v>1317</v>
      </c>
      <c r="AC131" s="66">
        <f t="shared" ca="1" si="1924"/>
        <v>0</v>
      </c>
      <c r="AD131" s="57"/>
      <c r="AE131" s="67" t="s">
        <v>1317</v>
      </c>
      <c r="AF131" s="66">
        <f t="shared" ca="1" si="1925"/>
        <v>0</v>
      </c>
      <c r="AG131" s="57"/>
      <c r="AH131" s="67" t="s">
        <v>1258</v>
      </c>
      <c r="AI131" s="66">
        <f t="shared" ca="1" si="1926"/>
        <v>0</v>
      </c>
      <c r="AJ131" s="57"/>
      <c r="AK131" s="67" t="s">
        <v>1258</v>
      </c>
      <c r="AL131" s="66">
        <f t="shared" ca="1" si="1927"/>
        <v>0</v>
      </c>
      <c r="AM131" s="57"/>
      <c r="AN131" s="67" t="s">
        <v>1258</v>
      </c>
      <c r="AO131" s="66">
        <f t="shared" ca="1" si="1928"/>
        <v>0</v>
      </c>
      <c r="AP131" s="57"/>
      <c r="AQ131" s="67" t="s">
        <v>1317</v>
      </c>
      <c r="AR131" s="66">
        <f t="shared" ca="1" si="1929"/>
        <v>0</v>
      </c>
      <c r="AS131" s="57"/>
      <c r="AT131" s="67" t="s">
        <v>1317</v>
      </c>
      <c r="AU131" s="66">
        <f t="shared" ca="1" si="1930"/>
        <v>0</v>
      </c>
      <c r="AV131" s="57"/>
      <c r="AW131" s="67" t="s">
        <v>1258</v>
      </c>
      <c r="AX131" s="66">
        <f t="shared" ca="1" si="1931"/>
        <v>0</v>
      </c>
      <c r="AY131" s="57"/>
      <c r="AZ131" s="67" t="s">
        <v>1258</v>
      </c>
      <c r="BA131" s="66">
        <f t="shared" ca="1" si="1932"/>
        <v>0</v>
      </c>
      <c r="BB131" s="57"/>
      <c r="BC131" s="67" t="s">
        <v>1258</v>
      </c>
      <c r="BD131" s="66">
        <f t="shared" ca="1" si="1933"/>
        <v>0</v>
      </c>
      <c r="BE131" s="57"/>
      <c r="BF131" s="67" t="s">
        <v>1258</v>
      </c>
      <c r="BG131" s="66">
        <f t="shared" ca="1" si="1934"/>
        <v>0</v>
      </c>
      <c r="BH131" s="57"/>
      <c r="BI131" s="67" t="s">
        <v>1258</v>
      </c>
      <c r="BJ131" s="66">
        <f t="shared" ca="1" si="1935"/>
        <v>0</v>
      </c>
      <c r="BK131" s="57"/>
      <c r="BL131" s="67" t="s">
        <v>1258</v>
      </c>
      <c r="BM131" s="66">
        <f t="shared" ca="1" si="1936"/>
        <v>0</v>
      </c>
      <c r="BN131" s="57"/>
      <c r="BO131" s="67" t="s">
        <v>1258</v>
      </c>
      <c r="BP131" s="66">
        <f t="shared" ca="1" si="1937"/>
        <v>0</v>
      </c>
      <c r="BQ131" s="57"/>
      <c r="BR131" s="67" t="s">
        <v>1258</v>
      </c>
      <c r="BS131" s="66">
        <f t="shared" ca="1" si="1938"/>
        <v>0</v>
      </c>
      <c r="BT131" s="57"/>
      <c r="BU131" s="67"/>
      <c r="BV131" s="66">
        <f t="shared" ca="1" si="1939"/>
        <v>0</v>
      </c>
      <c r="BW131" s="57"/>
      <c r="BX131" s="67"/>
      <c r="BY131" s="66">
        <f t="shared" ca="1" si="1940"/>
        <v>0</v>
      </c>
      <c r="BZ131" s="57"/>
      <c r="CA131" s="67"/>
      <c r="CB131" s="66">
        <f t="shared" ca="1" si="1941"/>
        <v>0</v>
      </c>
      <c r="CC131" s="57"/>
      <c r="CD131" s="67"/>
      <c r="CE131" s="66">
        <f t="shared" ca="1" si="1942"/>
        <v>0</v>
      </c>
      <c r="CF131" s="57"/>
      <c r="CG131" s="67"/>
      <c r="CH131" s="66">
        <f t="shared" ca="1" si="1943"/>
        <v>0</v>
      </c>
      <c r="CI131" s="57"/>
      <c r="CJ131" s="67"/>
      <c r="CK131" s="66">
        <f t="shared" ca="1" si="1944"/>
        <v>0</v>
      </c>
      <c r="CL131" s="57"/>
      <c r="CM131" s="67"/>
      <c r="CN131" s="66">
        <f t="shared" ca="1" si="1945"/>
        <v>0</v>
      </c>
      <c r="CO131" s="57"/>
      <c r="CP131" s="67"/>
      <c r="CQ131" s="66">
        <f t="shared" ca="1" si="1946"/>
        <v>0</v>
      </c>
      <c r="CR131" s="57"/>
      <c r="CS131" s="67"/>
      <c r="CT131" s="66">
        <f t="shared" ca="1" si="1947"/>
        <v>0</v>
      </c>
      <c r="CU131" s="57"/>
      <c r="CV131" s="67"/>
      <c r="CW131" s="66">
        <f t="shared" ca="1" si="1948"/>
        <v>0</v>
      </c>
      <c r="CX131" s="57"/>
      <c r="CY131" s="67"/>
      <c r="CZ131" s="66">
        <f t="shared" ca="1" si="1949"/>
        <v>0</v>
      </c>
      <c r="DA131" s="57"/>
      <c r="DB131" s="67"/>
      <c r="DC131" s="66">
        <f t="shared" ca="1" si="1950"/>
        <v>0</v>
      </c>
      <c r="DD131" s="57"/>
      <c r="DE131" s="67"/>
      <c r="DF131" s="66">
        <f t="shared" ca="1" si="1951"/>
        <v>0</v>
      </c>
      <c r="DG131" s="57"/>
      <c r="DH131" s="67"/>
      <c r="DI131" s="66">
        <f t="shared" ca="1" si="1952"/>
        <v>0</v>
      </c>
      <c r="DJ131" s="57"/>
      <c r="DK131" s="67"/>
      <c r="DL131" s="66">
        <f t="shared" ca="1" si="1953"/>
        <v>0</v>
      </c>
      <c r="DM131" s="57"/>
      <c r="DN131" s="67"/>
      <c r="DO131" s="66">
        <f t="shared" ca="1" si="1954"/>
        <v>0</v>
      </c>
      <c r="DP131" s="57"/>
      <c r="DQ131" s="67"/>
      <c r="DR131" s="66">
        <f t="shared" ca="1" si="1955"/>
        <v>0</v>
      </c>
      <c r="DS131" s="57"/>
      <c r="DT131" s="67"/>
      <c r="DU131" s="66">
        <f t="shared" ca="1" si="1956"/>
        <v>0</v>
      </c>
      <c r="DV131" s="57"/>
      <c r="DW131" s="67"/>
      <c r="DX131" s="66">
        <f t="shared" ca="1" si="1957"/>
        <v>0</v>
      </c>
      <c r="DY131" s="57"/>
      <c r="DZ131" s="67"/>
      <c r="EA131" s="66">
        <f t="shared" ca="1" si="1958"/>
        <v>0</v>
      </c>
      <c r="EB131" s="57"/>
      <c r="EC131" s="67"/>
      <c r="ED131" s="66">
        <f t="shared" ca="1" si="1959"/>
        <v>0</v>
      </c>
      <c r="EE131" s="57"/>
      <c r="EF131" s="67"/>
      <c r="EG131" s="66">
        <f t="shared" ca="1" si="1960"/>
        <v>0</v>
      </c>
      <c r="EH131" s="57"/>
      <c r="EI131" s="57"/>
    </row>
    <row r="132" spans="1:139">
      <c r="A132" s="43"/>
      <c r="B132" s="43"/>
      <c r="C132" s="800"/>
      <c r="D132" s="800"/>
      <c r="E132" s="800"/>
      <c r="F132" s="801">
        <f t="shared" si="1961"/>
        <v>3</v>
      </c>
      <c r="G132" s="802">
        <f ca="1">VLOOKUP(H132,Equipos!$Q$1:$R$25,2,0)</f>
        <v>19</v>
      </c>
      <c r="H132" s="803" t="str">
        <f>Idiomas!$D$137</f>
        <v>CLASIFICADOS PARA DIECISEISAVOS</v>
      </c>
      <c r="I132" s="800"/>
      <c r="J132" s="859"/>
      <c r="K132" s="49" t="str">
        <f>Idiomas!$D$198&amp;"-"&amp;ROWS($L$130:L132)</f>
        <v>Dieciseisavofinalista-3</v>
      </c>
      <c r="L132" s="46"/>
      <c r="M132" s="48" t="str">
        <f ca="1">WORLDCUP!AA103</f>
        <v>1E</v>
      </c>
      <c r="N132" s="711"/>
      <c r="O132" s="711"/>
      <c r="P132" s="711"/>
      <c r="Q132" s="711"/>
      <c r="R132" s="102"/>
      <c r="S132" s="67" t="s">
        <v>77</v>
      </c>
      <c r="T132" s="66">
        <f t="shared" ca="1" si="1921"/>
        <v>0</v>
      </c>
      <c r="U132" s="57"/>
      <c r="V132" s="67" t="s">
        <v>77</v>
      </c>
      <c r="W132" s="66">
        <f t="shared" ca="1" si="1922"/>
        <v>0</v>
      </c>
      <c r="X132" s="57"/>
      <c r="Y132" s="67" t="s">
        <v>77</v>
      </c>
      <c r="Z132" s="66">
        <f t="shared" ca="1" si="1923"/>
        <v>0</v>
      </c>
      <c r="AA132" s="57"/>
      <c r="AB132" s="67" t="s">
        <v>77</v>
      </c>
      <c r="AC132" s="66">
        <f t="shared" ca="1" si="1924"/>
        <v>0</v>
      </c>
      <c r="AD132" s="57"/>
      <c r="AE132" s="67" t="s">
        <v>77</v>
      </c>
      <c r="AF132" s="66">
        <f t="shared" ca="1" si="1925"/>
        <v>0</v>
      </c>
      <c r="AG132" s="57"/>
      <c r="AH132" s="67" t="s">
        <v>77</v>
      </c>
      <c r="AI132" s="66">
        <f t="shared" ca="1" si="1926"/>
        <v>0</v>
      </c>
      <c r="AJ132" s="57"/>
      <c r="AK132" s="67" t="s">
        <v>77</v>
      </c>
      <c r="AL132" s="66">
        <f t="shared" ca="1" si="1927"/>
        <v>0</v>
      </c>
      <c r="AM132" s="57"/>
      <c r="AN132" s="67" t="s">
        <v>77</v>
      </c>
      <c r="AO132" s="66">
        <f t="shared" ca="1" si="1928"/>
        <v>0</v>
      </c>
      <c r="AP132" s="57"/>
      <c r="AQ132" s="67" t="s">
        <v>77</v>
      </c>
      <c r="AR132" s="66">
        <f t="shared" ca="1" si="1929"/>
        <v>0</v>
      </c>
      <c r="AS132" s="57"/>
      <c r="AT132" s="67" t="s">
        <v>77</v>
      </c>
      <c r="AU132" s="66">
        <f t="shared" ca="1" si="1930"/>
        <v>0</v>
      </c>
      <c r="AV132" s="57"/>
      <c r="AW132" s="67" t="s">
        <v>77</v>
      </c>
      <c r="AX132" s="66">
        <f t="shared" ca="1" si="1931"/>
        <v>0</v>
      </c>
      <c r="AY132" s="57"/>
      <c r="AZ132" s="67" t="s">
        <v>77</v>
      </c>
      <c r="BA132" s="66">
        <f t="shared" ca="1" si="1932"/>
        <v>0</v>
      </c>
      <c r="BB132" s="57"/>
      <c r="BC132" s="67" t="s">
        <v>77</v>
      </c>
      <c r="BD132" s="66">
        <f t="shared" ca="1" si="1933"/>
        <v>0</v>
      </c>
      <c r="BE132" s="57"/>
      <c r="BF132" s="67" t="s">
        <v>77</v>
      </c>
      <c r="BG132" s="66">
        <f t="shared" ca="1" si="1934"/>
        <v>0</v>
      </c>
      <c r="BH132" s="57"/>
      <c r="BI132" s="67" t="s">
        <v>77</v>
      </c>
      <c r="BJ132" s="66">
        <f t="shared" ca="1" si="1935"/>
        <v>0</v>
      </c>
      <c r="BK132" s="57"/>
      <c r="BL132" s="67" t="s">
        <v>77</v>
      </c>
      <c r="BM132" s="66">
        <f t="shared" ca="1" si="1936"/>
        <v>0</v>
      </c>
      <c r="BN132" s="57"/>
      <c r="BO132" s="67" t="s">
        <v>77</v>
      </c>
      <c r="BP132" s="66">
        <f t="shared" ca="1" si="1937"/>
        <v>0</v>
      </c>
      <c r="BQ132" s="57"/>
      <c r="BR132" s="67" t="s">
        <v>77</v>
      </c>
      <c r="BS132" s="66">
        <f t="shared" ca="1" si="1938"/>
        <v>0</v>
      </c>
      <c r="BT132" s="57"/>
      <c r="BU132" s="67"/>
      <c r="BV132" s="66">
        <f t="shared" ca="1" si="1939"/>
        <v>0</v>
      </c>
      <c r="BW132" s="57"/>
      <c r="BX132" s="67"/>
      <c r="BY132" s="66">
        <f t="shared" ca="1" si="1940"/>
        <v>0</v>
      </c>
      <c r="BZ132" s="57"/>
      <c r="CA132" s="67"/>
      <c r="CB132" s="66">
        <f t="shared" ca="1" si="1941"/>
        <v>0</v>
      </c>
      <c r="CC132" s="57"/>
      <c r="CD132" s="67"/>
      <c r="CE132" s="66">
        <f t="shared" ca="1" si="1942"/>
        <v>0</v>
      </c>
      <c r="CF132" s="57"/>
      <c r="CG132" s="67"/>
      <c r="CH132" s="66">
        <f t="shared" ca="1" si="1943"/>
        <v>0</v>
      </c>
      <c r="CI132" s="57"/>
      <c r="CJ132" s="67"/>
      <c r="CK132" s="66">
        <f t="shared" ca="1" si="1944"/>
        <v>0</v>
      </c>
      <c r="CL132" s="57"/>
      <c r="CM132" s="67"/>
      <c r="CN132" s="66">
        <f t="shared" ca="1" si="1945"/>
        <v>0</v>
      </c>
      <c r="CO132" s="57"/>
      <c r="CP132" s="67"/>
      <c r="CQ132" s="66">
        <f t="shared" ca="1" si="1946"/>
        <v>0</v>
      </c>
      <c r="CR132" s="57"/>
      <c r="CS132" s="67"/>
      <c r="CT132" s="66">
        <f t="shared" ca="1" si="1947"/>
        <v>0</v>
      </c>
      <c r="CU132" s="57"/>
      <c r="CV132" s="67"/>
      <c r="CW132" s="66">
        <f t="shared" ca="1" si="1948"/>
        <v>0</v>
      </c>
      <c r="CX132" s="57"/>
      <c r="CY132" s="67"/>
      <c r="CZ132" s="66">
        <f t="shared" ca="1" si="1949"/>
        <v>0</v>
      </c>
      <c r="DA132" s="57"/>
      <c r="DB132" s="67"/>
      <c r="DC132" s="66">
        <f t="shared" ca="1" si="1950"/>
        <v>0</v>
      </c>
      <c r="DD132" s="57"/>
      <c r="DE132" s="67"/>
      <c r="DF132" s="66">
        <f t="shared" ca="1" si="1951"/>
        <v>0</v>
      </c>
      <c r="DG132" s="57"/>
      <c r="DH132" s="67"/>
      <c r="DI132" s="66">
        <f t="shared" ca="1" si="1952"/>
        <v>0</v>
      </c>
      <c r="DJ132" s="57"/>
      <c r="DK132" s="67"/>
      <c r="DL132" s="66">
        <f t="shared" ca="1" si="1953"/>
        <v>0</v>
      </c>
      <c r="DM132" s="57"/>
      <c r="DN132" s="67"/>
      <c r="DO132" s="66">
        <f t="shared" ca="1" si="1954"/>
        <v>0</v>
      </c>
      <c r="DP132" s="57"/>
      <c r="DQ132" s="67"/>
      <c r="DR132" s="66">
        <f t="shared" ca="1" si="1955"/>
        <v>0</v>
      </c>
      <c r="DS132" s="57"/>
      <c r="DT132" s="67"/>
      <c r="DU132" s="66">
        <f t="shared" ca="1" si="1956"/>
        <v>0</v>
      </c>
      <c r="DV132" s="57"/>
      <c r="DW132" s="67"/>
      <c r="DX132" s="66">
        <f t="shared" ca="1" si="1957"/>
        <v>0</v>
      </c>
      <c r="DY132" s="57"/>
      <c r="DZ132" s="67"/>
      <c r="EA132" s="66">
        <f t="shared" ca="1" si="1958"/>
        <v>0</v>
      </c>
      <c r="EB132" s="57"/>
      <c r="EC132" s="67"/>
      <c r="ED132" s="66">
        <f t="shared" ca="1" si="1959"/>
        <v>0</v>
      </c>
      <c r="EE132" s="57"/>
      <c r="EF132" s="67"/>
      <c r="EG132" s="66">
        <f t="shared" ca="1" si="1960"/>
        <v>0</v>
      </c>
      <c r="EH132" s="57"/>
      <c r="EI132" s="57"/>
    </row>
    <row r="133" spans="1:139">
      <c r="A133" s="43"/>
      <c r="B133" s="43"/>
      <c r="C133" s="800"/>
      <c r="D133" s="800"/>
      <c r="E133" s="800"/>
      <c r="F133" s="801">
        <f t="shared" si="1961"/>
        <v>3</v>
      </c>
      <c r="G133" s="802">
        <f ca="1">VLOOKUP(H133,Equipos!$Q$1:$R$25,2,0)</f>
        <v>19</v>
      </c>
      <c r="H133" s="803" t="str">
        <f>Idiomas!$D$137</f>
        <v>CLASIFICADOS PARA DIECISEISAVOS</v>
      </c>
      <c r="I133" s="800"/>
      <c r="J133" s="859"/>
      <c r="K133" s="49" t="str">
        <f>Idiomas!$D$198&amp;"-"&amp;ROWS($L$130:L133)</f>
        <v>Dieciseisavofinalista-4</v>
      </c>
      <c r="L133" s="46"/>
      <c r="M133" s="48" t="str">
        <f ca="1">WORLDCUP!AA104</f>
        <v>1F</v>
      </c>
      <c r="N133" s="711"/>
      <c r="O133" s="711"/>
      <c r="P133" s="711"/>
      <c r="Q133" s="711"/>
      <c r="R133" s="102"/>
      <c r="S133" s="67" t="s">
        <v>111</v>
      </c>
      <c r="T133" s="66">
        <f t="shared" ca="1" si="1921"/>
        <v>0</v>
      </c>
      <c r="U133" s="57"/>
      <c r="V133" s="67" t="s">
        <v>111</v>
      </c>
      <c r="W133" s="66">
        <f t="shared" ca="1" si="1922"/>
        <v>0</v>
      </c>
      <c r="X133" s="57"/>
      <c r="Y133" s="67" t="s">
        <v>111</v>
      </c>
      <c r="Z133" s="66">
        <f t="shared" ca="1" si="1923"/>
        <v>0</v>
      </c>
      <c r="AA133" s="57"/>
      <c r="AB133" s="67" t="s">
        <v>111</v>
      </c>
      <c r="AC133" s="66">
        <f t="shared" ca="1" si="1924"/>
        <v>0</v>
      </c>
      <c r="AD133" s="57"/>
      <c r="AE133" s="67" t="s">
        <v>111</v>
      </c>
      <c r="AF133" s="66">
        <f t="shared" ca="1" si="1925"/>
        <v>0</v>
      </c>
      <c r="AG133" s="57"/>
      <c r="AH133" s="67" t="s">
        <v>111</v>
      </c>
      <c r="AI133" s="66">
        <f t="shared" ca="1" si="1926"/>
        <v>0</v>
      </c>
      <c r="AJ133" s="57"/>
      <c r="AK133" s="67" t="s">
        <v>111</v>
      </c>
      <c r="AL133" s="66">
        <f t="shared" ca="1" si="1927"/>
        <v>0</v>
      </c>
      <c r="AM133" s="57"/>
      <c r="AN133" s="67" t="s">
        <v>111</v>
      </c>
      <c r="AO133" s="66">
        <f t="shared" ca="1" si="1928"/>
        <v>0</v>
      </c>
      <c r="AP133" s="57"/>
      <c r="AQ133" s="67" t="s">
        <v>111</v>
      </c>
      <c r="AR133" s="66">
        <f t="shared" ca="1" si="1929"/>
        <v>0</v>
      </c>
      <c r="AS133" s="57"/>
      <c r="AT133" s="67" t="s">
        <v>111</v>
      </c>
      <c r="AU133" s="66">
        <f t="shared" ca="1" si="1930"/>
        <v>0</v>
      </c>
      <c r="AV133" s="57"/>
      <c r="AW133" s="67" t="s">
        <v>111</v>
      </c>
      <c r="AX133" s="66">
        <f t="shared" ca="1" si="1931"/>
        <v>0</v>
      </c>
      <c r="AY133" s="57"/>
      <c r="AZ133" s="67" t="s">
        <v>111</v>
      </c>
      <c r="BA133" s="66">
        <f t="shared" ca="1" si="1932"/>
        <v>0</v>
      </c>
      <c r="BB133" s="57"/>
      <c r="BC133" s="67" t="s">
        <v>111</v>
      </c>
      <c r="BD133" s="66">
        <f t="shared" ca="1" si="1933"/>
        <v>0</v>
      </c>
      <c r="BE133" s="57"/>
      <c r="BF133" s="67" t="s">
        <v>111</v>
      </c>
      <c r="BG133" s="66">
        <f t="shared" ca="1" si="1934"/>
        <v>0</v>
      </c>
      <c r="BH133" s="57"/>
      <c r="BI133" s="67" t="s">
        <v>111</v>
      </c>
      <c r="BJ133" s="66">
        <f t="shared" ca="1" si="1935"/>
        <v>0</v>
      </c>
      <c r="BK133" s="57"/>
      <c r="BL133" s="67" t="s">
        <v>111</v>
      </c>
      <c r="BM133" s="66">
        <f t="shared" ca="1" si="1936"/>
        <v>0</v>
      </c>
      <c r="BN133" s="57"/>
      <c r="BO133" s="67" t="s">
        <v>111</v>
      </c>
      <c r="BP133" s="66">
        <f t="shared" ca="1" si="1937"/>
        <v>0</v>
      </c>
      <c r="BQ133" s="57"/>
      <c r="BR133" s="67" t="s">
        <v>111</v>
      </c>
      <c r="BS133" s="66">
        <f t="shared" ca="1" si="1938"/>
        <v>0</v>
      </c>
      <c r="BT133" s="57"/>
      <c r="BU133" s="67"/>
      <c r="BV133" s="66">
        <f t="shared" ca="1" si="1939"/>
        <v>0</v>
      </c>
      <c r="BW133" s="57"/>
      <c r="BX133" s="67"/>
      <c r="BY133" s="66">
        <f t="shared" ca="1" si="1940"/>
        <v>0</v>
      </c>
      <c r="BZ133" s="57"/>
      <c r="CA133" s="67"/>
      <c r="CB133" s="66">
        <f t="shared" ca="1" si="1941"/>
        <v>0</v>
      </c>
      <c r="CC133" s="57"/>
      <c r="CD133" s="67"/>
      <c r="CE133" s="66">
        <f t="shared" ca="1" si="1942"/>
        <v>0</v>
      </c>
      <c r="CF133" s="57"/>
      <c r="CG133" s="67"/>
      <c r="CH133" s="66">
        <f t="shared" ca="1" si="1943"/>
        <v>0</v>
      </c>
      <c r="CI133" s="57"/>
      <c r="CJ133" s="67"/>
      <c r="CK133" s="66">
        <f t="shared" ca="1" si="1944"/>
        <v>0</v>
      </c>
      <c r="CL133" s="57"/>
      <c r="CM133" s="67"/>
      <c r="CN133" s="66">
        <f t="shared" ca="1" si="1945"/>
        <v>0</v>
      </c>
      <c r="CO133" s="57"/>
      <c r="CP133" s="67"/>
      <c r="CQ133" s="66">
        <f t="shared" ca="1" si="1946"/>
        <v>0</v>
      </c>
      <c r="CR133" s="57"/>
      <c r="CS133" s="67"/>
      <c r="CT133" s="66">
        <f t="shared" ca="1" si="1947"/>
        <v>0</v>
      </c>
      <c r="CU133" s="57"/>
      <c r="CV133" s="67"/>
      <c r="CW133" s="66">
        <f t="shared" ca="1" si="1948"/>
        <v>0</v>
      </c>
      <c r="CX133" s="57"/>
      <c r="CY133" s="67"/>
      <c r="CZ133" s="66">
        <f t="shared" ca="1" si="1949"/>
        <v>0</v>
      </c>
      <c r="DA133" s="57"/>
      <c r="DB133" s="67"/>
      <c r="DC133" s="66">
        <f t="shared" ca="1" si="1950"/>
        <v>0</v>
      </c>
      <c r="DD133" s="57"/>
      <c r="DE133" s="67"/>
      <c r="DF133" s="66">
        <f t="shared" ca="1" si="1951"/>
        <v>0</v>
      </c>
      <c r="DG133" s="57"/>
      <c r="DH133" s="67"/>
      <c r="DI133" s="66">
        <f t="shared" ca="1" si="1952"/>
        <v>0</v>
      </c>
      <c r="DJ133" s="57"/>
      <c r="DK133" s="67"/>
      <c r="DL133" s="66">
        <f t="shared" ca="1" si="1953"/>
        <v>0</v>
      </c>
      <c r="DM133" s="57"/>
      <c r="DN133" s="67"/>
      <c r="DO133" s="66">
        <f t="shared" ca="1" si="1954"/>
        <v>0</v>
      </c>
      <c r="DP133" s="57"/>
      <c r="DQ133" s="67"/>
      <c r="DR133" s="66">
        <f t="shared" ca="1" si="1955"/>
        <v>0</v>
      </c>
      <c r="DS133" s="57"/>
      <c r="DT133" s="67"/>
      <c r="DU133" s="66">
        <f t="shared" ca="1" si="1956"/>
        <v>0</v>
      </c>
      <c r="DV133" s="57"/>
      <c r="DW133" s="67"/>
      <c r="DX133" s="66">
        <f t="shared" ca="1" si="1957"/>
        <v>0</v>
      </c>
      <c r="DY133" s="57"/>
      <c r="DZ133" s="67"/>
      <c r="EA133" s="66">
        <f t="shared" ca="1" si="1958"/>
        <v>0</v>
      </c>
      <c r="EB133" s="57"/>
      <c r="EC133" s="67"/>
      <c r="ED133" s="66">
        <f t="shared" ca="1" si="1959"/>
        <v>0</v>
      </c>
      <c r="EE133" s="57"/>
      <c r="EF133" s="67"/>
      <c r="EG133" s="66">
        <f t="shared" ca="1" si="1960"/>
        <v>0</v>
      </c>
      <c r="EH133" s="57"/>
      <c r="EI133" s="57"/>
    </row>
    <row r="134" spans="1:139">
      <c r="A134" s="43"/>
      <c r="B134" s="43"/>
      <c r="C134" s="800"/>
      <c r="D134" s="800"/>
      <c r="E134" s="800"/>
      <c r="F134" s="801">
        <f t="shared" si="1961"/>
        <v>3</v>
      </c>
      <c r="G134" s="802">
        <f ca="1">VLOOKUP(H134,Equipos!$Q$1:$R$25,2,0)</f>
        <v>19</v>
      </c>
      <c r="H134" s="803" t="str">
        <f>Idiomas!$D$137</f>
        <v>CLASIFICADOS PARA DIECISEISAVOS</v>
      </c>
      <c r="I134" s="800"/>
      <c r="J134" s="859"/>
      <c r="K134" s="49" t="str">
        <f>Idiomas!$D$198&amp;"-"&amp;ROWS($L$130:L134)</f>
        <v>Dieciseisavofinalista-5</v>
      </c>
      <c r="L134" s="46"/>
      <c r="M134" s="48" t="str">
        <f ca="1">WORLDCUP!AA105</f>
        <v>2E</v>
      </c>
      <c r="N134" s="711"/>
      <c r="O134" s="711"/>
      <c r="P134" s="711"/>
      <c r="Q134" s="711"/>
      <c r="R134" s="102"/>
      <c r="S134" s="67" t="s">
        <v>1628</v>
      </c>
      <c r="T134" s="66">
        <f t="shared" ca="1" si="1921"/>
        <v>0</v>
      </c>
      <c r="U134" s="57"/>
      <c r="V134" s="67" t="s">
        <v>1261</v>
      </c>
      <c r="W134" s="66">
        <f t="shared" ca="1" si="1922"/>
        <v>0</v>
      </c>
      <c r="X134" s="57"/>
      <c r="Y134" s="67" t="s">
        <v>1261</v>
      </c>
      <c r="Z134" s="66">
        <f t="shared" ca="1" si="1923"/>
        <v>0</v>
      </c>
      <c r="AA134" s="57"/>
      <c r="AB134" s="67" t="s">
        <v>1261</v>
      </c>
      <c r="AC134" s="66">
        <f t="shared" ca="1" si="1924"/>
        <v>0</v>
      </c>
      <c r="AD134" s="57"/>
      <c r="AE134" s="67" t="s">
        <v>1628</v>
      </c>
      <c r="AF134" s="66">
        <f t="shared" ca="1" si="1925"/>
        <v>0</v>
      </c>
      <c r="AG134" s="57"/>
      <c r="AH134" s="67" t="s">
        <v>1628</v>
      </c>
      <c r="AI134" s="66">
        <f t="shared" ca="1" si="1926"/>
        <v>0</v>
      </c>
      <c r="AJ134" s="57"/>
      <c r="AK134" s="67" t="s">
        <v>1628</v>
      </c>
      <c r="AL134" s="66">
        <f t="shared" ca="1" si="1927"/>
        <v>0</v>
      </c>
      <c r="AM134" s="57"/>
      <c r="AN134" s="67" t="s">
        <v>1261</v>
      </c>
      <c r="AO134" s="66">
        <f t="shared" ca="1" si="1928"/>
        <v>0</v>
      </c>
      <c r="AP134" s="57"/>
      <c r="AQ134" s="67" t="s">
        <v>1261</v>
      </c>
      <c r="AR134" s="66">
        <f t="shared" ca="1" si="1929"/>
        <v>0</v>
      </c>
      <c r="AS134" s="57"/>
      <c r="AT134" s="67" t="s">
        <v>1261</v>
      </c>
      <c r="AU134" s="66">
        <f t="shared" ca="1" si="1930"/>
        <v>0</v>
      </c>
      <c r="AV134" s="57"/>
      <c r="AW134" s="67" t="s">
        <v>1628</v>
      </c>
      <c r="AX134" s="66">
        <f t="shared" ca="1" si="1931"/>
        <v>0</v>
      </c>
      <c r="AY134" s="57"/>
      <c r="AZ134" s="67" t="s">
        <v>1261</v>
      </c>
      <c r="BA134" s="66">
        <f t="shared" ca="1" si="1932"/>
        <v>0</v>
      </c>
      <c r="BB134" s="57"/>
      <c r="BC134" s="67" t="s">
        <v>1628</v>
      </c>
      <c r="BD134" s="66">
        <f t="shared" ca="1" si="1933"/>
        <v>0</v>
      </c>
      <c r="BE134" s="57"/>
      <c r="BF134" s="67" t="s">
        <v>1261</v>
      </c>
      <c r="BG134" s="66">
        <f t="shared" ca="1" si="1934"/>
        <v>0</v>
      </c>
      <c r="BH134" s="57"/>
      <c r="BI134" s="67" t="s">
        <v>1261</v>
      </c>
      <c r="BJ134" s="66">
        <f t="shared" ca="1" si="1935"/>
        <v>0</v>
      </c>
      <c r="BK134" s="57"/>
      <c r="BL134" s="67" t="s">
        <v>1628</v>
      </c>
      <c r="BM134" s="66">
        <f t="shared" ca="1" si="1936"/>
        <v>0</v>
      </c>
      <c r="BN134" s="57"/>
      <c r="BO134" s="67" t="s">
        <v>1261</v>
      </c>
      <c r="BP134" s="66">
        <f t="shared" ca="1" si="1937"/>
        <v>0</v>
      </c>
      <c r="BQ134" s="57"/>
      <c r="BR134" s="67" t="s">
        <v>1261</v>
      </c>
      <c r="BS134" s="66">
        <f t="shared" ca="1" si="1938"/>
        <v>0</v>
      </c>
      <c r="BT134" s="57"/>
      <c r="BU134" s="67"/>
      <c r="BV134" s="66">
        <f t="shared" ca="1" si="1939"/>
        <v>0</v>
      </c>
      <c r="BW134" s="57"/>
      <c r="BX134" s="67"/>
      <c r="BY134" s="66">
        <f t="shared" ca="1" si="1940"/>
        <v>0</v>
      </c>
      <c r="BZ134" s="57"/>
      <c r="CA134" s="67"/>
      <c r="CB134" s="66">
        <f t="shared" ca="1" si="1941"/>
        <v>0</v>
      </c>
      <c r="CC134" s="57"/>
      <c r="CD134" s="67"/>
      <c r="CE134" s="66">
        <f t="shared" ca="1" si="1942"/>
        <v>0</v>
      </c>
      <c r="CF134" s="57"/>
      <c r="CG134" s="67"/>
      <c r="CH134" s="66">
        <f t="shared" ca="1" si="1943"/>
        <v>0</v>
      </c>
      <c r="CI134" s="57"/>
      <c r="CJ134" s="67"/>
      <c r="CK134" s="66">
        <f t="shared" ca="1" si="1944"/>
        <v>0</v>
      </c>
      <c r="CL134" s="57"/>
      <c r="CM134" s="67"/>
      <c r="CN134" s="66">
        <f t="shared" ca="1" si="1945"/>
        <v>0</v>
      </c>
      <c r="CO134" s="57"/>
      <c r="CP134" s="67"/>
      <c r="CQ134" s="66">
        <f t="shared" ca="1" si="1946"/>
        <v>0</v>
      </c>
      <c r="CR134" s="57"/>
      <c r="CS134" s="67"/>
      <c r="CT134" s="66">
        <f t="shared" ca="1" si="1947"/>
        <v>0</v>
      </c>
      <c r="CU134" s="57"/>
      <c r="CV134" s="67"/>
      <c r="CW134" s="66">
        <f t="shared" ca="1" si="1948"/>
        <v>0</v>
      </c>
      <c r="CX134" s="57"/>
      <c r="CY134" s="67"/>
      <c r="CZ134" s="66">
        <f t="shared" ca="1" si="1949"/>
        <v>0</v>
      </c>
      <c r="DA134" s="57"/>
      <c r="DB134" s="67"/>
      <c r="DC134" s="66">
        <f t="shared" ca="1" si="1950"/>
        <v>0</v>
      </c>
      <c r="DD134" s="57"/>
      <c r="DE134" s="67"/>
      <c r="DF134" s="66">
        <f t="shared" ca="1" si="1951"/>
        <v>0</v>
      </c>
      <c r="DG134" s="57"/>
      <c r="DH134" s="67"/>
      <c r="DI134" s="66">
        <f t="shared" ca="1" si="1952"/>
        <v>0</v>
      </c>
      <c r="DJ134" s="57"/>
      <c r="DK134" s="67"/>
      <c r="DL134" s="66">
        <f t="shared" ca="1" si="1953"/>
        <v>0</v>
      </c>
      <c r="DM134" s="57"/>
      <c r="DN134" s="67"/>
      <c r="DO134" s="66">
        <f t="shared" ca="1" si="1954"/>
        <v>0</v>
      </c>
      <c r="DP134" s="57"/>
      <c r="DQ134" s="67"/>
      <c r="DR134" s="66">
        <f t="shared" ca="1" si="1955"/>
        <v>0</v>
      </c>
      <c r="DS134" s="57"/>
      <c r="DT134" s="67"/>
      <c r="DU134" s="66">
        <f t="shared" ca="1" si="1956"/>
        <v>0</v>
      </c>
      <c r="DV134" s="57"/>
      <c r="DW134" s="67"/>
      <c r="DX134" s="66">
        <f t="shared" ca="1" si="1957"/>
        <v>0</v>
      </c>
      <c r="DY134" s="57"/>
      <c r="DZ134" s="67"/>
      <c r="EA134" s="66">
        <f t="shared" ca="1" si="1958"/>
        <v>0</v>
      </c>
      <c r="EB134" s="57"/>
      <c r="EC134" s="67"/>
      <c r="ED134" s="66">
        <f t="shared" ca="1" si="1959"/>
        <v>0</v>
      </c>
      <c r="EE134" s="57"/>
      <c r="EF134" s="67"/>
      <c r="EG134" s="66">
        <f t="shared" ca="1" si="1960"/>
        <v>0</v>
      </c>
      <c r="EH134" s="57"/>
      <c r="EI134" s="57"/>
    </row>
    <row r="135" spans="1:139">
      <c r="A135" s="43"/>
      <c r="B135" s="43"/>
      <c r="C135" s="800"/>
      <c r="D135" s="800"/>
      <c r="E135" s="800"/>
      <c r="F135" s="801">
        <f t="shared" si="1961"/>
        <v>3</v>
      </c>
      <c r="G135" s="802">
        <f ca="1">VLOOKUP(H135,Equipos!$Q$1:$R$25,2,0)</f>
        <v>19</v>
      </c>
      <c r="H135" s="803" t="str">
        <f>Idiomas!$D$137</f>
        <v>CLASIFICADOS PARA DIECISEISAVOS</v>
      </c>
      <c r="I135" s="800"/>
      <c r="J135" s="859"/>
      <c r="K135" s="49" t="str">
        <f>Idiomas!$D$198&amp;"-"&amp;ROWS($L$130:L135)</f>
        <v>Dieciseisavofinalista-6</v>
      </c>
      <c r="L135" s="46"/>
      <c r="M135" s="48" t="str">
        <f ca="1">WORLDCUP!AA106</f>
        <v>1I</v>
      </c>
      <c r="N135" s="711"/>
      <c r="O135" s="711"/>
      <c r="P135" s="711"/>
      <c r="Q135" s="711"/>
      <c r="R135" s="102"/>
      <c r="S135" s="67" t="s">
        <v>74</v>
      </c>
      <c r="T135" s="66">
        <f t="shared" ca="1" si="1921"/>
        <v>0</v>
      </c>
      <c r="U135" s="57"/>
      <c r="V135" s="67" t="s">
        <v>74</v>
      </c>
      <c r="W135" s="66">
        <f t="shared" ca="1" si="1922"/>
        <v>0</v>
      </c>
      <c r="X135" s="57"/>
      <c r="Y135" s="67" t="s">
        <v>74</v>
      </c>
      <c r="Z135" s="66">
        <f t="shared" ca="1" si="1923"/>
        <v>0</v>
      </c>
      <c r="AA135" s="57"/>
      <c r="AB135" s="67" t="s">
        <v>74</v>
      </c>
      <c r="AC135" s="66">
        <f t="shared" ca="1" si="1924"/>
        <v>0</v>
      </c>
      <c r="AD135" s="57"/>
      <c r="AE135" s="67" t="s">
        <v>74</v>
      </c>
      <c r="AF135" s="66">
        <f t="shared" ca="1" si="1925"/>
        <v>0</v>
      </c>
      <c r="AG135" s="57"/>
      <c r="AH135" s="67" t="s">
        <v>74</v>
      </c>
      <c r="AI135" s="66">
        <f t="shared" ca="1" si="1926"/>
        <v>0</v>
      </c>
      <c r="AJ135" s="57"/>
      <c r="AK135" s="67" t="s">
        <v>74</v>
      </c>
      <c r="AL135" s="66">
        <f t="shared" ca="1" si="1927"/>
        <v>0</v>
      </c>
      <c r="AM135" s="57"/>
      <c r="AN135" s="67" t="s">
        <v>74</v>
      </c>
      <c r="AO135" s="66">
        <f t="shared" ca="1" si="1928"/>
        <v>0</v>
      </c>
      <c r="AP135" s="57"/>
      <c r="AQ135" s="67" t="s">
        <v>1629</v>
      </c>
      <c r="AR135" s="66">
        <f t="shared" ca="1" si="1929"/>
        <v>0</v>
      </c>
      <c r="AS135" s="57"/>
      <c r="AT135" s="67" t="s">
        <v>74</v>
      </c>
      <c r="AU135" s="66">
        <f t="shared" ca="1" si="1930"/>
        <v>0</v>
      </c>
      <c r="AV135" s="57"/>
      <c r="AW135" s="67" t="s">
        <v>74</v>
      </c>
      <c r="AX135" s="66">
        <f t="shared" ca="1" si="1931"/>
        <v>0</v>
      </c>
      <c r="AY135" s="57"/>
      <c r="AZ135" s="67" t="s">
        <v>74</v>
      </c>
      <c r="BA135" s="66">
        <f t="shared" ca="1" si="1932"/>
        <v>0</v>
      </c>
      <c r="BB135" s="57"/>
      <c r="BC135" s="67" t="s">
        <v>74</v>
      </c>
      <c r="BD135" s="66">
        <f t="shared" ca="1" si="1933"/>
        <v>0</v>
      </c>
      <c r="BE135" s="57"/>
      <c r="BF135" s="67" t="s">
        <v>74</v>
      </c>
      <c r="BG135" s="66">
        <f t="shared" ca="1" si="1934"/>
        <v>0</v>
      </c>
      <c r="BH135" s="57"/>
      <c r="BI135" s="67" t="s">
        <v>74</v>
      </c>
      <c r="BJ135" s="66">
        <f t="shared" ca="1" si="1935"/>
        <v>0</v>
      </c>
      <c r="BK135" s="57"/>
      <c r="BL135" s="67" t="s">
        <v>74</v>
      </c>
      <c r="BM135" s="66">
        <f t="shared" ca="1" si="1936"/>
        <v>0</v>
      </c>
      <c r="BN135" s="57"/>
      <c r="BO135" s="67" t="s">
        <v>74</v>
      </c>
      <c r="BP135" s="66">
        <f t="shared" ca="1" si="1937"/>
        <v>0</v>
      </c>
      <c r="BQ135" s="57"/>
      <c r="BR135" s="67" t="s">
        <v>74</v>
      </c>
      <c r="BS135" s="66">
        <f t="shared" ca="1" si="1938"/>
        <v>0</v>
      </c>
      <c r="BT135" s="57"/>
      <c r="BU135" s="67"/>
      <c r="BV135" s="66">
        <f t="shared" ca="1" si="1939"/>
        <v>0</v>
      </c>
      <c r="BW135" s="57"/>
      <c r="BX135" s="67"/>
      <c r="BY135" s="66">
        <f t="shared" ca="1" si="1940"/>
        <v>0</v>
      </c>
      <c r="BZ135" s="57"/>
      <c r="CA135" s="67"/>
      <c r="CB135" s="66">
        <f t="shared" ca="1" si="1941"/>
        <v>0</v>
      </c>
      <c r="CC135" s="57"/>
      <c r="CD135" s="67"/>
      <c r="CE135" s="66">
        <f t="shared" ca="1" si="1942"/>
        <v>0</v>
      </c>
      <c r="CF135" s="57"/>
      <c r="CG135" s="67"/>
      <c r="CH135" s="66">
        <f t="shared" ca="1" si="1943"/>
        <v>0</v>
      </c>
      <c r="CI135" s="57"/>
      <c r="CJ135" s="67"/>
      <c r="CK135" s="66">
        <f t="shared" ca="1" si="1944"/>
        <v>0</v>
      </c>
      <c r="CL135" s="57"/>
      <c r="CM135" s="67"/>
      <c r="CN135" s="66">
        <f t="shared" ca="1" si="1945"/>
        <v>0</v>
      </c>
      <c r="CO135" s="57"/>
      <c r="CP135" s="67"/>
      <c r="CQ135" s="66">
        <f t="shared" ca="1" si="1946"/>
        <v>0</v>
      </c>
      <c r="CR135" s="57"/>
      <c r="CS135" s="67"/>
      <c r="CT135" s="66">
        <f t="shared" ca="1" si="1947"/>
        <v>0</v>
      </c>
      <c r="CU135" s="57"/>
      <c r="CV135" s="67"/>
      <c r="CW135" s="66">
        <f t="shared" ca="1" si="1948"/>
        <v>0</v>
      </c>
      <c r="CX135" s="57"/>
      <c r="CY135" s="67"/>
      <c r="CZ135" s="66">
        <f t="shared" ca="1" si="1949"/>
        <v>0</v>
      </c>
      <c r="DA135" s="57"/>
      <c r="DB135" s="67"/>
      <c r="DC135" s="66">
        <f t="shared" ca="1" si="1950"/>
        <v>0</v>
      </c>
      <c r="DD135" s="57"/>
      <c r="DE135" s="67"/>
      <c r="DF135" s="66">
        <f t="shared" ca="1" si="1951"/>
        <v>0</v>
      </c>
      <c r="DG135" s="57"/>
      <c r="DH135" s="67"/>
      <c r="DI135" s="66">
        <f t="shared" ca="1" si="1952"/>
        <v>0</v>
      </c>
      <c r="DJ135" s="57"/>
      <c r="DK135" s="67"/>
      <c r="DL135" s="66">
        <f t="shared" ca="1" si="1953"/>
        <v>0</v>
      </c>
      <c r="DM135" s="57"/>
      <c r="DN135" s="67"/>
      <c r="DO135" s="66">
        <f t="shared" ca="1" si="1954"/>
        <v>0</v>
      </c>
      <c r="DP135" s="57"/>
      <c r="DQ135" s="67"/>
      <c r="DR135" s="66">
        <f t="shared" ca="1" si="1955"/>
        <v>0</v>
      </c>
      <c r="DS135" s="57"/>
      <c r="DT135" s="67"/>
      <c r="DU135" s="66">
        <f t="shared" ca="1" si="1956"/>
        <v>0</v>
      </c>
      <c r="DV135" s="57"/>
      <c r="DW135" s="67"/>
      <c r="DX135" s="66">
        <f t="shared" ca="1" si="1957"/>
        <v>0</v>
      </c>
      <c r="DY135" s="57"/>
      <c r="DZ135" s="67"/>
      <c r="EA135" s="66">
        <f t="shared" ca="1" si="1958"/>
        <v>0</v>
      </c>
      <c r="EB135" s="57"/>
      <c r="EC135" s="67"/>
      <c r="ED135" s="66">
        <f t="shared" ca="1" si="1959"/>
        <v>0</v>
      </c>
      <c r="EE135" s="57"/>
      <c r="EF135" s="67"/>
      <c r="EG135" s="66">
        <f t="shared" ca="1" si="1960"/>
        <v>0</v>
      </c>
      <c r="EH135" s="57"/>
      <c r="EI135" s="57"/>
    </row>
    <row r="136" spans="1:139">
      <c r="A136" s="43"/>
      <c r="B136" s="43"/>
      <c r="C136" s="800"/>
      <c r="D136" s="800"/>
      <c r="E136" s="800"/>
      <c r="F136" s="801">
        <f t="shared" si="1961"/>
        <v>3</v>
      </c>
      <c r="G136" s="802">
        <f ca="1">VLOOKUP(H136,Equipos!$Q$1:$R$25,2,0)</f>
        <v>19</v>
      </c>
      <c r="H136" s="803" t="str">
        <f>Idiomas!$D$137</f>
        <v>CLASIFICADOS PARA DIECISEISAVOS</v>
      </c>
      <c r="I136" s="800"/>
      <c r="J136" s="859"/>
      <c r="K136" s="49" t="str">
        <f>Idiomas!$D$198&amp;"-"&amp;ROWS($L$130:L136)</f>
        <v>Dieciseisavofinalista-7</v>
      </c>
      <c r="L136" s="46"/>
      <c r="M136" s="48" t="str">
        <f ca="1">WORLDCUP!AA107</f>
        <v>1A</v>
      </c>
      <c r="N136" s="711"/>
      <c r="O136" s="711"/>
      <c r="P136" s="711"/>
      <c r="Q136" s="711"/>
      <c r="R136" s="102"/>
      <c r="S136" s="67" t="s">
        <v>1265</v>
      </c>
      <c r="T136" s="66">
        <f t="shared" ca="1" si="1921"/>
        <v>0</v>
      </c>
      <c r="U136" s="57"/>
      <c r="V136" s="67" t="s">
        <v>1837</v>
      </c>
      <c r="W136" s="66">
        <f t="shared" ca="1" si="1922"/>
        <v>0</v>
      </c>
      <c r="X136" s="57"/>
      <c r="Y136" s="67" t="s">
        <v>1265</v>
      </c>
      <c r="Z136" s="66">
        <f t="shared" ca="1" si="1923"/>
        <v>0</v>
      </c>
      <c r="AA136" s="57"/>
      <c r="AB136" s="67" t="s">
        <v>1837</v>
      </c>
      <c r="AC136" s="66">
        <f t="shared" ca="1" si="1924"/>
        <v>0</v>
      </c>
      <c r="AD136" s="57"/>
      <c r="AE136" s="67" t="s">
        <v>1260</v>
      </c>
      <c r="AF136" s="66">
        <f t="shared" ca="1" si="1925"/>
        <v>0</v>
      </c>
      <c r="AG136" s="57"/>
      <c r="AH136" s="67" t="s">
        <v>1265</v>
      </c>
      <c r="AI136" s="66">
        <f t="shared" ca="1" si="1926"/>
        <v>0</v>
      </c>
      <c r="AJ136" s="57"/>
      <c r="AK136" s="67" t="s">
        <v>1265</v>
      </c>
      <c r="AL136" s="66">
        <f t="shared" ca="1" si="1927"/>
        <v>0</v>
      </c>
      <c r="AM136" s="57"/>
      <c r="AN136" s="67" t="s">
        <v>1265</v>
      </c>
      <c r="AO136" s="66">
        <f t="shared" ca="1" si="1928"/>
        <v>0</v>
      </c>
      <c r="AP136" s="57"/>
      <c r="AQ136" s="67" t="s">
        <v>1260</v>
      </c>
      <c r="AR136" s="66">
        <f t="shared" ca="1" si="1929"/>
        <v>0</v>
      </c>
      <c r="AS136" s="57"/>
      <c r="AT136" s="67" t="s">
        <v>1837</v>
      </c>
      <c r="AU136" s="66">
        <f t="shared" ca="1" si="1930"/>
        <v>0</v>
      </c>
      <c r="AV136" s="57"/>
      <c r="AW136" s="67" t="s">
        <v>1837</v>
      </c>
      <c r="AX136" s="66">
        <f t="shared" ca="1" si="1931"/>
        <v>0</v>
      </c>
      <c r="AY136" s="57"/>
      <c r="AZ136" s="67" t="s">
        <v>1265</v>
      </c>
      <c r="BA136" s="66">
        <f t="shared" ca="1" si="1932"/>
        <v>0</v>
      </c>
      <c r="BB136" s="57"/>
      <c r="BC136" s="67" t="s">
        <v>1265</v>
      </c>
      <c r="BD136" s="66">
        <f t="shared" ca="1" si="1933"/>
        <v>0</v>
      </c>
      <c r="BE136" s="57"/>
      <c r="BF136" s="67" t="s">
        <v>1265</v>
      </c>
      <c r="BG136" s="66">
        <f t="shared" ca="1" si="1934"/>
        <v>0</v>
      </c>
      <c r="BH136" s="57"/>
      <c r="BI136" s="67" t="s">
        <v>1265</v>
      </c>
      <c r="BJ136" s="66">
        <f t="shared" ca="1" si="1935"/>
        <v>0</v>
      </c>
      <c r="BK136" s="57"/>
      <c r="BL136" s="67" t="s">
        <v>1260</v>
      </c>
      <c r="BM136" s="66">
        <f t="shared" ca="1" si="1936"/>
        <v>0</v>
      </c>
      <c r="BN136" s="57"/>
      <c r="BO136" s="67" t="s">
        <v>1265</v>
      </c>
      <c r="BP136" s="66">
        <f t="shared" ca="1" si="1937"/>
        <v>0</v>
      </c>
      <c r="BQ136" s="57"/>
      <c r="BR136" s="67" t="s">
        <v>1265</v>
      </c>
      <c r="BS136" s="66">
        <f t="shared" ca="1" si="1938"/>
        <v>0</v>
      </c>
      <c r="BT136" s="57"/>
      <c r="BU136" s="67"/>
      <c r="BV136" s="66">
        <f t="shared" ca="1" si="1939"/>
        <v>0</v>
      </c>
      <c r="BW136" s="57"/>
      <c r="BX136" s="67"/>
      <c r="BY136" s="66">
        <f t="shared" ca="1" si="1940"/>
        <v>0</v>
      </c>
      <c r="BZ136" s="57"/>
      <c r="CA136" s="67"/>
      <c r="CB136" s="66">
        <f t="shared" ca="1" si="1941"/>
        <v>0</v>
      </c>
      <c r="CC136" s="57"/>
      <c r="CD136" s="67"/>
      <c r="CE136" s="66">
        <f t="shared" ca="1" si="1942"/>
        <v>0</v>
      </c>
      <c r="CF136" s="57"/>
      <c r="CG136" s="67"/>
      <c r="CH136" s="66">
        <f t="shared" ca="1" si="1943"/>
        <v>0</v>
      </c>
      <c r="CI136" s="57"/>
      <c r="CJ136" s="67"/>
      <c r="CK136" s="66">
        <f t="shared" ca="1" si="1944"/>
        <v>0</v>
      </c>
      <c r="CL136" s="57"/>
      <c r="CM136" s="67"/>
      <c r="CN136" s="66">
        <f t="shared" ca="1" si="1945"/>
        <v>0</v>
      </c>
      <c r="CO136" s="57"/>
      <c r="CP136" s="67"/>
      <c r="CQ136" s="66">
        <f t="shared" ca="1" si="1946"/>
        <v>0</v>
      </c>
      <c r="CR136" s="57"/>
      <c r="CS136" s="67"/>
      <c r="CT136" s="66">
        <f t="shared" ca="1" si="1947"/>
        <v>0</v>
      </c>
      <c r="CU136" s="57"/>
      <c r="CV136" s="67"/>
      <c r="CW136" s="66">
        <f t="shared" ca="1" si="1948"/>
        <v>0</v>
      </c>
      <c r="CX136" s="57"/>
      <c r="CY136" s="67"/>
      <c r="CZ136" s="66">
        <f t="shared" ca="1" si="1949"/>
        <v>0</v>
      </c>
      <c r="DA136" s="57"/>
      <c r="DB136" s="67"/>
      <c r="DC136" s="66">
        <f t="shared" ca="1" si="1950"/>
        <v>0</v>
      </c>
      <c r="DD136" s="57"/>
      <c r="DE136" s="67"/>
      <c r="DF136" s="66">
        <f t="shared" ca="1" si="1951"/>
        <v>0</v>
      </c>
      <c r="DG136" s="57"/>
      <c r="DH136" s="67"/>
      <c r="DI136" s="66">
        <f t="shared" ca="1" si="1952"/>
        <v>0</v>
      </c>
      <c r="DJ136" s="57"/>
      <c r="DK136" s="67"/>
      <c r="DL136" s="66">
        <f t="shared" ca="1" si="1953"/>
        <v>0</v>
      </c>
      <c r="DM136" s="57"/>
      <c r="DN136" s="67"/>
      <c r="DO136" s="66">
        <f t="shared" ca="1" si="1954"/>
        <v>0</v>
      </c>
      <c r="DP136" s="57"/>
      <c r="DQ136" s="67"/>
      <c r="DR136" s="66">
        <f t="shared" ca="1" si="1955"/>
        <v>0</v>
      </c>
      <c r="DS136" s="57"/>
      <c r="DT136" s="67"/>
      <c r="DU136" s="66">
        <f t="shared" ca="1" si="1956"/>
        <v>0</v>
      </c>
      <c r="DV136" s="57"/>
      <c r="DW136" s="67"/>
      <c r="DX136" s="66">
        <f t="shared" ca="1" si="1957"/>
        <v>0</v>
      </c>
      <c r="DY136" s="57"/>
      <c r="DZ136" s="67"/>
      <c r="EA136" s="66">
        <f t="shared" ca="1" si="1958"/>
        <v>0</v>
      </c>
      <c r="EB136" s="57"/>
      <c r="EC136" s="67"/>
      <c r="ED136" s="66">
        <f t="shared" ca="1" si="1959"/>
        <v>0</v>
      </c>
      <c r="EE136" s="57"/>
      <c r="EF136" s="67"/>
      <c r="EG136" s="66">
        <f t="shared" ca="1" si="1960"/>
        <v>0</v>
      </c>
      <c r="EH136" s="57"/>
      <c r="EI136" s="57"/>
    </row>
    <row r="137" spans="1:139">
      <c r="A137" s="43"/>
      <c r="B137" s="43"/>
      <c r="C137" s="800"/>
      <c r="D137" s="800"/>
      <c r="E137" s="800"/>
      <c r="F137" s="801">
        <f t="shared" si="1961"/>
        <v>3</v>
      </c>
      <c r="G137" s="802">
        <f ca="1">VLOOKUP(H137,Equipos!$Q$1:$R$25,2,0)</f>
        <v>19</v>
      </c>
      <c r="H137" s="803" t="str">
        <f>Idiomas!$D$137</f>
        <v>CLASIFICADOS PARA DIECISEISAVOS</v>
      </c>
      <c r="I137" s="800"/>
      <c r="J137" s="859"/>
      <c r="K137" s="49" t="str">
        <f>Idiomas!$D$198&amp;"-"&amp;ROWS($L$130:L137)</f>
        <v>Dieciseisavofinalista-8</v>
      </c>
      <c r="L137" s="46"/>
      <c r="M137" s="48" t="str">
        <f ca="1">WORLDCUP!AA108</f>
        <v>1L</v>
      </c>
      <c r="N137" s="711"/>
      <c r="O137" s="711"/>
      <c r="P137" s="711"/>
      <c r="Q137" s="711"/>
      <c r="R137" s="102"/>
      <c r="S137" s="67" t="s">
        <v>76</v>
      </c>
      <c r="T137" s="66">
        <f t="shared" ca="1" si="1921"/>
        <v>0</v>
      </c>
      <c r="U137" s="57"/>
      <c r="V137" s="67" t="s">
        <v>76</v>
      </c>
      <c r="W137" s="66">
        <f t="shared" ca="1" si="1922"/>
        <v>0</v>
      </c>
      <c r="X137" s="57"/>
      <c r="Y137" s="67" t="s">
        <v>76</v>
      </c>
      <c r="Z137" s="66">
        <f t="shared" ca="1" si="1923"/>
        <v>0</v>
      </c>
      <c r="AA137" s="57"/>
      <c r="AB137" s="67" t="s">
        <v>78</v>
      </c>
      <c r="AC137" s="66">
        <f t="shared" ca="1" si="1924"/>
        <v>0</v>
      </c>
      <c r="AD137" s="57"/>
      <c r="AE137" s="67" t="s">
        <v>76</v>
      </c>
      <c r="AF137" s="66">
        <f t="shared" ca="1" si="1925"/>
        <v>0</v>
      </c>
      <c r="AG137" s="57"/>
      <c r="AH137" s="67" t="s">
        <v>76</v>
      </c>
      <c r="AI137" s="66">
        <f t="shared" ca="1" si="1926"/>
        <v>0</v>
      </c>
      <c r="AJ137" s="57"/>
      <c r="AK137" s="67" t="s">
        <v>76</v>
      </c>
      <c r="AL137" s="66">
        <f t="shared" ca="1" si="1927"/>
        <v>0</v>
      </c>
      <c r="AM137" s="57"/>
      <c r="AN137" s="67" t="s">
        <v>76</v>
      </c>
      <c r="AO137" s="66">
        <f t="shared" ca="1" si="1928"/>
        <v>0</v>
      </c>
      <c r="AP137" s="57"/>
      <c r="AQ137" s="67" t="s">
        <v>76</v>
      </c>
      <c r="AR137" s="66">
        <f t="shared" ca="1" si="1929"/>
        <v>0</v>
      </c>
      <c r="AS137" s="57"/>
      <c r="AT137" s="67" t="s">
        <v>76</v>
      </c>
      <c r="AU137" s="66">
        <f t="shared" ca="1" si="1930"/>
        <v>0</v>
      </c>
      <c r="AV137" s="57"/>
      <c r="AW137" s="67" t="s">
        <v>76</v>
      </c>
      <c r="AX137" s="66">
        <f t="shared" ca="1" si="1931"/>
        <v>0</v>
      </c>
      <c r="AY137" s="57"/>
      <c r="AZ137" s="67" t="s">
        <v>76</v>
      </c>
      <c r="BA137" s="66">
        <f t="shared" ca="1" si="1932"/>
        <v>0</v>
      </c>
      <c r="BB137" s="57"/>
      <c r="BC137" s="67" t="s">
        <v>1546</v>
      </c>
      <c r="BD137" s="66">
        <f t="shared" ca="1" si="1933"/>
        <v>0</v>
      </c>
      <c r="BE137" s="57"/>
      <c r="BF137" s="67" t="s">
        <v>76</v>
      </c>
      <c r="BG137" s="66">
        <f t="shared" ca="1" si="1934"/>
        <v>0</v>
      </c>
      <c r="BH137" s="57"/>
      <c r="BI137" s="67" t="s">
        <v>76</v>
      </c>
      <c r="BJ137" s="66">
        <f t="shared" ca="1" si="1935"/>
        <v>0</v>
      </c>
      <c r="BK137" s="57"/>
      <c r="BL137" s="67" t="s">
        <v>76</v>
      </c>
      <c r="BM137" s="66">
        <f t="shared" ca="1" si="1936"/>
        <v>0</v>
      </c>
      <c r="BN137" s="57"/>
      <c r="BO137" s="67" t="s">
        <v>76</v>
      </c>
      <c r="BP137" s="66">
        <f t="shared" ca="1" si="1937"/>
        <v>0</v>
      </c>
      <c r="BQ137" s="57"/>
      <c r="BR137" s="67" t="s">
        <v>76</v>
      </c>
      <c r="BS137" s="66">
        <f t="shared" ca="1" si="1938"/>
        <v>0</v>
      </c>
      <c r="BT137" s="57"/>
      <c r="BU137" s="67"/>
      <c r="BV137" s="66">
        <f t="shared" ca="1" si="1939"/>
        <v>0</v>
      </c>
      <c r="BW137" s="57"/>
      <c r="BX137" s="67"/>
      <c r="BY137" s="66">
        <f t="shared" ca="1" si="1940"/>
        <v>0</v>
      </c>
      <c r="BZ137" s="57"/>
      <c r="CA137" s="67"/>
      <c r="CB137" s="66">
        <f t="shared" ca="1" si="1941"/>
        <v>0</v>
      </c>
      <c r="CC137" s="57"/>
      <c r="CD137" s="67"/>
      <c r="CE137" s="66">
        <f t="shared" ca="1" si="1942"/>
        <v>0</v>
      </c>
      <c r="CF137" s="57"/>
      <c r="CG137" s="67"/>
      <c r="CH137" s="66">
        <f t="shared" ca="1" si="1943"/>
        <v>0</v>
      </c>
      <c r="CI137" s="57"/>
      <c r="CJ137" s="67"/>
      <c r="CK137" s="66">
        <f t="shared" ca="1" si="1944"/>
        <v>0</v>
      </c>
      <c r="CL137" s="57"/>
      <c r="CM137" s="67"/>
      <c r="CN137" s="66">
        <f t="shared" ca="1" si="1945"/>
        <v>0</v>
      </c>
      <c r="CO137" s="57"/>
      <c r="CP137" s="67"/>
      <c r="CQ137" s="66">
        <f t="shared" ca="1" si="1946"/>
        <v>0</v>
      </c>
      <c r="CR137" s="57"/>
      <c r="CS137" s="67"/>
      <c r="CT137" s="66">
        <f t="shared" ca="1" si="1947"/>
        <v>0</v>
      </c>
      <c r="CU137" s="57"/>
      <c r="CV137" s="67"/>
      <c r="CW137" s="66">
        <f t="shared" ca="1" si="1948"/>
        <v>0</v>
      </c>
      <c r="CX137" s="57"/>
      <c r="CY137" s="67"/>
      <c r="CZ137" s="66">
        <f t="shared" ca="1" si="1949"/>
        <v>0</v>
      </c>
      <c r="DA137" s="57"/>
      <c r="DB137" s="67"/>
      <c r="DC137" s="66">
        <f t="shared" ca="1" si="1950"/>
        <v>0</v>
      </c>
      <c r="DD137" s="57"/>
      <c r="DE137" s="67"/>
      <c r="DF137" s="66">
        <f t="shared" ca="1" si="1951"/>
        <v>0</v>
      </c>
      <c r="DG137" s="57"/>
      <c r="DH137" s="67"/>
      <c r="DI137" s="66">
        <f t="shared" ca="1" si="1952"/>
        <v>0</v>
      </c>
      <c r="DJ137" s="57"/>
      <c r="DK137" s="67"/>
      <c r="DL137" s="66">
        <f t="shared" ca="1" si="1953"/>
        <v>0</v>
      </c>
      <c r="DM137" s="57"/>
      <c r="DN137" s="67"/>
      <c r="DO137" s="66">
        <f t="shared" ca="1" si="1954"/>
        <v>0</v>
      </c>
      <c r="DP137" s="57"/>
      <c r="DQ137" s="67"/>
      <c r="DR137" s="66">
        <f t="shared" ca="1" si="1955"/>
        <v>0</v>
      </c>
      <c r="DS137" s="57"/>
      <c r="DT137" s="67"/>
      <c r="DU137" s="66">
        <f t="shared" ca="1" si="1956"/>
        <v>0</v>
      </c>
      <c r="DV137" s="57"/>
      <c r="DW137" s="67"/>
      <c r="DX137" s="66">
        <f t="shared" ca="1" si="1957"/>
        <v>0</v>
      </c>
      <c r="DY137" s="57"/>
      <c r="DZ137" s="67"/>
      <c r="EA137" s="66">
        <f t="shared" ca="1" si="1958"/>
        <v>0</v>
      </c>
      <c r="EB137" s="57"/>
      <c r="EC137" s="67"/>
      <c r="ED137" s="66">
        <f t="shared" ca="1" si="1959"/>
        <v>0</v>
      </c>
      <c r="EE137" s="57"/>
      <c r="EF137" s="67"/>
      <c r="EG137" s="66">
        <f t="shared" ca="1" si="1960"/>
        <v>0</v>
      </c>
      <c r="EH137" s="57"/>
      <c r="EI137" s="57"/>
    </row>
    <row r="138" spans="1:139">
      <c r="A138" s="43"/>
      <c r="B138" s="43"/>
      <c r="C138" s="800"/>
      <c r="D138" s="800"/>
      <c r="E138" s="800"/>
      <c r="F138" s="801">
        <f t="shared" si="1961"/>
        <v>3</v>
      </c>
      <c r="G138" s="802">
        <f ca="1">VLOOKUP(H138,Equipos!$Q$1:$R$25,2,0)</f>
        <v>19</v>
      </c>
      <c r="H138" s="803" t="str">
        <f>Idiomas!$D$137</f>
        <v>CLASIFICADOS PARA DIECISEISAVOS</v>
      </c>
      <c r="I138" s="800"/>
      <c r="J138" s="859"/>
      <c r="K138" s="49" t="str">
        <f>Idiomas!$D$198&amp;"-"&amp;ROWS($L$130:L138)</f>
        <v>Dieciseisavofinalista-9</v>
      </c>
      <c r="L138" s="46"/>
      <c r="M138" s="48" t="str">
        <f ca="1">WORLDCUP!AA109</f>
        <v>1G</v>
      </c>
      <c r="N138" s="711"/>
      <c r="O138" s="711"/>
      <c r="P138" s="711"/>
      <c r="Q138" s="711"/>
      <c r="R138" s="102"/>
      <c r="S138" s="67" t="s">
        <v>110</v>
      </c>
      <c r="T138" s="66">
        <f t="shared" ca="1" si="1921"/>
        <v>0</v>
      </c>
      <c r="U138" s="57"/>
      <c r="V138" s="67" t="s">
        <v>110</v>
      </c>
      <c r="W138" s="66">
        <f t="shared" ca="1" si="1922"/>
        <v>0</v>
      </c>
      <c r="X138" s="57"/>
      <c r="Y138" s="67" t="s">
        <v>110</v>
      </c>
      <c r="Z138" s="66">
        <f t="shared" ca="1" si="1923"/>
        <v>0</v>
      </c>
      <c r="AA138" s="57"/>
      <c r="AB138" s="67" t="s">
        <v>110</v>
      </c>
      <c r="AC138" s="66">
        <f t="shared" ca="1" si="1924"/>
        <v>0</v>
      </c>
      <c r="AD138" s="57"/>
      <c r="AE138" s="67" t="s">
        <v>110</v>
      </c>
      <c r="AF138" s="66">
        <f t="shared" ca="1" si="1925"/>
        <v>0</v>
      </c>
      <c r="AG138" s="57"/>
      <c r="AH138" s="67" t="s">
        <v>110</v>
      </c>
      <c r="AI138" s="66">
        <f t="shared" ca="1" si="1926"/>
        <v>0</v>
      </c>
      <c r="AJ138" s="57"/>
      <c r="AK138" s="67" t="s">
        <v>110</v>
      </c>
      <c r="AL138" s="66">
        <f t="shared" ca="1" si="1927"/>
        <v>0</v>
      </c>
      <c r="AM138" s="57"/>
      <c r="AN138" s="67" t="s">
        <v>110</v>
      </c>
      <c r="AO138" s="66">
        <f t="shared" ca="1" si="1928"/>
        <v>0</v>
      </c>
      <c r="AP138" s="57"/>
      <c r="AQ138" s="67" t="s">
        <v>110</v>
      </c>
      <c r="AR138" s="66">
        <f t="shared" ca="1" si="1929"/>
        <v>0</v>
      </c>
      <c r="AS138" s="57"/>
      <c r="AT138" s="67" t="s">
        <v>110</v>
      </c>
      <c r="AU138" s="66">
        <f t="shared" ca="1" si="1930"/>
        <v>0</v>
      </c>
      <c r="AV138" s="57"/>
      <c r="AW138" s="67" t="s">
        <v>110</v>
      </c>
      <c r="AX138" s="66">
        <f t="shared" ca="1" si="1931"/>
        <v>0</v>
      </c>
      <c r="AY138" s="57"/>
      <c r="AZ138" s="67" t="s">
        <v>110</v>
      </c>
      <c r="BA138" s="66">
        <f t="shared" ca="1" si="1932"/>
        <v>0</v>
      </c>
      <c r="BB138" s="57"/>
      <c r="BC138" s="67" t="s">
        <v>110</v>
      </c>
      <c r="BD138" s="66">
        <f t="shared" ca="1" si="1933"/>
        <v>0</v>
      </c>
      <c r="BE138" s="57"/>
      <c r="BF138" s="67" t="s">
        <v>110</v>
      </c>
      <c r="BG138" s="66">
        <f t="shared" ca="1" si="1934"/>
        <v>0</v>
      </c>
      <c r="BH138" s="57"/>
      <c r="BI138" s="67" t="s">
        <v>110</v>
      </c>
      <c r="BJ138" s="66">
        <f t="shared" ca="1" si="1935"/>
        <v>0</v>
      </c>
      <c r="BK138" s="57"/>
      <c r="BL138" s="67" t="s">
        <v>110</v>
      </c>
      <c r="BM138" s="66">
        <f t="shared" ca="1" si="1936"/>
        <v>0</v>
      </c>
      <c r="BN138" s="57"/>
      <c r="BO138" s="67" t="s">
        <v>110</v>
      </c>
      <c r="BP138" s="66">
        <f t="shared" ca="1" si="1937"/>
        <v>0</v>
      </c>
      <c r="BQ138" s="57"/>
      <c r="BR138" s="67" t="s">
        <v>110</v>
      </c>
      <c r="BS138" s="66">
        <f t="shared" ca="1" si="1938"/>
        <v>0</v>
      </c>
      <c r="BT138" s="57"/>
      <c r="BU138" s="67"/>
      <c r="BV138" s="66">
        <f t="shared" ca="1" si="1939"/>
        <v>0</v>
      </c>
      <c r="BW138" s="57"/>
      <c r="BX138" s="67"/>
      <c r="BY138" s="66">
        <f t="shared" ca="1" si="1940"/>
        <v>0</v>
      </c>
      <c r="BZ138" s="57"/>
      <c r="CA138" s="67"/>
      <c r="CB138" s="66">
        <f t="shared" ca="1" si="1941"/>
        <v>0</v>
      </c>
      <c r="CC138" s="57"/>
      <c r="CD138" s="67"/>
      <c r="CE138" s="66">
        <f t="shared" ca="1" si="1942"/>
        <v>0</v>
      </c>
      <c r="CF138" s="57"/>
      <c r="CG138" s="67"/>
      <c r="CH138" s="66">
        <f t="shared" ca="1" si="1943"/>
        <v>0</v>
      </c>
      <c r="CI138" s="57"/>
      <c r="CJ138" s="67"/>
      <c r="CK138" s="66">
        <f t="shared" ca="1" si="1944"/>
        <v>0</v>
      </c>
      <c r="CL138" s="57"/>
      <c r="CM138" s="67"/>
      <c r="CN138" s="66">
        <f t="shared" ca="1" si="1945"/>
        <v>0</v>
      </c>
      <c r="CO138" s="57"/>
      <c r="CP138" s="67"/>
      <c r="CQ138" s="66">
        <f t="shared" ca="1" si="1946"/>
        <v>0</v>
      </c>
      <c r="CR138" s="57"/>
      <c r="CS138" s="67"/>
      <c r="CT138" s="66">
        <f t="shared" ca="1" si="1947"/>
        <v>0</v>
      </c>
      <c r="CU138" s="57"/>
      <c r="CV138" s="67"/>
      <c r="CW138" s="66">
        <f t="shared" ca="1" si="1948"/>
        <v>0</v>
      </c>
      <c r="CX138" s="57"/>
      <c r="CY138" s="67"/>
      <c r="CZ138" s="66">
        <f t="shared" ca="1" si="1949"/>
        <v>0</v>
      </c>
      <c r="DA138" s="57"/>
      <c r="DB138" s="67"/>
      <c r="DC138" s="66">
        <f t="shared" ca="1" si="1950"/>
        <v>0</v>
      </c>
      <c r="DD138" s="57"/>
      <c r="DE138" s="67"/>
      <c r="DF138" s="66">
        <f t="shared" ca="1" si="1951"/>
        <v>0</v>
      </c>
      <c r="DG138" s="57"/>
      <c r="DH138" s="67"/>
      <c r="DI138" s="66">
        <f t="shared" ca="1" si="1952"/>
        <v>0</v>
      </c>
      <c r="DJ138" s="57"/>
      <c r="DK138" s="67"/>
      <c r="DL138" s="66">
        <f t="shared" ca="1" si="1953"/>
        <v>0</v>
      </c>
      <c r="DM138" s="57"/>
      <c r="DN138" s="67"/>
      <c r="DO138" s="66">
        <f t="shared" ca="1" si="1954"/>
        <v>0</v>
      </c>
      <c r="DP138" s="57"/>
      <c r="DQ138" s="67"/>
      <c r="DR138" s="66">
        <f t="shared" ca="1" si="1955"/>
        <v>0</v>
      </c>
      <c r="DS138" s="57"/>
      <c r="DT138" s="67"/>
      <c r="DU138" s="66">
        <f t="shared" ca="1" si="1956"/>
        <v>0</v>
      </c>
      <c r="DV138" s="57"/>
      <c r="DW138" s="67"/>
      <c r="DX138" s="66">
        <f t="shared" ca="1" si="1957"/>
        <v>0</v>
      </c>
      <c r="DY138" s="57"/>
      <c r="DZ138" s="67"/>
      <c r="EA138" s="66">
        <f t="shared" ca="1" si="1958"/>
        <v>0</v>
      </c>
      <c r="EB138" s="57"/>
      <c r="EC138" s="67"/>
      <c r="ED138" s="66">
        <f t="shared" ca="1" si="1959"/>
        <v>0</v>
      </c>
      <c r="EE138" s="57"/>
      <c r="EF138" s="67"/>
      <c r="EG138" s="66">
        <f t="shared" ca="1" si="1960"/>
        <v>0</v>
      </c>
      <c r="EH138" s="57"/>
      <c r="EI138" s="57"/>
    </row>
    <row r="139" spans="1:139">
      <c r="A139" s="43"/>
      <c r="B139" s="43"/>
      <c r="C139" s="800"/>
      <c r="D139" s="800"/>
      <c r="E139" s="800"/>
      <c r="F139" s="801">
        <f t="shared" si="1961"/>
        <v>3</v>
      </c>
      <c r="G139" s="802">
        <f ca="1">VLOOKUP(H139,Equipos!$Q$1:$R$25,2,0)</f>
        <v>19</v>
      </c>
      <c r="H139" s="803" t="str">
        <f>Idiomas!$D$137</f>
        <v>CLASIFICADOS PARA DIECISEISAVOS</v>
      </c>
      <c r="I139" s="800"/>
      <c r="J139" s="859"/>
      <c r="K139" s="49" t="str">
        <f>Idiomas!$D$198&amp;"-"&amp;ROWS($L$130:L139)</f>
        <v>Dieciseisavofinalista-10</v>
      </c>
      <c r="L139" s="46"/>
      <c r="M139" s="48" t="str">
        <f ca="1">WORLDCUP!AA110</f>
        <v>1D</v>
      </c>
      <c r="N139" s="711"/>
      <c r="O139" s="711"/>
      <c r="P139" s="711"/>
      <c r="Q139" s="711"/>
      <c r="R139" s="102"/>
      <c r="S139" s="67" t="s">
        <v>1829</v>
      </c>
      <c r="T139" s="66">
        <f t="shared" ca="1" si="1921"/>
        <v>0</v>
      </c>
      <c r="U139" s="57"/>
      <c r="V139" s="67" t="s">
        <v>497</v>
      </c>
      <c r="W139" s="66">
        <f t="shared" ca="1" si="1922"/>
        <v>0</v>
      </c>
      <c r="X139" s="57"/>
      <c r="Y139" s="67" t="s">
        <v>1829</v>
      </c>
      <c r="Z139" s="66">
        <f t="shared" ca="1" si="1923"/>
        <v>0</v>
      </c>
      <c r="AA139" s="57"/>
      <c r="AB139" s="67" t="s">
        <v>1829</v>
      </c>
      <c r="AC139" s="66">
        <f t="shared" ca="1" si="1924"/>
        <v>0</v>
      </c>
      <c r="AD139" s="57"/>
      <c r="AE139" s="67" t="s">
        <v>1829</v>
      </c>
      <c r="AF139" s="66">
        <f t="shared" ca="1" si="1925"/>
        <v>0</v>
      </c>
      <c r="AG139" s="57"/>
      <c r="AH139" s="67" t="s">
        <v>497</v>
      </c>
      <c r="AI139" s="66">
        <f t="shared" ca="1" si="1926"/>
        <v>0</v>
      </c>
      <c r="AJ139" s="57"/>
      <c r="AK139" s="67" t="s">
        <v>497</v>
      </c>
      <c r="AL139" s="66">
        <f t="shared" ca="1" si="1927"/>
        <v>0</v>
      </c>
      <c r="AM139" s="57"/>
      <c r="AN139" s="67" t="s">
        <v>497</v>
      </c>
      <c r="AO139" s="66">
        <f t="shared" ca="1" si="1928"/>
        <v>0</v>
      </c>
      <c r="AP139" s="57"/>
      <c r="AQ139" s="67" t="s">
        <v>1829</v>
      </c>
      <c r="AR139" s="66">
        <f t="shared" ca="1" si="1929"/>
        <v>0</v>
      </c>
      <c r="AS139" s="57"/>
      <c r="AT139" s="67" t="s">
        <v>1829</v>
      </c>
      <c r="AU139" s="66">
        <f t="shared" ca="1" si="1930"/>
        <v>0</v>
      </c>
      <c r="AV139" s="57"/>
      <c r="AW139" s="67" t="s">
        <v>497</v>
      </c>
      <c r="AX139" s="66">
        <f t="shared" ca="1" si="1931"/>
        <v>0</v>
      </c>
      <c r="AY139" s="57"/>
      <c r="AZ139" s="67" t="s">
        <v>1829</v>
      </c>
      <c r="BA139" s="66">
        <f t="shared" ca="1" si="1932"/>
        <v>0</v>
      </c>
      <c r="BB139" s="57"/>
      <c r="BC139" s="67" t="s">
        <v>1829</v>
      </c>
      <c r="BD139" s="66">
        <f t="shared" ca="1" si="1933"/>
        <v>0</v>
      </c>
      <c r="BE139" s="57"/>
      <c r="BF139" s="67" t="s">
        <v>1829</v>
      </c>
      <c r="BG139" s="66">
        <f t="shared" ca="1" si="1934"/>
        <v>0</v>
      </c>
      <c r="BH139" s="57"/>
      <c r="BI139" s="67" t="s">
        <v>497</v>
      </c>
      <c r="BJ139" s="66">
        <f t="shared" ca="1" si="1935"/>
        <v>0</v>
      </c>
      <c r="BK139" s="57"/>
      <c r="BL139" s="67" t="s">
        <v>497</v>
      </c>
      <c r="BM139" s="66">
        <f t="shared" ca="1" si="1936"/>
        <v>0</v>
      </c>
      <c r="BN139" s="57"/>
      <c r="BO139" s="67" t="s">
        <v>497</v>
      </c>
      <c r="BP139" s="66">
        <f t="shared" ca="1" si="1937"/>
        <v>0</v>
      </c>
      <c r="BQ139" s="57"/>
      <c r="BR139" s="67" t="s">
        <v>497</v>
      </c>
      <c r="BS139" s="66">
        <f t="shared" ca="1" si="1938"/>
        <v>0</v>
      </c>
      <c r="BT139" s="57"/>
      <c r="BU139" s="67"/>
      <c r="BV139" s="66">
        <f t="shared" ca="1" si="1939"/>
        <v>0</v>
      </c>
      <c r="BW139" s="57"/>
      <c r="BX139" s="67"/>
      <c r="BY139" s="66">
        <f t="shared" ca="1" si="1940"/>
        <v>0</v>
      </c>
      <c r="BZ139" s="57"/>
      <c r="CA139" s="67"/>
      <c r="CB139" s="66">
        <f t="shared" ca="1" si="1941"/>
        <v>0</v>
      </c>
      <c r="CC139" s="57"/>
      <c r="CD139" s="67"/>
      <c r="CE139" s="66">
        <f t="shared" ca="1" si="1942"/>
        <v>0</v>
      </c>
      <c r="CF139" s="57"/>
      <c r="CG139" s="67"/>
      <c r="CH139" s="66">
        <f t="shared" ca="1" si="1943"/>
        <v>0</v>
      </c>
      <c r="CI139" s="57"/>
      <c r="CJ139" s="67"/>
      <c r="CK139" s="66">
        <f t="shared" ca="1" si="1944"/>
        <v>0</v>
      </c>
      <c r="CL139" s="57"/>
      <c r="CM139" s="67"/>
      <c r="CN139" s="66">
        <f t="shared" ca="1" si="1945"/>
        <v>0</v>
      </c>
      <c r="CO139" s="57"/>
      <c r="CP139" s="67"/>
      <c r="CQ139" s="66">
        <f t="shared" ca="1" si="1946"/>
        <v>0</v>
      </c>
      <c r="CR139" s="57"/>
      <c r="CS139" s="67"/>
      <c r="CT139" s="66">
        <f t="shared" ca="1" si="1947"/>
        <v>0</v>
      </c>
      <c r="CU139" s="57"/>
      <c r="CV139" s="67"/>
      <c r="CW139" s="66">
        <f t="shared" ca="1" si="1948"/>
        <v>0</v>
      </c>
      <c r="CX139" s="57"/>
      <c r="CY139" s="67"/>
      <c r="CZ139" s="66">
        <f t="shared" ca="1" si="1949"/>
        <v>0</v>
      </c>
      <c r="DA139" s="57"/>
      <c r="DB139" s="67"/>
      <c r="DC139" s="66">
        <f t="shared" ca="1" si="1950"/>
        <v>0</v>
      </c>
      <c r="DD139" s="57"/>
      <c r="DE139" s="67"/>
      <c r="DF139" s="66">
        <f t="shared" ca="1" si="1951"/>
        <v>0</v>
      </c>
      <c r="DG139" s="57"/>
      <c r="DH139" s="67"/>
      <c r="DI139" s="66">
        <f t="shared" ca="1" si="1952"/>
        <v>0</v>
      </c>
      <c r="DJ139" s="57"/>
      <c r="DK139" s="67"/>
      <c r="DL139" s="66">
        <f t="shared" ca="1" si="1953"/>
        <v>0</v>
      </c>
      <c r="DM139" s="57"/>
      <c r="DN139" s="67"/>
      <c r="DO139" s="66">
        <f t="shared" ca="1" si="1954"/>
        <v>0</v>
      </c>
      <c r="DP139" s="57"/>
      <c r="DQ139" s="67"/>
      <c r="DR139" s="66">
        <f t="shared" ca="1" si="1955"/>
        <v>0</v>
      </c>
      <c r="DS139" s="57"/>
      <c r="DT139" s="67"/>
      <c r="DU139" s="66">
        <f t="shared" ca="1" si="1956"/>
        <v>0</v>
      </c>
      <c r="DV139" s="57"/>
      <c r="DW139" s="67"/>
      <c r="DX139" s="66">
        <f t="shared" ca="1" si="1957"/>
        <v>0</v>
      </c>
      <c r="DY139" s="57"/>
      <c r="DZ139" s="67"/>
      <c r="EA139" s="66">
        <f t="shared" ca="1" si="1958"/>
        <v>0</v>
      </c>
      <c r="EB139" s="57"/>
      <c r="EC139" s="67"/>
      <c r="ED139" s="66">
        <f t="shared" ca="1" si="1959"/>
        <v>0</v>
      </c>
      <c r="EE139" s="57"/>
      <c r="EF139" s="67"/>
      <c r="EG139" s="66">
        <f t="shared" ca="1" si="1960"/>
        <v>0</v>
      </c>
      <c r="EH139" s="57"/>
      <c r="EI139" s="57"/>
    </row>
    <row r="140" spans="1:139">
      <c r="A140" s="43"/>
      <c r="B140" s="43"/>
      <c r="C140" s="800"/>
      <c r="D140" s="800"/>
      <c r="E140" s="800"/>
      <c r="F140" s="801">
        <f t="shared" si="1961"/>
        <v>3</v>
      </c>
      <c r="G140" s="802">
        <f ca="1">VLOOKUP(H140,Equipos!$Q$1:$R$25,2,0)</f>
        <v>19</v>
      </c>
      <c r="H140" s="803" t="str">
        <f>Idiomas!$D$137</f>
        <v>CLASIFICADOS PARA DIECISEISAVOS</v>
      </c>
      <c r="I140" s="800"/>
      <c r="J140" s="859"/>
      <c r="K140" s="49" t="str">
        <f>Idiomas!$D$198&amp;"-"&amp;ROWS($L$130:L140)</f>
        <v>Dieciseisavofinalista-11</v>
      </c>
      <c r="L140" s="46"/>
      <c r="M140" s="48" t="str">
        <f ca="1">WORLDCUP!AA111</f>
        <v>1H</v>
      </c>
      <c r="N140" s="711"/>
      <c r="O140" s="711"/>
      <c r="P140" s="711"/>
      <c r="Q140" s="711"/>
      <c r="R140" s="102"/>
      <c r="S140" s="67" t="s">
        <v>38</v>
      </c>
      <c r="T140" s="66">
        <f t="shared" ca="1" si="1921"/>
        <v>0</v>
      </c>
      <c r="U140" s="57"/>
      <c r="V140" s="67" t="s">
        <v>38</v>
      </c>
      <c r="W140" s="66">
        <f t="shared" ca="1" si="1922"/>
        <v>0</v>
      </c>
      <c r="X140" s="57"/>
      <c r="Y140" s="67" t="s">
        <v>38</v>
      </c>
      <c r="Z140" s="66">
        <f t="shared" ca="1" si="1923"/>
        <v>0</v>
      </c>
      <c r="AA140" s="57"/>
      <c r="AB140" s="67" t="s">
        <v>38</v>
      </c>
      <c r="AC140" s="66">
        <f t="shared" ca="1" si="1924"/>
        <v>0</v>
      </c>
      <c r="AD140" s="57"/>
      <c r="AE140" s="67" t="s">
        <v>38</v>
      </c>
      <c r="AF140" s="66">
        <f t="shared" ca="1" si="1925"/>
        <v>0</v>
      </c>
      <c r="AG140" s="57"/>
      <c r="AH140" s="67" t="s">
        <v>38</v>
      </c>
      <c r="AI140" s="66">
        <f t="shared" ca="1" si="1926"/>
        <v>0</v>
      </c>
      <c r="AJ140" s="57"/>
      <c r="AK140" s="67" t="s">
        <v>38</v>
      </c>
      <c r="AL140" s="66">
        <f t="shared" ca="1" si="1927"/>
        <v>0</v>
      </c>
      <c r="AM140" s="57"/>
      <c r="AN140" s="67" t="s">
        <v>38</v>
      </c>
      <c r="AO140" s="66">
        <f t="shared" ca="1" si="1928"/>
        <v>0</v>
      </c>
      <c r="AP140" s="57"/>
      <c r="AQ140" s="67" t="s">
        <v>38</v>
      </c>
      <c r="AR140" s="66">
        <f t="shared" ca="1" si="1929"/>
        <v>0</v>
      </c>
      <c r="AS140" s="57"/>
      <c r="AT140" s="67" t="s">
        <v>38</v>
      </c>
      <c r="AU140" s="66">
        <f t="shared" ca="1" si="1930"/>
        <v>0</v>
      </c>
      <c r="AV140" s="57"/>
      <c r="AW140" s="67" t="s">
        <v>38</v>
      </c>
      <c r="AX140" s="66">
        <f t="shared" ca="1" si="1931"/>
        <v>0</v>
      </c>
      <c r="AY140" s="57"/>
      <c r="AZ140" s="67" t="s">
        <v>38</v>
      </c>
      <c r="BA140" s="66">
        <f t="shared" ca="1" si="1932"/>
        <v>0</v>
      </c>
      <c r="BB140" s="57"/>
      <c r="BC140" s="67" t="s">
        <v>38</v>
      </c>
      <c r="BD140" s="66">
        <f t="shared" ca="1" si="1933"/>
        <v>0</v>
      </c>
      <c r="BE140" s="57"/>
      <c r="BF140" s="67" t="s">
        <v>38</v>
      </c>
      <c r="BG140" s="66">
        <f t="shared" ca="1" si="1934"/>
        <v>0</v>
      </c>
      <c r="BH140" s="57"/>
      <c r="BI140" s="67" t="s">
        <v>38</v>
      </c>
      <c r="BJ140" s="66">
        <f t="shared" ca="1" si="1935"/>
        <v>0</v>
      </c>
      <c r="BK140" s="57"/>
      <c r="BL140" s="67" t="s">
        <v>38</v>
      </c>
      <c r="BM140" s="66">
        <f t="shared" ca="1" si="1936"/>
        <v>0</v>
      </c>
      <c r="BN140" s="57"/>
      <c r="BO140" s="67" t="s">
        <v>38</v>
      </c>
      <c r="BP140" s="66">
        <f t="shared" ca="1" si="1937"/>
        <v>0</v>
      </c>
      <c r="BQ140" s="57"/>
      <c r="BR140" s="67" t="s">
        <v>38</v>
      </c>
      <c r="BS140" s="66">
        <f t="shared" ca="1" si="1938"/>
        <v>0</v>
      </c>
      <c r="BT140" s="57"/>
      <c r="BU140" s="67"/>
      <c r="BV140" s="66">
        <f t="shared" ca="1" si="1939"/>
        <v>0</v>
      </c>
      <c r="BW140" s="57"/>
      <c r="BX140" s="67"/>
      <c r="BY140" s="66">
        <f t="shared" ca="1" si="1940"/>
        <v>0</v>
      </c>
      <c r="BZ140" s="57"/>
      <c r="CA140" s="67"/>
      <c r="CB140" s="66">
        <f t="shared" ca="1" si="1941"/>
        <v>0</v>
      </c>
      <c r="CC140" s="57"/>
      <c r="CD140" s="67"/>
      <c r="CE140" s="66">
        <f t="shared" ca="1" si="1942"/>
        <v>0</v>
      </c>
      <c r="CF140" s="57"/>
      <c r="CG140" s="67"/>
      <c r="CH140" s="66">
        <f t="shared" ca="1" si="1943"/>
        <v>0</v>
      </c>
      <c r="CI140" s="57"/>
      <c r="CJ140" s="67"/>
      <c r="CK140" s="66">
        <f t="shared" ca="1" si="1944"/>
        <v>0</v>
      </c>
      <c r="CL140" s="57"/>
      <c r="CM140" s="67"/>
      <c r="CN140" s="66">
        <f t="shared" ca="1" si="1945"/>
        <v>0</v>
      </c>
      <c r="CO140" s="57"/>
      <c r="CP140" s="67"/>
      <c r="CQ140" s="66">
        <f t="shared" ca="1" si="1946"/>
        <v>0</v>
      </c>
      <c r="CR140" s="57"/>
      <c r="CS140" s="67"/>
      <c r="CT140" s="66">
        <f t="shared" ca="1" si="1947"/>
        <v>0</v>
      </c>
      <c r="CU140" s="57"/>
      <c r="CV140" s="67"/>
      <c r="CW140" s="66">
        <f t="shared" ca="1" si="1948"/>
        <v>0</v>
      </c>
      <c r="CX140" s="57"/>
      <c r="CY140" s="67"/>
      <c r="CZ140" s="66">
        <f t="shared" ca="1" si="1949"/>
        <v>0</v>
      </c>
      <c r="DA140" s="57"/>
      <c r="DB140" s="67"/>
      <c r="DC140" s="66">
        <f t="shared" ca="1" si="1950"/>
        <v>0</v>
      </c>
      <c r="DD140" s="57"/>
      <c r="DE140" s="67"/>
      <c r="DF140" s="66">
        <f t="shared" ca="1" si="1951"/>
        <v>0</v>
      </c>
      <c r="DG140" s="57"/>
      <c r="DH140" s="67"/>
      <c r="DI140" s="66">
        <f t="shared" ca="1" si="1952"/>
        <v>0</v>
      </c>
      <c r="DJ140" s="57"/>
      <c r="DK140" s="67"/>
      <c r="DL140" s="66">
        <f t="shared" ca="1" si="1953"/>
        <v>0</v>
      </c>
      <c r="DM140" s="57"/>
      <c r="DN140" s="67"/>
      <c r="DO140" s="66">
        <f t="shared" ca="1" si="1954"/>
        <v>0</v>
      </c>
      <c r="DP140" s="57"/>
      <c r="DQ140" s="67"/>
      <c r="DR140" s="66">
        <f t="shared" ca="1" si="1955"/>
        <v>0</v>
      </c>
      <c r="DS140" s="57"/>
      <c r="DT140" s="67"/>
      <c r="DU140" s="66">
        <f t="shared" ca="1" si="1956"/>
        <v>0</v>
      </c>
      <c r="DV140" s="57"/>
      <c r="DW140" s="67"/>
      <c r="DX140" s="66">
        <f t="shared" ca="1" si="1957"/>
        <v>0</v>
      </c>
      <c r="DY140" s="57"/>
      <c r="DZ140" s="67"/>
      <c r="EA140" s="66">
        <f t="shared" ca="1" si="1958"/>
        <v>0</v>
      </c>
      <c r="EB140" s="57"/>
      <c r="EC140" s="67"/>
      <c r="ED140" s="66">
        <f t="shared" ca="1" si="1959"/>
        <v>0</v>
      </c>
      <c r="EE140" s="57"/>
      <c r="EF140" s="67"/>
      <c r="EG140" s="66">
        <f t="shared" ca="1" si="1960"/>
        <v>0</v>
      </c>
      <c r="EH140" s="57"/>
      <c r="EI140" s="57"/>
    </row>
    <row r="141" spans="1:139">
      <c r="A141" s="43"/>
      <c r="B141" s="43"/>
      <c r="C141" s="800"/>
      <c r="D141" s="800"/>
      <c r="E141" s="800"/>
      <c r="F141" s="801">
        <f t="shared" si="1961"/>
        <v>3</v>
      </c>
      <c r="G141" s="802">
        <f ca="1">VLOOKUP(H141,Equipos!$Q$1:$R$25,2,0)</f>
        <v>19</v>
      </c>
      <c r="H141" s="803" t="str">
        <f>Idiomas!$D$137</f>
        <v>CLASIFICADOS PARA DIECISEISAVOS</v>
      </c>
      <c r="I141" s="800"/>
      <c r="J141" s="859"/>
      <c r="K141" s="49" t="str">
        <f>Idiomas!$D$198&amp;"-"&amp;ROWS($L$130:L141)</f>
        <v>Dieciseisavofinalista-12</v>
      </c>
      <c r="L141" s="46"/>
      <c r="M141" s="48" t="str">
        <f ca="1">WORLDCUP!AA112</f>
        <v>2K</v>
      </c>
      <c r="N141" s="711"/>
      <c r="O141" s="711"/>
      <c r="P141" s="711"/>
      <c r="Q141" s="711"/>
      <c r="R141" s="102"/>
      <c r="S141" s="67" t="s">
        <v>1316</v>
      </c>
      <c r="T141" s="66">
        <f ca="1">COUNTIF($M$130:$M$161,S141)*$D$15</f>
        <v>0</v>
      </c>
      <c r="U141" s="57"/>
      <c r="V141" s="67" t="s">
        <v>1316</v>
      </c>
      <c r="W141" s="66">
        <f ca="1">COUNTIF($M$130:$M$161,V141)*$D$15</f>
        <v>0</v>
      </c>
      <c r="X141" s="57"/>
      <c r="Y141" s="67" t="s">
        <v>1316</v>
      </c>
      <c r="Z141" s="66">
        <f ca="1">COUNTIF($M$130:$M$161,Y141)*$D$15</f>
        <v>0</v>
      </c>
      <c r="AA141" s="57"/>
      <c r="AB141" s="67" t="s">
        <v>1316</v>
      </c>
      <c r="AC141" s="66">
        <f ca="1">COUNTIF($M$130:$M$161,AB141)*$D$15</f>
        <v>0</v>
      </c>
      <c r="AD141" s="57"/>
      <c r="AE141" s="67" t="s">
        <v>1316</v>
      </c>
      <c r="AF141" s="66">
        <f ca="1">COUNTIF($M$130:$M$161,AE141)*$D$15</f>
        <v>0</v>
      </c>
      <c r="AG141" s="57"/>
      <c r="AH141" s="67" t="s">
        <v>1316</v>
      </c>
      <c r="AI141" s="66">
        <f ca="1">COUNTIF($M$130:$M$161,AH141)*$D$15</f>
        <v>0</v>
      </c>
      <c r="AJ141" s="57"/>
      <c r="AK141" s="67" t="s">
        <v>1316</v>
      </c>
      <c r="AL141" s="66">
        <f ca="1">COUNTIF($M$130:$M$161,AK141)*$D$15</f>
        <v>0</v>
      </c>
      <c r="AM141" s="57"/>
      <c r="AN141" s="67" t="s">
        <v>1316</v>
      </c>
      <c r="AO141" s="66">
        <f ca="1">COUNTIF($M$130:$M$161,AN141)*$D$15</f>
        <v>0</v>
      </c>
      <c r="AP141" s="57"/>
      <c r="AQ141" s="67" t="s">
        <v>1316</v>
      </c>
      <c r="AR141" s="66">
        <f ca="1">COUNTIF($M$130:$M$161,AQ141)*$D$15</f>
        <v>0</v>
      </c>
      <c r="AS141" s="57"/>
      <c r="AT141" s="67" t="s">
        <v>1316</v>
      </c>
      <c r="AU141" s="66">
        <f ca="1">COUNTIF($M$130:$M$161,AT141)*$D$15</f>
        <v>0</v>
      </c>
      <c r="AV141" s="57"/>
      <c r="AW141" s="67" t="s">
        <v>1316</v>
      </c>
      <c r="AX141" s="66">
        <f ca="1">COUNTIF($M$130:$M$161,AW141)*$D$15</f>
        <v>0</v>
      </c>
      <c r="AY141" s="57"/>
      <c r="AZ141" s="67" t="s">
        <v>1316</v>
      </c>
      <c r="BA141" s="66">
        <f ca="1">COUNTIF($M$130:$M$161,AZ141)*$D$15</f>
        <v>0</v>
      </c>
      <c r="BB141" s="57"/>
      <c r="BC141" s="67" t="s">
        <v>1316</v>
      </c>
      <c r="BD141" s="66">
        <f ca="1">COUNTIF($M$130:$M$161,BC141)*$D$15</f>
        <v>0</v>
      </c>
      <c r="BE141" s="57"/>
      <c r="BF141" s="67" t="s">
        <v>1316</v>
      </c>
      <c r="BG141" s="66">
        <f ca="1">COUNTIF($M$130:$M$161,BF141)*$D$15</f>
        <v>0</v>
      </c>
      <c r="BH141" s="57"/>
      <c r="BI141" s="67" t="s">
        <v>1316</v>
      </c>
      <c r="BJ141" s="66">
        <f ca="1">COUNTIF($M$130:$M$161,BI141)*$D$15</f>
        <v>0</v>
      </c>
      <c r="BK141" s="57"/>
      <c r="BL141" s="67" t="s">
        <v>1316</v>
      </c>
      <c r="BM141" s="66">
        <f ca="1">COUNTIF($M$130:$M$161,BL141)*$D$15</f>
        <v>0</v>
      </c>
      <c r="BN141" s="57"/>
      <c r="BO141" s="67" t="s">
        <v>1316</v>
      </c>
      <c r="BP141" s="66">
        <f ca="1">COUNTIF($M$130:$M$161,BO141)*$D$15</f>
        <v>0</v>
      </c>
      <c r="BQ141" s="57"/>
      <c r="BR141" s="67" t="s">
        <v>1316</v>
      </c>
      <c r="BS141" s="66">
        <f ca="1">COUNTIF($M$130:$M$161,BR141)*$D$15</f>
        <v>0</v>
      </c>
      <c r="BT141" s="57"/>
      <c r="BU141" s="67"/>
      <c r="BV141" s="66">
        <f ca="1">COUNTIF($M$130:$M$161,BU141)*$D$15</f>
        <v>0</v>
      </c>
      <c r="BW141" s="57"/>
      <c r="BX141" s="67"/>
      <c r="BY141" s="66">
        <f ca="1">COUNTIF($M$130:$M$161,BX141)*$D$15</f>
        <v>0</v>
      </c>
      <c r="BZ141" s="57"/>
      <c r="CA141" s="67"/>
      <c r="CB141" s="66">
        <f ca="1">COUNTIF($M$130:$M$161,CA141)*$D$15</f>
        <v>0</v>
      </c>
      <c r="CC141" s="57"/>
      <c r="CD141" s="67"/>
      <c r="CE141" s="66">
        <f ca="1">COUNTIF($M$130:$M$161,CD141)*$D$15</f>
        <v>0</v>
      </c>
      <c r="CF141" s="57"/>
      <c r="CG141" s="67"/>
      <c r="CH141" s="66">
        <f ca="1">COUNTIF($M$130:$M$161,CG141)*$D$15</f>
        <v>0</v>
      </c>
      <c r="CI141" s="57"/>
      <c r="CJ141" s="67"/>
      <c r="CK141" s="66">
        <f ca="1">COUNTIF($M$130:$M$161,CJ141)*$D$15</f>
        <v>0</v>
      </c>
      <c r="CL141" s="57"/>
      <c r="CM141" s="67"/>
      <c r="CN141" s="66">
        <f ca="1">COUNTIF($M$130:$M$161,CM141)*$D$15</f>
        <v>0</v>
      </c>
      <c r="CO141" s="57"/>
      <c r="CP141" s="67"/>
      <c r="CQ141" s="66">
        <f ca="1">COUNTIF($M$130:$M$161,CP141)*$D$15</f>
        <v>0</v>
      </c>
      <c r="CR141" s="57"/>
      <c r="CS141" s="67"/>
      <c r="CT141" s="66">
        <f ca="1">COUNTIF($M$130:$M$161,CS141)*$D$15</f>
        <v>0</v>
      </c>
      <c r="CU141" s="57"/>
      <c r="CV141" s="67"/>
      <c r="CW141" s="66">
        <f ca="1">COUNTIF($M$130:$M$161,CV141)*$D$15</f>
        <v>0</v>
      </c>
      <c r="CX141" s="57"/>
      <c r="CY141" s="67"/>
      <c r="CZ141" s="66">
        <f ca="1">COUNTIF($M$130:$M$161,CY141)*$D$15</f>
        <v>0</v>
      </c>
      <c r="DA141" s="57"/>
      <c r="DB141" s="67"/>
      <c r="DC141" s="66">
        <f ca="1">COUNTIF($M$130:$M$161,DB141)*$D$15</f>
        <v>0</v>
      </c>
      <c r="DD141" s="57"/>
      <c r="DE141" s="67"/>
      <c r="DF141" s="66">
        <f ca="1">COUNTIF($M$130:$M$161,DE141)*$D$15</f>
        <v>0</v>
      </c>
      <c r="DG141" s="57"/>
      <c r="DH141" s="67"/>
      <c r="DI141" s="66">
        <f ca="1">COUNTIF($M$130:$M$161,DH141)*$D$15</f>
        <v>0</v>
      </c>
      <c r="DJ141" s="57"/>
      <c r="DK141" s="67"/>
      <c r="DL141" s="66">
        <f ca="1">COUNTIF($M$130:$M$161,DK141)*$D$15</f>
        <v>0</v>
      </c>
      <c r="DM141" s="57"/>
      <c r="DN141" s="67"/>
      <c r="DO141" s="66">
        <f ca="1">COUNTIF($M$130:$M$161,DN141)*$D$15</f>
        <v>0</v>
      </c>
      <c r="DP141" s="57"/>
      <c r="DQ141" s="67"/>
      <c r="DR141" s="66">
        <f ca="1">COUNTIF($M$130:$M$161,DQ141)*$D$15</f>
        <v>0</v>
      </c>
      <c r="DS141" s="57"/>
      <c r="DT141" s="67"/>
      <c r="DU141" s="66">
        <f ca="1">COUNTIF($M$130:$M$161,DT141)*$D$15</f>
        <v>0</v>
      </c>
      <c r="DV141" s="57"/>
      <c r="DW141" s="67"/>
      <c r="DX141" s="66">
        <f ca="1">COUNTIF($M$130:$M$161,DW141)*$D$15</f>
        <v>0</v>
      </c>
      <c r="DY141" s="57"/>
      <c r="DZ141" s="67"/>
      <c r="EA141" s="66">
        <f ca="1">COUNTIF($M$130:$M$161,DZ141)*$D$15</f>
        <v>0</v>
      </c>
      <c r="EB141" s="57"/>
      <c r="EC141" s="67"/>
      <c r="ED141" s="66">
        <f ca="1">COUNTIF($M$130:$M$161,EC141)*$D$15</f>
        <v>0</v>
      </c>
      <c r="EE141" s="57"/>
      <c r="EF141" s="67"/>
      <c r="EG141" s="66">
        <f ca="1">COUNTIF($M$130:$M$161,EF141)*$D$15</f>
        <v>0</v>
      </c>
      <c r="EH141" s="57"/>
      <c r="EI141" s="57"/>
    </row>
    <row r="142" spans="1:139">
      <c r="A142" s="43"/>
      <c r="B142" s="43"/>
      <c r="C142" s="800"/>
      <c r="D142" s="800"/>
      <c r="E142" s="800"/>
      <c r="F142" s="801">
        <f t="shared" si="1961"/>
        <v>3</v>
      </c>
      <c r="G142" s="802">
        <f ca="1">VLOOKUP(H142,Equipos!$Q$1:$R$25,2,0)</f>
        <v>19</v>
      </c>
      <c r="H142" s="803" t="str">
        <f>Idiomas!$D$137</f>
        <v>CLASIFICADOS PARA DIECISEISAVOS</v>
      </c>
      <c r="I142" s="800"/>
      <c r="J142" s="859"/>
      <c r="K142" s="49" t="str">
        <f>Idiomas!$D$198&amp;"-"&amp;ROWS($L$130:L142)</f>
        <v>Dieciseisavofinalista-13</v>
      </c>
      <c r="L142" s="46"/>
      <c r="M142" s="48" t="str">
        <f ca="1">WORLDCUP!AA113</f>
        <v>1B</v>
      </c>
      <c r="N142" s="711"/>
      <c r="O142" s="711"/>
      <c r="P142" s="711"/>
      <c r="Q142" s="711"/>
      <c r="R142" s="102"/>
      <c r="S142" s="67" t="s">
        <v>1835</v>
      </c>
      <c r="T142" s="66">
        <f t="shared" ca="1" si="1921"/>
        <v>0</v>
      </c>
      <c r="U142" s="57"/>
      <c r="V142" s="67" t="s">
        <v>75</v>
      </c>
      <c r="W142" s="66">
        <f t="shared" ca="1" si="1922"/>
        <v>0</v>
      </c>
      <c r="X142" s="57"/>
      <c r="Y142" s="67" t="s">
        <v>75</v>
      </c>
      <c r="Z142" s="66">
        <f t="shared" ca="1" si="1923"/>
        <v>0</v>
      </c>
      <c r="AA142" s="57"/>
      <c r="AB142" s="67" t="s">
        <v>75</v>
      </c>
      <c r="AC142" s="66">
        <f t="shared" ca="1" si="1924"/>
        <v>0</v>
      </c>
      <c r="AD142" s="57"/>
      <c r="AE142" s="67" t="s">
        <v>1259</v>
      </c>
      <c r="AF142" s="66">
        <f t="shared" ca="1" si="1925"/>
        <v>0</v>
      </c>
      <c r="AG142" s="57"/>
      <c r="AH142" s="67" t="s">
        <v>1259</v>
      </c>
      <c r="AI142" s="66">
        <f t="shared" ca="1" si="1926"/>
        <v>0</v>
      </c>
      <c r="AJ142" s="57"/>
      <c r="AK142" s="67" t="s">
        <v>1259</v>
      </c>
      <c r="AL142" s="66">
        <f t="shared" ca="1" si="1927"/>
        <v>0</v>
      </c>
      <c r="AM142" s="57"/>
      <c r="AN142" s="67" t="s">
        <v>75</v>
      </c>
      <c r="AO142" s="66">
        <f t="shared" ca="1" si="1928"/>
        <v>0</v>
      </c>
      <c r="AP142" s="57"/>
      <c r="AQ142" s="67" t="s">
        <v>75</v>
      </c>
      <c r="AR142" s="66">
        <f t="shared" ca="1" si="1929"/>
        <v>0</v>
      </c>
      <c r="AS142" s="57"/>
      <c r="AT142" s="67" t="s">
        <v>1835</v>
      </c>
      <c r="AU142" s="66">
        <f t="shared" ca="1" si="1930"/>
        <v>0</v>
      </c>
      <c r="AV142" s="57"/>
      <c r="AW142" s="67" t="s">
        <v>1259</v>
      </c>
      <c r="AX142" s="66">
        <f t="shared" ca="1" si="1931"/>
        <v>0</v>
      </c>
      <c r="AY142" s="57"/>
      <c r="AZ142" s="67" t="s">
        <v>75</v>
      </c>
      <c r="BA142" s="66">
        <f t="shared" ca="1" si="1932"/>
        <v>0</v>
      </c>
      <c r="BB142" s="57"/>
      <c r="BC142" s="67" t="s">
        <v>75</v>
      </c>
      <c r="BD142" s="66">
        <f t="shared" ca="1" si="1933"/>
        <v>0</v>
      </c>
      <c r="BE142" s="57"/>
      <c r="BF142" s="67" t="s">
        <v>75</v>
      </c>
      <c r="BG142" s="66">
        <f t="shared" ca="1" si="1934"/>
        <v>0</v>
      </c>
      <c r="BH142" s="57"/>
      <c r="BI142" s="67" t="s">
        <v>1259</v>
      </c>
      <c r="BJ142" s="66">
        <f t="shared" ca="1" si="1935"/>
        <v>0</v>
      </c>
      <c r="BK142" s="57"/>
      <c r="BL142" s="67" t="s">
        <v>75</v>
      </c>
      <c r="BM142" s="66">
        <f t="shared" ca="1" si="1936"/>
        <v>0</v>
      </c>
      <c r="BN142" s="57"/>
      <c r="BO142" s="67" t="s">
        <v>75</v>
      </c>
      <c r="BP142" s="66">
        <f t="shared" ca="1" si="1937"/>
        <v>0</v>
      </c>
      <c r="BQ142" s="57"/>
      <c r="BR142" s="67" t="s">
        <v>75</v>
      </c>
      <c r="BS142" s="66">
        <f t="shared" ca="1" si="1938"/>
        <v>0</v>
      </c>
      <c r="BT142" s="57"/>
      <c r="BU142" s="67"/>
      <c r="BV142" s="66">
        <f t="shared" ca="1" si="1939"/>
        <v>0</v>
      </c>
      <c r="BW142" s="57"/>
      <c r="BX142" s="67"/>
      <c r="BY142" s="66">
        <f t="shared" ca="1" si="1940"/>
        <v>0</v>
      </c>
      <c r="BZ142" s="57"/>
      <c r="CA142" s="67"/>
      <c r="CB142" s="66">
        <f t="shared" ca="1" si="1941"/>
        <v>0</v>
      </c>
      <c r="CC142" s="57"/>
      <c r="CD142" s="67"/>
      <c r="CE142" s="66">
        <f t="shared" ca="1" si="1942"/>
        <v>0</v>
      </c>
      <c r="CF142" s="57"/>
      <c r="CG142" s="67"/>
      <c r="CH142" s="66">
        <f t="shared" ca="1" si="1943"/>
        <v>0</v>
      </c>
      <c r="CI142" s="57"/>
      <c r="CJ142" s="67"/>
      <c r="CK142" s="66">
        <f t="shared" ca="1" si="1944"/>
        <v>0</v>
      </c>
      <c r="CL142" s="57"/>
      <c r="CM142" s="67"/>
      <c r="CN142" s="66">
        <f t="shared" ca="1" si="1945"/>
        <v>0</v>
      </c>
      <c r="CO142" s="57"/>
      <c r="CP142" s="67"/>
      <c r="CQ142" s="66">
        <f t="shared" ca="1" si="1946"/>
        <v>0</v>
      </c>
      <c r="CR142" s="57"/>
      <c r="CS142" s="67"/>
      <c r="CT142" s="66">
        <f t="shared" ca="1" si="1947"/>
        <v>0</v>
      </c>
      <c r="CU142" s="57"/>
      <c r="CV142" s="67"/>
      <c r="CW142" s="66">
        <f t="shared" ca="1" si="1948"/>
        <v>0</v>
      </c>
      <c r="CX142" s="57"/>
      <c r="CY142" s="67"/>
      <c r="CZ142" s="66">
        <f t="shared" ca="1" si="1949"/>
        <v>0</v>
      </c>
      <c r="DA142" s="57"/>
      <c r="DB142" s="67"/>
      <c r="DC142" s="66">
        <f t="shared" ca="1" si="1950"/>
        <v>0</v>
      </c>
      <c r="DD142" s="57"/>
      <c r="DE142" s="67"/>
      <c r="DF142" s="66">
        <f t="shared" ca="1" si="1951"/>
        <v>0</v>
      </c>
      <c r="DG142" s="57"/>
      <c r="DH142" s="67"/>
      <c r="DI142" s="66">
        <f t="shared" ca="1" si="1952"/>
        <v>0</v>
      </c>
      <c r="DJ142" s="57"/>
      <c r="DK142" s="67"/>
      <c r="DL142" s="66">
        <f t="shared" ca="1" si="1953"/>
        <v>0</v>
      </c>
      <c r="DM142" s="57"/>
      <c r="DN142" s="67"/>
      <c r="DO142" s="66">
        <f t="shared" ca="1" si="1954"/>
        <v>0</v>
      </c>
      <c r="DP142" s="57"/>
      <c r="DQ142" s="67"/>
      <c r="DR142" s="66">
        <f t="shared" ca="1" si="1955"/>
        <v>0</v>
      </c>
      <c r="DS142" s="57"/>
      <c r="DT142" s="67"/>
      <c r="DU142" s="66">
        <f t="shared" ca="1" si="1956"/>
        <v>0</v>
      </c>
      <c r="DV142" s="57"/>
      <c r="DW142" s="67"/>
      <c r="DX142" s="66">
        <f t="shared" ca="1" si="1957"/>
        <v>0</v>
      </c>
      <c r="DY142" s="57"/>
      <c r="DZ142" s="67"/>
      <c r="EA142" s="66">
        <f t="shared" ca="1" si="1958"/>
        <v>0</v>
      </c>
      <c r="EB142" s="57"/>
      <c r="EC142" s="67"/>
      <c r="ED142" s="66">
        <f t="shared" ca="1" si="1959"/>
        <v>0</v>
      </c>
      <c r="EE142" s="57"/>
      <c r="EF142" s="67"/>
      <c r="EG142" s="66">
        <f t="shared" ca="1" si="1960"/>
        <v>0</v>
      </c>
      <c r="EH142" s="57"/>
      <c r="EI142" s="57"/>
    </row>
    <row r="143" spans="1:139">
      <c r="A143" s="43"/>
      <c r="B143" s="43"/>
      <c r="C143" s="800"/>
      <c r="D143" s="800"/>
      <c r="E143" s="800"/>
      <c r="F143" s="801">
        <f t="shared" si="1961"/>
        <v>3</v>
      </c>
      <c r="G143" s="802">
        <f ca="1">VLOOKUP(H143,Equipos!$Q$1:$R$25,2,0)</f>
        <v>19</v>
      </c>
      <c r="H143" s="803" t="str">
        <f>Idiomas!$D$137</f>
        <v>CLASIFICADOS PARA DIECISEISAVOS</v>
      </c>
      <c r="I143" s="800"/>
      <c r="J143" s="859"/>
      <c r="K143" s="49" t="str">
        <f>Idiomas!$D$198&amp;"-"&amp;ROWS($L$130:L143)</f>
        <v>Dieciseisavofinalista-14</v>
      </c>
      <c r="L143" s="46"/>
      <c r="M143" s="48" t="str">
        <f ca="1">WORLDCUP!AA114</f>
        <v>2D</v>
      </c>
      <c r="N143" s="711"/>
      <c r="O143" s="711"/>
      <c r="P143" s="711"/>
      <c r="Q143" s="711"/>
      <c r="R143" s="102"/>
      <c r="S143" s="67" t="s">
        <v>497</v>
      </c>
      <c r="T143" s="66">
        <f t="shared" ca="1" si="1921"/>
        <v>0</v>
      </c>
      <c r="U143" s="57"/>
      <c r="V143" s="67" t="s">
        <v>1829</v>
      </c>
      <c r="W143" s="66">
        <f t="shared" ca="1" si="1922"/>
        <v>0</v>
      </c>
      <c r="X143" s="57"/>
      <c r="Y143" s="67" t="s">
        <v>497</v>
      </c>
      <c r="Z143" s="66">
        <f t="shared" ca="1" si="1923"/>
        <v>0</v>
      </c>
      <c r="AA143" s="57"/>
      <c r="AB143" s="67" t="s">
        <v>497</v>
      </c>
      <c r="AC143" s="66">
        <f t="shared" ca="1" si="1924"/>
        <v>0</v>
      </c>
      <c r="AD143" s="57"/>
      <c r="AE143" s="67" t="s">
        <v>497</v>
      </c>
      <c r="AF143" s="66">
        <f t="shared" ca="1" si="1925"/>
        <v>0</v>
      </c>
      <c r="AG143" s="57"/>
      <c r="AH143" s="67" t="s">
        <v>1829</v>
      </c>
      <c r="AI143" s="66">
        <f t="shared" ca="1" si="1926"/>
        <v>0</v>
      </c>
      <c r="AJ143" s="57"/>
      <c r="AK143" s="67" t="s">
        <v>1829</v>
      </c>
      <c r="AL143" s="66">
        <f t="shared" ca="1" si="1927"/>
        <v>0</v>
      </c>
      <c r="AM143" s="57"/>
      <c r="AN143" s="67" t="s">
        <v>1829</v>
      </c>
      <c r="AO143" s="66">
        <f t="shared" ca="1" si="1928"/>
        <v>0</v>
      </c>
      <c r="AP143" s="57"/>
      <c r="AQ143" s="67" t="s">
        <v>497</v>
      </c>
      <c r="AR143" s="66">
        <f t="shared" ca="1" si="1929"/>
        <v>0</v>
      </c>
      <c r="AS143" s="57"/>
      <c r="AT143" s="67" t="s">
        <v>1315</v>
      </c>
      <c r="AU143" s="66">
        <f t="shared" ca="1" si="1930"/>
        <v>0</v>
      </c>
      <c r="AV143" s="57"/>
      <c r="AW143" s="67" t="s">
        <v>1829</v>
      </c>
      <c r="AX143" s="66">
        <f t="shared" ca="1" si="1931"/>
        <v>0</v>
      </c>
      <c r="AY143" s="57"/>
      <c r="AZ143" s="67" t="s">
        <v>497</v>
      </c>
      <c r="BA143" s="66">
        <f t="shared" ca="1" si="1932"/>
        <v>0</v>
      </c>
      <c r="BB143" s="57"/>
      <c r="BC143" s="67" t="s">
        <v>497</v>
      </c>
      <c r="BD143" s="66">
        <f t="shared" ca="1" si="1933"/>
        <v>0</v>
      </c>
      <c r="BE143" s="57"/>
      <c r="BF143" s="67" t="s">
        <v>1315</v>
      </c>
      <c r="BG143" s="66">
        <f t="shared" ca="1" si="1934"/>
        <v>0</v>
      </c>
      <c r="BH143" s="57"/>
      <c r="BI143" s="67" t="s">
        <v>1829</v>
      </c>
      <c r="BJ143" s="66">
        <f t="shared" ca="1" si="1935"/>
        <v>0</v>
      </c>
      <c r="BK143" s="57"/>
      <c r="BL143" s="67" t="s">
        <v>1829</v>
      </c>
      <c r="BM143" s="66">
        <f t="shared" ca="1" si="1936"/>
        <v>0</v>
      </c>
      <c r="BN143" s="57"/>
      <c r="BO143" s="67" t="s">
        <v>1829</v>
      </c>
      <c r="BP143" s="66">
        <f t="shared" ca="1" si="1937"/>
        <v>0</v>
      </c>
      <c r="BQ143" s="57"/>
      <c r="BR143" s="67" t="s">
        <v>1829</v>
      </c>
      <c r="BS143" s="66">
        <f t="shared" ca="1" si="1938"/>
        <v>0</v>
      </c>
      <c r="BT143" s="57"/>
      <c r="BU143" s="67"/>
      <c r="BV143" s="66">
        <f t="shared" ca="1" si="1939"/>
        <v>0</v>
      </c>
      <c r="BW143" s="57"/>
      <c r="BX143" s="67"/>
      <c r="BY143" s="66">
        <f t="shared" ca="1" si="1940"/>
        <v>0</v>
      </c>
      <c r="BZ143" s="57"/>
      <c r="CA143" s="67"/>
      <c r="CB143" s="66">
        <f t="shared" ca="1" si="1941"/>
        <v>0</v>
      </c>
      <c r="CC143" s="57"/>
      <c r="CD143" s="67"/>
      <c r="CE143" s="66">
        <f t="shared" ca="1" si="1942"/>
        <v>0</v>
      </c>
      <c r="CF143" s="57"/>
      <c r="CG143" s="67"/>
      <c r="CH143" s="66">
        <f t="shared" ca="1" si="1943"/>
        <v>0</v>
      </c>
      <c r="CI143" s="57"/>
      <c r="CJ143" s="67"/>
      <c r="CK143" s="66">
        <f t="shared" ca="1" si="1944"/>
        <v>0</v>
      </c>
      <c r="CL143" s="57"/>
      <c r="CM143" s="67"/>
      <c r="CN143" s="66">
        <f t="shared" ca="1" si="1945"/>
        <v>0</v>
      </c>
      <c r="CO143" s="57"/>
      <c r="CP143" s="67"/>
      <c r="CQ143" s="66">
        <f t="shared" ca="1" si="1946"/>
        <v>0</v>
      </c>
      <c r="CR143" s="57"/>
      <c r="CS143" s="67"/>
      <c r="CT143" s="66">
        <f t="shared" ca="1" si="1947"/>
        <v>0</v>
      </c>
      <c r="CU143" s="57"/>
      <c r="CV143" s="67"/>
      <c r="CW143" s="66">
        <f t="shared" ca="1" si="1948"/>
        <v>0</v>
      </c>
      <c r="CX143" s="57"/>
      <c r="CY143" s="67"/>
      <c r="CZ143" s="66">
        <f t="shared" ca="1" si="1949"/>
        <v>0</v>
      </c>
      <c r="DA143" s="57"/>
      <c r="DB143" s="67"/>
      <c r="DC143" s="66">
        <f t="shared" ca="1" si="1950"/>
        <v>0</v>
      </c>
      <c r="DD143" s="57"/>
      <c r="DE143" s="67"/>
      <c r="DF143" s="66">
        <f t="shared" ca="1" si="1951"/>
        <v>0</v>
      </c>
      <c r="DG143" s="57"/>
      <c r="DH143" s="67"/>
      <c r="DI143" s="66">
        <f t="shared" ca="1" si="1952"/>
        <v>0</v>
      </c>
      <c r="DJ143" s="57"/>
      <c r="DK143" s="67"/>
      <c r="DL143" s="66">
        <f t="shared" ca="1" si="1953"/>
        <v>0</v>
      </c>
      <c r="DM143" s="57"/>
      <c r="DN143" s="67"/>
      <c r="DO143" s="66">
        <f t="shared" ca="1" si="1954"/>
        <v>0</v>
      </c>
      <c r="DP143" s="57"/>
      <c r="DQ143" s="67"/>
      <c r="DR143" s="66">
        <f t="shared" ca="1" si="1955"/>
        <v>0</v>
      </c>
      <c r="DS143" s="57"/>
      <c r="DT143" s="67"/>
      <c r="DU143" s="66">
        <f t="shared" ca="1" si="1956"/>
        <v>0</v>
      </c>
      <c r="DV143" s="57"/>
      <c r="DW143" s="67"/>
      <c r="DX143" s="66">
        <f t="shared" ca="1" si="1957"/>
        <v>0</v>
      </c>
      <c r="DY143" s="57"/>
      <c r="DZ143" s="67"/>
      <c r="EA143" s="66">
        <f t="shared" ca="1" si="1958"/>
        <v>0</v>
      </c>
      <c r="EB143" s="57"/>
      <c r="EC143" s="67"/>
      <c r="ED143" s="66">
        <f t="shared" ca="1" si="1959"/>
        <v>0</v>
      </c>
      <c r="EE143" s="57"/>
      <c r="EF143" s="67"/>
      <c r="EG143" s="66">
        <f t="shared" ca="1" si="1960"/>
        <v>0</v>
      </c>
      <c r="EH143" s="57"/>
      <c r="EI143" s="57"/>
    </row>
    <row r="144" spans="1:139">
      <c r="A144" s="43"/>
      <c r="B144" s="43"/>
      <c r="C144" s="800"/>
      <c r="D144" s="800"/>
      <c r="E144" s="800"/>
      <c r="F144" s="801">
        <f t="shared" si="1961"/>
        <v>3</v>
      </c>
      <c r="G144" s="802">
        <f ca="1">VLOOKUP(H144,Equipos!$Q$1:$R$25,2,0)</f>
        <v>19</v>
      </c>
      <c r="H144" s="803" t="str">
        <f>Idiomas!$D$137</f>
        <v>CLASIFICADOS PARA DIECISEISAVOS</v>
      </c>
      <c r="I144" s="800"/>
      <c r="J144" s="859"/>
      <c r="K144" s="49" t="str">
        <f>Idiomas!$D$198&amp;"-"&amp;ROWS($L$130:L144)</f>
        <v>Dieciseisavofinalista-15</v>
      </c>
      <c r="L144" s="46"/>
      <c r="M144" s="48" t="str">
        <f ca="1">WORLDCUP!AA115</f>
        <v>1J</v>
      </c>
      <c r="N144" s="711"/>
      <c r="O144" s="711"/>
      <c r="P144" s="711"/>
      <c r="Q144" s="711"/>
      <c r="R144" s="102"/>
      <c r="S144" s="67" t="s">
        <v>1256</v>
      </c>
      <c r="T144" s="66">
        <f t="shared" ca="1" si="1921"/>
        <v>0</v>
      </c>
      <c r="U144" s="57"/>
      <c r="V144" s="67" t="s">
        <v>1256</v>
      </c>
      <c r="W144" s="66">
        <f t="shared" ca="1" si="1922"/>
        <v>0</v>
      </c>
      <c r="X144" s="57"/>
      <c r="Y144" s="67" t="s">
        <v>1256</v>
      </c>
      <c r="Z144" s="66">
        <f t="shared" ca="1" si="1923"/>
        <v>0</v>
      </c>
      <c r="AA144" s="57"/>
      <c r="AB144" s="67" t="s">
        <v>1256</v>
      </c>
      <c r="AC144" s="66">
        <f t="shared" ca="1" si="1924"/>
        <v>0</v>
      </c>
      <c r="AD144" s="57"/>
      <c r="AE144" s="67" t="s">
        <v>1256</v>
      </c>
      <c r="AF144" s="66">
        <f t="shared" ca="1" si="1925"/>
        <v>0</v>
      </c>
      <c r="AG144" s="57"/>
      <c r="AH144" s="67" t="s">
        <v>1256</v>
      </c>
      <c r="AI144" s="66">
        <f t="shared" ca="1" si="1926"/>
        <v>0</v>
      </c>
      <c r="AJ144" s="57"/>
      <c r="AK144" s="67" t="s">
        <v>1256</v>
      </c>
      <c r="AL144" s="66">
        <f t="shared" ca="1" si="1927"/>
        <v>0</v>
      </c>
      <c r="AM144" s="57"/>
      <c r="AN144" s="67" t="s">
        <v>1256</v>
      </c>
      <c r="AO144" s="66">
        <f t="shared" ca="1" si="1928"/>
        <v>0</v>
      </c>
      <c r="AP144" s="57"/>
      <c r="AQ144" s="67" t="s">
        <v>80</v>
      </c>
      <c r="AR144" s="66">
        <f t="shared" ca="1" si="1929"/>
        <v>0</v>
      </c>
      <c r="AS144" s="57"/>
      <c r="AT144" s="67" t="s">
        <v>1256</v>
      </c>
      <c r="AU144" s="66">
        <f t="shared" ca="1" si="1930"/>
        <v>0</v>
      </c>
      <c r="AV144" s="57"/>
      <c r="AW144" s="67" t="s">
        <v>1256</v>
      </c>
      <c r="AX144" s="66">
        <f t="shared" ca="1" si="1931"/>
        <v>0</v>
      </c>
      <c r="AY144" s="57"/>
      <c r="AZ144" s="67" t="s">
        <v>1256</v>
      </c>
      <c r="BA144" s="66">
        <f t="shared" ca="1" si="1932"/>
        <v>0</v>
      </c>
      <c r="BB144" s="57"/>
      <c r="BC144" s="67" t="s">
        <v>1256</v>
      </c>
      <c r="BD144" s="66">
        <f t="shared" ca="1" si="1933"/>
        <v>0</v>
      </c>
      <c r="BE144" s="57"/>
      <c r="BF144" s="67" t="s">
        <v>1256</v>
      </c>
      <c r="BG144" s="66">
        <f t="shared" ca="1" si="1934"/>
        <v>0</v>
      </c>
      <c r="BH144" s="57"/>
      <c r="BI144" s="67" t="s">
        <v>1256</v>
      </c>
      <c r="BJ144" s="66">
        <f t="shared" ca="1" si="1935"/>
        <v>0</v>
      </c>
      <c r="BK144" s="57"/>
      <c r="BL144" s="67" t="s">
        <v>1256</v>
      </c>
      <c r="BM144" s="66">
        <f t="shared" ca="1" si="1936"/>
        <v>0</v>
      </c>
      <c r="BN144" s="57"/>
      <c r="BO144" s="67" t="s">
        <v>1256</v>
      </c>
      <c r="BP144" s="66">
        <f t="shared" ca="1" si="1937"/>
        <v>0</v>
      </c>
      <c r="BQ144" s="57"/>
      <c r="BR144" s="67" t="s">
        <v>1256</v>
      </c>
      <c r="BS144" s="66">
        <f t="shared" ca="1" si="1938"/>
        <v>0</v>
      </c>
      <c r="BT144" s="57"/>
      <c r="BU144" s="67"/>
      <c r="BV144" s="66">
        <f t="shared" ca="1" si="1939"/>
        <v>0</v>
      </c>
      <c r="BW144" s="57"/>
      <c r="BX144" s="67"/>
      <c r="BY144" s="66">
        <f t="shared" ca="1" si="1940"/>
        <v>0</v>
      </c>
      <c r="BZ144" s="57"/>
      <c r="CA144" s="67"/>
      <c r="CB144" s="66">
        <f t="shared" ca="1" si="1941"/>
        <v>0</v>
      </c>
      <c r="CC144" s="57"/>
      <c r="CD144" s="67"/>
      <c r="CE144" s="66">
        <f t="shared" ca="1" si="1942"/>
        <v>0</v>
      </c>
      <c r="CF144" s="57"/>
      <c r="CG144" s="67"/>
      <c r="CH144" s="66">
        <f t="shared" ca="1" si="1943"/>
        <v>0</v>
      </c>
      <c r="CI144" s="57"/>
      <c r="CJ144" s="67"/>
      <c r="CK144" s="66">
        <f t="shared" ca="1" si="1944"/>
        <v>0</v>
      </c>
      <c r="CL144" s="57"/>
      <c r="CM144" s="67"/>
      <c r="CN144" s="66">
        <f t="shared" ca="1" si="1945"/>
        <v>0</v>
      </c>
      <c r="CO144" s="57"/>
      <c r="CP144" s="67"/>
      <c r="CQ144" s="66">
        <f t="shared" ca="1" si="1946"/>
        <v>0</v>
      </c>
      <c r="CR144" s="57"/>
      <c r="CS144" s="67"/>
      <c r="CT144" s="66">
        <f t="shared" ca="1" si="1947"/>
        <v>0</v>
      </c>
      <c r="CU144" s="57"/>
      <c r="CV144" s="67"/>
      <c r="CW144" s="66">
        <f t="shared" ca="1" si="1948"/>
        <v>0</v>
      </c>
      <c r="CX144" s="57"/>
      <c r="CY144" s="67"/>
      <c r="CZ144" s="66">
        <f t="shared" ca="1" si="1949"/>
        <v>0</v>
      </c>
      <c r="DA144" s="57"/>
      <c r="DB144" s="67"/>
      <c r="DC144" s="66">
        <f t="shared" ca="1" si="1950"/>
        <v>0</v>
      </c>
      <c r="DD144" s="57"/>
      <c r="DE144" s="67"/>
      <c r="DF144" s="66">
        <f t="shared" ca="1" si="1951"/>
        <v>0</v>
      </c>
      <c r="DG144" s="57"/>
      <c r="DH144" s="67"/>
      <c r="DI144" s="66">
        <f t="shared" ca="1" si="1952"/>
        <v>0</v>
      </c>
      <c r="DJ144" s="57"/>
      <c r="DK144" s="67"/>
      <c r="DL144" s="66">
        <f t="shared" ca="1" si="1953"/>
        <v>0</v>
      </c>
      <c r="DM144" s="57"/>
      <c r="DN144" s="67"/>
      <c r="DO144" s="66">
        <f t="shared" ca="1" si="1954"/>
        <v>0</v>
      </c>
      <c r="DP144" s="57"/>
      <c r="DQ144" s="67"/>
      <c r="DR144" s="66">
        <f t="shared" ca="1" si="1955"/>
        <v>0</v>
      </c>
      <c r="DS144" s="57"/>
      <c r="DT144" s="67"/>
      <c r="DU144" s="66">
        <f t="shared" ca="1" si="1956"/>
        <v>0</v>
      </c>
      <c r="DV144" s="57"/>
      <c r="DW144" s="67"/>
      <c r="DX144" s="66">
        <f t="shared" ca="1" si="1957"/>
        <v>0</v>
      </c>
      <c r="DY144" s="57"/>
      <c r="DZ144" s="67"/>
      <c r="EA144" s="66">
        <f t="shared" ca="1" si="1958"/>
        <v>0</v>
      </c>
      <c r="EB144" s="57"/>
      <c r="EC144" s="67"/>
      <c r="ED144" s="66">
        <f t="shared" ca="1" si="1959"/>
        <v>0</v>
      </c>
      <c r="EE144" s="57"/>
      <c r="EF144" s="67"/>
      <c r="EG144" s="66">
        <f t="shared" ca="1" si="1960"/>
        <v>0</v>
      </c>
      <c r="EH144" s="57"/>
      <c r="EI144" s="57"/>
    </row>
    <row r="145" spans="1:139">
      <c r="A145" s="43"/>
      <c r="B145" s="43"/>
      <c r="C145" s="800"/>
      <c r="D145" s="800"/>
      <c r="E145" s="800"/>
      <c r="F145" s="801">
        <f t="shared" si="1961"/>
        <v>3</v>
      </c>
      <c r="G145" s="802">
        <f ca="1">VLOOKUP(H145,Equipos!$Q$1:$R$25,2,0)</f>
        <v>19</v>
      </c>
      <c r="H145" s="803" t="str">
        <f>Idiomas!$D$137</f>
        <v>CLASIFICADOS PARA DIECISEISAVOS</v>
      </c>
      <c r="I145" s="800"/>
      <c r="J145" s="859"/>
      <c r="K145" s="49" t="str">
        <f>Idiomas!$D$198&amp;"-"&amp;ROWS($L$130:L145)</f>
        <v>Dieciseisavofinalista-16</v>
      </c>
      <c r="L145" s="46"/>
      <c r="M145" s="48" t="str">
        <f ca="1">WORLDCUP!AA116</f>
        <v>1K</v>
      </c>
      <c r="N145" s="711"/>
      <c r="O145" s="711"/>
      <c r="P145" s="711"/>
      <c r="Q145" s="711"/>
      <c r="R145" s="102"/>
      <c r="S145" s="67" t="s">
        <v>79</v>
      </c>
      <c r="T145" s="66">
        <f t="shared" ca="1" si="1921"/>
        <v>0</v>
      </c>
      <c r="U145" s="57"/>
      <c r="V145" s="67" t="s">
        <v>79</v>
      </c>
      <c r="W145" s="66">
        <f t="shared" ca="1" si="1922"/>
        <v>0</v>
      </c>
      <c r="X145" s="57"/>
      <c r="Y145" s="67" t="s">
        <v>79</v>
      </c>
      <c r="Z145" s="66">
        <f t="shared" ca="1" si="1923"/>
        <v>0</v>
      </c>
      <c r="AA145" s="57"/>
      <c r="AB145" s="67" t="s">
        <v>79</v>
      </c>
      <c r="AC145" s="66">
        <f t="shared" ca="1" si="1924"/>
        <v>0</v>
      </c>
      <c r="AD145" s="57"/>
      <c r="AE145" s="67" t="s">
        <v>79</v>
      </c>
      <c r="AF145" s="66">
        <f t="shared" ca="1" si="1925"/>
        <v>0</v>
      </c>
      <c r="AG145" s="57"/>
      <c r="AH145" s="67" t="s">
        <v>79</v>
      </c>
      <c r="AI145" s="66">
        <f t="shared" ca="1" si="1926"/>
        <v>0</v>
      </c>
      <c r="AJ145" s="57"/>
      <c r="AK145" s="67" t="s">
        <v>79</v>
      </c>
      <c r="AL145" s="66">
        <f t="shared" ca="1" si="1927"/>
        <v>0</v>
      </c>
      <c r="AM145" s="57"/>
      <c r="AN145" s="67" t="s">
        <v>79</v>
      </c>
      <c r="AO145" s="66">
        <f t="shared" ca="1" si="1928"/>
        <v>0</v>
      </c>
      <c r="AP145" s="57"/>
      <c r="AQ145" s="67" t="s">
        <v>79</v>
      </c>
      <c r="AR145" s="66">
        <f t="shared" ca="1" si="1929"/>
        <v>0</v>
      </c>
      <c r="AS145" s="57"/>
      <c r="AT145" s="67" t="s">
        <v>79</v>
      </c>
      <c r="AU145" s="66">
        <f t="shared" ca="1" si="1930"/>
        <v>0</v>
      </c>
      <c r="AV145" s="57"/>
      <c r="AW145" s="67" t="s">
        <v>79</v>
      </c>
      <c r="AX145" s="66">
        <f t="shared" ca="1" si="1931"/>
        <v>0</v>
      </c>
      <c r="AY145" s="57"/>
      <c r="AZ145" s="67" t="s">
        <v>79</v>
      </c>
      <c r="BA145" s="66">
        <f t="shared" ca="1" si="1932"/>
        <v>0</v>
      </c>
      <c r="BB145" s="57"/>
      <c r="BC145" s="67" t="s">
        <v>79</v>
      </c>
      <c r="BD145" s="66">
        <f t="shared" ca="1" si="1933"/>
        <v>0</v>
      </c>
      <c r="BE145" s="57"/>
      <c r="BF145" s="67" t="s">
        <v>79</v>
      </c>
      <c r="BG145" s="66">
        <f t="shared" ca="1" si="1934"/>
        <v>0</v>
      </c>
      <c r="BH145" s="57"/>
      <c r="BI145" s="67" t="s">
        <v>79</v>
      </c>
      <c r="BJ145" s="66">
        <f t="shared" ca="1" si="1935"/>
        <v>0</v>
      </c>
      <c r="BK145" s="57"/>
      <c r="BL145" s="67" t="s">
        <v>79</v>
      </c>
      <c r="BM145" s="66">
        <f t="shared" ca="1" si="1936"/>
        <v>0</v>
      </c>
      <c r="BN145" s="57"/>
      <c r="BO145" s="67" t="s">
        <v>79</v>
      </c>
      <c r="BP145" s="66">
        <f t="shared" ca="1" si="1937"/>
        <v>0</v>
      </c>
      <c r="BQ145" s="57"/>
      <c r="BR145" s="67" t="s">
        <v>79</v>
      </c>
      <c r="BS145" s="66">
        <f t="shared" ca="1" si="1938"/>
        <v>0</v>
      </c>
      <c r="BT145" s="57"/>
      <c r="BU145" s="67"/>
      <c r="BV145" s="66">
        <f t="shared" ca="1" si="1939"/>
        <v>0</v>
      </c>
      <c r="BW145" s="57"/>
      <c r="BX145" s="67"/>
      <c r="BY145" s="66">
        <f t="shared" ca="1" si="1940"/>
        <v>0</v>
      </c>
      <c r="BZ145" s="57"/>
      <c r="CA145" s="67"/>
      <c r="CB145" s="66">
        <f t="shared" ca="1" si="1941"/>
        <v>0</v>
      </c>
      <c r="CC145" s="57"/>
      <c r="CD145" s="67"/>
      <c r="CE145" s="66">
        <f t="shared" ca="1" si="1942"/>
        <v>0</v>
      </c>
      <c r="CF145" s="57"/>
      <c r="CG145" s="67"/>
      <c r="CH145" s="66">
        <f t="shared" ca="1" si="1943"/>
        <v>0</v>
      </c>
      <c r="CI145" s="57"/>
      <c r="CJ145" s="67"/>
      <c r="CK145" s="66">
        <f t="shared" ca="1" si="1944"/>
        <v>0</v>
      </c>
      <c r="CL145" s="57"/>
      <c r="CM145" s="67"/>
      <c r="CN145" s="66">
        <f t="shared" ca="1" si="1945"/>
        <v>0</v>
      </c>
      <c r="CO145" s="57"/>
      <c r="CP145" s="67"/>
      <c r="CQ145" s="66">
        <f t="shared" ca="1" si="1946"/>
        <v>0</v>
      </c>
      <c r="CR145" s="57"/>
      <c r="CS145" s="67"/>
      <c r="CT145" s="66">
        <f t="shared" ca="1" si="1947"/>
        <v>0</v>
      </c>
      <c r="CU145" s="57"/>
      <c r="CV145" s="67"/>
      <c r="CW145" s="66">
        <f t="shared" ca="1" si="1948"/>
        <v>0</v>
      </c>
      <c r="CX145" s="57"/>
      <c r="CY145" s="67"/>
      <c r="CZ145" s="66">
        <f t="shared" ca="1" si="1949"/>
        <v>0</v>
      </c>
      <c r="DA145" s="57"/>
      <c r="DB145" s="67"/>
      <c r="DC145" s="66">
        <f t="shared" ca="1" si="1950"/>
        <v>0</v>
      </c>
      <c r="DD145" s="57"/>
      <c r="DE145" s="67"/>
      <c r="DF145" s="66">
        <f t="shared" ca="1" si="1951"/>
        <v>0</v>
      </c>
      <c r="DG145" s="57"/>
      <c r="DH145" s="67"/>
      <c r="DI145" s="66">
        <f t="shared" ca="1" si="1952"/>
        <v>0</v>
      </c>
      <c r="DJ145" s="57"/>
      <c r="DK145" s="67"/>
      <c r="DL145" s="66">
        <f t="shared" ca="1" si="1953"/>
        <v>0</v>
      </c>
      <c r="DM145" s="57"/>
      <c r="DN145" s="67"/>
      <c r="DO145" s="66">
        <f t="shared" ca="1" si="1954"/>
        <v>0</v>
      </c>
      <c r="DP145" s="57"/>
      <c r="DQ145" s="67"/>
      <c r="DR145" s="66">
        <f t="shared" ca="1" si="1955"/>
        <v>0</v>
      </c>
      <c r="DS145" s="57"/>
      <c r="DT145" s="67"/>
      <c r="DU145" s="66">
        <f t="shared" ca="1" si="1956"/>
        <v>0</v>
      </c>
      <c r="DV145" s="57"/>
      <c r="DW145" s="67"/>
      <c r="DX145" s="66">
        <f t="shared" ca="1" si="1957"/>
        <v>0</v>
      </c>
      <c r="DY145" s="57"/>
      <c r="DZ145" s="67"/>
      <c r="EA145" s="66">
        <f t="shared" ca="1" si="1958"/>
        <v>0</v>
      </c>
      <c r="EB145" s="57"/>
      <c r="EC145" s="67"/>
      <c r="ED145" s="66">
        <f t="shared" ca="1" si="1959"/>
        <v>0</v>
      </c>
      <c r="EE145" s="57"/>
      <c r="EF145" s="67"/>
      <c r="EG145" s="66">
        <f t="shared" ca="1" si="1960"/>
        <v>0</v>
      </c>
      <c r="EH145" s="57"/>
      <c r="EI145" s="57"/>
    </row>
    <row r="146" spans="1:139">
      <c r="A146" s="43"/>
      <c r="B146" s="43"/>
      <c r="C146" s="800"/>
      <c r="D146" s="800"/>
      <c r="E146" s="800"/>
      <c r="F146" s="801">
        <f t="shared" si="1961"/>
        <v>3</v>
      </c>
      <c r="G146" s="802">
        <f ca="1">VLOOKUP(H146,Equipos!$Q$1:$R$25,2,0)</f>
        <v>19</v>
      </c>
      <c r="H146" s="803" t="str">
        <f>Idiomas!$D$137</f>
        <v>CLASIFICADOS PARA DIECISEISAVOS</v>
      </c>
      <c r="I146" s="800"/>
      <c r="J146" s="859"/>
      <c r="K146" s="49" t="str">
        <f>Idiomas!$D$198&amp;"-"&amp;ROWS($L$130:L146)</f>
        <v>Dieciseisavofinalista-17</v>
      </c>
      <c r="L146" s="46"/>
      <c r="M146" s="48" t="str">
        <f ca="1">WORLDCUP!AF101</f>
        <v>2B</v>
      </c>
      <c r="N146" s="711"/>
      <c r="O146" s="711"/>
      <c r="P146" s="711"/>
      <c r="Q146" s="711"/>
      <c r="R146" s="102"/>
      <c r="S146" s="67" t="s">
        <v>75</v>
      </c>
      <c r="T146" s="66">
        <f t="shared" ca="1" si="1921"/>
        <v>0</v>
      </c>
      <c r="U146" s="57"/>
      <c r="V146" s="67" t="s">
        <v>1259</v>
      </c>
      <c r="W146" s="66">
        <f t="shared" ca="1" si="1922"/>
        <v>0</v>
      </c>
      <c r="X146" s="57"/>
      <c r="Y146" s="67" t="s">
        <v>1259</v>
      </c>
      <c r="Z146" s="66">
        <f t="shared" ca="1" si="1923"/>
        <v>0</v>
      </c>
      <c r="AA146" s="57"/>
      <c r="AB146" s="67" t="s">
        <v>1259</v>
      </c>
      <c r="AC146" s="66">
        <f t="shared" ca="1" si="1924"/>
        <v>0</v>
      </c>
      <c r="AD146" s="57"/>
      <c r="AE146" s="67" t="s">
        <v>75</v>
      </c>
      <c r="AF146" s="66">
        <f t="shared" ca="1" si="1925"/>
        <v>0</v>
      </c>
      <c r="AG146" s="57"/>
      <c r="AH146" s="67" t="s">
        <v>75</v>
      </c>
      <c r="AI146" s="66">
        <f t="shared" ca="1" si="1926"/>
        <v>0</v>
      </c>
      <c r="AJ146" s="57"/>
      <c r="AK146" s="67" t="s">
        <v>75</v>
      </c>
      <c r="AL146" s="66">
        <f t="shared" ca="1" si="1927"/>
        <v>0</v>
      </c>
      <c r="AM146" s="57"/>
      <c r="AN146" s="67" t="s">
        <v>1259</v>
      </c>
      <c r="AO146" s="66">
        <f t="shared" ca="1" si="1928"/>
        <v>0</v>
      </c>
      <c r="AP146" s="57"/>
      <c r="AQ146" s="67" t="s">
        <v>1259</v>
      </c>
      <c r="AR146" s="66">
        <f t="shared" ca="1" si="1929"/>
        <v>0</v>
      </c>
      <c r="AS146" s="57"/>
      <c r="AT146" s="67" t="s">
        <v>75</v>
      </c>
      <c r="AU146" s="66">
        <f t="shared" ca="1" si="1930"/>
        <v>0</v>
      </c>
      <c r="AV146" s="57"/>
      <c r="AW146" s="67" t="s">
        <v>1835</v>
      </c>
      <c r="AX146" s="66">
        <f t="shared" ca="1" si="1931"/>
        <v>0</v>
      </c>
      <c r="AY146" s="57"/>
      <c r="AZ146" s="67" t="s">
        <v>1835</v>
      </c>
      <c r="BA146" s="66">
        <f t="shared" ca="1" si="1932"/>
        <v>0</v>
      </c>
      <c r="BB146" s="57"/>
      <c r="BC146" s="67" t="s">
        <v>1259</v>
      </c>
      <c r="BD146" s="66">
        <f t="shared" ca="1" si="1933"/>
        <v>0</v>
      </c>
      <c r="BE146" s="57"/>
      <c r="BF146" s="67" t="s">
        <v>1259</v>
      </c>
      <c r="BG146" s="66">
        <f t="shared" ca="1" si="1934"/>
        <v>0</v>
      </c>
      <c r="BH146" s="57"/>
      <c r="BI146" s="67" t="s">
        <v>75</v>
      </c>
      <c r="BJ146" s="66">
        <f t="shared" ca="1" si="1935"/>
        <v>0</v>
      </c>
      <c r="BK146" s="57"/>
      <c r="BL146" s="67" t="s">
        <v>1259</v>
      </c>
      <c r="BM146" s="66">
        <f t="shared" ca="1" si="1936"/>
        <v>0</v>
      </c>
      <c r="BN146" s="57"/>
      <c r="BO146" s="67" t="s">
        <v>1835</v>
      </c>
      <c r="BP146" s="66">
        <f t="shared" ca="1" si="1937"/>
        <v>0</v>
      </c>
      <c r="BQ146" s="57"/>
      <c r="BR146" s="67" t="s">
        <v>1259</v>
      </c>
      <c r="BS146" s="66">
        <f t="shared" ca="1" si="1938"/>
        <v>0</v>
      </c>
      <c r="BT146" s="57"/>
      <c r="BU146" s="67"/>
      <c r="BV146" s="66">
        <f t="shared" ca="1" si="1939"/>
        <v>0</v>
      </c>
      <c r="BW146" s="57"/>
      <c r="BX146" s="67"/>
      <c r="BY146" s="66">
        <f t="shared" ca="1" si="1940"/>
        <v>0</v>
      </c>
      <c r="BZ146" s="57"/>
      <c r="CA146" s="67"/>
      <c r="CB146" s="66">
        <f t="shared" ca="1" si="1941"/>
        <v>0</v>
      </c>
      <c r="CC146" s="57"/>
      <c r="CD146" s="67"/>
      <c r="CE146" s="66">
        <f t="shared" ca="1" si="1942"/>
        <v>0</v>
      </c>
      <c r="CF146" s="57"/>
      <c r="CG146" s="67"/>
      <c r="CH146" s="66">
        <f t="shared" ca="1" si="1943"/>
        <v>0</v>
      </c>
      <c r="CI146" s="57"/>
      <c r="CJ146" s="67"/>
      <c r="CK146" s="66">
        <f t="shared" ca="1" si="1944"/>
        <v>0</v>
      </c>
      <c r="CL146" s="57"/>
      <c r="CM146" s="67"/>
      <c r="CN146" s="66">
        <f t="shared" ca="1" si="1945"/>
        <v>0</v>
      </c>
      <c r="CO146" s="57"/>
      <c r="CP146" s="67"/>
      <c r="CQ146" s="66">
        <f t="shared" ca="1" si="1946"/>
        <v>0</v>
      </c>
      <c r="CR146" s="57"/>
      <c r="CS146" s="67"/>
      <c r="CT146" s="66">
        <f t="shared" ca="1" si="1947"/>
        <v>0</v>
      </c>
      <c r="CU146" s="57"/>
      <c r="CV146" s="67"/>
      <c r="CW146" s="66">
        <f t="shared" ca="1" si="1948"/>
        <v>0</v>
      </c>
      <c r="CX146" s="57"/>
      <c r="CY146" s="67"/>
      <c r="CZ146" s="66">
        <f t="shared" ca="1" si="1949"/>
        <v>0</v>
      </c>
      <c r="DA146" s="57"/>
      <c r="DB146" s="67"/>
      <c r="DC146" s="66">
        <f t="shared" ca="1" si="1950"/>
        <v>0</v>
      </c>
      <c r="DD146" s="57"/>
      <c r="DE146" s="67"/>
      <c r="DF146" s="66">
        <f t="shared" ca="1" si="1951"/>
        <v>0</v>
      </c>
      <c r="DG146" s="57"/>
      <c r="DH146" s="67"/>
      <c r="DI146" s="66">
        <f t="shared" ca="1" si="1952"/>
        <v>0</v>
      </c>
      <c r="DJ146" s="57"/>
      <c r="DK146" s="67"/>
      <c r="DL146" s="66">
        <f t="shared" ca="1" si="1953"/>
        <v>0</v>
      </c>
      <c r="DM146" s="57"/>
      <c r="DN146" s="67"/>
      <c r="DO146" s="66">
        <f t="shared" ca="1" si="1954"/>
        <v>0</v>
      </c>
      <c r="DP146" s="57"/>
      <c r="DQ146" s="67"/>
      <c r="DR146" s="66">
        <f t="shared" ca="1" si="1955"/>
        <v>0</v>
      </c>
      <c r="DS146" s="57"/>
      <c r="DT146" s="67"/>
      <c r="DU146" s="66">
        <f t="shared" ca="1" si="1956"/>
        <v>0</v>
      </c>
      <c r="DV146" s="57"/>
      <c r="DW146" s="67"/>
      <c r="DX146" s="66">
        <f t="shared" ca="1" si="1957"/>
        <v>0</v>
      </c>
      <c r="DY146" s="57"/>
      <c r="DZ146" s="67"/>
      <c r="EA146" s="66">
        <f t="shared" ca="1" si="1958"/>
        <v>0</v>
      </c>
      <c r="EB146" s="57"/>
      <c r="EC146" s="67"/>
      <c r="ED146" s="66">
        <f t="shared" ca="1" si="1959"/>
        <v>0</v>
      </c>
      <c r="EE146" s="57"/>
      <c r="EF146" s="67"/>
      <c r="EG146" s="66">
        <f t="shared" ca="1" si="1960"/>
        <v>0</v>
      </c>
      <c r="EH146" s="57"/>
      <c r="EI146" s="57"/>
    </row>
    <row r="147" spans="1:139">
      <c r="A147" s="43"/>
      <c r="B147" s="43"/>
      <c r="C147" s="800"/>
      <c r="D147" s="800"/>
      <c r="E147" s="800"/>
      <c r="F147" s="801">
        <f t="shared" si="1961"/>
        <v>3</v>
      </c>
      <c r="G147" s="802">
        <f ca="1">VLOOKUP(H147,Equipos!$Q$1:$R$25,2,0)</f>
        <v>19</v>
      </c>
      <c r="H147" s="803" t="str">
        <f>Idiomas!$D$137</f>
        <v>CLASIFICADOS PARA DIECISEISAVOS</v>
      </c>
      <c r="I147" s="800"/>
      <c r="J147" s="859"/>
      <c r="K147" s="49" t="str">
        <f>Idiomas!$D$198&amp;"-"&amp;ROWS($L$130:L147)</f>
        <v>Dieciseisavofinalista-18</v>
      </c>
      <c r="L147" s="46"/>
      <c r="M147" s="48" t="str">
        <f ca="1">WORLDCUP!AF102</f>
        <v>2F</v>
      </c>
      <c r="N147" s="711"/>
      <c r="O147" s="711"/>
      <c r="P147" s="711"/>
      <c r="Q147" s="711"/>
      <c r="R147" s="102"/>
      <c r="S147" s="67" t="s">
        <v>1827</v>
      </c>
      <c r="T147" s="66">
        <f t="shared" ca="1" si="1921"/>
        <v>0</v>
      </c>
      <c r="U147" s="57"/>
      <c r="V147" s="67" t="s">
        <v>1263</v>
      </c>
      <c r="W147" s="66">
        <f t="shared" ca="1" si="1922"/>
        <v>0</v>
      </c>
      <c r="X147" s="57"/>
      <c r="Y147" s="67" t="s">
        <v>1827</v>
      </c>
      <c r="Z147" s="66">
        <f t="shared" ca="1" si="1923"/>
        <v>0</v>
      </c>
      <c r="AA147" s="57"/>
      <c r="AB147" s="67" t="s">
        <v>1263</v>
      </c>
      <c r="AC147" s="66">
        <f t="shared" ca="1" si="1924"/>
        <v>0</v>
      </c>
      <c r="AD147" s="57"/>
      <c r="AE147" s="67" t="s">
        <v>1263</v>
      </c>
      <c r="AF147" s="66">
        <f t="shared" ca="1" si="1925"/>
        <v>0</v>
      </c>
      <c r="AG147" s="57"/>
      <c r="AH147" s="67" t="s">
        <v>1263</v>
      </c>
      <c r="AI147" s="66">
        <f t="shared" ca="1" si="1926"/>
        <v>0</v>
      </c>
      <c r="AJ147" s="57"/>
      <c r="AK147" s="67" t="s">
        <v>1263</v>
      </c>
      <c r="AL147" s="66">
        <f t="shared" ca="1" si="1927"/>
        <v>0</v>
      </c>
      <c r="AM147" s="57"/>
      <c r="AN147" s="67" t="s">
        <v>1263</v>
      </c>
      <c r="AO147" s="66">
        <f t="shared" ca="1" si="1928"/>
        <v>0</v>
      </c>
      <c r="AP147" s="57"/>
      <c r="AQ147" s="67" t="s">
        <v>1263</v>
      </c>
      <c r="AR147" s="66">
        <f t="shared" ca="1" si="1929"/>
        <v>0</v>
      </c>
      <c r="AS147" s="57"/>
      <c r="AT147" s="67" t="s">
        <v>1263</v>
      </c>
      <c r="AU147" s="66">
        <f t="shared" ca="1" si="1930"/>
        <v>0</v>
      </c>
      <c r="AV147" s="57"/>
      <c r="AW147" s="67" t="s">
        <v>1827</v>
      </c>
      <c r="AX147" s="66">
        <f t="shared" ca="1" si="1931"/>
        <v>0</v>
      </c>
      <c r="AY147" s="57"/>
      <c r="AZ147" s="67" t="s">
        <v>1827</v>
      </c>
      <c r="BA147" s="66">
        <f t="shared" ca="1" si="1932"/>
        <v>0</v>
      </c>
      <c r="BB147" s="57"/>
      <c r="BC147" s="67" t="s">
        <v>1827</v>
      </c>
      <c r="BD147" s="66">
        <f t="shared" ca="1" si="1933"/>
        <v>0</v>
      </c>
      <c r="BE147" s="57"/>
      <c r="BF147" s="67" t="s">
        <v>1827</v>
      </c>
      <c r="BG147" s="66">
        <f t="shared" ca="1" si="1934"/>
        <v>0</v>
      </c>
      <c r="BH147" s="57"/>
      <c r="BI147" s="67" t="s">
        <v>1827</v>
      </c>
      <c r="BJ147" s="66">
        <f t="shared" ca="1" si="1935"/>
        <v>0</v>
      </c>
      <c r="BK147" s="57"/>
      <c r="BL147" s="67" t="s">
        <v>1827</v>
      </c>
      <c r="BM147" s="66">
        <f t="shared" ca="1" si="1936"/>
        <v>0</v>
      </c>
      <c r="BN147" s="57"/>
      <c r="BO147" s="67" t="s">
        <v>1263</v>
      </c>
      <c r="BP147" s="66">
        <f t="shared" ca="1" si="1937"/>
        <v>0</v>
      </c>
      <c r="BQ147" s="57"/>
      <c r="BR147" s="67" t="s">
        <v>1263</v>
      </c>
      <c r="BS147" s="66">
        <f t="shared" ca="1" si="1938"/>
        <v>0</v>
      </c>
      <c r="BT147" s="57"/>
      <c r="BU147" s="67"/>
      <c r="BV147" s="66">
        <f t="shared" ca="1" si="1939"/>
        <v>0</v>
      </c>
      <c r="BW147" s="57"/>
      <c r="BX147" s="67"/>
      <c r="BY147" s="66">
        <f t="shared" ca="1" si="1940"/>
        <v>0</v>
      </c>
      <c r="BZ147" s="57"/>
      <c r="CA147" s="67"/>
      <c r="CB147" s="66">
        <f t="shared" ca="1" si="1941"/>
        <v>0</v>
      </c>
      <c r="CC147" s="57"/>
      <c r="CD147" s="67"/>
      <c r="CE147" s="66">
        <f t="shared" ca="1" si="1942"/>
        <v>0</v>
      </c>
      <c r="CF147" s="57"/>
      <c r="CG147" s="67"/>
      <c r="CH147" s="66">
        <f t="shared" ca="1" si="1943"/>
        <v>0</v>
      </c>
      <c r="CI147" s="57"/>
      <c r="CJ147" s="67"/>
      <c r="CK147" s="66">
        <f t="shared" ca="1" si="1944"/>
        <v>0</v>
      </c>
      <c r="CL147" s="57"/>
      <c r="CM147" s="67"/>
      <c r="CN147" s="66">
        <f t="shared" ca="1" si="1945"/>
        <v>0</v>
      </c>
      <c r="CO147" s="57"/>
      <c r="CP147" s="67"/>
      <c r="CQ147" s="66">
        <f t="shared" ca="1" si="1946"/>
        <v>0</v>
      </c>
      <c r="CR147" s="57"/>
      <c r="CS147" s="67"/>
      <c r="CT147" s="66">
        <f t="shared" ca="1" si="1947"/>
        <v>0</v>
      </c>
      <c r="CU147" s="57"/>
      <c r="CV147" s="67"/>
      <c r="CW147" s="66">
        <f t="shared" ca="1" si="1948"/>
        <v>0</v>
      </c>
      <c r="CX147" s="57"/>
      <c r="CY147" s="67"/>
      <c r="CZ147" s="66">
        <f t="shared" ca="1" si="1949"/>
        <v>0</v>
      </c>
      <c r="DA147" s="57"/>
      <c r="DB147" s="67"/>
      <c r="DC147" s="66">
        <f t="shared" ca="1" si="1950"/>
        <v>0</v>
      </c>
      <c r="DD147" s="57"/>
      <c r="DE147" s="67"/>
      <c r="DF147" s="66">
        <f t="shared" ca="1" si="1951"/>
        <v>0</v>
      </c>
      <c r="DG147" s="57"/>
      <c r="DH147" s="67"/>
      <c r="DI147" s="66">
        <f t="shared" ca="1" si="1952"/>
        <v>0</v>
      </c>
      <c r="DJ147" s="57"/>
      <c r="DK147" s="67"/>
      <c r="DL147" s="66">
        <f t="shared" ca="1" si="1953"/>
        <v>0</v>
      </c>
      <c r="DM147" s="57"/>
      <c r="DN147" s="67"/>
      <c r="DO147" s="66">
        <f t="shared" ca="1" si="1954"/>
        <v>0</v>
      </c>
      <c r="DP147" s="57"/>
      <c r="DQ147" s="67"/>
      <c r="DR147" s="66">
        <f t="shared" ca="1" si="1955"/>
        <v>0</v>
      </c>
      <c r="DS147" s="57"/>
      <c r="DT147" s="67"/>
      <c r="DU147" s="66">
        <f t="shared" ca="1" si="1956"/>
        <v>0</v>
      </c>
      <c r="DV147" s="57"/>
      <c r="DW147" s="67"/>
      <c r="DX147" s="66">
        <f t="shared" ca="1" si="1957"/>
        <v>0</v>
      </c>
      <c r="DY147" s="57"/>
      <c r="DZ147" s="67"/>
      <c r="EA147" s="66">
        <f t="shared" ca="1" si="1958"/>
        <v>0</v>
      </c>
      <c r="EB147" s="57"/>
      <c r="EC147" s="67"/>
      <c r="ED147" s="66">
        <f t="shared" ca="1" si="1959"/>
        <v>0</v>
      </c>
      <c r="EE147" s="57"/>
      <c r="EF147" s="67"/>
      <c r="EG147" s="66">
        <f t="shared" ca="1" si="1960"/>
        <v>0</v>
      </c>
      <c r="EH147" s="57"/>
      <c r="EI147" s="57"/>
    </row>
    <row r="148" spans="1:139">
      <c r="A148" s="43"/>
      <c r="B148" s="43"/>
      <c r="C148" s="800"/>
      <c r="D148" s="800"/>
      <c r="E148" s="800"/>
      <c r="F148" s="801">
        <f t="shared" si="1961"/>
        <v>3</v>
      </c>
      <c r="G148" s="802">
        <f ca="1">VLOOKUP(H148,Equipos!$Q$1:$R$25,2,0)</f>
        <v>19</v>
      </c>
      <c r="H148" s="803" t="str">
        <f>Idiomas!$D$137</f>
        <v>CLASIFICADOS PARA DIECISEISAVOS</v>
      </c>
      <c r="I148" s="800"/>
      <c r="J148" s="859"/>
      <c r="K148" s="49" t="str">
        <f>Idiomas!$D$198&amp;"-"&amp;ROWS($L$130:L148)</f>
        <v>Dieciseisavofinalista-19</v>
      </c>
      <c r="L148" s="46"/>
      <c r="M148" s="48" t="str">
        <f ca="1">WORLDCUP!AF103</f>
        <v>3ABCDF</v>
      </c>
      <c r="N148" s="711"/>
      <c r="O148" s="711"/>
      <c r="P148" s="711"/>
      <c r="Q148" s="711"/>
      <c r="R148" s="102"/>
      <c r="S148" s="67" t="s">
        <v>1315</v>
      </c>
      <c r="T148" s="66">
        <f t="shared" ca="1" si="1921"/>
        <v>0</v>
      </c>
      <c r="U148" s="57"/>
      <c r="V148" s="67" t="s">
        <v>1315</v>
      </c>
      <c r="W148" s="66">
        <f t="shared" ca="1" si="1922"/>
        <v>0</v>
      </c>
      <c r="X148" s="57"/>
      <c r="Y148" s="67" t="s">
        <v>1315</v>
      </c>
      <c r="Z148" s="66">
        <f t="shared" ca="1" si="1923"/>
        <v>0</v>
      </c>
      <c r="AA148" s="57"/>
      <c r="AB148" s="67" t="s">
        <v>134</v>
      </c>
      <c r="AC148" s="66">
        <f t="shared" ca="1" si="1924"/>
        <v>0</v>
      </c>
      <c r="AD148" s="57"/>
      <c r="AE148" s="67" t="s">
        <v>1315</v>
      </c>
      <c r="AF148" s="66">
        <f t="shared" ca="1" si="1925"/>
        <v>0</v>
      </c>
      <c r="AG148" s="57"/>
      <c r="AH148" s="67" t="s">
        <v>134</v>
      </c>
      <c r="AI148" s="66">
        <f t="shared" ca="1" si="1926"/>
        <v>0</v>
      </c>
      <c r="AJ148" s="57"/>
      <c r="AK148" s="67" t="s">
        <v>1315</v>
      </c>
      <c r="AL148" s="66">
        <f t="shared" ca="1" si="1927"/>
        <v>0</v>
      </c>
      <c r="AM148" s="57"/>
      <c r="AN148" s="67" t="s">
        <v>1315</v>
      </c>
      <c r="AO148" s="66">
        <f t="shared" ca="1" si="1928"/>
        <v>0</v>
      </c>
      <c r="AP148" s="57"/>
      <c r="AQ148" s="67" t="s">
        <v>134</v>
      </c>
      <c r="AR148" s="66">
        <f t="shared" ca="1" si="1929"/>
        <v>0</v>
      </c>
      <c r="AS148" s="57"/>
      <c r="AT148" s="67" t="s">
        <v>134</v>
      </c>
      <c r="AU148" s="66">
        <f t="shared" ca="1" si="1930"/>
        <v>0</v>
      </c>
      <c r="AV148" s="57"/>
      <c r="AW148" s="67" t="s">
        <v>134</v>
      </c>
      <c r="AX148" s="66">
        <f t="shared" ca="1" si="1931"/>
        <v>0</v>
      </c>
      <c r="AY148" s="57"/>
      <c r="AZ148" s="67" t="s">
        <v>1315</v>
      </c>
      <c r="BA148" s="66">
        <f t="shared" ca="1" si="1932"/>
        <v>0</v>
      </c>
      <c r="BB148" s="57"/>
      <c r="BC148" s="67" t="s">
        <v>1257</v>
      </c>
      <c r="BD148" s="66">
        <f t="shared" ca="1" si="1933"/>
        <v>0</v>
      </c>
      <c r="BE148" s="57"/>
      <c r="BF148" s="67" t="s">
        <v>497</v>
      </c>
      <c r="BG148" s="66">
        <f t="shared" ca="1" si="1934"/>
        <v>0</v>
      </c>
      <c r="BH148" s="57"/>
      <c r="BI148" s="67" t="s">
        <v>1315</v>
      </c>
      <c r="BJ148" s="66">
        <f t="shared" ca="1" si="1935"/>
        <v>0</v>
      </c>
      <c r="BK148" s="57"/>
      <c r="BL148" s="67" t="s">
        <v>134</v>
      </c>
      <c r="BM148" s="66">
        <f t="shared" ca="1" si="1936"/>
        <v>0</v>
      </c>
      <c r="BN148" s="57"/>
      <c r="BO148" s="67" t="s">
        <v>134</v>
      </c>
      <c r="BP148" s="66">
        <f t="shared" ca="1" si="1937"/>
        <v>0</v>
      </c>
      <c r="BQ148" s="57"/>
      <c r="BR148" s="67" t="s">
        <v>134</v>
      </c>
      <c r="BS148" s="66">
        <f t="shared" ca="1" si="1938"/>
        <v>0</v>
      </c>
      <c r="BT148" s="57"/>
      <c r="BU148" s="67"/>
      <c r="BV148" s="66">
        <f t="shared" ca="1" si="1939"/>
        <v>0</v>
      </c>
      <c r="BW148" s="57"/>
      <c r="BX148" s="67"/>
      <c r="BY148" s="66">
        <f t="shared" ca="1" si="1940"/>
        <v>0</v>
      </c>
      <c r="BZ148" s="57"/>
      <c r="CA148" s="67"/>
      <c r="CB148" s="66">
        <f t="shared" ca="1" si="1941"/>
        <v>0</v>
      </c>
      <c r="CC148" s="57"/>
      <c r="CD148" s="67"/>
      <c r="CE148" s="66">
        <f t="shared" ca="1" si="1942"/>
        <v>0</v>
      </c>
      <c r="CF148" s="57"/>
      <c r="CG148" s="67"/>
      <c r="CH148" s="66">
        <f t="shared" ca="1" si="1943"/>
        <v>0</v>
      </c>
      <c r="CI148" s="57"/>
      <c r="CJ148" s="67"/>
      <c r="CK148" s="66">
        <f t="shared" ca="1" si="1944"/>
        <v>0</v>
      </c>
      <c r="CL148" s="57"/>
      <c r="CM148" s="67"/>
      <c r="CN148" s="66">
        <f t="shared" ca="1" si="1945"/>
        <v>0</v>
      </c>
      <c r="CO148" s="57"/>
      <c r="CP148" s="67"/>
      <c r="CQ148" s="66">
        <f t="shared" ca="1" si="1946"/>
        <v>0</v>
      </c>
      <c r="CR148" s="57"/>
      <c r="CS148" s="67"/>
      <c r="CT148" s="66">
        <f t="shared" ca="1" si="1947"/>
        <v>0</v>
      </c>
      <c r="CU148" s="57"/>
      <c r="CV148" s="67"/>
      <c r="CW148" s="66">
        <f t="shared" ca="1" si="1948"/>
        <v>0</v>
      </c>
      <c r="CX148" s="57"/>
      <c r="CY148" s="67"/>
      <c r="CZ148" s="66">
        <f t="shared" ca="1" si="1949"/>
        <v>0</v>
      </c>
      <c r="DA148" s="57"/>
      <c r="DB148" s="67"/>
      <c r="DC148" s="66">
        <f t="shared" ca="1" si="1950"/>
        <v>0</v>
      </c>
      <c r="DD148" s="57"/>
      <c r="DE148" s="67"/>
      <c r="DF148" s="66">
        <f t="shared" ca="1" si="1951"/>
        <v>0</v>
      </c>
      <c r="DG148" s="57"/>
      <c r="DH148" s="67"/>
      <c r="DI148" s="66">
        <f t="shared" ca="1" si="1952"/>
        <v>0</v>
      </c>
      <c r="DJ148" s="57"/>
      <c r="DK148" s="67"/>
      <c r="DL148" s="66">
        <f t="shared" ca="1" si="1953"/>
        <v>0</v>
      </c>
      <c r="DM148" s="57"/>
      <c r="DN148" s="67"/>
      <c r="DO148" s="66">
        <f t="shared" ca="1" si="1954"/>
        <v>0</v>
      </c>
      <c r="DP148" s="57"/>
      <c r="DQ148" s="67"/>
      <c r="DR148" s="66">
        <f t="shared" ca="1" si="1955"/>
        <v>0</v>
      </c>
      <c r="DS148" s="57"/>
      <c r="DT148" s="67"/>
      <c r="DU148" s="66">
        <f t="shared" ca="1" si="1956"/>
        <v>0</v>
      </c>
      <c r="DV148" s="57"/>
      <c r="DW148" s="67"/>
      <c r="DX148" s="66">
        <f t="shared" ca="1" si="1957"/>
        <v>0</v>
      </c>
      <c r="DY148" s="57"/>
      <c r="DZ148" s="67"/>
      <c r="EA148" s="66">
        <f t="shared" ca="1" si="1958"/>
        <v>0</v>
      </c>
      <c r="EB148" s="57"/>
      <c r="EC148" s="67"/>
      <c r="ED148" s="66">
        <f t="shared" ca="1" si="1959"/>
        <v>0</v>
      </c>
      <c r="EE148" s="57"/>
      <c r="EF148" s="67"/>
      <c r="EG148" s="66">
        <f t="shared" ca="1" si="1960"/>
        <v>0</v>
      </c>
      <c r="EH148" s="57"/>
      <c r="EI148" s="57"/>
    </row>
    <row r="149" spans="1:139">
      <c r="A149" s="43"/>
      <c r="B149" s="43"/>
      <c r="C149" s="800"/>
      <c r="D149" s="800"/>
      <c r="E149" s="800"/>
      <c r="F149" s="801">
        <f t="shared" si="1961"/>
        <v>3</v>
      </c>
      <c r="G149" s="802">
        <f ca="1">VLOOKUP(H149,Equipos!$Q$1:$R$25,2,0)</f>
        <v>19</v>
      </c>
      <c r="H149" s="803" t="str">
        <f>Idiomas!$D$137</f>
        <v>CLASIFICADOS PARA DIECISEISAVOS</v>
      </c>
      <c r="I149" s="800"/>
      <c r="J149" s="859"/>
      <c r="K149" s="49" t="str">
        <f>Idiomas!$D$198&amp;"-"&amp;ROWS($L$130:L149)</f>
        <v>Dieciseisavofinalista-20</v>
      </c>
      <c r="L149" s="46"/>
      <c r="M149" s="48" t="str">
        <f ca="1">WORLDCUP!AF104</f>
        <v>2C</v>
      </c>
      <c r="N149" s="711"/>
      <c r="O149" s="711"/>
      <c r="P149" s="711"/>
      <c r="Q149" s="711"/>
      <c r="R149" s="102"/>
      <c r="S149" s="67" t="s">
        <v>1317</v>
      </c>
      <c r="T149" s="66">
        <f t="shared" ca="1" si="1921"/>
        <v>0</v>
      </c>
      <c r="U149" s="57"/>
      <c r="V149" s="67" t="s">
        <v>1317</v>
      </c>
      <c r="W149" s="66">
        <f t="shared" ca="1" si="1922"/>
        <v>0</v>
      </c>
      <c r="X149" s="57"/>
      <c r="Y149" s="67" t="s">
        <v>1317</v>
      </c>
      <c r="Z149" s="66">
        <f t="shared" ca="1" si="1923"/>
        <v>0</v>
      </c>
      <c r="AA149" s="57"/>
      <c r="AB149" s="67" t="s">
        <v>1258</v>
      </c>
      <c r="AC149" s="66">
        <f t="shared" ca="1" si="1924"/>
        <v>0</v>
      </c>
      <c r="AD149" s="57"/>
      <c r="AE149" s="67" t="s">
        <v>1258</v>
      </c>
      <c r="AF149" s="66">
        <f t="shared" ca="1" si="1925"/>
        <v>0</v>
      </c>
      <c r="AG149" s="57"/>
      <c r="AH149" s="67" t="s">
        <v>1317</v>
      </c>
      <c r="AI149" s="66">
        <f t="shared" ca="1" si="1926"/>
        <v>0</v>
      </c>
      <c r="AJ149" s="57"/>
      <c r="AK149" s="67" t="s">
        <v>1317</v>
      </c>
      <c r="AL149" s="66">
        <f t="shared" ca="1" si="1927"/>
        <v>0</v>
      </c>
      <c r="AM149" s="57"/>
      <c r="AN149" s="67" t="s">
        <v>1317</v>
      </c>
      <c r="AO149" s="66">
        <f t="shared" ca="1" si="1928"/>
        <v>0</v>
      </c>
      <c r="AP149" s="57"/>
      <c r="AQ149" s="67" t="s">
        <v>1258</v>
      </c>
      <c r="AR149" s="66">
        <f t="shared" ca="1" si="1929"/>
        <v>0</v>
      </c>
      <c r="AS149" s="57"/>
      <c r="AT149" s="67" t="s">
        <v>1258</v>
      </c>
      <c r="AU149" s="66">
        <f t="shared" ca="1" si="1930"/>
        <v>0</v>
      </c>
      <c r="AV149" s="57"/>
      <c r="AW149" s="67" t="s">
        <v>1317</v>
      </c>
      <c r="AX149" s="66">
        <f t="shared" ca="1" si="1931"/>
        <v>0</v>
      </c>
      <c r="AY149" s="57"/>
      <c r="AZ149" s="67" t="s">
        <v>1317</v>
      </c>
      <c r="BA149" s="66">
        <f t="shared" ca="1" si="1932"/>
        <v>0</v>
      </c>
      <c r="BB149" s="57"/>
      <c r="BC149" s="67" t="s">
        <v>1317</v>
      </c>
      <c r="BD149" s="66">
        <f t="shared" ca="1" si="1933"/>
        <v>0</v>
      </c>
      <c r="BE149" s="57"/>
      <c r="BF149" s="67" t="s">
        <v>1317</v>
      </c>
      <c r="BG149" s="66">
        <f t="shared" ca="1" si="1934"/>
        <v>0</v>
      </c>
      <c r="BH149" s="57"/>
      <c r="BI149" s="67" t="s">
        <v>1317</v>
      </c>
      <c r="BJ149" s="66">
        <f t="shared" ca="1" si="1935"/>
        <v>0</v>
      </c>
      <c r="BK149" s="57"/>
      <c r="BL149" s="67" t="s">
        <v>1317</v>
      </c>
      <c r="BM149" s="66">
        <f t="shared" ca="1" si="1936"/>
        <v>0</v>
      </c>
      <c r="BN149" s="57"/>
      <c r="BO149" s="67" t="s">
        <v>1317</v>
      </c>
      <c r="BP149" s="66">
        <f t="shared" ca="1" si="1937"/>
        <v>0</v>
      </c>
      <c r="BQ149" s="57"/>
      <c r="BR149" s="67" t="s">
        <v>1317</v>
      </c>
      <c r="BS149" s="66">
        <f t="shared" ca="1" si="1938"/>
        <v>0</v>
      </c>
      <c r="BT149" s="57"/>
      <c r="BU149" s="67"/>
      <c r="BV149" s="66">
        <f t="shared" ca="1" si="1939"/>
        <v>0</v>
      </c>
      <c r="BW149" s="57"/>
      <c r="BX149" s="67"/>
      <c r="BY149" s="66">
        <f t="shared" ca="1" si="1940"/>
        <v>0</v>
      </c>
      <c r="BZ149" s="57"/>
      <c r="CA149" s="67"/>
      <c r="CB149" s="66">
        <f t="shared" ca="1" si="1941"/>
        <v>0</v>
      </c>
      <c r="CC149" s="57"/>
      <c r="CD149" s="67"/>
      <c r="CE149" s="66">
        <f t="shared" ca="1" si="1942"/>
        <v>0</v>
      </c>
      <c r="CF149" s="57"/>
      <c r="CG149" s="67"/>
      <c r="CH149" s="66">
        <f t="shared" ca="1" si="1943"/>
        <v>0</v>
      </c>
      <c r="CI149" s="57"/>
      <c r="CJ149" s="67"/>
      <c r="CK149" s="66">
        <f t="shared" ca="1" si="1944"/>
        <v>0</v>
      </c>
      <c r="CL149" s="57"/>
      <c r="CM149" s="67"/>
      <c r="CN149" s="66">
        <f t="shared" ca="1" si="1945"/>
        <v>0</v>
      </c>
      <c r="CO149" s="57"/>
      <c r="CP149" s="67"/>
      <c r="CQ149" s="66">
        <f t="shared" ca="1" si="1946"/>
        <v>0</v>
      </c>
      <c r="CR149" s="57"/>
      <c r="CS149" s="67"/>
      <c r="CT149" s="66">
        <f t="shared" ca="1" si="1947"/>
        <v>0</v>
      </c>
      <c r="CU149" s="57"/>
      <c r="CV149" s="67"/>
      <c r="CW149" s="66">
        <f t="shared" ca="1" si="1948"/>
        <v>0</v>
      </c>
      <c r="CX149" s="57"/>
      <c r="CY149" s="67"/>
      <c r="CZ149" s="66">
        <f t="shared" ca="1" si="1949"/>
        <v>0</v>
      </c>
      <c r="DA149" s="57"/>
      <c r="DB149" s="67"/>
      <c r="DC149" s="66">
        <f t="shared" ca="1" si="1950"/>
        <v>0</v>
      </c>
      <c r="DD149" s="57"/>
      <c r="DE149" s="67"/>
      <c r="DF149" s="66">
        <f t="shared" ca="1" si="1951"/>
        <v>0</v>
      </c>
      <c r="DG149" s="57"/>
      <c r="DH149" s="67"/>
      <c r="DI149" s="66">
        <f t="shared" ca="1" si="1952"/>
        <v>0</v>
      </c>
      <c r="DJ149" s="57"/>
      <c r="DK149" s="67"/>
      <c r="DL149" s="66">
        <f t="shared" ca="1" si="1953"/>
        <v>0</v>
      </c>
      <c r="DM149" s="57"/>
      <c r="DN149" s="67"/>
      <c r="DO149" s="66">
        <f t="shared" ca="1" si="1954"/>
        <v>0</v>
      </c>
      <c r="DP149" s="57"/>
      <c r="DQ149" s="67"/>
      <c r="DR149" s="66">
        <f t="shared" ca="1" si="1955"/>
        <v>0</v>
      </c>
      <c r="DS149" s="57"/>
      <c r="DT149" s="67"/>
      <c r="DU149" s="66">
        <f t="shared" ca="1" si="1956"/>
        <v>0</v>
      </c>
      <c r="DV149" s="57"/>
      <c r="DW149" s="67"/>
      <c r="DX149" s="66">
        <f t="shared" ca="1" si="1957"/>
        <v>0</v>
      </c>
      <c r="DY149" s="57"/>
      <c r="DZ149" s="67"/>
      <c r="EA149" s="66">
        <f t="shared" ca="1" si="1958"/>
        <v>0</v>
      </c>
      <c r="EB149" s="57"/>
      <c r="EC149" s="67"/>
      <c r="ED149" s="66">
        <f t="shared" ca="1" si="1959"/>
        <v>0</v>
      </c>
      <c r="EE149" s="57"/>
      <c r="EF149" s="67"/>
      <c r="EG149" s="66">
        <f t="shared" ca="1" si="1960"/>
        <v>0</v>
      </c>
      <c r="EH149" s="57"/>
      <c r="EI149" s="57"/>
    </row>
    <row r="150" spans="1:139">
      <c r="A150" s="43"/>
      <c r="B150" s="43"/>
      <c r="C150" s="800"/>
      <c r="D150" s="800"/>
      <c r="E150" s="800"/>
      <c r="F150" s="801">
        <f t="shared" si="1961"/>
        <v>3</v>
      </c>
      <c r="G150" s="802">
        <f ca="1">VLOOKUP(H150,Equipos!$Q$1:$R$25,2,0)</f>
        <v>19</v>
      </c>
      <c r="H150" s="803" t="str">
        <f>Idiomas!$D$137</f>
        <v>CLASIFICADOS PARA DIECISEISAVOS</v>
      </c>
      <c r="I150" s="800"/>
      <c r="J150" s="859"/>
      <c r="K150" s="49" t="str">
        <f>Idiomas!$D$198&amp;"-"&amp;ROWS($L$130:L150)</f>
        <v>Dieciseisavofinalista-21</v>
      </c>
      <c r="L150" s="46"/>
      <c r="M150" s="48" t="str">
        <f ca="1">WORLDCUP!AF105</f>
        <v>2I</v>
      </c>
      <c r="N150" s="711"/>
      <c r="O150" s="711"/>
      <c r="P150" s="711"/>
      <c r="Q150" s="711"/>
      <c r="R150" s="102"/>
      <c r="S150" s="67" t="s">
        <v>1629</v>
      </c>
      <c r="T150" s="66">
        <f t="shared" ca="1" si="1921"/>
        <v>0</v>
      </c>
      <c r="U150" s="57"/>
      <c r="V150" s="67" t="s">
        <v>135</v>
      </c>
      <c r="W150" s="66">
        <f t="shared" ca="1" si="1922"/>
        <v>0</v>
      </c>
      <c r="X150" s="57"/>
      <c r="Y150" s="67" t="s">
        <v>1629</v>
      </c>
      <c r="Z150" s="66">
        <f t="shared" ca="1" si="1923"/>
        <v>0</v>
      </c>
      <c r="AA150" s="57"/>
      <c r="AB150" s="67" t="s">
        <v>135</v>
      </c>
      <c r="AC150" s="66">
        <f t="shared" ca="1" si="1924"/>
        <v>0</v>
      </c>
      <c r="AD150" s="57"/>
      <c r="AE150" s="67" t="s">
        <v>135</v>
      </c>
      <c r="AF150" s="66">
        <f t="shared" ca="1" si="1925"/>
        <v>0</v>
      </c>
      <c r="AG150" s="57"/>
      <c r="AH150" s="67" t="s">
        <v>135</v>
      </c>
      <c r="AI150" s="66">
        <f t="shared" ca="1" si="1926"/>
        <v>0</v>
      </c>
      <c r="AJ150" s="57"/>
      <c r="AK150" s="67" t="s">
        <v>1629</v>
      </c>
      <c r="AL150" s="66">
        <f t="shared" ca="1" si="1927"/>
        <v>0</v>
      </c>
      <c r="AM150" s="57"/>
      <c r="AN150" s="67" t="s">
        <v>135</v>
      </c>
      <c r="AO150" s="66">
        <f t="shared" ca="1" si="1928"/>
        <v>0</v>
      </c>
      <c r="AP150" s="57"/>
      <c r="AQ150" s="67" t="s">
        <v>74</v>
      </c>
      <c r="AR150" s="66">
        <f t="shared" ca="1" si="1929"/>
        <v>0</v>
      </c>
      <c r="AS150" s="57"/>
      <c r="AT150" s="67" t="s">
        <v>135</v>
      </c>
      <c r="AU150" s="66">
        <f t="shared" ca="1" si="1930"/>
        <v>0</v>
      </c>
      <c r="AV150" s="57"/>
      <c r="AW150" s="67" t="s">
        <v>135</v>
      </c>
      <c r="AX150" s="66">
        <f t="shared" ca="1" si="1931"/>
        <v>0</v>
      </c>
      <c r="AY150" s="57"/>
      <c r="AZ150" s="67" t="s">
        <v>135</v>
      </c>
      <c r="BA150" s="66">
        <f t="shared" ca="1" si="1932"/>
        <v>0</v>
      </c>
      <c r="BB150" s="57"/>
      <c r="BC150" s="67" t="s">
        <v>135</v>
      </c>
      <c r="BD150" s="66">
        <f t="shared" ca="1" si="1933"/>
        <v>0</v>
      </c>
      <c r="BE150" s="57"/>
      <c r="BF150" s="67" t="s">
        <v>135</v>
      </c>
      <c r="BG150" s="66">
        <f t="shared" ca="1" si="1934"/>
        <v>0</v>
      </c>
      <c r="BH150" s="57"/>
      <c r="BI150" s="67" t="s">
        <v>135</v>
      </c>
      <c r="BJ150" s="66">
        <f t="shared" ca="1" si="1935"/>
        <v>0</v>
      </c>
      <c r="BK150" s="57"/>
      <c r="BL150" s="67" t="s">
        <v>135</v>
      </c>
      <c r="BM150" s="66">
        <f t="shared" ca="1" si="1936"/>
        <v>0</v>
      </c>
      <c r="BN150" s="57"/>
      <c r="BO150" s="67" t="s">
        <v>1629</v>
      </c>
      <c r="BP150" s="66">
        <f t="shared" ca="1" si="1937"/>
        <v>0</v>
      </c>
      <c r="BQ150" s="57"/>
      <c r="BR150" s="67" t="s">
        <v>1629</v>
      </c>
      <c r="BS150" s="66">
        <f t="shared" ca="1" si="1938"/>
        <v>0</v>
      </c>
      <c r="BT150" s="57"/>
      <c r="BU150" s="67"/>
      <c r="BV150" s="66">
        <f t="shared" ca="1" si="1939"/>
        <v>0</v>
      </c>
      <c r="BW150" s="57"/>
      <c r="BX150" s="67"/>
      <c r="BY150" s="66">
        <f t="shared" ca="1" si="1940"/>
        <v>0</v>
      </c>
      <c r="BZ150" s="57"/>
      <c r="CA150" s="67"/>
      <c r="CB150" s="66">
        <f t="shared" ca="1" si="1941"/>
        <v>0</v>
      </c>
      <c r="CC150" s="57"/>
      <c r="CD150" s="67"/>
      <c r="CE150" s="66">
        <f t="shared" ca="1" si="1942"/>
        <v>0</v>
      </c>
      <c r="CF150" s="57"/>
      <c r="CG150" s="67"/>
      <c r="CH150" s="66">
        <f t="shared" ca="1" si="1943"/>
        <v>0</v>
      </c>
      <c r="CI150" s="57"/>
      <c r="CJ150" s="67"/>
      <c r="CK150" s="66">
        <f t="shared" ca="1" si="1944"/>
        <v>0</v>
      </c>
      <c r="CL150" s="57"/>
      <c r="CM150" s="67"/>
      <c r="CN150" s="66">
        <f t="shared" ca="1" si="1945"/>
        <v>0</v>
      </c>
      <c r="CO150" s="57"/>
      <c r="CP150" s="67"/>
      <c r="CQ150" s="66">
        <f t="shared" ca="1" si="1946"/>
        <v>0</v>
      </c>
      <c r="CR150" s="57"/>
      <c r="CS150" s="67"/>
      <c r="CT150" s="66">
        <f t="shared" ca="1" si="1947"/>
        <v>0</v>
      </c>
      <c r="CU150" s="57"/>
      <c r="CV150" s="67"/>
      <c r="CW150" s="66">
        <f t="shared" ca="1" si="1948"/>
        <v>0</v>
      </c>
      <c r="CX150" s="57"/>
      <c r="CY150" s="67"/>
      <c r="CZ150" s="66">
        <f t="shared" ca="1" si="1949"/>
        <v>0</v>
      </c>
      <c r="DA150" s="57"/>
      <c r="DB150" s="67"/>
      <c r="DC150" s="66">
        <f t="shared" ca="1" si="1950"/>
        <v>0</v>
      </c>
      <c r="DD150" s="57"/>
      <c r="DE150" s="67"/>
      <c r="DF150" s="66">
        <f t="shared" ca="1" si="1951"/>
        <v>0</v>
      </c>
      <c r="DG150" s="57"/>
      <c r="DH150" s="67"/>
      <c r="DI150" s="66">
        <f t="shared" ca="1" si="1952"/>
        <v>0</v>
      </c>
      <c r="DJ150" s="57"/>
      <c r="DK150" s="67"/>
      <c r="DL150" s="66">
        <f t="shared" ca="1" si="1953"/>
        <v>0</v>
      </c>
      <c r="DM150" s="57"/>
      <c r="DN150" s="67"/>
      <c r="DO150" s="66">
        <f t="shared" ca="1" si="1954"/>
        <v>0</v>
      </c>
      <c r="DP150" s="57"/>
      <c r="DQ150" s="67"/>
      <c r="DR150" s="66">
        <f t="shared" ca="1" si="1955"/>
        <v>0</v>
      </c>
      <c r="DS150" s="57"/>
      <c r="DT150" s="67"/>
      <c r="DU150" s="66">
        <f t="shared" ca="1" si="1956"/>
        <v>0</v>
      </c>
      <c r="DV150" s="57"/>
      <c r="DW150" s="67"/>
      <c r="DX150" s="66">
        <f t="shared" ca="1" si="1957"/>
        <v>0</v>
      </c>
      <c r="DY150" s="57"/>
      <c r="DZ150" s="67"/>
      <c r="EA150" s="66">
        <f t="shared" ca="1" si="1958"/>
        <v>0</v>
      </c>
      <c r="EB150" s="57"/>
      <c r="EC150" s="67"/>
      <c r="ED150" s="66">
        <f t="shared" ca="1" si="1959"/>
        <v>0</v>
      </c>
      <c r="EE150" s="57"/>
      <c r="EF150" s="67"/>
      <c r="EG150" s="66">
        <f t="shared" ca="1" si="1960"/>
        <v>0</v>
      </c>
      <c r="EH150" s="57"/>
      <c r="EI150" s="57"/>
    </row>
    <row r="151" spans="1:139">
      <c r="A151" s="43"/>
      <c r="B151" s="43"/>
      <c r="C151" s="800"/>
      <c r="D151" s="800"/>
      <c r="E151" s="800"/>
      <c r="F151" s="801">
        <f t="shared" si="1961"/>
        <v>3</v>
      </c>
      <c r="G151" s="802">
        <f ca="1">VLOOKUP(H151,Equipos!$Q$1:$R$25,2,0)</f>
        <v>19</v>
      </c>
      <c r="H151" s="803" t="str">
        <f>Idiomas!$D$137</f>
        <v>CLASIFICADOS PARA DIECISEISAVOS</v>
      </c>
      <c r="I151" s="800"/>
      <c r="J151" s="859"/>
      <c r="K151" s="49" t="str">
        <f>Idiomas!$D$198&amp;"-"&amp;ROWS($L$130:L151)</f>
        <v>Dieciseisavofinalista-22</v>
      </c>
      <c r="L151" s="46"/>
      <c r="M151" s="48" t="str">
        <f ca="1">WORLDCUP!AF106</f>
        <v>3CDFGH</v>
      </c>
      <c r="N151" s="711"/>
      <c r="O151" s="711"/>
      <c r="P151" s="711"/>
      <c r="Q151" s="711"/>
      <c r="R151" s="102"/>
      <c r="S151" s="67" t="s">
        <v>1263</v>
      </c>
      <c r="T151" s="66">
        <f t="shared" ca="1" si="1921"/>
        <v>0</v>
      </c>
      <c r="U151" s="57"/>
      <c r="V151" s="67" t="s">
        <v>1827</v>
      </c>
      <c r="W151" s="66">
        <f t="shared" ca="1" si="1922"/>
        <v>0</v>
      </c>
      <c r="X151" s="57"/>
      <c r="Y151" s="67" t="s">
        <v>1263</v>
      </c>
      <c r="Z151" s="66">
        <f t="shared" ca="1" si="1923"/>
        <v>0</v>
      </c>
      <c r="AA151" s="57"/>
      <c r="AB151" s="67" t="s">
        <v>1827</v>
      </c>
      <c r="AC151" s="66">
        <f t="shared" ca="1" si="1924"/>
        <v>0</v>
      </c>
      <c r="AD151" s="57"/>
      <c r="AE151" s="67" t="s">
        <v>1827</v>
      </c>
      <c r="AF151" s="66">
        <f t="shared" ca="1" si="1925"/>
        <v>0</v>
      </c>
      <c r="AG151" s="57"/>
      <c r="AH151" s="67" t="s">
        <v>1827</v>
      </c>
      <c r="AI151" s="66">
        <f t="shared" ca="1" si="1926"/>
        <v>0</v>
      </c>
      <c r="AJ151" s="57"/>
      <c r="AK151" s="67" t="s">
        <v>1827</v>
      </c>
      <c r="AL151" s="66">
        <f t="shared" ca="1" si="1927"/>
        <v>0</v>
      </c>
      <c r="AM151" s="57"/>
      <c r="AN151" s="67" t="s">
        <v>1827</v>
      </c>
      <c r="AO151" s="66">
        <f t="shared" ca="1" si="1928"/>
        <v>0</v>
      </c>
      <c r="AP151" s="57"/>
      <c r="AQ151" s="67" t="s">
        <v>1315</v>
      </c>
      <c r="AR151" s="66">
        <f t="shared" ca="1" si="1929"/>
        <v>0</v>
      </c>
      <c r="AS151" s="57"/>
      <c r="AT151" s="67" t="s">
        <v>1827</v>
      </c>
      <c r="AU151" s="66">
        <f t="shared" ca="1" si="1930"/>
        <v>0</v>
      </c>
      <c r="AV151" s="57"/>
      <c r="AW151" s="67" t="s">
        <v>1315</v>
      </c>
      <c r="AX151" s="66">
        <f t="shared" ca="1" si="1931"/>
        <v>0</v>
      </c>
      <c r="AY151" s="57"/>
      <c r="AZ151" s="67" t="s">
        <v>1263</v>
      </c>
      <c r="BA151" s="66">
        <f t="shared" ca="1" si="1932"/>
        <v>0</v>
      </c>
      <c r="BB151" s="57"/>
      <c r="BC151" s="67" t="s">
        <v>1262</v>
      </c>
      <c r="BD151" s="66">
        <f t="shared" ca="1" si="1933"/>
        <v>0</v>
      </c>
      <c r="BE151" s="57"/>
      <c r="BF151" s="67" t="s">
        <v>1263</v>
      </c>
      <c r="BG151" s="66">
        <f t="shared" ca="1" si="1934"/>
        <v>0</v>
      </c>
      <c r="BH151" s="57"/>
      <c r="BI151" s="67" t="s">
        <v>1263</v>
      </c>
      <c r="BJ151" s="66">
        <f t="shared" ca="1" si="1935"/>
        <v>0</v>
      </c>
      <c r="BK151" s="57"/>
      <c r="BL151" s="67" t="s">
        <v>1263</v>
      </c>
      <c r="BM151" s="66">
        <f t="shared" ca="1" si="1936"/>
        <v>0</v>
      </c>
      <c r="BN151" s="57"/>
      <c r="BO151" s="67" t="s">
        <v>1315</v>
      </c>
      <c r="BP151" s="66">
        <f t="shared" ca="1" si="1937"/>
        <v>0</v>
      </c>
      <c r="BQ151" s="57"/>
      <c r="BR151" s="67" t="s">
        <v>1315</v>
      </c>
      <c r="BS151" s="66">
        <f t="shared" ca="1" si="1938"/>
        <v>0</v>
      </c>
      <c r="BT151" s="57"/>
      <c r="BU151" s="67"/>
      <c r="BV151" s="66">
        <f t="shared" ca="1" si="1939"/>
        <v>0</v>
      </c>
      <c r="BW151" s="57"/>
      <c r="BX151" s="67"/>
      <c r="BY151" s="66">
        <f t="shared" ca="1" si="1940"/>
        <v>0</v>
      </c>
      <c r="BZ151" s="57"/>
      <c r="CA151" s="67"/>
      <c r="CB151" s="66">
        <f t="shared" ca="1" si="1941"/>
        <v>0</v>
      </c>
      <c r="CC151" s="57"/>
      <c r="CD151" s="67"/>
      <c r="CE151" s="66">
        <f t="shared" ca="1" si="1942"/>
        <v>0</v>
      </c>
      <c r="CF151" s="57"/>
      <c r="CG151" s="67"/>
      <c r="CH151" s="66">
        <f t="shared" ca="1" si="1943"/>
        <v>0</v>
      </c>
      <c r="CI151" s="57"/>
      <c r="CJ151" s="67"/>
      <c r="CK151" s="66">
        <f t="shared" ca="1" si="1944"/>
        <v>0</v>
      </c>
      <c r="CL151" s="57"/>
      <c r="CM151" s="67"/>
      <c r="CN151" s="66">
        <f t="shared" ca="1" si="1945"/>
        <v>0</v>
      </c>
      <c r="CO151" s="57"/>
      <c r="CP151" s="67"/>
      <c r="CQ151" s="66">
        <f t="shared" ca="1" si="1946"/>
        <v>0</v>
      </c>
      <c r="CR151" s="57"/>
      <c r="CS151" s="67"/>
      <c r="CT151" s="66">
        <f t="shared" ca="1" si="1947"/>
        <v>0</v>
      </c>
      <c r="CU151" s="57"/>
      <c r="CV151" s="67"/>
      <c r="CW151" s="66">
        <f t="shared" ca="1" si="1948"/>
        <v>0</v>
      </c>
      <c r="CX151" s="57"/>
      <c r="CY151" s="67"/>
      <c r="CZ151" s="66">
        <f t="shared" ca="1" si="1949"/>
        <v>0</v>
      </c>
      <c r="DA151" s="57"/>
      <c r="DB151" s="67"/>
      <c r="DC151" s="66">
        <f t="shared" ca="1" si="1950"/>
        <v>0</v>
      </c>
      <c r="DD151" s="57"/>
      <c r="DE151" s="67"/>
      <c r="DF151" s="66">
        <f t="shared" ca="1" si="1951"/>
        <v>0</v>
      </c>
      <c r="DG151" s="57"/>
      <c r="DH151" s="67"/>
      <c r="DI151" s="66">
        <f t="shared" ca="1" si="1952"/>
        <v>0</v>
      </c>
      <c r="DJ151" s="57"/>
      <c r="DK151" s="67"/>
      <c r="DL151" s="66">
        <f t="shared" ca="1" si="1953"/>
        <v>0</v>
      </c>
      <c r="DM151" s="57"/>
      <c r="DN151" s="67"/>
      <c r="DO151" s="66">
        <f t="shared" ca="1" si="1954"/>
        <v>0</v>
      </c>
      <c r="DP151" s="57"/>
      <c r="DQ151" s="67"/>
      <c r="DR151" s="66">
        <f t="shared" ca="1" si="1955"/>
        <v>0</v>
      </c>
      <c r="DS151" s="57"/>
      <c r="DT151" s="67"/>
      <c r="DU151" s="66">
        <f t="shared" ca="1" si="1956"/>
        <v>0</v>
      </c>
      <c r="DV151" s="57"/>
      <c r="DW151" s="67"/>
      <c r="DX151" s="66">
        <f t="shared" ca="1" si="1957"/>
        <v>0</v>
      </c>
      <c r="DY151" s="57"/>
      <c r="DZ151" s="67"/>
      <c r="EA151" s="66">
        <f t="shared" ca="1" si="1958"/>
        <v>0</v>
      </c>
      <c r="EB151" s="57"/>
      <c r="EC151" s="67"/>
      <c r="ED151" s="66">
        <f t="shared" ca="1" si="1959"/>
        <v>0</v>
      </c>
      <c r="EE151" s="57"/>
      <c r="EF151" s="67"/>
      <c r="EG151" s="66">
        <f t="shared" ca="1" si="1960"/>
        <v>0</v>
      </c>
      <c r="EH151" s="57"/>
      <c r="EI151" s="57"/>
    </row>
    <row r="152" spans="1:139">
      <c r="A152" s="43"/>
      <c r="B152" s="43"/>
      <c r="C152" s="800"/>
      <c r="D152" s="800"/>
      <c r="E152" s="800"/>
      <c r="F152" s="801">
        <f t="shared" si="1961"/>
        <v>3</v>
      </c>
      <c r="G152" s="802">
        <f ca="1">VLOOKUP(H152,Equipos!$Q$1:$R$25,2,0)</f>
        <v>19</v>
      </c>
      <c r="H152" s="803" t="str">
        <f>Idiomas!$D$137</f>
        <v>CLASIFICADOS PARA DIECISEISAVOS</v>
      </c>
      <c r="I152" s="800"/>
      <c r="J152" s="859"/>
      <c r="K152" s="49" t="str">
        <f>Idiomas!$D$198&amp;"-"&amp;ROWS($L$130:L152)</f>
        <v>Dieciseisavofinalista-23</v>
      </c>
      <c r="L152" s="46"/>
      <c r="M152" s="48" t="str">
        <f ca="1">WORLDCUP!AF107</f>
        <v>3CEFHI</v>
      </c>
      <c r="N152" s="711"/>
      <c r="O152" s="711"/>
      <c r="P152" s="711"/>
      <c r="Q152" s="711"/>
      <c r="R152" s="102"/>
      <c r="S152" s="67" t="s">
        <v>134</v>
      </c>
      <c r="T152" s="66">
        <f t="shared" ca="1" si="1921"/>
        <v>0</v>
      </c>
      <c r="U152" s="57"/>
      <c r="V152" s="67" t="s">
        <v>134</v>
      </c>
      <c r="W152" s="66">
        <f t="shared" ca="1" si="1922"/>
        <v>0</v>
      </c>
      <c r="X152" s="57"/>
      <c r="Y152" s="67" t="s">
        <v>134</v>
      </c>
      <c r="Z152" s="66">
        <f t="shared" ca="1" si="1923"/>
        <v>0</v>
      </c>
      <c r="AA152" s="57"/>
      <c r="AB152" s="67" t="s">
        <v>1628</v>
      </c>
      <c r="AC152" s="66">
        <f t="shared" ca="1" si="1924"/>
        <v>0</v>
      </c>
      <c r="AD152" s="57"/>
      <c r="AE152" s="67" t="s">
        <v>134</v>
      </c>
      <c r="AF152" s="66">
        <f t="shared" ca="1" si="1925"/>
        <v>0</v>
      </c>
      <c r="AG152" s="57"/>
      <c r="AH152" s="67" t="s">
        <v>1261</v>
      </c>
      <c r="AI152" s="66">
        <f t="shared" ca="1" si="1926"/>
        <v>0</v>
      </c>
      <c r="AJ152" s="57"/>
      <c r="AK152" s="67" t="s">
        <v>134</v>
      </c>
      <c r="AL152" s="66">
        <f t="shared" ca="1" si="1927"/>
        <v>0</v>
      </c>
      <c r="AM152" s="57"/>
      <c r="AN152" s="67" t="s">
        <v>134</v>
      </c>
      <c r="AO152" s="66">
        <f t="shared" ca="1" si="1928"/>
        <v>0</v>
      </c>
      <c r="AP152" s="57"/>
      <c r="AQ152" s="67" t="s">
        <v>1628</v>
      </c>
      <c r="AR152" s="66">
        <f t="shared" ca="1" si="1929"/>
        <v>0</v>
      </c>
      <c r="AS152" s="57"/>
      <c r="AT152" s="67" t="s">
        <v>1627</v>
      </c>
      <c r="AU152" s="66">
        <f t="shared" ca="1" si="1930"/>
        <v>0</v>
      </c>
      <c r="AV152" s="57"/>
      <c r="AW152" s="67" t="s">
        <v>1261</v>
      </c>
      <c r="AX152" s="66">
        <f t="shared" ca="1" si="1931"/>
        <v>0</v>
      </c>
      <c r="AY152" s="57"/>
      <c r="AZ152" s="67" t="s">
        <v>134</v>
      </c>
      <c r="BA152" s="66">
        <f t="shared" ca="1" si="1932"/>
        <v>0</v>
      </c>
      <c r="BB152" s="57"/>
      <c r="BC152" s="67" t="s">
        <v>1261</v>
      </c>
      <c r="BD152" s="66">
        <f t="shared" ca="1" si="1933"/>
        <v>0</v>
      </c>
      <c r="BE152" s="57"/>
      <c r="BF152" s="67" t="s">
        <v>134</v>
      </c>
      <c r="BG152" s="66">
        <f t="shared" ca="1" si="1934"/>
        <v>0</v>
      </c>
      <c r="BH152" s="57"/>
      <c r="BI152" s="67" t="s">
        <v>1314</v>
      </c>
      <c r="BJ152" s="66">
        <f t="shared" ca="1" si="1935"/>
        <v>0</v>
      </c>
      <c r="BK152" s="57"/>
      <c r="BL152" s="67" t="s">
        <v>1627</v>
      </c>
      <c r="BM152" s="66">
        <f t="shared" ca="1" si="1936"/>
        <v>0</v>
      </c>
      <c r="BN152" s="57"/>
      <c r="BO152" s="67" t="s">
        <v>1628</v>
      </c>
      <c r="BP152" s="66">
        <f t="shared" ca="1" si="1937"/>
        <v>0</v>
      </c>
      <c r="BQ152" s="57"/>
      <c r="BR152" s="67" t="s">
        <v>1627</v>
      </c>
      <c r="BS152" s="66">
        <f t="shared" ca="1" si="1938"/>
        <v>0</v>
      </c>
      <c r="BT152" s="57"/>
      <c r="BU152" s="67"/>
      <c r="BV152" s="66">
        <f t="shared" ca="1" si="1939"/>
        <v>0</v>
      </c>
      <c r="BW152" s="57"/>
      <c r="BX152" s="67"/>
      <c r="BY152" s="66">
        <f t="shared" ca="1" si="1940"/>
        <v>0</v>
      </c>
      <c r="BZ152" s="57"/>
      <c r="CA152" s="67"/>
      <c r="CB152" s="66">
        <f t="shared" ca="1" si="1941"/>
        <v>0</v>
      </c>
      <c r="CC152" s="57"/>
      <c r="CD152" s="67"/>
      <c r="CE152" s="66">
        <f t="shared" ca="1" si="1942"/>
        <v>0</v>
      </c>
      <c r="CF152" s="57"/>
      <c r="CG152" s="67"/>
      <c r="CH152" s="66">
        <f t="shared" ca="1" si="1943"/>
        <v>0</v>
      </c>
      <c r="CI152" s="57"/>
      <c r="CJ152" s="67"/>
      <c r="CK152" s="66">
        <f t="shared" ca="1" si="1944"/>
        <v>0</v>
      </c>
      <c r="CL152" s="57"/>
      <c r="CM152" s="67"/>
      <c r="CN152" s="66">
        <f t="shared" ca="1" si="1945"/>
        <v>0</v>
      </c>
      <c r="CO152" s="57"/>
      <c r="CP152" s="67"/>
      <c r="CQ152" s="66">
        <f t="shared" ca="1" si="1946"/>
        <v>0</v>
      </c>
      <c r="CR152" s="57"/>
      <c r="CS152" s="67"/>
      <c r="CT152" s="66">
        <f t="shared" ca="1" si="1947"/>
        <v>0</v>
      </c>
      <c r="CU152" s="57"/>
      <c r="CV152" s="67"/>
      <c r="CW152" s="66">
        <f t="shared" ca="1" si="1948"/>
        <v>0</v>
      </c>
      <c r="CX152" s="57"/>
      <c r="CY152" s="67"/>
      <c r="CZ152" s="66">
        <f t="shared" ca="1" si="1949"/>
        <v>0</v>
      </c>
      <c r="DA152" s="57"/>
      <c r="DB152" s="67"/>
      <c r="DC152" s="66">
        <f t="shared" ca="1" si="1950"/>
        <v>0</v>
      </c>
      <c r="DD152" s="57"/>
      <c r="DE152" s="67"/>
      <c r="DF152" s="66">
        <f t="shared" ca="1" si="1951"/>
        <v>0</v>
      </c>
      <c r="DG152" s="57"/>
      <c r="DH152" s="67"/>
      <c r="DI152" s="66">
        <f t="shared" ca="1" si="1952"/>
        <v>0</v>
      </c>
      <c r="DJ152" s="57"/>
      <c r="DK152" s="67"/>
      <c r="DL152" s="66">
        <f t="shared" ca="1" si="1953"/>
        <v>0</v>
      </c>
      <c r="DM152" s="57"/>
      <c r="DN152" s="67"/>
      <c r="DO152" s="66">
        <f t="shared" ca="1" si="1954"/>
        <v>0</v>
      </c>
      <c r="DP152" s="57"/>
      <c r="DQ152" s="67"/>
      <c r="DR152" s="66">
        <f t="shared" ca="1" si="1955"/>
        <v>0</v>
      </c>
      <c r="DS152" s="57"/>
      <c r="DT152" s="67"/>
      <c r="DU152" s="66">
        <f t="shared" ca="1" si="1956"/>
        <v>0</v>
      </c>
      <c r="DV152" s="57"/>
      <c r="DW152" s="67"/>
      <c r="DX152" s="66">
        <f t="shared" ca="1" si="1957"/>
        <v>0</v>
      </c>
      <c r="DY152" s="57"/>
      <c r="DZ152" s="67"/>
      <c r="EA152" s="66">
        <f t="shared" ca="1" si="1958"/>
        <v>0</v>
      </c>
      <c r="EB152" s="57"/>
      <c r="EC152" s="67"/>
      <c r="ED152" s="66">
        <f t="shared" ca="1" si="1959"/>
        <v>0</v>
      </c>
      <c r="EE152" s="57"/>
      <c r="EF152" s="67"/>
      <c r="EG152" s="66">
        <f t="shared" ca="1" si="1960"/>
        <v>0</v>
      </c>
      <c r="EH152" s="57"/>
      <c r="EI152" s="57"/>
    </row>
    <row r="153" spans="1:139">
      <c r="A153" s="43"/>
      <c r="B153" s="43"/>
      <c r="C153" s="800"/>
      <c r="D153" s="800"/>
      <c r="E153" s="800"/>
      <c r="F153" s="801">
        <f t="shared" si="1961"/>
        <v>3</v>
      </c>
      <c r="G153" s="802">
        <f ca="1">VLOOKUP(H153,Equipos!$Q$1:$R$25,2,0)</f>
        <v>19</v>
      </c>
      <c r="H153" s="803" t="str">
        <f>Idiomas!$D$137</f>
        <v>CLASIFICADOS PARA DIECISEISAVOS</v>
      </c>
      <c r="I153" s="800"/>
      <c r="J153" s="859"/>
      <c r="K153" s="49" t="str">
        <f>Idiomas!$D$198&amp;"-"&amp;ROWS($L$130:L153)</f>
        <v>Dieciseisavofinalista-24</v>
      </c>
      <c r="L153" s="46"/>
      <c r="M153" s="48" t="str">
        <f ca="1">WORLDCUP!AF108</f>
        <v>3EHIJK</v>
      </c>
      <c r="N153" s="711"/>
      <c r="O153" s="711"/>
      <c r="P153" s="711"/>
      <c r="Q153" s="711"/>
      <c r="R153" s="102"/>
      <c r="S153" s="67" t="s">
        <v>135</v>
      </c>
      <c r="T153" s="66">
        <f t="shared" ca="1" si="1921"/>
        <v>0</v>
      </c>
      <c r="U153" s="57"/>
      <c r="V153" s="67" t="s">
        <v>1629</v>
      </c>
      <c r="W153" s="66">
        <f t="shared" ca="1" si="1922"/>
        <v>0</v>
      </c>
      <c r="X153" s="57"/>
      <c r="Y153" s="67" t="s">
        <v>135</v>
      </c>
      <c r="Z153" s="66">
        <f t="shared" ca="1" si="1923"/>
        <v>0</v>
      </c>
      <c r="AA153" s="57"/>
      <c r="AB153" s="67" t="s">
        <v>1267</v>
      </c>
      <c r="AC153" s="66">
        <f t="shared" ca="1" si="1924"/>
        <v>0</v>
      </c>
      <c r="AD153" s="57"/>
      <c r="AE153" s="67" t="s">
        <v>1629</v>
      </c>
      <c r="AF153" s="66">
        <f t="shared" ca="1" si="1925"/>
        <v>0</v>
      </c>
      <c r="AG153" s="57"/>
      <c r="AH153" s="67" t="s">
        <v>1267</v>
      </c>
      <c r="AI153" s="66">
        <f t="shared" ca="1" si="1926"/>
        <v>0</v>
      </c>
      <c r="AJ153" s="57"/>
      <c r="AK153" s="67" t="s">
        <v>135</v>
      </c>
      <c r="AL153" s="66">
        <f t="shared" ca="1" si="1927"/>
        <v>0</v>
      </c>
      <c r="AM153" s="57"/>
      <c r="AN153" s="67" t="s">
        <v>1628</v>
      </c>
      <c r="AO153" s="66">
        <f t="shared" ca="1" si="1928"/>
        <v>0</v>
      </c>
      <c r="AP153" s="57"/>
      <c r="AQ153" s="67" t="s">
        <v>1267</v>
      </c>
      <c r="AR153" s="66">
        <f t="shared" ca="1" si="1929"/>
        <v>0</v>
      </c>
      <c r="AS153" s="57"/>
      <c r="AT153" s="67" t="s">
        <v>1629</v>
      </c>
      <c r="AU153" s="66">
        <f t="shared" ca="1" si="1930"/>
        <v>0</v>
      </c>
      <c r="AV153" s="57"/>
      <c r="AW153" s="67" t="s">
        <v>1629</v>
      </c>
      <c r="AX153" s="66">
        <f t="shared" ca="1" si="1931"/>
        <v>0</v>
      </c>
      <c r="AY153" s="57"/>
      <c r="AZ153" s="67" t="s">
        <v>1629</v>
      </c>
      <c r="BA153" s="66">
        <f t="shared" ca="1" si="1932"/>
        <v>0</v>
      </c>
      <c r="BB153" s="57"/>
      <c r="BC153" s="67" t="s">
        <v>1629</v>
      </c>
      <c r="BD153" s="66">
        <f t="shared" ca="1" si="1933"/>
        <v>0</v>
      </c>
      <c r="BE153" s="57"/>
      <c r="BF153" s="67" t="s">
        <v>1553</v>
      </c>
      <c r="BG153" s="66">
        <f t="shared" ca="1" si="1934"/>
        <v>0</v>
      </c>
      <c r="BH153" s="57"/>
      <c r="BI153" s="67" t="s">
        <v>1629</v>
      </c>
      <c r="BJ153" s="66">
        <f t="shared" ca="1" si="1935"/>
        <v>0</v>
      </c>
      <c r="BK153" s="57"/>
      <c r="BL153" s="67" t="s">
        <v>1629</v>
      </c>
      <c r="BM153" s="66">
        <f t="shared" ca="1" si="1936"/>
        <v>0</v>
      </c>
      <c r="BN153" s="57"/>
      <c r="BO153" s="67" t="s">
        <v>135</v>
      </c>
      <c r="BP153" s="66">
        <f t="shared" ca="1" si="1937"/>
        <v>0</v>
      </c>
      <c r="BQ153" s="57"/>
      <c r="BR153" s="67" t="s">
        <v>135</v>
      </c>
      <c r="BS153" s="66">
        <f t="shared" ca="1" si="1938"/>
        <v>0</v>
      </c>
      <c r="BT153" s="57"/>
      <c r="BU153" s="67"/>
      <c r="BV153" s="66">
        <f t="shared" ca="1" si="1939"/>
        <v>0</v>
      </c>
      <c r="BW153" s="57"/>
      <c r="BX153" s="67"/>
      <c r="BY153" s="66">
        <f t="shared" ca="1" si="1940"/>
        <v>0</v>
      </c>
      <c r="BZ153" s="57"/>
      <c r="CA153" s="67"/>
      <c r="CB153" s="66">
        <f t="shared" ca="1" si="1941"/>
        <v>0</v>
      </c>
      <c r="CC153" s="57"/>
      <c r="CD153" s="67"/>
      <c r="CE153" s="66">
        <f t="shared" ca="1" si="1942"/>
        <v>0</v>
      </c>
      <c r="CF153" s="57"/>
      <c r="CG153" s="67"/>
      <c r="CH153" s="66">
        <f t="shared" ca="1" si="1943"/>
        <v>0</v>
      </c>
      <c r="CI153" s="57"/>
      <c r="CJ153" s="67"/>
      <c r="CK153" s="66">
        <f t="shared" ca="1" si="1944"/>
        <v>0</v>
      </c>
      <c r="CL153" s="57"/>
      <c r="CM153" s="67"/>
      <c r="CN153" s="66">
        <f t="shared" ca="1" si="1945"/>
        <v>0</v>
      </c>
      <c r="CO153" s="57"/>
      <c r="CP153" s="67"/>
      <c r="CQ153" s="66">
        <f t="shared" ca="1" si="1946"/>
        <v>0</v>
      </c>
      <c r="CR153" s="57"/>
      <c r="CS153" s="67"/>
      <c r="CT153" s="66">
        <f t="shared" ca="1" si="1947"/>
        <v>0</v>
      </c>
      <c r="CU153" s="57"/>
      <c r="CV153" s="67"/>
      <c r="CW153" s="66">
        <f t="shared" ca="1" si="1948"/>
        <v>0</v>
      </c>
      <c r="CX153" s="57"/>
      <c r="CY153" s="67"/>
      <c r="CZ153" s="66">
        <f t="shared" ca="1" si="1949"/>
        <v>0</v>
      </c>
      <c r="DA153" s="57"/>
      <c r="DB153" s="67"/>
      <c r="DC153" s="66">
        <f t="shared" ca="1" si="1950"/>
        <v>0</v>
      </c>
      <c r="DD153" s="57"/>
      <c r="DE153" s="67"/>
      <c r="DF153" s="66">
        <f t="shared" ca="1" si="1951"/>
        <v>0</v>
      </c>
      <c r="DG153" s="57"/>
      <c r="DH153" s="67"/>
      <c r="DI153" s="66">
        <f t="shared" ca="1" si="1952"/>
        <v>0</v>
      </c>
      <c r="DJ153" s="57"/>
      <c r="DK153" s="67"/>
      <c r="DL153" s="66">
        <f t="shared" ca="1" si="1953"/>
        <v>0</v>
      </c>
      <c r="DM153" s="57"/>
      <c r="DN153" s="67"/>
      <c r="DO153" s="66">
        <f t="shared" ca="1" si="1954"/>
        <v>0</v>
      </c>
      <c r="DP153" s="57"/>
      <c r="DQ153" s="67"/>
      <c r="DR153" s="66">
        <f t="shared" ca="1" si="1955"/>
        <v>0</v>
      </c>
      <c r="DS153" s="57"/>
      <c r="DT153" s="67"/>
      <c r="DU153" s="66">
        <f t="shared" ca="1" si="1956"/>
        <v>0</v>
      </c>
      <c r="DV153" s="57"/>
      <c r="DW153" s="67"/>
      <c r="DX153" s="66">
        <f t="shared" ca="1" si="1957"/>
        <v>0</v>
      </c>
      <c r="DY153" s="57"/>
      <c r="DZ153" s="67"/>
      <c r="EA153" s="66">
        <f t="shared" ca="1" si="1958"/>
        <v>0</v>
      </c>
      <c r="EB153" s="57"/>
      <c r="EC153" s="67"/>
      <c r="ED153" s="66">
        <f t="shared" ca="1" si="1959"/>
        <v>0</v>
      </c>
      <c r="EE153" s="57"/>
      <c r="EF153" s="67"/>
      <c r="EG153" s="66">
        <f t="shared" ca="1" si="1960"/>
        <v>0</v>
      </c>
      <c r="EH153" s="57"/>
      <c r="EI153" s="57"/>
    </row>
    <row r="154" spans="1:139">
      <c r="A154" s="43"/>
      <c r="B154" s="43"/>
      <c r="C154" s="800"/>
      <c r="D154" s="800"/>
      <c r="E154" s="800"/>
      <c r="F154" s="801">
        <f t="shared" si="1961"/>
        <v>3</v>
      </c>
      <c r="G154" s="802">
        <f ca="1">VLOOKUP(H154,Equipos!$Q$1:$R$25,2,0)</f>
        <v>19</v>
      </c>
      <c r="H154" s="803" t="str">
        <f>Idiomas!$D$137</f>
        <v>CLASIFICADOS PARA DIECISEISAVOS</v>
      </c>
      <c r="I154" s="800"/>
      <c r="J154" s="859"/>
      <c r="K154" s="49" t="str">
        <f>Idiomas!$D$198&amp;"-"&amp;ROWS($L$130:L154)</f>
        <v>Dieciseisavofinalista-25</v>
      </c>
      <c r="L154" s="46"/>
      <c r="M154" s="48" t="str">
        <f ca="1">WORLDCUP!AF109</f>
        <v>3AEHIJ</v>
      </c>
      <c r="N154" s="711"/>
      <c r="O154" s="711"/>
      <c r="P154" s="711"/>
      <c r="Q154" s="711"/>
      <c r="R154" s="102"/>
      <c r="S154" s="67" t="s">
        <v>1627</v>
      </c>
      <c r="T154" s="66">
        <f t="shared" ca="1" si="1921"/>
        <v>0</v>
      </c>
      <c r="U154" s="57"/>
      <c r="V154" s="67" t="s">
        <v>1265</v>
      </c>
      <c r="W154" s="66">
        <f t="shared" ca="1" si="1922"/>
        <v>0</v>
      </c>
      <c r="X154" s="57"/>
      <c r="Y154" s="67" t="s">
        <v>1628</v>
      </c>
      <c r="Z154" s="66">
        <f t="shared" ca="1" si="1923"/>
        <v>0</v>
      </c>
      <c r="AA154" s="57"/>
      <c r="AB154" s="67" t="s">
        <v>1260</v>
      </c>
      <c r="AC154" s="66">
        <f t="shared" ca="1" si="1924"/>
        <v>0</v>
      </c>
      <c r="AD154" s="57"/>
      <c r="AE154" s="67" t="s">
        <v>1261</v>
      </c>
      <c r="AF154" s="66">
        <f t="shared" ca="1" si="1925"/>
        <v>0</v>
      </c>
      <c r="AG154" s="57"/>
      <c r="AH154" s="67" t="s">
        <v>1627</v>
      </c>
      <c r="AI154" s="66">
        <f t="shared" ca="1" si="1926"/>
        <v>0</v>
      </c>
      <c r="AJ154" s="57"/>
      <c r="AK154" s="67" t="s">
        <v>1837</v>
      </c>
      <c r="AL154" s="66">
        <f t="shared" ca="1" si="1927"/>
        <v>0</v>
      </c>
      <c r="AM154" s="57"/>
      <c r="AN154" s="67" t="s">
        <v>1837</v>
      </c>
      <c r="AO154" s="66">
        <f t="shared" ca="1" si="1928"/>
        <v>0</v>
      </c>
      <c r="AP154" s="57"/>
      <c r="AQ154" s="67" t="s">
        <v>1627</v>
      </c>
      <c r="AR154" s="66">
        <f t="shared" ca="1" si="1929"/>
        <v>0</v>
      </c>
      <c r="AS154" s="57"/>
      <c r="AT154" s="67" t="s">
        <v>1260</v>
      </c>
      <c r="AU154" s="66">
        <f t="shared" ca="1" si="1930"/>
        <v>0</v>
      </c>
      <c r="AV154" s="57"/>
      <c r="AW154" s="67" t="s">
        <v>1265</v>
      </c>
      <c r="AX154" s="66">
        <f t="shared" ca="1" si="1931"/>
        <v>0</v>
      </c>
      <c r="AY154" s="57"/>
      <c r="AZ154" s="67" t="s">
        <v>1260</v>
      </c>
      <c r="BA154" s="66">
        <f t="shared" ca="1" si="1932"/>
        <v>0</v>
      </c>
      <c r="BB154" s="57"/>
      <c r="BC154" s="67" t="s">
        <v>1627</v>
      </c>
      <c r="BD154" s="66">
        <f t="shared" ca="1" si="1933"/>
        <v>0</v>
      </c>
      <c r="BE154" s="57"/>
      <c r="BF154" s="67" t="s">
        <v>1625</v>
      </c>
      <c r="BG154" s="66">
        <f t="shared" ca="1" si="1934"/>
        <v>0</v>
      </c>
      <c r="BH154" s="57"/>
      <c r="BI154" s="67" t="s">
        <v>1625</v>
      </c>
      <c r="BJ154" s="66">
        <f t="shared" ca="1" si="1935"/>
        <v>0</v>
      </c>
      <c r="BK154" s="57"/>
      <c r="BL154" s="67" t="s">
        <v>1837</v>
      </c>
      <c r="BM154" s="66">
        <f t="shared" ca="1" si="1936"/>
        <v>0</v>
      </c>
      <c r="BN154" s="57"/>
      <c r="BO154" s="67" t="s">
        <v>1627</v>
      </c>
      <c r="BP154" s="66">
        <f t="shared" ca="1" si="1937"/>
        <v>0</v>
      </c>
      <c r="BQ154" s="57"/>
      <c r="BR154" s="67" t="s">
        <v>1837</v>
      </c>
      <c r="BS154" s="66">
        <f t="shared" ca="1" si="1938"/>
        <v>0</v>
      </c>
      <c r="BT154" s="57"/>
      <c r="BU154" s="67"/>
      <c r="BV154" s="66">
        <f t="shared" ca="1" si="1939"/>
        <v>0</v>
      </c>
      <c r="BW154" s="57"/>
      <c r="BX154" s="67"/>
      <c r="BY154" s="66">
        <f t="shared" ca="1" si="1940"/>
        <v>0</v>
      </c>
      <c r="BZ154" s="57"/>
      <c r="CA154" s="67"/>
      <c r="CB154" s="66">
        <f t="shared" ca="1" si="1941"/>
        <v>0</v>
      </c>
      <c r="CC154" s="57"/>
      <c r="CD154" s="67"/>
      <c r="CE154" s="66">
        <f t="shared" ca="1" si="1942"/>
        <v>0</v>
      </c>
      <c r="CF154" s="57"/>
      <c r="CG154" s="67"/>
      <c r="CH154" s="66">
        <f t="shared" ca="1" si="1943"/>
        <v>0</v>
      </c>
      <c r="CI154" s="57"/>
      <c r="CJ154" s="67"/>
      <c r="CK154" s="66">
        <f t="shared" ca="1" si="1944"/>
        <v>0</v>
      </c>
      <c r="CL154" s="57"/>
      <c r="CM154" s="67"/>
      <c r="CN154" s="66">
        <f t="shared" ca="1" si="1945"/>
        <v>0</v>
      </c>
      <c r="CO154" s="57"/>
      <c r="CP154" s="67"/>
      <c r="CQ154" s="66">
        <f t="shared" ca="1" si="1946"/>
        <v>0</v>
      </c>
      <c r="CR154" s="57"/>
      <c r="CS154" s="67"/>
      <c r="CT154" s="66">
        <f t="shared" ca="1" si="1947"/>
        <v>0</v>
      </c>
      <c r="CU154" s="57"/>
      <c r="CV154" s="67"/>
      <c r="CW154" s="66">
        <f t="shared" ca="1" si="1948"/>
        <v>0</v>
      </c>
      <c r="CX154" s="57"/>
      <c r="CY154" s="67"/>
      <c r="CZ154" s="66">
        <f t="shared" ca="1" si="1949"/>
        <v>0</v>
      </c>
      <c r="DA154" s="57"/>
      <c r="DB154" s="67"/>
      <c r="DC154" s="66">
        <f t="shared" ca="1" si="1950"/>
        <v>0</v>
      </c>
      <c r="DD154" s="57"/>
      <c r="DE154" s="67"/>
      <c r="DF154" s="66">
        <f t="shared" ca="1" si="1951"/>
        <v>0</v>
      </c>
      <c r="DG154" s="57"/>
      <c r="DH154" s="67"/>
      <c r="DI154" s="66">
        <f t="shared" ca="1" si="1952"/>
        <v>0</v>
      </c>
      <c r="DJ154" s="57"/>
      <c r="DK154" s="67"/>
      <c r="DL154" s="66">
        <f t="shared" ca="1" si="1953"/>
        <v>0</v>
      </c>
      <c r="DM154" s="57"/>
      <c r="DN154" s="67"/>
      <c r="DO154" s="66">
        <f t="shared" ca="1" si="1954"/>
        <v>0</v>
      </c>
      <c r="DP154" s="57"/>
      <c r="DQ154" s="67"/>
      <c r="DR154" s="66">
        <f t="shared" ca="1" si="1955"/>
        <v>0</v>
      </c>
      <c r="DS154" s="57"/>
      <c r="DT154" s="67"/>
      <c r="DU154" s="66">
        <f t="shared" ca="1" si="1956"/>
        <v>0</v>
      </c>
      <c r="DV154" s="57"/>
      <c r="DW154" s="67"/>
      <c r="DX154" s="66">
        <f t="shared" ca="1" si="1957"/>
        <v>0</v>
      </c>
      <c r="DY154" s="57"/>
      <c r="DZ154" s="67"/>
      <c r="EA154" s="66">
        <f t="shared" ca="1" si="1958"/>
        <v>0</v>
      </c>
      <c r="EB154" s="57"/>
      <c r="EC154" s="67"/>
      <c r="ED154" s="66">
        <f t="shared" ca="1" si="1959"/>
        <v>0</v>
      </c>
      <c r="EE154" s="57"/>
      <c r="EF154" s="67"/>
      <c r="EG154" s="66">
        <f t="shared" ca="1" si="1960"/>
        <v>0</v>
      </c>
      <c r="EH154" s="57"/>
      <c r="EI154" s="57"/>
    </row>
    <row r="155" spans="1:139">
      <c r="A155" s="43"/>
      <c r="B155" s="43"/>
      <c r="C155" s="800"/>
      <c r="D155" s="800"/>
      <c r="E155" s="800"/>
      <c r="F155" s="801">
        <f t="shared" si="1961"/>
        <v>3</v>
      </c>
      <c r="G155" s="802">
        <f ca="1">VLOOKUP(H155,Equipos!$Q$1:$R$25,2,0)</f>
        <v>19</v>
      </c>
      <c r="H155" s="803" t="str">
        <f>Idiomas!$D$137</f>
        <v>CLASIFICADOS PARA DIECISEISAVOS</v>
      </c>
      <c r="I155" s="800"/>
      <c r="J155" s="859"/>
      <c r="K155" s="49" t="str">
        <f>Idiomas!$D$198&amp;"-"&amp;ROWS($L$130:L155)</f>
        <v>Dieciseisavofinalista-26</v>
      </c>
      <c r="L155" s="46"/>
      <c r="M155" s="48" t="str">
        <f ca="1">WORLDCUP!AF110</f>
        <v>3BEFIJ</v>
      </c>
      <c r="N155" s="711"/>
      <c r="O155" s="711"/>
      <c r="P155" s="711"/>
      <c r="Q155" s="711"/>
      <c r="R155" s="102"/>
      <c r="S155" s="67" t="s">
        <v>1259</v>
      </c>
      <c r="T155" s="66">
        <f t="shared" ca="1" si="1921"/>
        <v>0</v>
      </c>
      <c r="U155" s="57"/>
      <c r="V155" s="67" t="s">
        <v>1628</v>
      </c>
      <c r="W155" s="66">
        <f t="shared" ca="1" si="1922"/>
        <v>0</v>
      </c>
      <c r="X155" s="57"/>
      <c r="Y155" s="67" t="s">
        <v>1835</v>
      </c>
      <c r="Z155" s="66">
        <f t="shared" ca="1" si="1923"/>
        <v>0</v>
      </c>
      <c r="AA155" s="57"/>
      <c r="AB155" s="67" t="s">
        <v>1835</v>
      </c>
      <c r="AC155" s="66">
        <f t="shared" ca="1" si="1924"/>
        <v>0</v>
      </c>
      <c r="AD155" s="57"/>
      <c r="AE155" s="67" t="s">
        <v>1835</v>
      </c>
      <c r="AF155" s="66">
        <f t="shared" ca="1" si="1925"/>
        <v>0</v>
      </c>
      <c r="AG155" s="57"/>
      <c r="AH155" s="67" t="s">
        <v>1835</v>
      </c>
      <c r="AI155" s="66">
        <f t="shared" ca="1" si="1926"/>
        <v>0</v>
      </c>
      <c r="AJ155" s="57"/>
      <c r="AK155" s="67" t="s">
        <v>1261</v>
      </c>
      <c r="AL155" s="66">
        <f t="shared" ca="1" si="1927"/>
        <v>0</v>
      </c>
      <c r="AM155" s="57"/>
      <c r="AN155" s="67" t="s">
        <v>80</v>
      </c>
      <c r="AO155" s="66">
        <f t="shared" ca="1" si="1928"/>
        <v>0</v>
      </c>
      <c r="AP155" s="57"/>
      <c r="AQ155" s="67" t="s">
        <v>135</v>
      </c>
      <c r="AR155" s="66">
        <f t="shared" ca="1" si="1929"/>
        <v>0</v>
      </c>
      <c r="AS155" s="57"/>
      <c r="AT155" s="67" t="s">
        <v>1259</v>
      </c>
      <c r="AU155" s="66">
        <f t="shared" ca="1" si="1930"/>
        <v>0</v>
      </c>
      <c r="AV155" s="57"/>
      <c r="AW155" s="67" t="s">
        <v>75</v>
      </c>
      <c r="AX155" s="66">
        <f t="shared" ca="1" si="1931"/>
        <v>0</v>
      </c>
      <c r="AY155" s="57"/>
      <c r="AZ155" s="67" t="s">
        <v>1259</v>
      </c>
      <c r="BA155" s="66">
        <f t="shared" ca="1" si="1932"/>
        <v>0</v>
      </c>
      <c r="BB155" s="57"/>
      <c r="BC155" s="67" t="s">
        <v>1835</v>
      </c>
      <c r="BD155" s="66">
        <f t="shared" ca="1" si="1933"/>
        <v>0</v>
      </c>
      <c r="BE155" s="57"/>
      <c r="BF155" s="67" t="s">
        <v>1835</v>
      </c>
      <c r="BG155" s="66">
        <f t="shared" ca="1" si="1934"/>
        <v>0</v>
      </c>
      <c r="BH155" s="57"/>
      <c r="BI155" s="67" t="s">
        <v>1835</v>
      </c>
      <c r="BJ155" s="66">
        <f t="shared" ca="1" si="1935"/>
        <v>0</v>
      </c>
      <c r="BK155" s="57"/>
      <c r="BL155" s="67" t="s">
        <v>1261</v>
      </c>
      <c r="BM155" s="66">
        <f t="shared" ca="1" si="1936"/>
        <v>0</v>
      </c>
      <c r="BN155" s="57"/>
      <c r="BO155" s="67" t="s">
        <v>1259</v>
      </c>
      <c r="BP155" s="66">
        <f t="shared" ca="1" si="1937"/>
        <v>0</v>
      </c>
      <c r="BQ155" s="57"/>
      <c r="BR155" s="67" t="s">
        <v>1835</v>
      </c>
      <c r="BS155" s="66">
        <f t="shared" ca="1" si="1938"/>
        <v>0</v>
      </c>
      <c r="BT155" s="57"/>
      <c r="BU155" s="67"/>
      <c r="BV155" s="66">
        <f t="shared" ca="1" si="1939"/>
        <v>0</v>
      </c>
      <c r="BW155" s="57"/>
      <c r="BX155" s="67"/>
      <c r="BY155" s="66">
        <f t="shared" ca="1" si="1940"/>
        <v>0</v>
      </c>
      <c r="BZ155" s="57"/>
      <c r="CA155" s="67"/>
      <c r="CB155" s="66">
        <f t="shared" ca="1" si="1941"/>
        <v>0</v>
      </c>
      <c r="CC155" s="57"/>
      <c r="CD155" s="67"/>
      <c r="CE155" s="66">
        <f t="shared" ca="1" si="1942"/>
        <v>0</v>
      </c>
      <c r="CF155" s="57"/>
      <c r="CG155" s="67"/>
      <c r="CH155" s="66">
        <f t="shared" ca="1" si="1943"/>
        <v>0</v>
      </c>
      <c r="CI155" s="57"/>
      <c r="CJ155" s="67"/>
      <c r="CK155" s="66">
        <f t="shared" ca="1" si="1944"/>
        <v>0</v>
      </c>
      <c r="CL155" s="57"/>
      <c r="CM155" s="67"/>
      <c r="CN155" s="66">
        <f t="shared" ca="1" si="1945"/>
        <v>0</v>
      </c>
      <c r="CO155" s="57"/>
      <c r="CP155" s="67"/>
      <c r="CQ155" s="66">
        <f t="shared" ca="1" si="1946"/>
        <v>0</v>
      </c>
      <c r="CR155" s="57"/>
      <c r="CS155" s="67"/>
      <c r="CT155" s="66">
        <f t="shared" ca="1" si="1947"/>
        <v>0</v>
      </c>
      <c r="CU155" s="57"/>
      <c r="CV155" s="67"/>
      <c r="CW155" s="66">
        <f t="shared" ca="1" si="1948"/>
        <v>0</v>
      </c>
      <c r="CX155" s="57"/>
      <c r="CY155" s="67"/>
      <c r="CZ155" s="66">
        <f t="shared" ca="1" si="1949"/>
        <v>0</v>
      </c>
      <c r="DA155" s="57"/>
      <c r="DB155" s="67"/>
      <c r="DC155" s="66">
        <f t="shared" ca="1" si="1950"/>
        <v>0</v>
      </c>
      <c r="DD155" s="57"/>
      <c r="DE155" s="67"/>
      <c r="DF155" s="66">
        <f t="shared" ca="1" si="1951"/>
        <v>0</v>
      </c>
      <c r="DG155" s="57"/>
      <c r="DH155" s="67"/>
      <c r="DI155" s="66">
        <f t="shared" ca="1" si="1952"/>
        <v>0</v>
      </c>
      <c r="DJ155" s="57"/>
      <c r="DK155" s="67"/>
      <c r="DL155" s="66">
        <f t="shared" ca="1" si="1953"/>
        <v>0</v>
      </c>
      <c r="DM155" s="57"/>
      <c r="DN155" s="67"/>
      <c r="DO155" s="66">
        <f t="shared" ca="1" si="1954"/>
        <v>0</v>
      </c>
      <c r="DP155" s="57"/>
      <c r="DQ155" s="67"/>
      <c r="DR155" s="66">
        <f t="shared" ca="1" si="1955"/>
        <v>0</v>
      </c>
      <c r="DS155" s="57"/>
      <c r="DT155" s="67"/>
      <c r="DU155" s="66">
        <f t="shared" ca="1" si="1956"/>
        <v>0</v>
      </c>
      <c r="DV155" s="57"/>
      <c r="DW155" s="67"/>
      <c r="DX155" s="66">
        <f t="shared" ca="1" si="1957"/>
        <v>0</v>
      </c>
      <c r="DY155" s="57"/>
      <c r="DZ155" s="67"/>
      <c r="EA155" s="66">
        <f t="shared" ca="1" si="1958"/>
        <v>0</v>
      </c>
      <c r="EB155" s="57"/>
      <c r="EC155" s="67"/>
      <c r="ED155" s="66">
        <f t="shared" ca="1" si="1959"/>
        <v>0</v>
      </c>
      <c r="EE155" s="57"/>
      <c r="EF155" s="67"/>
      <c r="EG155" s="66">
        <f t="shared" ca="1" si="1960"/>
        <v>0</v>
      </c>
      <c r="EH155" s="57"/>
      <c r="EI155" s="57"/>
    </row>
    <row r="156" spans="1:139">
      <c r="A156" s="43"/>
      <c r="B156" s="43"/>
      <c r="C156" s="800"/>
      <c r="D156" s="800"/>
      <c r="E156" s="800"/>
      <c r="F156" s="801">
        <f t="shared" si="1961"/>
        <v>3</v>
      </c>
      <c r="G156" s="802">
        <f ca="1">VLOOKUP(H156,Equipos!$Q$1:$R$25,2,0)</f>
        <v>19</v>
      </c>
      <c r="H156" s="803" t="str">
        <f>Idiomas!$D$137</f>
        <v>CLASIFICADOS PARA DIECISEISAVOS</v>
      </c>
      <c r="I156" s="800"/>
      <c r="J156" s="859"/>
      <c r="K156" s="49" t="str">
        <f>Idiomas!$D$198&amp;"-"&amp;ROWS($L$130:L156)</f>
        <v>Dieciseisavofinalista-27</v>
      </c>
      <c r="L156" s="46"/>
      <c r="M156" s="48" t="str">
        <f ca="1">WORLDCUP!AF111</f>
        <v>2J</v>
      </c>
      <c r="N156" s="711"/>
      <c r="O156" s="711"/>
      <c r="P156" s="711"/>
      <c r="Q156" s="711"/>
      <c r="R156" s="102"/>
      <c r="S156" s="67" t="s">
        <v>80</v>
      </c>
      <c r="T156" s="66">
        <f t="shared" ca="1" si="1921"/>
        <v>0</v>
      </c>
      <c r="U156" s="57"/>
      <c r="V156" s="67" t="s">
        <v>80</v>
      </c>
      <c r="W156" s="66">
        <f t="shared" ca="1" si="1922"/>
        <v>0</v>
      </c>
      <c r="X156" s="57"/>
      <c r="Y156" s="67" t="s">
        <v>80</v>
      </c>
      <c r="Z156" s="66">
        <f t="shared" ca="1" si="1923"/>
        <v>0</v>
      </c>
      <c r="AA156" s="57"/>
      <c r="AB156" s="67" t="s">
        <v>80</v>
      </c>
      <c r="AC156" s="66">
        <f t="shared" ca="1" si="1924"/>
        <v>0</v>
      </c>
      <c r="AD156" s="57"/>
      <c r="AE156" s="67" t="s">
        <v>1553</v>
      </c>
      <c r="AF156" s="66">
        <f t="shared" ca="1" si="1925"/>
        <v>0</v>
      </c>
      <c r="AG156" s="57"/>
      <c r="AH156" s="67" t="s">
        <v>80</v>
      </c>
      <c r="AI156" s="66">
        <f t="shared" ca="1" si="1926"/>
        <v>0</v>
      </c>
      <c r="AJ156" s="57"/>
      <c r="AK156" s="67" t="s">
        <v>80</v>
      </c>
      <c r="AL156" s="66">
        <f t="shared" ca="1" si="1927"/>
        <v>0</v>
      </c>
      <c r="AM156" s="57"/>
      <c r="AN156" s="67" t="s">
        <v>1553</v>
      </c>
      <c r="AO156" s="66">
        <f t="shared" ca="1" si="1928"/>
        <v>0</v>
      </c>
      <c r="AP156" s="57"/>
      <c r="AQ156" s="67" t="s">
        <v>1553</v>
      </c>
      <c r="AR156" s="66">
        <f t="shared" ca="1" si="1929"/>
        <v>0</v>
      </c>
      <c r="AS156" s="57"/>
      <c r="AT156" s="67" t="s">
        <v>80</v>
      </c>
      <c r="AU156" s="66">
        <f t="shared" ca="1" si="1930"/>
        <v>0</v>
      </c>
      <c r="AV156" s="57"/>
      <c r="AW156" s="67" t="s">
        <v>1553</v>
      </c>
      <c r="AX156" s="66">
        <f t="shared" ca="1" si="1931"/>
        <v>0</v>
      </c>
      <c r="AY156" s="57"/>
      <c r="AZ156" s="67" t="s">
        <v>80</v>
      </c>
      <c r="BA156" s="66">
        <f t="shared" ca="1" si="1932"/>
        <v>0</v>
      </c>
      <c r="BB156" s="57"/>
      <c r="BC156" s="67" t="s">
        <v>80</v>
      </c>
      <c r="BD156" s="66">
        <f t="shared" ca="1" si="1933"/>
        <v>0</v>
      </c>
      <c r="BE156" s="57"/>
      <c r="BF156" s="67" t="s">
        <v>80</v>
      </c>
      <c r="BG156" s="66">
        <f t="shared" ca="1" si="1934"/>
        <v>0</v>
      </c>
      <c r="BH156" s="57"/>
      <c r="BI156" s="67" t="s">
        <v>80</v>
      </c>
      <c r="BJ156" s="66">
        <f t="shared" ca="1" si="1935"/>
        <v>0</v>
      </c>
      <c r="BK156" s="57"/>
      <c r="BL156" s="67" t="s">
        <v>80</v>
      </c>
      <c r="BM156" s="66">
        <f t="shared" ca="1" si="1936"/>
        <v>0</v>
      </c>
      <c r="BN156" s="57"/>
      <c r="BO156" s="67" t="s">
        <v>80</v>
      </c>
      <c r="BP156" s="66">
        <f t="shared" ca="1" si="1937"/>
        <v>0</v>
      </c>
      <c r="BQ156" s="57"/>
      <c r="BR156" s="67" t="s">
        <v>80</v>
      </c>
      <c r="BS156" s="66">
        <f t="shared" ca="1" si="1938"/>
        <v>0</v>
      </c>
      <c r="BT156" s="57"/>
      <c r="BU156" s="67"/>
      <c r="BV156" s="66">
        <f t="shared" ca="1" si="1939"/>
        <v>0</v>
      </c>
      <c r="BW156" s="57"/>
      <c r="BX156" s="67"/>
      <c r="BY156" s="66">
        <f t="shared" ca="1" si="1940"/>
        <v>0</v>
      </c>
      <c r="BZ156" s="57"/>
      <c r="CA156" s="67"/>
      <c r="CB156" s="66">
        <f t="shared" ca="1" si="1941"/>
        <v>0</v>
      </c>
      <c r="CC156" s="57"/>
      <c r="CD156" s="67"/>
      <c r="CE156" s="66">
        <f t="shared" ca="1" si="1942"/>
        <v>0</v>
      </c>
      <c r="CF156" s="57"/>
      <c r="CG156" s="67"/>
      <c r="CH156" s="66">
        <f t="shared" ca="1" si="1943"/>
        <v>0</v>
      </c>
      <c r="CI156" s="57"/>
      <c r="CJ156" s="67"/>
      <c r="CK156" s="66">
        <f t="shared" ca="1" si="1944"/>
        <v>0</v>
      </c>
      <c r="CL156" s="57"/>
      <c r="CM156" s="67"/>
      <c r="CN156" s="66">
        <f t="shared" ca="1" si="1945"/>
        <v>0</v>
      </c>
      <c r="CO156" s="57"/>
      <c r="CP156" s="67"/>
      <c r="CQ156" s="66">
        <f t="shared" ca="1" si="1946"/>
        <v>0</v>
      </c>
      <c r="CR156" s="57"/>
      <c r="CS156" s="67"/>
      <c r="CT156" s="66">
        <f t="shared" ca="1" si="1947"/>
        <v>0</v>
      </c>
      <c r="CU156" s="57"/>
      <c r="CV156" s="67"/>
      <c r="CW156" s="66">
        <f t="shared" ca="1" si="1948"/>
        <v>0</v>
      </c>
      <c r="CX156" s="57"/>
      <c r="CY156" s="67"/>
      <c r="CZ156" s="66">
        <f t="shared" ca="1" si="1949"/>
        <v>0</v>
      </c>
      <c r="DA156" s="57"/>
      <c r="DB156" s="67"/>
      <c r="DC156" s="66">
        <f t="shared" ca="1" si="1950"/>
        <v>0</v>
      </c>
      <c r="DD156" s="57"/>
      <c r="DE156" s="67"/>
      <c r="DF156" s="66">
        <f t="shared" ca="1" si="1951"/>
        <v>0</v>
      </c>
      <c r="DG156" s="57"/>
      <c r="DH156" s="67"/>
      <c r="DI156" s="66">
        <f t="shared" ca="1" si="1952"/>
        <v>0</v>
      </c>
      <c r="DJ156" s="57"/>
      <c r="DK156" s="67"/>
      <c r="DL156" s="66">
        <f t="shared" ca="1" si="1953"/>
        <v>0</v>
      </c>
      <c r="DM156" s="57"/>
      <c r="DN156" s="67"/>
      <c r="DO156" s="66">
        <f t="shared" ca="1" si="1954"/>
        <v>0</v>
      </c>
      <c r="DP156" s="57"/>
      <c r="DQ156" s="67"/>
      <c r="DR156" s="66">
        <f t="shared" ca="1" si="1955"/>
        <v>0</v>
      </c>
      <c r="DS156" s="57"/>
      <c r="DT156" s="67"/>
      <c r="DU156" s="66">
        <f t="shared" ca="1" si="1956"/>
        <v>0</v>
      </c>
      <c r="DV156" s="57"/>
      <c r="DW156" s="67"/>
      <c r="DX156" s="66">
        <f t="shared" ca="1" si="1957"/>
        <v>0</v>
      </c>
      <c r="DY156" s="57"/>
      <c r="DZ156" s="67"/>
      <c r="EA156" s="66">
        <f t="shared" ca="1" si="1958"/>
        <v>0</v>
      </c>
      <c r="EB156" s="57"/>
      <c r="EC156" s="67"/>
      <c r="ED156" s="66">
        <f t="shared" ca="1" si="1959"/>
        <v>0</v>
      </c>
      <c r="EE156" s="57"/>
      <c r="EF156" s="67"/>
      <c r="EG156" s="66">
        <f t="shared" ca="1" si="1960"/>
        <v>0</v>
      </c>
      <c r="EH156" s="57"/>
      <c r="EI156" s="57"/>
    </row>
    <row r="157" spans="1:139">
      <c r="A157" s="43"/>
      <c r="B157" s="43"/>
      <c r="C157" s="800"/>
      <c r="D157" s="800"/>
      <c r="E157" s="800"/>
      <c r="F157" s="801">
        <f t="shared" si="1961"/>
        <v>3</v>
      </c>
      <c r="G157" s="802">
        <f ca="1">VLOOKUP(H157,Equipos!$Q$1:$R$25,2,0)</f>
        <v>19</v>
      </c>
      <c r="H157" s="803" t="str">
        <f>Idiomas!$D$137</f>
        <v>CLASIFICADOS PARA DIECISEISAVOS</v>
      </c>
      <c r="I157" s="800"/>
      <c r="J157" s="859"/>
      <c r="K157" s="49" t="str">
        <f>Idiomas!$D$198&amp;"-"&amp;ROWS($L$130:L157)</f>
        <v>Dieciseisavofinalista-28</v>
      </c>
      <c r="L157" s="46"/>
      <c r="M157" s="48" t="str">
        <f ca="1">WORLDCUP!AF112</f>
        <v>2L</v>
      </c>
      <c r="N157" s="711"/>
      <c r="O157" s="711"/>
      <c r="P157" s="711"/>
      <c r="Q157" s="711"/>
      <c r="R157" s="102"/>
      <c r="S157" s="67" t="s">
        <v>78</v>
      </c>
      <c r="T157" s="66">
        <f t="shared" ca="1" si="1921"/>
        <v>0</v>
      </c>
      <c r="U157" s="57"/>
      <c r="V157" s="67" t="s">
        <v>78</v>
      </c>
      <c r="W157" s="66">
        <f t="shared" ca="1" si="1922"/>
        <v>0</v>
      </c>
      <c r="X157" s="57"/>
      <c r="Y157" s="67" t="s">
        <v>78</v>
      </c>
      <c r="Z157" s="66">
        <f t="shared" ca="1" si="1923"/>
        <v>0</v>
      </c>
      <c r="AA157" s="57"/>
      <c r="AB157" s="67" t="s">
        <v>76</v>
      </c>
      <c r="AC157" s="66">
        <f t="shared" ca="1" si="1924"/>
        <v>0</v>
      </c>
      <c r="AD157" s="57"/>
      <c r="AE157" s="67" t="s">
        <v>78</v>
      </c>
      <c r="AF157" s="66">
        <f t="shared" ca="1" si="1925"/>
        <v>0</v>
      </c>
      <c r="AG157" s="57"/>
      <c r="AH157" s="67" t="s">
        <v>78</v>
      </c>
      <c r="AI157" s="66">
        <f t="shared" ca="1" si="1926"/>
        <v>0</v>
      </c>
      <c r="AJ157" s="57"/>
      <c r="AK157" s="67" t="s">
        <v>78</v>
      </c>
      <c r="AL157" s="66">
        <f t="shared" ca="1" si="1927"/>
        <v>0</v>
      </c>
      <c r="AM157" s="57"/>
      <c r="AN157" s="67" t="s">
        <v>78</v>
      </c>
      <c r="AO157" s="66">
        <f t="shared" ca="1" si="1928"/>
        <v>0</v>
      </c>
      <c r="AP157" s="57"/>
      <c r="AQ157" s="67" t="s">
        <v>78</v>
      </c>
      <c r="AR157" s="66">
        <f t="shared" ca="1" si="1929"/>
        <v>0</v>
      </c>
      <c r="AS157" s="57"/>
      <c r="AT157" s="67" t="s">
        <v>78</v>
      </c>
      <c r="AU157" s="66">
        <f t="shared" ca="1" si="1930"/>
        <v>0</v>
      </c>
      <c r="AV157" s="57"/>
      <c r="AW157" s="67" t="s">
        <v>78</v>
      </c>
      <c r="AX157" s="66">
        <f t="shared" ca="1" si="1931"/>
        <v>0</v>
      </c>
      <c r="AY157" s="57"/>
      <c r="AZ157" s="67" t="s">
        <v>78</v>
      </c>
      <c r="BA157" s="66">
        <f t="shared" ca="1" si="1932"/>
        <v>0</v>
      </c>
      <c r="BB157" s="57"/>
      <c r="BC157" s="67" t="s">
        <v>76</v>
      </c>
      <c r="BD157" s="66">
        <f t="shared" ca="1" si="1933"/>
        <v>0</v>
      </c>
      <c r="BE157" s="57"/>
      <c r="BF157" s="67" t="s">
        <v>1725</v>
      </c>
      <c r="BG157" s="66">
        <f t="shared" ca="1" si="1934"/>
        <v>0</v>
      </c>
      <c r="BH157" s="57"/>
      <c r="BI157" s="67" t="s">
        <v>78</v>
      </c>
      <c r="BJ157" s="66">
        <f t="shared" ca="1" si="1935"/>
        <v>0</v>
      </c>
      <c r="BK157" s="57"/>
      <c r="BL157" s="67" t="s">
        <v>78</v>
      </c>
      <c r="BM157" s="66">
        <f t="shared" ca="1" si="1936"/>
        <v>0</v>
      </c>
      <c r="BN157" s="57"/>
      <c r="BO157" s="67" t="s">
        <v>1546</v>
      </c>
      <c r="BP157" s="66">
        <f t="shared" ca="1" si="1937"/>
        <v>0</v>
      </c>
      <c r="BQ157" s="57"/>
      <c r="BR157" s="67" t="s">
        <v>78</v>
      </c>
      <c r="BS157" s="66">
        <f t="shared" ca="1" si="1938"/>
        <v>0</v>
      </c>
      <c r="BT157" s="57"/>
      <c r="BU157" s="67"/>
      <c r="BV157" s="66">
        <f t="shared" ca="1" si="1939"/>
        <v>0</v>
      </c>
      <c r="BW157" s="57"/>
      <c r="BX157" s="67"/>
      <c r="BY157" s="66">
        <f t="shared" ca="1" si="1940"/>
        <v>0</v>
      </c>
      <c r="BZ157" s="57"/>
      <c r="CA157" s="67"/>
      <c r="CB157" s="66">
        <f t="shared" ca="1" si="1941"/>
        <v>0</v>
      </c>
      <c r="CC157" s="57"/>
      <c r="CD157" s="67"/>
      <c r="CE157" s="66">
        <f t="shared" ca="1" si="1942"/>
        <v>0</v>
      </c>
      <c r="CF157" s="57"/>
      <c r="CG157" s="67"/>
      <c r="CH157" s="66">
        <f t="shared" ca="1" si="1943"/>
        <v>0</v>
      </c>
      <c r="CI157" s="57"/>
      <c r="CJ157" s="67"/>
      <c r="CK157" s="66">
        <f t="shared" ca="1" si="1944"/>
        <v>0</v>
      </c>
      <c r="CL157" s="57"/>
      <c r="CM157" s="67"/>
      <c r="CN157" s="66">
        <f t="shared" ca="1" si="1945"/>
        <v>0</v>
      </c>
      <c r="CO157" s="57"/>
      <c r="CP157" s="67"/>
      <c r="CQ157" s="66">
        <f t="shared" ca="1" si="1946"/>
        <v>0</v>
      </c>
      <c r="CR157" s="57"/>
      <c r="CS157" s="67"/>
      <c r="CT157" s="66">
        <f t="shared" ca="1" si="1947"/>
        <v>0</v>
      </c>
      <c r="CU157" s="57"/>
      <c r="CV157" s="67"/>
      <c r="CW157" s="66">
        <f t="shared" ca="1" si="1948"/>
        <v>0</v>
      </c>
      <c r="CX157" s="57"/>
      <c r="CY157" s="67"/>
      <c r="CZ157" s="66">
        <f t="shared" ca="1" si="1949"/>
        <v>0</v>
      </c>
      <c r="DA157" s="57"/>
      <c r="DB157" s="67"/>
      <c r="DC157" s="66">
        <f t="shared" ca="1" si="1950"/>
        <v>0</v>
      </c>
      <c r="DD157" s="57"/>
      <c r="DE157" s="67"/>
      <c r="DF157" s="66">
        <f t="shared" ca="1" si="1951"/>
        <v>0</v>
      </c>
      <c r="DG157" s="57"/>
      <c r="DH157" s="67"/>
      <c r="DI157" s="66">
        <f t="shared" ca="1" si="1952"/>
        <v>0</v>
      </c>
      <c r="DJ157" s="57"/>
      <c r="DK157" s="67"/>
      <c r="DL157" s="66">
        <f t="shared" ca="1" si="1953"/>
        <v>0</v>
      </c>
      <c r="DM157" s="57"/>
      <c r="DN157" s="67"/>
      <c r="DO157" s="66">
        <f t="shared" ca="1" si="1954"/>
        <v>0</v>
      </c>
      <c r="DP157" s="57"/>
      <c r="DQ157" s="67"/>
      <c r="DR157" s="66">
        <f t="shared" ca="1" si="1955"/>
        <v>0</v>
      </c>
      <c r="DS157" s="57"/>
      <c r="DT157" s="67"/>
      <c r="DU157" s="66">
        <f t="shared" ca="1" si="1956"/>
        <v>0</v>
      </c>
      <c r="DV157" s="57"/>
      <c r="DW157" s="67"/>
      <c r="DX157" s="66">
        <f t="shared" ca="1" si="1957"/>
        <v>0</v>
      </c>
      <c r="DY157" s="57"/>
      <c r="DZ157" s="67"/>
      <c r="EA157" s="66">
        <f t="shared" ca="1" si="1958"/>
        <v>0</v>
      </c>
      <c r="EB157" s="57"/>
      <c r="EC157" s="67"/>
      <c r="ED157" s="66">
        <f t="shared" ca="1" si="1959"/>
        <v>0</v>
      </c>
      <c r="EE157" s="57"/>
      <c r="EF157" s="67"/>
      <c r="EG157" s="66">
        <f t="shared" ca="1" si="1960"/>
        <v>0</v>
      </c>
      <c r="EH157" s="57"/>
      <c r="EI157" s="57"/>
    </row>
    <row r="158" spans="1:139">
      <c r="A158" s="43"/>
      <c r="B158" s="43"/>
      <c r="C158" s="800"/>
      <c r="D158" s="800"/>
      <c r="E158" s="800"/>
      <c r="F158" s="801">
        <f t="shared" si="1961"/>
        <v>3</v>
      </c>
      <c r="G158" s="802">
        <f ca="1">VLOOKUP(H158,Equipos!$Q$1:$R$25,2,0)</f>
        <v>19</v>
      </c>
      <c r="H158" s="803" t="str">
        <f>Idiomas!$D$137</f>
        <v>CLASIFICADOS PARA DIECISEISAVOS</v>
      </c>
      <c r="I158" s="800"/>
      <c r="J158" s="859"/>
      <c r="K158" s="49" t="str">
        <f>Idiomas!$D$198&amp;"-"&amp;ROWS($L$130:L158)</f>
        <v>Dieciseisavofinalista-29</v>
      </c>
      <c r="L158" s="46"/>
      <c r="M158" s="48" t="str">
        <f ca="1">WORLDCUP!AF113</f>
        <v>3EFGIJ</v>
      </c>
      <c r="N158" s="711"/>
      <c r="O158" s="711"/>
      <c r="P158" s="711"/>
      <c r="Q158" s="711"/>
      <c r="R158" s="102"/>
      <c r="S158" s="67" t="s">
        <v>1553</v>
      </c>
      <c r="T158" s="66">
        <f t="shared" ca="1" si="1921"/>
        <v>0</v>
      </c>
      <c r="U158" s="57"/>
      <c r="V158" s="67" t="s">
        <v>1262</v>
      </c>
      <c r="W158" s="66">
        <f t="shared" ca="1" si="1922"/>
        <v>0</v>
      </c>
      <c r="X158" s="57"/>
      <c r="Y158" s="67" t="s">
        <v>1553</v>
      </c>
      <c r="Z158" s="66">
        <f t="shared" ca="1" si="1923"/>
        <v>0</v>
      </c>
      <c r="AA158" s="57"/>
      <c r="AB158" s="67" t="s">
        <v>1545</v>
      </c>
      <c r="AC158" s="66">
        <f t="shared" ca="1" si="1924"/>
        <v>0</v>
      </c>
      <c r="AD158" s="57"/>
      <c r="AE158" s="67" t="s">
        <v>80</v>
      </c>
      <c r="AF158" s="66">
        <f t="shared" ca="1" si="1925"/>
        <v>0</v>
      </c>
      <c r="AG158" s="57"/>
      <c r="AH158" s="67" t="s">
        <v>1629</v>
      </c>
      <c r="AI158" s="66">
        <f t="shared" ca="1" si="1926"/>
        <v>0</v>
      </c>
      <c r="AJ158" s="57"/>
      <c r="AK158" s="67" t="s">
        <v>1545</v>
      </c>
      <c r="AL158" s="66">
        <f t="shared" ca="1" si="1927"/>
        <v>0</v>
      </c>
      <c r="AM158" s="57"/>
      <c r="AN158" s="67" t="s">
        <v>1262</v>
      </c>
      <c r="AO158" s="66">
        <f t="shared" ca="1" si="1928"/>
        <v>0</v>
      </c>
      <c r="AP158" s="57"/>
      <c r="AQ158" s="67" t="s">
        <v>1256</v>
      </c>
      <c r="AR158" s="66">
        <f t="shared" ca="1" si="1929"/>
        <v>0</v>
      </c>
      <c r="AS158" s="57"/>
      <c r="AT158" s="67" t="s">
        <v>1266</v>
      </c>
      <c r="AU158" s="66">
        <f t="shared" ca="1" si="1930"/>
        <v>0</v>
      </c>
      <c r="AV158" s="57"/>
      <c r="AW158" s="67" t="s">
        <v>80</v>
      </c>
      <c r="AX158" s="66">
        <f t="shared" ca="1" si="1931"/>
        <v>0</v>
      </c>
      <c r="AY158" s="57"/>
      <c r="AZ158" s="67" t="s">
        <v>1262</v>
      </c>
      <c r="BA158" s="66">
        <f t="shared" ca="1" si="1932"/>
        <v>0</v>
      </c>
      <c r="BB158" s="57"/>
      <c r="BC158" s="67" t="s">
        <v>1553</v>
      </c>
      <c r="BD158" s="66">
        <f t="shared" ca="1" si="1933"/>
        <v>0</v>
      </c>
      <c r="BE158" s="57"/>
      <c r="BF158" s="67" t="s">
        <v>1262</v>
      </c>
      <c r="BG158" s="66">
        <f t="shared" ca="1" si="1934"/>
        <v>0</v>
      </c>
      <c r="BH158" s="57"/>
      <c r="BI158" s="67" t="s">
        <v>1553</v>
      </c>
      <c r="BJ158" s="66">
        <f t="shared" ca="1" si="1935"/>
        <v>0</v>
      </c>
      <c r="BK158" s="57"/>
      <c r="BL158" s="67" t="s">
        <v>1553</v>
      </c>
      <c r="BM158" s="66">
        <f t="shared" ca="1" si="1936"/>
        <v>0</v>
      </c>
      <c r="BN158" s="57"/>
      <c r="BO158" s="67" t="s">
        <v>1553</v>
      </c>
      <c r="BP158" s="66">
        <f t="shared" ca="1" si="1937"/>
        <v>0</v>
      </c>
      <c r="BQ158" s="57"/>
      <c r="BR158" s="67" t="s">
        <v>1545</v>
      </c>
      <c r="BS158" s="66">
        <f t="shared" ca="1" si="1938"/>
        <v>0</v>
      </c>
      <c r="BT158" s="57"/>
      <c r="BU158" s="67"/>
      <c r="BV158" s="66">
        <f t="shared" ca="1" si="1939"/>
        <v>0</v>
      </c>
      <c r="BW158" s="57"/>
      <c r="BX158" s="67"/>
      <c r="BY158" s="66">
        <f t="shared" ca="1" si="1940"/>
        <v>0</v>
      </c>
      <c r="BZ158" s="57"/>
      <c r="CA158" s="67"/>
      <c r="CB158" s="66">
        <f t="shared" ca="1" si="1941"/>
        <v>0</v>
      </c>
      <c r="CC158" s="57"/>
      <c r="CD158" s="67"/>
      <c r="CE158" s="66">
        <f t="shared" ca="1" si="1942"/>
        <v>0</v>
      </c>
      <c r="CF158" s="57"/>
      <c r="CG158" s="67"/>
      <c r="CH158" s="66">
        <f t="shared" ca="1" si="1943"/>
        <v>0</v>
      </c>
      <c r="CI158" s="57"/>
      <c r="CJ158" s="67"/>
      <c r="CK158" s="66">
        <f t="shared" ca="1" si="1944"/>
        <v>0</v>
      </c>
      <c r="CL158" s="57"/>
      <c r="CM158" s="67"/>
      <c r="CN158" s="66">
        <f t="shared" ca="1" si="1945"/>
        <v>0</v>
      </c>
      <c r="CO158" s="57"/>
      <c r="CP158" s="67"/>
      <c r="CQ158" s="66">
        <f t="shared" ca="1" si="1946"/>
        <v>0</v>
      </c>
      <c r="CR158" s="57"/>
      <c r="CS158" s="67"/>
      <c r="CT158" s="66">
        <f t="shared" ca="1" si="1947"/>
        <v>0</v>
      </c>
      <c r="CU158" s="57"/>
      <c r="CV158" s="67"/>
      <c r="CW158" s="66">
        <f t="shared" ca="1" si="1948"/>
        <v>0</v>
      </c>
      <c r="CX158" s="57"/>
      <c r="CY158" s="67"/>
      <c r="CZ158" s="66">
        <f t="shared" ca="1" si="1949"/>
        <v>0</v>
      </c>
      <c r="DA158" s="57"/>
      <c r="DB158" s="67"/>
      <c r="DC158" s="66">
        <f t="shared" ca="1" si="1950"/>
        <v>0</v>
      </c>
      <c r="DD158" s="57"/>
      <c r="DE158" s="67"/>
      <c r="DF158" s="66">
        <f t="shared" ca="1" si="1951"/>
        <v>0</v>
      </c>
      <c r="DG158" s="57"/>
      <c r="DH158" s="67"/>
      <c r="DI158" s="66">
        <f t="shared" ca="1" si="1952"/>
        <v>0</v>
      </c>
      <c r="DJ158" s="57"/>
      <c r="DK158" s="67"/>
      <c r="DL158" s="66">
        <f t="shared" ca="1" si="1953"/>
        <v>0</v>
      </c>
      <c r="DM158" s="57"/>
      <c r="DN158" s="67"/>
      <c r="DO158" s="66">
        <f t="shared" ca="1" si="1954"/>
        <v>0</v>
      </c>
      <c r="DP158" s="57"/>
      <c r="DQ158" s="67"/>
      <c r="DR158" s="66">
        <f t="shared" ca="1" si="1955"/>
        <v>0</v>
      </c>
      <c r="DS158" s="57"/>
      <c r="DT158" s="67"/>
      <c r="DU158" s="66">
        <f t="shared" ca="1" si="1956"/>
        <v>0</v>
      </c>
      <c r="DV158" s="57"/>
      <c r="DW158" s="67"/>
      <c r="DX158" s="66">
        <f t="shared" ca="1" si="1957"/>
        <v>0</v>
      </c>
      <c r="DY158" s="57"/>
      <c r="DZ158" s="67"/>
      <c r="EA158" s="66">
        <f t="shared" ca="1" si="1958"/>
        <v>0</v>
      </c>
      <c r="EB158" s="57"/>
      <c r="EC158" s="67"/>
      <c r="ED158" s="66">
        <f t="shared" ca="1" si="1959"/>
        <v>0</v>
      </c>
      <c r="EE158" s="57"/>
      <c r="EF158" s="67"/>
      <c r="EG158" s="66">
        <f t="shared" ca="1" si="1960"/>
        <v>0</v>
      </c>
      <c r="EH158" s="57"/>
      <c r="EI158" s="57"/>
    </row>
    <row r="159" spans="1:139">
      <c r="A159" s="43"/>
      <c r="B159" s="43"/>
      <c r="C159" s="800"/>
      <c r="D159" s="800"/>
      <c r="E159" s="800"/>
      <c r="F159" s="801">
        <f t="shared" si="1961"/>
        <v>3</v>
      </c>
      <c r="G159" s="802">
        <f ca="1">VLOOKUP(H159,Equipos!$Q$1:$R$25,2,0)</f>
        <v>19</v>
      </c>
      <c r="H159" s="803" t="str">
        <f>Idiomas!$D$137</f>
        <v>CLASIFICADOS PARA DIECISEISAVOS</v>
      </c>
      <c r="I159" s="800"/>
      <c r="J159" s="859"/>
      <c r="K159" s="49" t="str">
        <f>Idiomas!$D$198&amp;"-"&amp;ROWS($L$130:L159)</f>
        <v>Dieciseisavofinalista-30</v>
      </c>
      <c r="L159" s="46"/>
      <c r="M159" s="48" t="str">
        <f ca="1">WORLDCUP!AF114</f>
        <v>2G</v>
      </c>
      <c r="N159" s="711"/>
      <c r="O159" s="711"/>
      <c r="P159" s="711"/>
      <c r="Q159" s="711"/>
      <c r="R159" s="102"/>
      <c r="S159" s="67" t="s">
        <v>1545</v>
      </c>
      <c r="T159" s="66">
        <f t="shared" ca="1" si="1921"/>
        <v>0</v>
      </c>
      <c r="U159" s="57"/>
      <c r="V159" s="67" t="s">
        <v>1545</v>
      </c>
      <c r="W159" s="66">
        <f t="shared" ca="1" si="1922"/>
        <v>0</v>
      </c>
      <c r="X159" s="57"/>
      <c r="Y159" s="67" t="s">
        <v>1545</v>
      </c>
      <c r="Z159" s="66">
        <f t="shared" ca="1" si="1923"/>
        <v>0</v>
      </c>
      <c r="AA159" s="57"/>
      <c r="AB159" s="67" t="s">
        <v>1262</v>
      </c>
      <c r="AC159" s="66">
        <f t="shared" ca="1" si="1924"/>
        <v>0</v>
      </c>
      <c r="AD159" s="57"/>
      <c r="AE159" s="67" t="s">
        <v>1545</v>
      </c>
      <c r="AF159" s="66">
        <f t="shared" ca="1" si="1925"/>
        <v>0</v>
      </c>
      <c r="AG159" s="57"/>
      <c r="AH159" s="67" t="s">
        <v>1545</v>
      </c>
      <c r="AI159" s="66">
        <f t="shared" ca="1" si="1926"/>
        <v>0</v>
      </c>
      <c r="AJ159" s="57"/>
      <c r="AK159" s="67" t="s">
        <v>1262</v>
      </c>
      <c r="AL159" s="66">
        <f t="shared" ca="1" si="1927"/>
        <v>0</v>
      </c>
      <c r="AM159" s="57"/>
      <c r="AN159" s="67" t="s">
        <v>1545</v>
      </c>
      <c r="AO159" s="66">
        <f t="shared" ca="1" si="1928"/>
        <v>0</v>
      </c>
      <c r="AP159" s="57"/>
      <c r="AQ159" s="67" t="s">
        <v>1545</v>
      </c>
      <c r="AR159" s="66">
        <f t="shared" ca="1" si="1929"/>
        <v>0</v>
      </c>
      <c r="AS159" s="57"/>
      <c r="AT159" s="67" t="s">
        <v>1545</v>
      </c>
      <c r="AU159" s="66">
        <f t="shared" ca="1" si="1930"/>
        <v>0</v>
      </c>
      <c r="AV159" s="57"/>
      <c r="AW159" s="67" t="s">
        <v>1545</v>
      </c>
      <c r="AX159" s="66">
        <f t="shared" ca="1" si="1931"/>
        <v>0</v>
      </c>
      <c r="AY159" s="57"/>
      <c r="AZ159" s="67" t="s">
        <v>1545</v>
      </c>
      <c r="BA159" s="66">
        <f t="shared" ca="1" si="1932"/>
        <v>0</v>
      </c>
      <c r="BB159" s="57"/>
      <c r="BC159" s="67" t="s">
        <v>1545</v>
      </c>
      <c r="BD159" s="66">
        <f t="shared" ca="1" si="1933"/>
        <v>0</v>
      </c>
      <c r="BE159" s="57"/>
      <c r="BF159" s="67" t="s">
        <v>1545</v>
      </c>
      <c r="BG159" s="66">
        <f t="shared" ca="1" si="1934"/>
        <v>0</v>
      </c>
      <c r="BH159" s="57"/>
      <c r="BI159" s="67" t="s">
        <v>1545</v>
      </c>
      <c r="BJ159" s="66">
        <f t="shared" ca="1" si="1935"/>
        <v>0</v>
      </c>
      <c r="BK159" s="57"/>
      <c r="BL159" s="67" t="s">
        <v>1262</v>
      </c>
      <c r="BM159" s="66">
        <f t="shared" ca="1" si="1936"/>
        <v>0</v>
      </c>
      <c r="BN159" s="57"/>
      <c r="BO159" s="67" t="s">
        <v>1545</v>
      </c>
      <c r="BP159" s="66">
        <f t="shared" ca="1" si="1937"/>
        <v>0</v>
      </c>
      <c r="BQ159" s="57"/>
      <c r="BR159" s="67" t="s">
        <v>1262</v>
      </c>
      <c r="BS159" s="66">
        <f t="shared" ca="1" si="1938"/>
        <v>0</v>
      </c>
      <c r="BT159" s="57"/>
      <c r="BU159" s="67"/>
      <c r="BV159" s="66">
        <f t="shared" ca="1" si="1939"/>
        <v>0</v>
      </c>
      <c r="BW159" s="57"/>
      <c r="BX159" s="67"/>
      <c r="BY159" s="66">
        <f t="shared" ca="1" si="1940"/>
        <v>0</v>
      </c>
      <c r="BZ159" s="57"/>
      <c r="CA159" s="67"/>
      <c r="CB159" s="66">
        <f t="shared" ca="1" si="1941"/>
        <v>0</v>
      </c>
      <c r="CC159" s="57"/>
      <c r="CD159" s="67"/>
      <c r="CE159" s="66">
        <f t="shared" ca="1" si="1942"/>
        <v>0</v>
      </c>
      <c r="CF159" s="57"/>
      <c r="CG159" s="67"/>
      <c r="CH159" s="66">
        <f t="shared" ca="1" si="1943"/>
        <v>0</v>
      </c>
      <c r="CI159" s="57"/>
      <c r="CJ159" s="67"/>
      <c r="CK159" s="66">
        <f t="shared" ca="1" si="1944"/>
        <v>0</v>
      </c>
      <c r="CL159" s="57"/>
      <c r="CM159" s="67"/>
      <c r="CN159" s="66">
        <f t="shared" ca="1" si="1945"/>
        <v>0</v>
      </c>
      <c r="CO159" s="57"/>
      <c r="CP159" s="67"/>
      <c r="CQ159" s="66">
        <f t="shared" ca="1" si="1946"/>
        <v>0</v>
      </c>
      <c r="CR159" s="57"/>
      <c r="CS159" s="67"/>
      <c r="CT159" s="66">
        <f t="shared" ca="1" si="1947"/>
        <v>0</v>
      </c>
      <c r="CU159" s="57"/>
      <c r="CV159" s="67"/>
      <c r="CW159" s="66">
        <f t="shared" ca="1" si="1948"/>
        <v>0</v>
      </c>
      <c r="CX159" s="57"/>
      <c r="CY159" s="67"/>
      <c r="CZ159" s="66">
        <f t="shared" ca="1" si="1949"/>
        <v>0</v>
      </c>
      <c r="DA159" s="57"/>
      <c r="DB159" s="67"/>
      <c r="DC159" s="66">
        <f t="shared" ca="1" si="1950"/>
        <v>0</v>
      </c>
      <c r="DD159" s="57"/>
      <c r="DE159" s="67"/>
      <c r="DF159" s="66">
        <f t="shared" ca="1" si="1951"/>
        <v>0</v>
      </c>
      <c r="DG159" s="57"/>
      <c r="DH159" s="67"/>
      <c r="DI159" s="66">
        <f t="shared" ca="1" si="1952"/>
        <v>0</v>
      </c>
      <c r="DJ159" s="57"/>
      <c r="DK159" s="67"/>
      <c r="DL159" s="66">
        <f t="shared" ca="1" si="1953"/>
        <v>0</v>
      </c>
      <c r="DM159" s="57"/>
      <c r="DN159" s="67"/>
      <c r="DO159" s="66">
        <f t="shared" ca="1" si="1954"/>
        <v>0</v>
      </c>
      <c r="DP159" s="57"/>
      <c r="DQ159" s="67"/>
      <c r="DR159" s="66">
        <f t="shared" ca="1" si="1955"/>
        <v>0</v>
      </c>
      <c r="DS159" s="57"/>
      <c r="DT159" s="67"/>
      <c r="DU159" s="66">
        <f t="shared" ca="1" si="1956"/>
        <v>0</v>
      </c>
      <c r="DV159" s="57"/>
      <c r="DW159" s="67"/>
      <c r="DX159" s="66">
        <f t="shared" ca="1" si="1957"/>
        <v>0</v>
      </c>
      <c r="DY159" s="57"/>
      <c r="DZ159" s="67"/>
      <c r="EA159" s="66">
        <f t="shared" ca="1" si="1958"/>
        <v>0</v>
      </c>
      <c r="EB159" s="57"/>
      <c r="EC159" s="67"/>
      <c r="ED159" s="66">
        <f t="shared" ca="1" si="1959"/>
        <v>0</v>
      </c>
      <c r="EE159" s="57"/>
      <c r="EF159" s="67"/>
      <c r="EG159" s="66">
        <f t="shared" ca="1" si="1960"/>
        <v>0</v>
      </c>
      <c r="EH159" s="57"/>
      <c r="EI159" s="57"/>
    </row>
    <row r="160" spans="1:139">
      <c r="A160" s="43"/>
      <c r="B160" s="43"/>
      <c r="C160" s="800"/>
      <c r="D160" s="800"/>
      <c r="E160" s="800"/>
      <c r="F160" s="801">
        <f t="shared" si="1961"/>
        <v>3</v>
      </c>
      <c r="G160" s="802">
        <f ca="1">VLOOKUP(H160,Equipos!$Q$1:$R$25,2,0)</f>
        <v>19</v>
      </c>
      <c r="H160" s="803" t="str">
        <f>Idiomas!$D$137</f>
        <v>CLASIFICADOS PARA DIECISEISAVOS</v>
      </c>
      <c r="I160" s="800"/>
      <c r="J160" s="859"/>
      <c r="K160" s="49" t="str">
        <f>Idiomas!$D$198&amp;"-"&amp;ROWS($L$130:L160)</f>
        <v>Dieciseisavofinalista-31</v>
      </c>
      <c r="L160" s="46"/>
      <c r="M160" s="48" t="str">
        <f ca="1">WORLDCUP!AF115</f>
        <v>2H</v>
      </c>
      <c r="N160" s="711"/>
      <c r="O160" s="711"/>
      <c r="P160" s="711"/>
      <c r="Q160" s="711"/>
      <c r="R160" s="102"/>
      <c r="S160" s="67" t="s">
        <v>1314</v>
      </c>
      <c r="T160" s="66">
        <f t="shared" ca="1" si="1921"/>
        <v>0</v>
      </c>
      <c r="U160" s="57"/>
      <c r="V160" s="67" t="s">
        <v>1314</v>
      </c>
      <c r="W160" s="66">
        <f t="shared" ca="1" si="1922"/>
        <v>0</v>
      </c>
      <c r="X160" s="57"/>
      <c r="Y160" s="67" t="s">
        <v>1314</v>
      </c>
      <c r="Z160" s="66">
        <f t="shared" ca="1" si="1923"/>
        <v>0</v>
      </c>
      <c r="AA160" s="57"/>
      <c r="AB160" s="67" t="s">
        <v>1314</v>
      </c>
      <c r="AC160" s="66">
        <f t="shared" ca="1" si="1924"/>
        <v>0</v>
      </c>
      <c r="AD160" s="57"/>
      <c r="AE160" s="67" t="s">
        <v>1314</v>
      </c>
      <c r="AF160" s="66">
        <f t="shared" ca="1" si="1925"/>
        <v>0</v>
      </c>
      <c r="AG160" s="57"/>
      <c r="AH160" s="67" t="s">
        <v>1314</v>
      </c>
      <c r="AI160" s="66">
        <f t="shared" ca="1" si="1926"/>
        <v>0</v>
      </c>
      <c r="AJ160" s="57"/>
      <c r="AK160" s="67" t="s">
        <v>1314</v>
      </c>
      <c r="AL160" s="66">
        <f t="shared" ca="1" si="1927"/>
        <v>0</v>
      </c>
      <c r="AM160" s="57"/>
      <c r="AN160" s="67" t="s">
        <v>1314</v>
      </c>
      <c r="AO160" s="66">
        <f t="shared" ca="1" si="1928"/>
        <v>0</v>
      </c>
      <c r="AP160" s="57"/>
      <c r="AQ160" s="67" t="s">
        <v>1314</v>
      </c>
      <c r="AR160" s="66">
        <f t="shared" ca="1" si="1929"/>
        <v>0</v>
      </c>
      <c r="AS160" s="57"/>
      <c r="AT160" s="67" t="s">
        <v>1314</v>
      </c>
      <c r="AU160" s="66">
        <f t="shared" ca="1" si="1930"/>
        <v>0</v>
      </c>
      <c r="AV160" s="57"/>
      <c r="AW160" s="67" t="s">
        <v>1314</v>
      </c>
      <c r="AX160" s="66">
        <f t="shared" ca="1" si="1931"/>
        <v>0</v>
      </c>
      <c r="AY160" s="57"/>
      <c r="AZ160" s="67" t="s">
        <v>1314</v>
      </c>
      <c r="BA160" s="66">
        <f t="shared" ca="1" si="1932"/>
        <v>0</v>
      </c>
      <c r="BB160" s="57"/>
      <c r="BC160" s="67" t="s">
        <v>1314</v>
      </c>
      <c r="BD160" s="66">
        <f t="shared" ca="1" si="1933"/>
        <v>0</v>
      </c>
      <c r="BE160" s="57"/>
      <c r="BF160" s="67" t="s">
        <v>1314</v>
      </c>
      <c r="BG160" s="66">
        <f t="shared" ca="1" si="1934"/>
        <v>0</v>
      </c>
      <c r="BH160" s="57"/>
      <c r="BI160" s="67" t="s">
        <v>1547</v>
      </c>
      <c r="BJ160" s="66">
        <f t="shared" ca="1" si="1935"/>
        <v>0</v>
      </c>
      <c r="BK160" s="57"/>
      <c r="BL160" s="67" t="s">
        <v>1314</v>
      </c>
      <c r="BM160" s="66">
        <f t="shared" ca="1" si="1936"/>
        <v>0</v>
      </c>
      <c r="BN160" s="57"/>
      <c r="BO160" s="67" t="s">
        <v>1314</v>
      </c>
      <c r="BP160" s="66">
        <f t="shared" ca="1" si="1937"/>
        <v>0</v>
      </c>
      <c r="BQ160" s="57"/>
      <c r="BR160" s="67" t="s">
        <v>1314</v>
      </c>
      <c r="BS160" s="66">
        <f t="shared" ca="1" si="1938"/>
        <v>0</v>
      </c>
      <c r="BT160" s="57"/>
      <c r="BU160" s="67"/>
      <c r="BV160" s="66">
        <f t="shared" ca="1" si="1939"/>
        <v>0</v>
      </c>
      <c r="BW160" s="57"/>
      <c r="BX160" s="67"/>
      <c r="BY160" s="66">
        <f t="shared" ca="1" si="1940"/>
        <v>0</v>
      </c>
      <c r="BZ160" s="57"/>
      <c r="CA160" s="67"/>
      <c r="CB160" s="66">
        <f t="shared" ca="1" si="1941"/>
        <v>0</v>
      </c>
      <c r="CC160" s="57"/>
      <c r="CD160" s="67"/>
      <c r="CE160" s="66">
        <f t="shared" ca="1" si="1942"/>
        <v>0</v>
      </c>
      <c r="CF160" s="57"/>
      <c r="CG160" s="67"/>
      <c r="CH160" s="66">
        <f t="shared" ca="1" si="1943"/>
        <v>0</v>
      </c>
      <c r="CI160" s="57"/>
      <c r="CJ160" s="67"/>
      <c r="CK160" s="66">
        <f t="shared" ca="1" si="1944"/>
        <v>0</v>
      </c>
      <c r="CL160" s="57"/>
      <c r="CM160" s="67"/>
      <c r="CN160" s="66">
        <f t="shared" ca="1" si="1945"/>
        <v>0</v>
      </c>
      <c r="CO160" s="57"/>
      <c r="CP160" s="67"/>
      <c r="CQ160" s="66">
        <f t="shared" ca="1" si="1946"/>
        <v>0</v>
      </c>
      <c r="CR160" s="57"/>
      <c r="CS160" s="67"/>
      <c r="CT160" s="66">
        <f t="shared" ca="1" si="1947"/>
        <v>0</v>
      </c>
      <c r="CU160" s="57"/>
      <c r="CV160" s="67"/>
      <c r="CW160" s="66">
        <f t="shared" ca="1" si="1948"/>
        <v>0</v>
      </c>
      <c r="CX160" s="57"/>
      <c r="CY160" s="67"/>
      <c r="CZ160" s="66">
        <f t="shared" ca="1" si="1949"/>
        <v>0</v>
      </c>
      <c r="DA160" s="57"/>
      <c r="DB160" s="67"/>
      <c r="DC160" s="66">
        <f t="shared" ca="1" si="1950"/>
        <v>0</v>
      </c>
      <c r="DD160" s="57"/>
      <c r="DE160" s="67"/>
      <c r="DF160" s="66">
        <f t="shared" ca="1" si="1951"/>
        <v>0</v>
      </c>
      <c r="DG160" s="57"/>
      <c r="DH160" s="67"/>
      <c r="DI160" s="66">
        <f t="shared" ca="1" si="1952"/>
        <v>0</v>
      </c>
      <c r="DJ160" s="57"/>
      <c r="DK160" s="67"/>
      <c r="DL160" s="66">
        <f t="shared" ca="1" si="1953"/>
        <v>0</v>
      </c>
      <c r="DM160" s="57"/>
      <c r="DN160" s="67"/>
      <c r="DO160" s="66">
        <f t="shared" ca="1" si="1954"/>
        <v>0</v>
      </c>
      <c r="DP160" s="57"/>
      <c r="DQ160" s="67"/>
      <c r="DR160" s="66">
        <f t="shared" ca="1" si="1955"/>
        <v>0</v>
      </c>
      <c r="DS160" s="57"/>
      <c r="DT160" s="67"/>
      <c r="DU160" s="66">
        <f t="shared" ca="1" si="1956"/>
        <v>0</v>
      </c>
      <c r="DV160" s="57"/>
      <c r="DW160" s="67"/>
      <c r="DX160" s="66">
        <f t="shared" ca="1" si="1957"/>
        <v>0</v>
      </c>
      <c r="DY160" s="57"/>
      <c r="DZ160" s="67"/>
      <c r="EA160" s="66">
        <f t="shared" ca="1" si="1958"/>
        <v>0</v>
      </c>
      <c r="EB160" s="57"/>
      <c r="EC160" s="67"/>
      <c r="ED160" s="66">
        <f t="shared" ca="1" si="1959"/>
        <v>0</v>
      </c>
      <c r="EE160" s="57"/>
      <c r="EF160" s="67"/>
      <c r="EG160" s="66">
        <f t="shared" ca="1" si="1960"/>
        <v>0</v>
      </c>
      <c r="EH160" s="57"/>
      <c r="EI160" s="57"/>
    </row>
    <row r="161" spans="1:139">
      <c r="A161" s="43"/>
      <c r="B161" s="43"/>
      <c r="C161" s="800"/>
      <c r="D161" s="800"/>
      <c r="E161" s="800"/>
      <c r="F161" s="801">
        <f t="shared" si="1961"/>
        <v>3</v>
      </c>
      <c r="G161" s="802">
        <f ca="1">VLOOKUP(H161,Equipos!$Q$1:$R$25,2,0)</f>
        <v>19</v>
      </c>
      <c r="H161" s="803" t="str">
        <f>Idiomas!$D$137</f>
        <v>CLASIFICADOS PARA DIECISEISAVOS</v>
      </c>
      <c r="I161" s="800"/>
      <c r="J161" s="859"/>
      <c r="K161" s="107" t="str">
        <f>Idiomas!$D$198&amp;"-"&amp;ROWS($L$130:L161)</f>
        <v>Dieciseisavofinalista-32</v>
      </c>
      <c r="L161" s="107"/>
      <c r="M161" s="108" t="str">
        <f ca="1">WORLDCUP!AF116</f>
        <v>3DEIJL</v>
      </c>
      <c r="N161" s="711"/>
      <c r="O161" s="711"/>
      <c r="P161" s="711"/>
      <c r="Q161" s="711"/>
      <c r="R161" s="102"/>
      <c r="S161" s="73" t="s">
        <v>1261</v>
      </c>
      <c r="T161" s="74">
        <f t="shared" ca="1" si="1921"/>
        <v>0</v>
      </c>
      <c r="U161" s="57"/>
      <c r="V161" s="73" t="s">
        <v>1546</v>
      </c>
      <c r="W161" s="74">
        <f t="shared" ca="1" si="1922"/>
        <v>0</v>
      </c>
      <c r="X161" s="57"/>
      <c r="Y161" s="73" t="s">
        <v>1546</v>
      </c>
      <c r="Z161" s="74">
        <f t="shared" ca="1" si="1923"/>
        <v>0</v>
      </c>
      <c r="AA161" s="57"/>
      <c r="AB161" s="73" t="s">
        <v>1629</v>
      </c>
      <c r="AC161" s="74">
        <f t="shared" ca="1" si="1924"/>
        <v>0</v>
      </c>
      <c r="AD161" s="57"/>
      <c r="AE161" s="73" t="s">
        <v>1546</v>
      </c>
      <c r="AF161" s="74">
        <f t="shared" ca="1" si="1925"/>
        <v>0</v>
      </c>
      <c r="AG161" s="57"/>
      <c r="AH161" s="73" t="s">
        <v>1546</v>
      </c>
      <c r="AI161" s="74">
        <f t="shared" ca="1" si="1926"/>
        <v>0</v>
      </c>
      <c r="AJ161" s="57"/>
      <c r="AK161" s="73" t="s">
        <v>1546</v>
      </c>
      <c r="AL161" s="74">
        <f t="shared" ca="1" si="1927"/>
        <v>0</v>
      </c>
      <c r="AM161" s="57"/>
      <c r="AN161" s="73" t="s">
        <v>1546</v>
      </c>
      <c r="AO161" s="74">
        <f t="shared" ca="1" si="1928"/>
        <v>0</v>
      </c>
      <c r="AP161" s="57"/>
      <c r="AQ161" s="73" t="s">
        <v>1546</v>
      </c>
      <c r="AR161" s="74">
        <f t="shared" ca="1" si="1929"/>
        <v>0</v>
      </c>
      <c r="AS161" s="57"/>
      <c r="AT161" s="73" t="s">
        <v>1628</v>
      </c>
      <c r="AU161" s="74">
        <f t="shared" ca="1" si="1930"/>
        <v>0</v>
      </c>
      <c r="AV161" s="57"/>
      <c r="AW161" s="73" t="s">
        <v>1546</v>
      </c>
      <c r="AX161" s="74">
        <f t="shared" ca="1" si="1931"/>
        <v>0</v>
      </c>
      <c r="AY161" s="57"/>
      <c r="AZ161" s="73" t="s">
        <v>1546</v>
      </c>
      <c r="BA161" s="74">
        <f t="shared" ca="1" si="1932"/>
        <v>0</v>
      </c>
      <c r="BB161" s="57"/>
      <c r="BC161" s="73" t="s">
        <v>78</v>
      </c>
      <c r="BD161" s="74">
        <f t="shared" ca="1" si="1933"/>
        <v>0</v>
      </c>
      <c r="BE161" s="57"/>
      <c r="BF161" s="73" t="s">
        <v>78</v>
      </c>
      <c r="BG161" s="74">
        <f t="shared" ca="1" si="1934"/>
        <v>0</v>
      </c>
      <c r="BH161" s="57"/>
      <c r="BI161" s="73" t="s">
        <v>1546</v>
      </c>
      <c r="BJ161" s="74">
        <f t="shared" ca="1" si="1935"/>
        <v>0</v>
      </c>
      <c r="BK161" s="57"/>
      <c r="BL161" s="73" t="s">
        <v>1315</v>
      </c>
      <c r="BM161" s="74">
        <f t="shared" ca="1" si="1936"/>
        <v>0</v>
      </c>
      <c r="BN161" s="57"/>
      <c r="BO161" s="73" t="s">
        <v>78</v>
      </c>
      <c r="BP161" s="74">
        <f t="shared" ca="1" si="1937"/>
        <v>0</v>
      </c>
      <c r="BQ161" s="57"/>
      <c r="BR161" s="73" t="s">
        <v>1628</v>
      </c>
      <c r="BS161" s="74">
        <f t="shared" ca="1" si="1938"/>
        <v>0</v>
      </c>
      <c r="BT161" s="57"/>
      <c r="BU161" s="73"/>
      <c r="BV161" s="74">
        <f t="shared" ca="1" si="1939"/>
        <v>0</v>
      </c>
      <c r="BW161" s="57"/>
      <c r="BX161" s="73"/>
      <c r="BY161" s="74">
        <f t="shared" ca="1" si="1940"/>
        <v>0</v>
      </c>
      <c r="BZ161" s="57"/>
      <c r="CA161" s="73"/>
      <c r="CB161" s="74">
        <f t="shared" ca="1" si="1941"/>
        <v>0</v>
      </c>
      <c r="CC161" s="57"/>
      <c r="CD161" s="73"/>
      <c r="CE161" s="74">
        <f t="shared" ca="1" si="1942"/>
        <v>0</v>
      </c>
      <c r="CF161" s="57"/>
      <c r="CG161" s="73"/>
      <c r="CH161" s="74">
        <f t="shared" ca="1" si="1943"/>
        <v>0</v>
      </c>
      <c r="CI161" s="57"/>
      <c r="CJ161" s="73"/>
      <c r="CK161" s="74">
        <f t="shared" ca="1" si="1944"/>
        <v>0</v>
      </c>
      <c r="CL161" s="57"/>
      <c r="CM161" s="73"/>
      <c r="CN161" s="74">
        <f t="shared" ca="1" si="1945"/>
        <v>0</v>
      </c>
      <c r="CO161" s="57"/>
      <c r="CP161" s="73"/>
      <c r="CQ161" s="74">
        <f t="shared" ca="1" si="1946"/>
        <v>0</v>
      </c>
      <c r="CR161" s="57"/>
      <c r="CS161" s="73"/>
      <c r="CT161" s="74">
        <f t="shared" ca="1" si="1947"/>
        <v>0</v>
      </c>
      <c r="CU161" s="57"/>
      <c r="CV161" s="73"/>
      <c r="CW161" s="74">
        <f t="shared" ca="1" si="1948"/>
        <v>0</v>
      </c>
      <c r="CX161" s="57"/>
      <c r="CY161" s="73"/>
      <c r="CZ161" s="74">
        <f t="shared" ca="1" si="1949"/>
        <v>0</v>
      </c>
      <c r="DA161" s="57"/>
      <c r="DB161" s="73"/>
      <c r="DC161" s="74">
        <f t="shared" ca="1" si="1950"/>
        <v>0</v>
      </c>
      <c r="DD161" s="57"/>
      <c r="DE161" s="73"/>
      <c r="DF161" s="74">
        <f t="shared" ca="1" si="1951"/>
        <v>0</v>
      </c>
      <c r="DG161" s="57"/>
      <c r="DH161" s="73"/>
      <c r="DI161" s="74">
        <f t="shared" ca="1" si="1952"/>
        <v>0</v>
      </c>
      <c r="DJ161" s="57"/>
      <c r="DK161" s="73"/>
      <c r="DL161" s="74">
        <f t="shared" ca="1" si="1953"/>
        <v>0</v>
      </c>
      <c r="DM161" s="57"/>
      <c r="DN161" s="73"/>
      <c r="DO161" s="74">
        <f t="shared" ca="1" si="1954"/>
        <v>0</v>
      </c>
      <c r="DP161" s="57"/>
      <c r="DQ161" s="73"/>
      <c r="DR161" s="74">
        <f t="shared" ca="1" si="1955"/>
        <v>0</v>
      </c>
      <c r="DS161" s="57"/>
      <c r="DT161" s="73"/>
      <c r="DU161" s="74">
        <f t="shared" ca="1" si="1956"/>
        <v>0</v>
      </c>
      <c r="DV161" s="57"/>
      <c r="DW161" s="73"/>
      <c r="DX161" s="74">
        <f t="shared" ca="1" si="1957"/>
        <v>0</v>
      </c>
      <c r="DY161" s="57"/>
      <c r="DZ161" s="73"/>
      <c r="EA161" s="74">
        <f t="shared" ca="1" si="1958"/>
        <v>0</v>
      </c>
      <c r="EB161" s="57"/>
      <c r="EC161" s="73"/>
      <c r="ED161" s="74">
        <f t="shared" ca="1" si="1959"/>
        <v>0</v>
      </c>
      <c r="EE161" s="57"/>
      <c r="EF161" s="73"/>
      <c r="EG161" s="74">
        <f t="shared" ca="1" si="1960"/>
        <v>0</v>
      </c>
      <c r="EH161" s="57"/>
      <c r="EI161" s="57"/>
    </row>
    <row r="162" spans="1:139">
      <c r="A162" s="43"/>
      <c r="B162" s="43"/>
      <c r="C162" s="800"/>
      <c r="D162" s="800"/>
      <c r="E162" s="800"/>
      <c r="F162" s="801"/>
      <c r="G162" s="802"/>
      <c r="H162" s="800"/>
      <c r="I162" s="800"/>
      <c r="J162" s="86"/>
      <c r="K162" s="416" t="str">
        <f>Idiomas!D457</f>
        <v>Equipos 1/16</v>
      </c>
      <c r="L162" s="417"/>
      <c r="M162" s="416" t="str">
        <f ca="1">"Max: "&amp;$D$15*COUNT(T130:T161)</f>
        <v>Max: 96</v>
      </c>
      <c r="N162" s="711"/>
      <c r="O162" s="711"/>
      <c r="P162" s="711"/>
      <c r="Q162" s="711"/>
      <c r="R162" s="43"/>
      <c r="S162" s="77"/>
      <c r="T162" s="64">
        <f ca="1">SUM(T130:T161)</f>
        <v>0</v>
      </c>
      <c r="U162" s="58"/>
      <c r="V162" s="77"/>
      <c r="W162" s="64">
        <f ca="1">SUM(W130:W161)</f>
        <v>0</v>
      </c>
      <c r="X162" s="58"/>
      <c r="Y162" s="77"/>
      <c r="Z162" s="64">
        <f ca="1">SUM(Z130:Z161)</f>
        <v>0</v>
      </c>
      <c r="AA162" s="58"/>
      <c r="AB162" s="77"/>
      <c r="AC162" s="64">
        <f ca="1">SUM(AC130:AC161)</f>
        <v>0</v>
      </c>
      <c r="AD162" s="58"/>
      <c r="AE162" s="77"/>
      <c r="AF162" s="64">
        <f ca="1">SUM(AF130:AF161)</f>
        <v>0</v>
      </c>
      <c r="AG162" s="58"/>
      <c r="AH162" s="77"/>
      <c r="AI162" s="64">
        <f ca="1">SUM(AI130:AI161)</f>
        <v>0</v>
      </c>
      <c r="AJ162" s="58"/>
      <c r="AK162" s="77"/>
      <c r="AL162" s="64">
        <f ca="1">SUM(AL130:AL161)</f>
        <v>0</v>
      </c>
      <c r="AM162" s="58"/>
      <c r="AN162" s="77"/>
      <c r="AO162" s="64">
        <f ca="1">SUM(AO130:AO161)</f>
        <v>0</v>
      </c>
      <c r="AP162" s="58"/>
      <c r="AQ162" s="77"/>
      <c r="AR162" s="64">
        <f ca="1">SUM(AR130:AR161)</f>
        <v>0</v>
      </c>
      <c r="AS162" s="58"/>
      <c r="AT162" s="77"/>
      <c r="AU162" s="64">
        <f ca="1">SUM(AU130:AU161)</f>
        <v>0</v>
      </c>
      <c r="AV162" s="58"/>
      <c r="AW162" s="77"/>
      <c r="AX162" s="64">
        <f ca="1">SUM(AX130:AX161)</f>
        <v>0</v>
      </c>
      <c r="AY162" s="58"/>
      <c r="AZ162" s="77"/>
      <c r="BA162" s="64">
        <f ca="1">SUM(BA130:BA161)</f>
        <v>0</v>
      </c>
      <c r="BB162" s="58"/>
      <c r="BC162" s="77"/>
      <c r="BD162" s="64">
        <f ca="1">SUM(BD130:BD161)</f>
        <v>0</v>
      </c>
      <c r="BE162" s="58"/>
      <c r="BF162" s="77"/>
      <c r="BG162" s="64">
        <f ca="1">SUM(BG130:BG161)</f>
        <v>0</v>
      </c>
      <c r="BH162" s="58"/>
      <c r="BI162" s="77"/>
      <c r="BJ162" s="64">
        <f ca="1">SUM(BJ130:BJ161)</f>
        <v>0</v>
      </c>
      <c r="BK162" s="58"/>
      <c r="BL162" s="77"/>
      <c r="BM162" s="64">
        <f ca="1">SUM(BM130:BM161)</f>
        <v>0</v>
      </c>
      <c r="BN162" s="58"/>
      <c r="BO162" s="77" t="s">
        <v>2010</v>
      </c>
      <c r="BP162" s="64">
        <f ca="1">SUM(BP130:BP161)</f>
        <v>0</v>
      </c>
      <c r="BQ162" s="58"/>
      <c r="BR162" s="77"/>
      <c r="BS162" s="64">
        <f ca="1">SUM(BS130:BS161)</f>
        <v>0</v>
      </c>
      <c r="BT162" s="58"/>
      <c r="BU162" s="77"/>
      <c r="BV162" s="64">
        <f ca="1">SUM(BV130:BV161)</f>
        <v>0</v>
      </c>
      <c r="BW162" s="58"/>
      <c r="BX162" s="77"/>
      <c r="BY162" s="64">
        <f ca="1">SUM(BY130:BY161)</f>
        <v>0</v>
      </c>
      <c r="BZ162" s="58"/>
      <c r="CA162" s="77"/>
      <c r="CB162" s="64">
        <f ca="1">SUM(CB130:CB161)</f>
        <v>0</v>
      </c>
      <c r="CC162" s="58"/>
      <c r="CD162" s="77"/>
      <c r="CE162" s="64">
        <f ca="1">SUM(CE130:CE161)</f>
        <v>0</v>
      </c>
      <c r="CF162" s="58"/>
      <c r="CG162" s="77"/>
      <c r="CH162" s="64">
        <f ca="1">SUM(CH130:CH161)</f>
        <v>0</v>
      </c>
      <c r="CI162" s="58"/>
      <c r="CJ162" s="77"/>
      <c r="CK162" s="64">
        <f ca="1">SUM(CK130:CK161)</f>
        <v>0</v>
      </c>
      <c r="CL162" s="58"/>
      <c r="CM162" s="77"/>
      <c r="CN162" s="64">
        <f ca="1">SUM(CN130:CN161)</f>
        <v>0</v>
      </c>
      <c r="CO162" s="58"/>
      <c r="CP162" s="77"/>
      <c r="CQ162" s="64">
        <f ca="1">SUM(CQ130:CQ161)</f>
        <v>0</v>
      </c>
      <c r="CR162" s="58"/>
      <c r="CS162" s="77"/>
      <c r="CT162" s="64">
        <f ca="1">SUM(CT130:CT161)</f>
        <v>0</v>
      </c>
      <c r="CU162" s="58"/>
      <c r="CV162" s="77"/>
      <c r="CW162" s="64">
        <f ca="1">SUM(CW130:CW161)</f>
        <v>0</v>
      </c>
      <c r="CX162" s="58"/>
      <c r="CY162" s="77"/>
      <c r="CZ162" s="64">
        <f ca="1">SUM(CZ130:CZ161)</f>
        <v>0</v>
      </c>
      <c r="DA162" s="58"/>
      <c r="DB162" s="77"/>
      <c r="DC162" s="64">
        <f ca="1">SUM(DC130:DC161)</f>
        <v>0</v>
      </c>
      <c r="DD162" s="58"/>
      <c r="DE162" s="77"/>
      <c r="DF162" s="64">
        <f ca="1">SUM(DF130:DF161)</f>
        <v>0</v>
      </c>
      <c r="DG162" s="58"/>
      <c r="DH162" s="77"/>
      <c r="DI162" s="64">
        <f ca="1">SUM(DI130:DI161)</f>
        <v>0</v>
      </c>
      <c r="DJ162" s="58"/>
      <c r="DK162" s="77"/>
      <c r="DL162" s="64">
        <f ca="1">SUM(DL130:DL161)</f>
        <v>0</v>
      </c>
      <c r="DM162" s="58"/>
      <c r="DN162" s="77"/>
      <c r="DO162" s="64">
        <f ca="1">SUM(DO130:DO161)</f>
        <v>0</v>
      </c>
      <c r="DP162" s="58"/>
      <c r="DQ162" s="77"/>
      <c r="DR162" s="64">
        <f ca="1">SUM(DR130:DR161)</f>
        <v>0</v>
      </c>
      <c r="DS162" s="58"/>
      <c r="DT162" s="77"/>
      <c r="DU162" s="64">
        <f ca="1">SUM(DU130:DU161)</f>
        <v>0</v>
      </c>
      <c r="DV162" s="58"/>
      <c r="DW162" s="77"/>
      <c r="DX162" s="64">
        <f ca="1">SUM(DX130:DX161)</f>
        <v>0</v>
      </c>
      <c r="DY162" s="58"/>
      <c r="DZ162" s="77"/>
      <c r="EA162" s="64">
        <f ca="1">SUM(EA130:EA161)</f>
        <v>0</v>
      </c>
      <c r="EB162" s="58"/>
      <c r="EC162" s="77"/>
      <c r="ED162" s="64">
        <f ca="1">SUM(ED130:ED161)</f>
        <v>0</v>
      </c>
      <c r="EE162" s="58"/>
      <c r="EF162" s="77"/>
      <c r="EG162" s="64">
        <f ca="1">SUM(EG130:EG161)</f>
        <v>0</v>
      </c>
      <c r="EH162" s="58"/>
      <c r="EI162" s="58"/>
    </row>
    <row r="163" spans="1:139">
      <c r="A163" s="43" t="s">
        <v>1758</v>
      </c>
      <c r="B163" s="43" t="s">
        <v>1759</v>
      </c>
      <c r="C163" s="800" t="s">
        <v>1757</v>
      </c>
      <c r="D163" s="800" t="s">
        <v>1755</v>
      </c>
      <c r="E163" s="800" t="s">
        <v>1756</v>
      </c>
      <c r="F163" s="801"/>
      <c r="G163" s="802"/>
      <c r="H163" s="800"/>
      <c r="I163" s="804" t="s">
        <v>1573</v>
      </c>
      <c r="J163" s="86"/>
      <c r="K163" s="105" t="str">
        <f>Idiomas!D138</f>
        <v>ENFRENTAMIENTOS DIECISEISAVOS</v>
      </c>
      <c r="L163" s="44"/>
      <c r="M163" s="64"/>
      <c r="N163" s="711"/>
      <c r="O163" s="711"/>
      <c r="P163" s="711"/>
      <c r="Q163" s="711"/>
      <c r="R163" s="43"/>
      <c r="S163" s="77"/>
      <c r="T163" s="104"/>
      <c r="U163" s="104"/>
      <c r="V163" s="424"/>
      <c r="W163" s="104"/>
      <c r="X163" s="58"/>
      <c r="Y163" s="77"/>
      <c r="Z163" s="104"/>
      <c r="AA163" s="58"/>
      <c r="AB163" s="77"/>
      <c r="AC163" s="104"/>
      <c r="AD163" s="58"/>
      <c r="AE163" s="77"/>
      <c r="AF163" s="104"/>
      <c r="AG163" s="58"/>
      <c r="AH163" s="77"/>
      <c r="AI163" s="104"/>
      <c r="AJ163" s="104"/>
      <c r="AK163" s="424"/>
      <c r="AL163" s="104"/>
      <c r="AM163" s="58"/>
      <c r="AN163" s="77"/>
      <c r="AO163" s="104"/>
      <c r="AP163" s="58"/>
      <c r="AQ163" s="77"/>
      <c r="AR163" s="104"/>
      <c r="AS163" s="58"/>
      <c r="AT163" s="77"/>
      <c r="AU163" s="104"/>
      <c r="AV163" s="58"/>
      <c r="AW163" s="77"/>
      <c r="AX163" s="104"/>
      <c r="AY163" s="104"/>
      <c r="AZ163" s="424"/>
      <c r="BA163" s="104"/>
      <c r="BB163" s="58"/>
      <c r="BC163" s="77"/>
      <c r="BD163" s="104"/>
      <c r="BE163" s="58"/>
      <c r="BF163" s="77"/>
      <c r="BG163" s="104"/>
      <c r="BH163" s="58"/>
      <c r="BI163" s="77"/>
      <c r="BJ163" s="104"/>
      <c r="BK163" s="58"/>
      <c r="BL163" s="77"/>
      <c r="BM163" s="104"/>
      <c r="BN163" s="104"/>
      <c r="BO163" s="424"/>
      <c r="BP163" s="104"/>
      <c r="BQ163" s="58"/>
      <c r="BR163" s="77"/>
      <c r="BS163" s="104"/>
      <c r="BT163" s="58"/>
      <c r="BU163" s="77"/>
      <c r="BV163" s="104"/>
      <c r="BW163" s="58"/>
      <c r="BX163" s="77"/>
      <c r="BY163" s="104"/>
      <c r="BZ163" s="58"/>
      <c r="CA163" s="77"/>
      <c r="CB163" s="104"/>
      <c r="CC163" s="104"/>
      <c r="CD163" s="424"/>
      <c r="CE163" s="104"/>
      <c r="CF163" s="58"/>
      <c r="CG163" s="77"/>
      <c r="CH163" s="104"/>
      <c r="CI163" s="58"/>
      <c r="CJ163" s="77"/>
      <c r="CK163" s="104"/>
      <c r="CL163" s="58"/>
      <c r="CM163" s="77"/>
      <c r="CN163" s="104"/>
      <c r="CO163" s="58"/>
      <c r="CP163" s="77"/>
      <c r="CQ163" s="104"/>
      <c r="CR163" s="104"/>
      <c r="CS163" s="424"/>
      <c r="CT163" s="104"/>
      <c r="CU163" s="58"/>
      <c r="CV163" s="77"/>
      <c r="CW163" s="104"/>
      <c r="CX163" s="58"/>
      <c r="CY163" s="77"/>
      <c r="CZ163" s="104"/>
      <c r="DA163" s="58"/>
      <c r="DB163" s="77"/>
      <c r="DC163" s="104"/>
      <c r="DD163" s="58"/>
      <c r="DE163" s="77"/>
      <c r="DF163" s="104"/>
      <c r="DG163" s="104"/>
      <c r="DH163" s="424"/>
      <c r="DI163" s="104"/>
      <c r="DJ163" s="58"/>
      <c r="DK163" s="77"/>
      <c r="DL163" s="104"/>
      <c r="DM163" s="58"/>
      <c r="DN163" s="77"/>
      <c r="DO163" s="104"/>
      <c r="DP163" s="58"/>
      <c r="DQ163" s="77"/>
      <c r="DR163" s="104"/>
      <c r="DS163" s="58"/>
      <c r="DT163" s="77"/>
      <c r="DU163" s="104"/>
      <c r="DV163" s="104"/>
      <c r="DW163" s="424"/>
      <c r="DX163" s="104"/>
      <c r="DY163" s="58"/>
      <c r="DZ163" s="77"/>
      <c r="EA163" s="104"/>
      <c r="EB163" s="58"/>
      <c r="EC163" s="77"/>
      <c r="ED163" s="104"/>
      <c r="EE163" s="58"/>
      <c r="EF163" s="77"/>
      <c r="EG163" s="104"/>
      <c r="EH163" s="58"/>
      <c r="EI163" s="58"/>
    </row>
    <row r="164" spans="1:139">
      <c r="A164" s="711">
        <f>WORLDCUP!AD101</f>
        <v>0</v>
      </c>
      <c r="B164" s="711">
        <f>WORLDCUP!AC101</f>
        <v>0</v>
      </c>
      <c r="C164" s="805" t="str">
        <f ca="1">CONCATENATE(WORLDCUP!AF101,"-",WORLDCUP!AA101)</f>
        <v>2B-2A</v>
      </c>
      <c r="D164" s="805" t="str">
        <f>IF(WORLDCUP!AC101&gt;WORLDCUP!AD101,2,IF(WORLDCUP!AC101&lt;WORLDCUP!AD101,1,IF(AND(WORLDCUP!AC101=WORLDCUP!AD101,WORLDCUP!AC101&lt;&gt;"",WORLDCUP!AD101&lt;&gt;""),0,"PD")))</f>
        <v>PD</v>
      </c>
      <c r="E164" s="805" t="str">
        <f>IF(OR(WORLDCUP!AC101="",WORLDCUP!AD101=""),"-",A164&amp;"-"&amp;B164)</f>
        <v>-</v>
      </c>
      <c r="F164" s="806">
        <f>SUM($D$16:$D$18)*I164</f>
        <v>17</v>
      </c>
      <c r="G164" s="806">
        <f ca="1">VLOOKUP(H164,Equipos!$Q$1:$R$25,2,0)</f>
        <v>20</v>
      </c>
      <c r="H164" s="807" t="str">
        <f>Idiomas!$D$260</f>
        <v>Dieciseisavos de final</v>
      </c>
      <c r="I164" s="808">
        <v>1</v>
      </c>
      <c r="J164" s="859" t="s">
        <v>483</v>
      </c>
      <c r="K164" s="46" t="str">
        <f ca="1">CONCATENATE(WORLDCUP!AA101,"-",WORLDCUP!AF101)</f>
        <v>2A-2B</v>
      </c>
      <c r="L164" s="46"/>
      <c r="M164" s="48" t="str">
        <f>IF(OR(WORLDCUP!AC101="",WORLDCUP!AD101=""),"-",N164&amp;"|"&amp;O164&amp;"-"&amp;P164)</f>
        <v>-</v>
      </c>
      <c r="N164" s="711" t="str">
        <f>IF(OR(WORLDCUP!AC101="",WORLDCUP!AD101=""),"",IF(WORLDCUP!AC101&gt;WORLDCUP!AD101,"1",IF(WORLDCUP!AC101&lt;WORLDCUP!AD101,"2","X")))</f>
        <v/>
      </c>
      <c r="O164" s="711">
        <f>WORLDCUP!AC101</f>
        <v>0</v>
      </c>
      <c r="P164" s="711">
        <f>WORLDCUP!AD101</f>
        <v>0</v>
      </c>
      <c r="Q164" s="711">
        <f>ABS(O164-P164)</f>
        <v>0</v>
      </c>
      <c r="R164" s="102"/>
      <c r="S164" s="69" t="s">
        <v>1948</v>
      </c>
      <c r="T164" s="66">
        <f>IFERROR(IF($M164=S164,($D$8+$D$9+$D$10)*$I164,IF($N164=LEFT(S164,1),($D$8+MAX(0,IF($D$50=1,$D$9*(1-(ABS($Q164-ABS(VALUE(MID(S164,FIND("|",S164)+1,FIND("-",S164)-FIND("|",S164)-1))-VALUE(MID(S164,FIND("-",S164)+1,10)))))*$D$50),$D$9*(1-(IF($N164="X",ABS($O164-VALUE(MID(S164,FIND("|",S164)+1,FIND("-",S164)-FIND("|",S164)-1))),ABS($Q164-ABS(VALUE(MID(S164,FIND("|",S164)+1,FIND("-",S164)-FIND("|",S164)-1))-VALUE(MID(S164,FIND("-",S164)+1,10)))))*$D$50)))))*$I164,0)),0)</f>
        <v>0</v>
      </c>
      <c r="U164" s="102"/>
      <c r="V164" s="69" t="s">
        <v>1948</v>
      </c>
      <c r="W164" s="66">
        <f>IFERROR(IF($M164=V164,($D$8+$D$9+$D$10)*$I164,IF($N164=LEFT(V164,1),($D$8+MAX(0,IF($D$50=1,$D$9*(1-(ABS($Q164-ABS(VALUE(MID(V164,FIND("|",V164)+1,FIND("-",V164)-FIND("|",V164)-1))-VALUE(MID(V164,FIND("-",V164)+1,10)))))*$D$50),$D$9*(1-(IF($N164="X",ABS($O164-VALUE(MID(V164,FIND("|",V164)+1,FIND("-",V164)-FIND("|",V164)-1))),ABS($Q164-ABS(VALUE(MID(V164,FIND("|",V164)+1,FIND("-",V164)-FIND("|",V164)-1))-VALUE(MID(V164,FIND("-",V164)+1,10)))))*$D$50)))))*$I164,0)),0)</f>
        <v>0</v>
      </c>
      <c r="X164" s="102"/>
      <c r="Y164" s="69" t="s">
        <v>1955</v>
      </c>
      <c r="Z164" s="66">
        <f>IFERROR(IF($M164=Y164,($D$8+$D$9+$D$10)*$I164,IF($N164=LEFT(Y164,1),($D$8+MAX(0,IF($D$50=1,$D$9*(1-(ABS($Q164-ABS(VALUE(MID(Y164,FIND("|",Y164)+1,FIND("-",Y164)-FIND("|",Y164)-1))-VALUE(MID(Y164,FIND("-",Y164)+1,10)))))*$D$50),$D$9*(1-(IF($N164="X",ABS($O164-VALUE(MID(Y164,FIND("|",Y164)+1,FIND("-",Y164)-FIND("|",Y164)-1))),ABS($Q164-ABS(VALUE(MID(Y164,FIND("|",Y164)+1,FIND("-",Y164)-FIND("|",Y164)-1))-VALUE(MID(Y164,FIND("-",Y164)+1,10)))))*$D$50)))))*$I164,0)),0)</f>
        <v>0</v>
      </c>
      <c r="AA164" s="102"/>
      <c r="AB164" s="69" t="s">
        <v>1956</v>
      </c>
      <c r="AC164" s="66">
        <f>IFERROR(IF($M164=AB164,($D$8+$D$9+$D$10)*$I164,IF($N164=LEFT(AB164,1),($D$8+MAX(0,IF($D$50=1,$D$9*(1-(ABS($Q164-ABS(VALUE(MID(AB164,FIND("|",AB164)+1,FIND("-",AB164)-FIND("|",AB164)-1))-VALUE(MID(AB164,FIND("-",AB164)+1,10)))))*$D$50),$D$9*(1-(IF($N164="X",ABS($O164-VALUE(MID(AB164,FIND("|",AB164)+1,FIND("-",AB164)-FIND("|",AB164)-1))),ABS($Q164-ABS(VALUE(MID(AB164,FIND("|",AB164)+1,FIND("-",AB164)-FIND("|",AB164)-1))-VALUE(MID(AB164,FIND("-",AB164)+1,10)))))*$D$50)))))*$I164,0)),0)</f>
        <v>0</v>
      </c>
      <c r="AD164" s="102"/>
      <c r="AE164" s="69" t="s">
        <v>1953</v>
      </c>
      <c r="AF164" s="66">
        <f>IFERROR(IF($M164=AE164,($D$8+$D$9+$D$10)*$I164,IF($N164=LEFT(AE164,1),($D$8+MAX(0,IF($D$50=1,$D$9*(1-(ABS($Q164-ABS(VALUE(MID(AE164,FIND("|",AE164)+1,FIND("-",AE164)-FIND("|",AE164)-1))-VALUE(MID(AE164,FIND("-",AE164)+1,10)))))*$D$50),$D$9*(1-(IF($N164="X",ABS($O164-VALUE(MID(AE164,FIND("|",AE164)+1,FIND("-",AE164)-FIND("|",AE164)-1))),ABS($Q164-ABS(VALUE(MID(AE164,FIND("|",AE164)+1,FIND("-",AE164)-FIND("|",AE164)-1))-VALUE(MID(AE164,FIND("-",AE164)+1,10)))))*$D$50)))))*$I164,0)),0)</f>
        <v>0</v>
      </c>
      <c r="AG164" s="102"/>
      <c r="AH164" s="69" t="s">
        <v>1947</v>
      </c>
      <c r="AI164" s="66">
        <f>IFERROR(IF($M164=AH164,($D$8+$D$9+$D$10)*$I164,IF($N164=LEFT(AH164,1),($D$8+MAX(0,IF($D$50=1,$D$9*(1-(ABS($Q164-ABS(VALUE(MID(AH164,FIND("|",AH164)+1,FIND("-",AH164)-FIND("|",AH164)-1))-VALUE(MID(AH164,FIND("-",AH164)+1,10)))))*$D$50),$D$9*(1-(IF($N164="X",ABS($O164-VALUE(MID(AH164,FIND("|",AH164)+1,FIND("-",AH164)-FIND("|",AH164)-1))),ABS($Q164-ABS(VALUE(MID(AH164,FIND("|",AH164)+1,FIND("-",AH164)-FIND("|",AH164)-1))-VALUE(MID(AH164,FIND("-",AH164)+1,10)))))*$D$50)))))*$I164,0)),0)</f>
        <v>0</v>
      </c>
      <c r="AJ164" s="102"/>
      <c r="AK164" s="69" t="s">
        <v>1947</v>
      </c>
      <c r="AL164" s="66">
        <f>IFERROR(IF($M164=AK164,($D$8+$D$9+$D$10)*$I164,IF($N164=LEFT(AK164,1),($D$8+MAX(0,IF($D$50=1,$D$9*(1-(ABS($Q164-ABS(VALUE(MID(AK164,FIND("|",AK164)+1,FIND("-",AK164)-FIND("|",AK164)-1))-VALUE(MID(AK164,FIND("-",AK164)+1,10)))))*$D$50),$D$9*(1-(IF($N164="X",ABS($O164-VALUE(MID(AK164,FIND("|",AK164)+1,FIND("-",AK164)-FIND("|",AK164)-1))),ABS($Q164-ABS(VALUE(MID(AK164,FIND("|",AK164)+1,FIND("-",AK164)-FIND("|",AK164)-1))-VALUE(MID(AK164,FIND("-",AK164)+1,10)))))*$D$50)))))*$I164,0)),0)</f>
        <v>0</v>
      </c>
      <c r="AM164" s="102"/>
      <c r="AN164" s="69" t="s">
        <v>1956</v>
      </c>
      <c r="AO164" s="66">
        <f>IFERROR(IF($M164=AN164,($D$8+$D$9+$D$10)*$I164,IF($N164=LEFT(AN164,1),($D$8+MAX(0,IF($D$50=1,$D$9*(1-(ABS($Q164-ABS(VALUE(MID(AN164,FIND("|",AN164)+1,FIND("-",AN164)-FIND("|",AN164)-1))-VALUE(MID(AN164,FIND("-",AN164)+1,10)))))*$D$50),$D$9*(1-(IF($N164="X",ABS($O164-VALUE(MID(AN164,FIND("|",AN164)+1,FIND("-",AN164)-FIND("|",AN164)-1))),ABS($Q164-ABS(VALUE(MID(AN164,FIND("|",AN164)+1,FIND("-",AN164)-FIND("|",AN164)-1))-VALUE(MID(AN164,FIND("-",AN164)+1,10)))))*$D$50)))))*$I164,0)),0)</f>
        <v>0</v>
      </c>
      <c r="AP164" s="102"/>
      <c r="AQ164" s="69" t="s">
        <v>1948</v>
      </c>
      <c r="AR164" s="66">
        <f>IFERROR(IF($M164=AQ164,($D$8+$D$9+$D$10)*$I164,IF($N164=LEFT(AQ164,1),($D$8+MAX(0,IF($D$50=1,$D$9*(1-(ABS($Q164-ABS(VALUE(MID(AQ164,FIND("|",AQ164)+1,FIND("-",AQ164)-FIND("|",AQ164)-1))-VALUE(MID(AQ164,FIND("-",AQ164)+1,10)))))*$D$50),$D$9*(1-(IF($N164="X",ABS($O164-VALUE(MID(AQ164,FIND("|",AQ164)+1,FIND("-",AQ164)-FIND("|",AQ164)-1))),ABS($Q164-ABS(VALUE(MID(AQ164,FIND("|",AQ164)+1,FIND("-",AQ164)-FIND("|",AQ164)-1))-VALUE(MID(AQ164,FIND("-",AQ164)+1,10)))))*$D$50)))))*$I164,0)),0)</f>
        <v>0</v>
      </c>
      <c r="AS164" s="102"/>
      <c r="AT164" s="69" t="s">
        <v>1948</v>
      </c>
      <c r="AU164" s="66">
        <f>IFERROR(IF($M164=AT164,($D$8+$D$9+$D$10)*$I164,IF($N164=LEFT(AT164,1),($D$8+MAX(0,IF($D$50=1,$D$9*(1-(ABS($Q164-ABS(VALUE(MID(AT164,FIND("|",AT164)+1,FIND("-",AT164)-FIND("|",AT164)-1))-VALUE(MID(AT164,FIND("-",AT164)+1,10)))))*$D$50),$D$9*(1-(IF($N164="X",ABS($O164-VALUE(MID(AT164,FIND("|",AT164)+1,FIND("-",AT164)-FIND("|",AT164)-1))),ABS($Q164-ABS(VALUE(MID(AT164,FIND("|",AT164)+1,FIND("-",AT164)-FIND("|",AT164)-1))-VALUE(MID(AT164,FIND("-",AT164)+1,10)))))*$D$50)))))*$I164,0)),0)</f>
        <v>0</v>
      </c>
      <c r="AV164" s="102"/>
      <c r="AW164" s="69" t="s">
        <v>1947</v>
      </c>
      <c r="AX164" s="66">
        <f>IFERROR(IF($M164=AW164,($D$8+$D$9+$D$10)*$I164,IF($N164=LEFT(AW164,1),($D$8+MAX(0,IF($D$50=1,$D$9*(1-(ABS($Q164-ABS(VALUE(MID(AW164,FIND("|",AW164)+1,FIND("-",AW164)-FIND("|",AW164)-1))-VALUE(MID(AW164,FIND("-",AW164)+1,10)))))*$D$50),$D$9*(1-(IF($N164="X",ABS($O164-VALUE(MID(AW164,FIND("|",AW164)+1,FIND("-",AW164)-FIND("|",AW164)-1))),ABS($Q164-ABS(VALUE(MID(AW164,FIND("|",AW164)+1,FIND("-",AW164)-FIND("|",AW164)-1))-VALUE(MID(AW164,FIND("-",AW164)+1,10)))))*$D$50)))))*$I164,0)),0)</f>
        <v>0</v>
      </c>
      <c r="AY164" s="102"/>
      <c r="AZ164" s="69" t="s">
        <v>1947</v>
      </c>
      <c r="BA164" s="66">
        <f>IFERROR(IF($M164=AZ164,($D$8+$D$9+$D$10)*$I164,IF($N164=LEFT(AZ164,1),($D$8+MAX(0,IF($D$50=1,$D$9*(1-(ABS($Q164-ABS(VALUE(MID(AZ164,FIND("|",AZ164)+1,FIND("-",AZ164)-FIND("|",AZ164)-1))-VALUE(MID(AZ164,FIND("-",AZ164)+1,10)))))*$D$50),$D$9*(1-(IF($N164="X",ABS($O164-VALUE(MID(AZ164,FIND("|",AZ164)+1,FIND("-",AZ164)-FIND("|",AZ164)-1))),ABS($Q164-ABS(VALUE(MID(AZ164,FIND("|",AZ164)+1,FIND("-",AZ164)-FIND("|",AZ164)-1))-VALUE(MID(AZ164,FIND("-",AZ164)+1,10)))))*$D$50)))))*$I164,0)),0)</f>
        <v>0</v>
      </c>
      <c r="BB164" s="102"/>
      <c r="BC164" s="69" t="s">
        <v>1947</v>
      </c>
      <c r="BD164" s="66">
        <f>IFERROR(IF($M164=BC164,($D$8+$D$9+$D$10)*$I164,IF($N164=LEFT(BC164,1),($D$8+MAX(0,IF($D$50=1,$D$9*(1-(ABS($Q164-ABS(VALUE(MID(BC164,FIND("|",BC164)+1,FIND("-",BC164)-FIND("|",BC164)-1))-VALUE(MID(BC164,FIND("-",BC164)+1,10)))))*$D$50),$D$9*(1-(IF($N164="X",ABS($O164-VALUE(MID(BC164,FIND("|",BC164)+1,FIND("-",BC164)-FIND("|",BC164)-1))),ABS($Q164-ABS(VALUE(MID(BC164,FIND("|",BC164)+1,FIND("-",BC164)-FIND("|",BC164)-1))-VALUE(MID(BC164,FIND("-",BC164)+1,10)))))*$D$50)))))*$I164,0)),0)</f>
        <v>0</v>
      </c>
      <c r="BE164" s="102"/>
      <c r="BF164" s="69" t="s">
        <v>1950</v>
      </c>
      <c r="BG164" s="66">
        <f>IFERROR(IF($M164=BF164,($D$8+$D$9+$D$10)*$I164,IF($N164=LEFT(BF164,1),($D$8+MAX(0,IF($D$50=1,$D$9*(1-(ABS($Q164-ABS(VALUE(MID(BF164,FIND("|",BF164)+1,FIND("-",BF164)-FIND("|",BF164)-1))-VALUE(MID(BF164,FIND("-",BF164)+1,10)))))*$D$50),$D$9*(1-(IF($N164="X",ABS($O164-VALUE(MID(BF164,FIND("|",BF164)+1,FIND("-",BF164)-FIND("|",BF164)-1))),ABS($Q164-ABS(VALUE(MID(BF164,FIND("|",BF164)+1,FIND("-",BF164)-FIND("|",BF164)-1))-VALUE(MID(BF164,FIND("-",BF164)+1,10)))))*$D$50)))))*$I164,0)),0)</f>
        <v>0</v>
      </c>
      <c r="BH164" s="102"/>
      <c r="BI164" s="69" t="s">
        <v>1956</v>
      </c>
      <c r="BJ164" s="66">
        <f>IFERROR(IF($M164=BI164,($D$8+$D$9+$D$10)*$I164,IF($N164=LEFT(BI164,1),($D$8+MAX(0,IF($D$50=1,$D$9*(1-(ABS($Q164-ABS(VALUE(MID(BI164,FIND("|",BI164)+1,FIND("-",BI164)-FIND("|",BI164)-1))-VALUE(MID(BI164,FIND("-",BI164)+1,10)))))*$D$50),$D$9*(1-(IF($N164="X",ABS($O164-VALUE(MID(BI164,FIND("|",BI164)+1,FIND("-",BI164)-FIND("|",BI164)-1))),ABS($Q164-ABS(VALUE(MID(BI164,FIND("|",BI164)+1,FIND("-",BI164)-FIND("|",BI164)-1))-VALUE(MID(BI164,FIND("-",BI164)+1,10)))))*$D$50)))))*$I164,0)),0)</f>
        <v>0</v>
      </c>
      <c r="BK164" s="102"/>
      <c r="BL164" s="69" t="s">
        <v>1955</v>
      </c>
      <c r="BM164" s="66">
        <f>IFERROR(IF($M164=BL164,($D$8+$D$9+$D$10)*$I164,IF($N164=LEFT(BL164,1),($D$8+MAX(0,IF($D$50=1,$D$9*(1-(ABS($Q164-ABS(VALUE(MID(BL164,FIND("|",BL164)+1,FIND("-",BL164)-FIND("|",BL164)-1))-VALUE(MID(BL164,FIND("-",BL164)+1,10)))))*$D$50),$D$9*(1-(IF($N164="X",ABS($O164-VALUE(MID(BL164,FIND("|",BL164)+1,FIND("-",BL164)-FIND("|",BL164)-1))),ABS($Q164-ABS(VALUE(MID(BL164,FIND("|",BL164)+1,FIND("-",BL164)-FIND("|",BL164)-1))-VALUE(MID(BL164,FIND("-",BL164)+1,10)))))*$D$50)))))*$I164,0)),0)</f>
        <v>0</v>
      </c>
      <c r="BN164" s="102"/>
      <c r="BO164" s="69" t="s">
        <v>1948</v>
      </c>
      <c r="BP164" s="66">
        <f>IFERROR(IF($M164=BO164,($D$8+$D$9+$D$10)*$I164,IF($N164=LEFT(BO164,1),($D$8+MAX(0,IF($D$50=1,$D$9*(1-(ABS($Q164-ABS(VALUE(MID(BO164,FIND("|",BO164)+1,FIND("-",BO164)-FIND("|",BO164)-1))-VALUE(MID(BO164,FIND("-",BO164)+1,10)))))*$D$50),$D$9*(1-(IF($N164="X",ABS($O164-VALUE(MID(BO164,FIND("|",BO164)+1,FIND("-",BO164)-FIND("|",BO164)-1))),ABS($Q164-ABS(VALUE(MID(BO164,FIND("|",BO164)+1,FIND("-",BO164)-FIND("|",BO164)-1))-VALUE(MID(BO164,FIND("-",BO164)+1,10)))))*$D$50)))))*$I164,0)),0)</f>
        <v>0</v>
      </c>
      <c r="BQ164" s="102"/>
      <c r="BR164" s="69" t="s">
        <v>1948</v>
      </c>
      <c r="BS164" s="66">
        <f>IFERROR(IF($M164=BR164,($D$8+$D$9+$D$10)*$I164,IF($N164=LEFT(BR164,1),($D$8+MAX(0,IF($D$50=1,$D$9*(1-(ABS($Q164-ABS(VALUE(MID(BR164,FIND("|",BR164)+1,FIND("-",BR164)-FIND("|",BR164)-1))-VALUE(MID(BR164,FIND("-",BR164)+1,10)))))*$D$50),$D$9*(1-(IF($N164="X",ABS($O164-VALUE(MID(BR164,FIND("|",BR164)+1,FIND("-",BR164)-FIND("|",BR164)-1))),ABS($Q164-ABS(VALUE(MID(BR164,FIND("|",BR164)+1,FIND("-",BR164)-FIND("|",BR164)-1))-VALUE(MID(BR164,FIND("-",BR164)+1,10)))))*$D$50)))))*$I164,0)),0)</f>
        <v>0</v>
      </c>
      <c r="BT164" s="102"/>
      <c r="BU164" s="69" t="str">
        <f>Idiomas!$D$367</f>
        <v>Pegar Valores Dieciseisavos</v>
      </c>
      <c r="BV164" s="66">
        <f>IFERROR(IF($M164=BU164,($D$8+$D$9+$D$10)*$I164,IF($N164=LEFT(BU164,1),($D$8+MAX(0,IF($D$50=1,$D$9*(1-(ABS($Q164-ABS(VALUE(MID(BU164,FIND("|",BU164)+1,FIND("-",BU164)-FIND("|",BU164)-1))-VALUE(MID(BU164,FIND("-",BU164)+1,10)))))*$D$50),$D$9*(1-(IF($N164="X",ABS($O164-VALUE(MID(BU164,FIND("|",BU164)+1,FIND("-",BU164)-FIND("|",BU164)-1))),ABS($Q164-ABS(VALUE(MID(BU164,FIND("|",BU164)+1,FIND("-",BU164)-FIND("|",BU164)-1))-VALUE(MID(BU164,FIND("-",BU164)+1,10)))))*$D$50)))))*$I164,0)),0)</f>
        <v>0</v>
      </c>
      <c r="BW164" s="102"/>
      <c r="BX164" s="69" t="str">
        <f>Idiomas!$D$367</f>
        <v>Pegar Valores Dieciseisavos</v>
      </c>
      <c r="BY164" s="66">
        <f>IFERROR(IF($M164=BX164,($D$8+$D$9+$D$10)*$I164,IF($N164=LEFT(BX164,1),($D$8+MAX(0,IF($D$50=1,$D$9*(1-(ABS($Q164-ABS(VALUE(MID(BX164,FIND("|",BX164)+1,FIND("-",BX164)-FIND("|",BX164)-1))-VALUE(MID(BX164,FIND("-",BX164)+1,10)))))*$D$50),$D$9*(1-(IF($N164="X",ABS($O164-VALUE(MID(BX164,FIND("|",BX164)+1,FIND("-",BX164)-FIND("|",BX164)-1))),ABS($Q164-ABS(VALUE(MID(BX164,FIND("|",BX164)+1,FIND("-",BX164)-FIND("|",BX164)-1))-VALUE(MID(BX164,FIND("-",BX164)+1,10)))))*$D$50)))))*$I164,0)),0)</f>
        <v>0</v>
      </c>
      <c r="BZ164" s="102"/>
      <c r="CA164" s="69" t="str">
        <f>Idiomas!$D$367</f>
        <v>Pegar Valores Dieciseisavos</v>
      </c>
      <c r="CB164" s="66">
        <f>IFERROR(IF($M164=CA164,($D$8+$D$9+$D$10)*$I164,IF($N164=LEFT(CA164,1),($D$8+MAX(0,IF($D$50=1,$D$9*(1-(ABS($Q164-ABS(VALUE(MID(CA164,FIND("|",CA164)+1,FIND("-",CA164)-FIND("|",CA164)-1))-VALUE(MID(CA164,FIND("-",CA164)+1,10)))))*$D$50),$D$9*(1-(IF($N164="X",ABS($O164-VALUE(MID(CA164,FIND("|",CA164)+1,FIND("-",CA164)-FIND("|",CA164)-1))),ABS($Q164-ABS(VALUE(MID(CA164,FIND("|",CA164)+1,FIND("-",CA164)-FIND("|",CA164)-1))-VALUE(MID(CA164,FIND("-",CA164)+1,10)))))*$D$50)))))*$I164,0)),0)</f>
        <v>0</v>
      </c>
      <c r="CC164" s="102"/>
      <c r="CD164" s="69" t="str">
        <f>Idiomas!$D$367</f>
        <v>Pegar Valores Dieciseisavos</v>
      </c>
      <c r="CE164" s="66">
        <f>IFERROR(IF($M164=CD164,($D$8+$D$9+$D$10)*$I164,IF($N164=LEFT(CD164,1),($D$8+MAX(0,IF($D$50=1,$D$9*(1-(ABS($Q164-ABS(VALUE(MID(CD164,FIND("|",CD164)+1,FIND("-",CD164)-FIND("|",CD164)-1))-VALUE(MID(CD164,FIND("-",CD164)+1,10)))))*$D$50),$D$9*(1-(IF($N164="X",ABS($O164-VALUE(MID(CD164,FIND("|",CD164)+1,FIND("-",CD164)-FIND("|",CD164)-1))),ABS($Q164-ABS(VALUE(MID(CD164,FIND("|",CD164)+1,FIND("-",CD164)-FIND("|",CD164)-1))-VALUE(MID(CD164,FIND("-",CD164)+1,10)))))*$D$50)))))*$I164,0)),0)</f>
        <v>0</v>
      </c>
      <c r="CF164" s="102"/>
      <c r="CG164" s="69" t="str">
        <f>Idiomas!$D$367</f>
        <v>Pegar Valores Dieciseisavos</v>
      </c>
      <c r="CH164" s="66">
        <f>IFERROR(IF($M164=CG164,($D$8+$D$9+$D$10)*$I164,IF($N164=LEFT(CG164,1),($D$8+MAX(0,IF($D$50=1,$D$9*(1-(ABS($Q164-ABS(VALUE(MID(CG164,FIND("|",CG164)+1,FIND("-",CG164)-FIND("|",CG164)-1))-VALUE(MID(CG164,FIND("-",CG164)+1,10)))))*$D$50),$D$9*(1-(IF($N164="X",ABS($O164-VALUE(MID(CG164,FIND("|",CG164)+1,FIND("-",CG164)-FIND("|",CG164)-1))),ABS($Q164-ABS(VALUE(MID(CG164,FIND("|",CG164)+1,FIND("-",CG164)-FIND("|",CG164)-1))-VALUE(MID(CG164,FIND("-",CG164)+1,10)))))*$D$50)))))*$I164,0)),0)</f>
        <v>0</v>
      </c>
      <c r="CI164" s="102"/>
      <c r="CJ164" s="69" t="str">
        <f>Idiomas!$D$367</f>
        <v>Pegar Valores Dieciseisavos</v>
      </c>
      <c r="CK164" s="66">
        <f>IFERROR(IF($M164=CJ164,($D$8+$D$9+$D$10)*$I164,IF($N164=LEFT(CJ164,1),($D$8+MAX(0,IF($D$50=1,$D$9*(1-(ABS($Q164-ABS(VALUE(MID(CJ164,FIND("|",CJ164)+1,FIND("-",CJ164)-FIND("|",CJ164)-1))-VALUE(MID(CJ164,FIND("-",CJ164)+1,10)))))*$D$50),$D$9*(1-(IF($N164="X",ABS($O164-VALUE(MID(CJ164,FIND("|",CJ164)+1,FIND("-",CJ164)-FIND("|",CJ164)-1))),ABS($Q164-ABS(VALUE(MID(CJ164,FIND("|",CJ164)+1,FIND("-",CJ164)-FIND("|",CJ164)-1))-VALUE(MID(CJ164,FIND("-",CJ164)+1,10)))))*$D$50)))))*$I164,0)),0)</f>
        <v>0</v>
      </c>
      <c r="CL164" s="102"/>
      <c r="CM164" s="69" t="str">
        <f>Idiomas!$D$367</f>
        <v>Pegar Valores Dieciseisavos</v>
      </c>
      <c r="CN164" s="66">
        <f>IFERROR(IF($M164=CM164,($D$8+$D$9+$D$10)*$I164,IF($N164=LEFT(CM164,1),($D$8+MAX(0,IF($D$50=1,$D$9*(1-(ABS($Q164-ABS(VALUE(MID(CM164,FIND("|",CM164)+1,FIND("-",CM164)-FIND("|",CM164)-1))-VALUE(MID(CM164,FIND("-",CM164)+1,10)))))*$D$50),$D$9*(1-(IF($N164="X",ABS($O164-VALUE(MID(CM164,FIND("|",CM164)+1,FIND("-",CM164)-FIND("|",CM164)-1))),ABS($Q164-ABS(VALUE(MID(CM164,FIND("|",CM164)+1,FIND("-",CM164)-FIND("|",CM164)-1))-VALUE(MID(CM164,FIND("-",CM164)+1,10)))))*$D$50)))))*$I164,0)),0)</f>
        <v>0</v>
      </c>
      <c r="CO164" s="102"/>
      <c r="CP164" s="69" t="str">
        <f>Idiomas!$D$367</f>
        <v>Pegar Valores Dieciseisavos</v>
      </c>
      <c r="CQ164" s="66">
        <f>IFERROR(IF($M164=CP164,($D$8+$D$9+$D$10)*$I164,IF($N164=LEFT(CP164,1),($D$8+MAX(0,IF($D$50=1,$D$9*(1-(ABS($Q164-ABS(VALUE(MID(CP164,FIND("|",CP164)+1,FIND("-",CP164)-FIND("|",CP164)-1))-VALUE(MID(CP164,FIND("-",CP164)+1,10)))))*$D$50),$D$9*(1-(IF($N164="X",ABS($O164-VALUE(MID(CP164,FIND("|",CP164)+1,FIND("-",CP164)-FIND("|",CP164)-1))),ABS($Q164-ABS(VALUE(MID(CP164,FIND("|",CP164)+1,FIND("-",CP164)-FIND("|",CP164)-1))-VALUE(MID(CP164,FIND("-",CP164)+1,10)))))*$D$50)))))*$I164,0)),0)</f>
        <v>0</v>
      </c>
      <c r="CR164" s="102"/>
      <c r="CS164" s="69" t="str">
        <f>Idiomas!$D$367</f>
        <v>Pegar Valores Dieciseisavos</v>
      </c>
      <c r="CT164" s="66">
        <f>IFERROR(IF($M164=CS164,($D$8+$D$9+$D$10)*$I164,IF($N164=LEFT(CS164,1),($D$8+MAX(0,IF($D$50=1,$D$9*(1-(ABS($Q164-ABS(VALUE(MID(CS164,FIND("|",CS164)+1,FIND("-",CS164)-FIND("|",CS164)-1))-VALUE(MID(CS164,FIND("-",CS164)+1,10)))))*$D$50),$D$9*(1-(IF($N164="X",ABS($O164-VALUE(MID(CS164,FIND("|",CS164)+1,FIND("-",CS164)-FIND("|",CS164)-1))),ABS($Q164-ABS(VALUE(MID(CS164,FIND("|",CS164)+1,FIND("-",CS164)-FIND("|",CS164)-1))-VALUE(MID(CS164,FIND("-",CS164)+1,10)))))*$D$50)))))*$I164,0)),0)</f>
        <v>0</v>
      </c>
      <c r="CU164" s="102"/>
      <c r="CV164" s="69" t="str">
        <f>Idiomas!$D$367</f>
        <v>Pegar Valores Dieciseisavos</v>
      </c>
      <c r="CW164" s="66">
        <f>IFERROR(IF($M164=CV164,($D$8+$D$9+$D$10)*$I164,IF($N164=LEFT(CV164,1),($D$8+MAX(0,IF($D$50=1,$D$9*(1-(ABS($Q164-ABS(VALUE(MID(CV164,FIND("|",CV164)+1,FIND("-",CV164)-FIND("|",CV164)-1))-VALUE(MID(CV164,FIND("-",CV164)+1,10)))))*$D$50),$D$9*(1-(IF($N164="X",ABS($O164-VALUE(MID(CV164,FIND("|",CV164)+1,FIND("-",CV164)-FIND("|",CV164)-1))),ABS($Q164-ABS(VALUE(MID(CV164,FIND("|",CV164)+1,FIND("-",CV164)-FIND("|",CV164)-1))-VALUE(MID(CV164,FIND("-",CV164)+1,10)))))*$D$50)))))*$I164,0)),0)</f>
        <v>0</v>
      </c>
      <c r="CX164" s="102"/>
      <c r="CY164" s="69" t="str">
        <f>Idiomas!$D$367</f>
        <v>Pegar Valores Dieciseisavos</v>
      </c>
      <c r="CZ164" s="66">
        <f>IFERROR(IF($M164=CY164,($D$8+$D$9+$D$10)*$I164,IF($N164=LEFT(CY164,1),($D$8+MAX(0,IF($D$50=1,$D$9*(1-(ABS($Q164-ABS(VALUE(MID(CY164,FIND("|",CY164)+1,FIND("-",CY164)-FIND("|",CY164)-1))-VALUE(MID(CY164,FIND("-",CY164)+1,10)))))*$D$50),$D$9*(1-(IF($N164="X",ABS($O164-VALUE(MID(CY164,FIND("|",CY164)+1,FIND("-",CY164)-FIND("|",CY164)-1))),ABS($Q164-ABS(VALUE(MID(CY164,FIND("|",CY164)+1,FIND("-",CY164)-FIND("|",CY164)-1))-VALUE(MID(CY164,FIND("-",CY164)+1,10)))))*$D$50)))))*$I164,0)),0)</f>
        <v>0</v>
      </c>
      <c r="DA164" s="102"/>
      <c r="DB164" s="69" t="str">
        <f>Idiomas!$D$367</f>
        <v>Pegar Valores Dieciseisavos</v>
      </c>
      <c r="DC164" s="66">
        <f>IFERROR(IF($M164=DB164,($D$8+$D$9+$D$10)*$I164,IF($N164=LEFT(DB164,1),($D$8+MAX(0,IF($D$50=1,$D$9*(1-(ABS($Q164-ABS(VALUE(MID(DB164,FIND("|",DB164)+1,FIND("-",DB164)-FIND("|",DB164)-1))-VALUE(MID(DB164,FIND("-",DB164)+1,10)))))*$D$50),$D$9*(1-(IF($N164="X",ABS($O164-VALUE(MID(DB164,FIND("|",DB164)+1,FIND("-",DB164)-FIND("|",DB164)-1))),ABS($Q164-ABS(VALUE(MID(DB164,FIND("|",DB164)+1,FIND("-",DB164)-FIND("|",DB164)-1))-VALUE(MID(DB164,FIND("-",DB164)+1,10)))))*$D$50)))))*$I164,0)),0)</f>
        <v>0</v>
      </c>
      <c r="DD164" s="102"/>
      <c r="DE164" s="69" t="str">
        <f>Idiomas!$D$367</f>
        <v>Pegar Valores Dieciseisavos</v>
      </c>
      <c r="DF164" s="66">
        <f>IFERROR(IF($M164=DE164,($D$8+$D$9+$D$10)*$I164,IF($N164=LEFT(DE164,1),($D$8+MAX(0,IF($D$50=1,$D$9*(1-(ABS($Q164-ABS(VALUE(MID(DE164,FIND("|",DE164)+1,FIND("-",DE164)-FIND("|",DE164)-1))-VALUE(MID(DE164,FIND("-",DE164)+1,10)))))*$D$50),$D$9*(1-(IF($N164="X",ABS($O164-VALUE(MID(DE164,FIND("|",DE164)+1,FIND("-",DE164)-FIND("|",DE164)-1))),ABS($Q164-ABS(VALUE(MID(DE164,FIND("|",DE164)+1,FIND("-",DE164)-FIND("|",DE164)-1))-VALUE(MID(DE164,FIND("-",DE164)+1,10)))))*$D$50)))))*$I164,0)),0)</f>
        <v>0</v>
      </c>
      <c r="DG164" s="102"/>
      <c r="DH164" s="69" t="str">
        <f>Idiomas!$D$367</f>
        <v>Pegar Valores Dieciseisavos</v>
      </c>
      <c r="DI164" s="66">
        <f>IFERROR(IF($M164=DH164,($D$8+$D$9+$D$10)*$I164,IF($N164=LEFT(DH164,1),($D$8+MAX(0,IF($D$50=1,$D$9*(1-(ABS($Q164-ABS(VALUE(MID(DH164,FIND("|",DH164)+1,FIND("-",DH164)-FIND("|",DH164)-1))-VALUE(MID(DH164,FIND("-",DH164)+1,10)))))*$D$50),$D$9*(1-(IF($N164="X",ABS($O164-VALUE(MID(DH164,FIND("|",DH164)+1,FIND("-",DH164)-FIND("|",DH164)-1))),ABS($Q164-ABS(VALUE(MID(DH164,FIND("|",DH164)+1,FIND("-",DH164)-FIND("|",DH164)-1))-VALUE(MID(DH164,FIND("-",DH164)+1,10)))))*$D$50)))))*$I164,0)),0)</f>
        <v>0</v>
      </c>
      <c r="DJ164" s="102"/>
      <c r="DK164" s="69" t="str">
        <f>Idiomas!$D$367</f>
        <v>Pegar Valores Dieciseisavos</v>
      </c>
      <c r="DL164" s="66">
        <f>IFERROR(IF($M164=DK164,($D$8+$D$9+$D$10)*$I164,IF($N164=LEFT(DK164,1),($D$8+MAX(0,IF($D$50=1,$D$9*(1-(ABS($Q164-ABS(VALUE(MID(DK164,FIND("|",DK164)+1,FIND("-",DK164)-FIND("|",DK164)-1))-VALUE(MID(DK164,FIND("-",DK164)+1,10)))))*$D$50),$D$9*(1-(IF($N164="X",ABS($O164-VALUE(MID(DK164,FIND("|",DK164)+1,FIND("-",DK164)-FIND("|",DK164)-1))),ABS($Q164-ABS(VALUE(MID(DK164,FIND("|",DK164)+1,FIND("-",DK164)-FIND("|",DK164)-1))-VALUE(MID(DK164,FIND("-",DK164)+1,10)))))*$D$50)))))*$I164,0)),0)</f>
        <v>0</v>
      </c>
      <c r="DM164" s="102"/>
      <c r="DN164" s="69" t="str">
        <f>Idiomas!$D$367</f>
        <v>Pegar Valores Dieciseisavos</v>
      </c>
      <c r="DO164" s="66">
        <f>IFERROR(IF($M164=DN164,($D$8+$D$9+$D$10)*$I164,IF($N164=LEFT(DN164,1),($D$8+MAX(0,IF($D$50=1,$D$9*(1-(ABS($Q164-ABS(VALUE(MID(DN164,FIND("|",DN164)+1,FIND("-",DN164)-FIND("|",DN164)-1))-VALUE(MID(DN164,FIND("-",DN164)+1,10)))))*$D$50),$D$9*(1-(IF($N164="X",ABS($O164-VALUE(MID(DN164,FIND("|",DN164)+1,FIND("-",DN164)-FIND("|",DN164)-1))),ABS($Q164-ABS(VALUE(MID(DN164,FIND("|",DN164)+1,FIND("-",DN164)-FIND("|",DN164)-1))-VALUE(MID(DN164,FIND("-",DN164)+1,10)))))*$D$50)))))*$I164,0)),0)</f>
        <v>0</v>
      </c>
      <c r="DP164" s="102"/>
      <c r="DQ164" s="69" t="str">
        <f>Idiomas!$D$367</f>
        <v>Pegar Valores Dieciseisavos</v>
      </c>
      <c r="DR164" s="66">
        <f>IFERROR(IF($M164=DQ164,($D$8+$D$9+$D$10)*$I164,IF($N164=LEFT(DQ164,1),($D$8+MAX(0,IF($D$50=1,$D$9*(1-(ABS($Q164-ABS(VALUE(MID(DQ164,FIND("|",DQ164)+1,FIND("-",DQ164)-FIND("|",DQ164)-1))-VALUE(MID(DQ164,FIND("-",DQ164)+1,10)))))*$D$50),$D$9*(1-(IF($N164="X",ABS($O164-VALUE(MID(DQ164,FIND("|",DQ164)+1,FIND("-",DQ164)-FIND("|",DQ164)-1))),ABS($Q164-ABS(VALUE(MID(DQ164,FIND("|",DQ164)+1,FIND("-",DQ164)-FIND("|",DQ164)-1))-VALUE(MID(DQ164,FIND("-",DQ164)+1,10)))))*$D$50)))))*$I164,0)),0)</f>
        <v>0</v>
      </c>
      <c r="DS164" s="102"/>
      <c r="DT164" s="69" t="str">
        <f>Idiomas!$D$367</f>
        <v>Pegar Valores Dieciseisavos</v>
      </c>
      <c r="DU164" s="66">
        <f>IFERROR(IF($M164=DT164,($D$8+$D$9+$D$10)*$I164,IF($N164=LEFT(DT164,1),($D$8+MAX(0,IF($D$50=1,$D$9*(1-(ABS($Q164-ABS(VALUE(MID(DT164,FIND("|",DT164)+1,FIND("-",DT164)-FIND("|",DT164)-1))-VALUE(MID(DT164,FIND("-",DT164)+1,10)))))*$D$50),$D$9*(1-(IF($N164="X",ABS($O164-VALUE(MID(DT164,FIND("|",DT164)+1,FIND("-",DT164)-FIND("|",DT164)-1))),ABS($Q164-ABS(VALUE(MID(DT164,FIND("|",DT164)+1,FIND("-",DT164)-FIND("|",DT164)-1))-VALUE(MID(DT164,FIND("-",DT164)+1,10)))))*$D$50)))))*$I164,0)),0)</f>
        <v>0</v>
      </c>
      <c r="DV164" s="102"/>
      <c r="DW164" s="69" t="str">
        <f>Idiomas!$D$367</f>
        <v>Pegar Valores Dieciseisavos</v>
      </c>
      <c r="DX164" s="66">
        <f>IFERROR(IF($M164=DW164,($D$8+$D$9+$D$10)*$I164,IF($N164=LEFT(DW164,1),($D$8+MAX(0,IF($D$50=1,$D$9*(1-(ABS($Q164-ABS(VALUE(MID(DW164,FIND("|",DW164)+1,FIND("-",DW164)-FIND("|",DW164)-1))-VALUE(MID(DW164,FIND("-",DW164)+1,10)))))*$D$50),$D$9*(1-(IF($N164="X",ABS($O164-VALUE(MID(DW164,FIND("|",DW164)+1,FIND("-",DW164)-FIND("|",DW164)-1))),ABS($Q164-ABS(VALUE(MID(DW164,FIND("|",DW164)+1,FIND("-",DW164)-FIND("|",DW164)-1))-VALUE(MID(DW164,FIND("-",DW164)+1,10)))))*$D$50)))))*$I164,0)),0)</f>
        <v>0</v>
      </c>
      <c r="DY164" s="102"/>
      <c r="DZ164" s="69" t="str">
        <f>Idiomas!$D$367</f>
        <v>Pegar Valores Dieciseisavos</v>
      </c>
      <c r="EA164" s="66">
        <f>IFERROR(IF($M164=DZ164,($D$8+$D$9+$D$10)*$I164,IF($N164=LEFT(DZ164,1),($D$8+MAX(0,IF($D$50=1,$D$9*(1-(ABS($Q164-ABS(VALUE(MID(DZ164,FIND("|",DZ164)+1,FIND("-",DZ164)-FIND("|",DZ164)-1))-VALUE(MID(DZ164,FIND("-",DZ164)+1,10)))))*$D$50),$D$9*(1-(IF($N164="X",ABS($O164-VALUE(MID(DZ164,FIND("|",DZ164)+1,FIND("-",DZ164)-FIND("|",DZ164)-1))),ABS($Q164-ABS(VALUE(MID(DZ164,FIND("|",DZ164)+1,FIND("-",DZ164)-FIND("|",DZ164)-1))-VALUE(MID(DZ164,FIND("-",DZ164)+1,10)))))*$D$50)))))*$I164,0)),0)</f>
        <v>0</v>
      </c>
      <c r="EB164" s="102"/>
      <c r="EC164" s="69" t="str">
        <f>Idiomas!$D$367</f>
        <v>Pegar Valores Dieciseisavos</v>
      </c>
      <c r="ED164" s="66">
        <f>IFERROR(IF($M164=EC164,($D$8+$D$9+$D$10)*$I164,IF($N164=LEFT(EC164,1),($D$8+MAX(0,IF($D$50=1,$D$9*(1-(ABS($Q164-ABS(VALUE(MID(EC164,FIND("|",EC164)+1,FIND("-",EC164)-FIND("|",EC164)-1))-VALUE(MID(EC164,FIND("-",EC164)+1,10)))))*$D$50),$D$9*(1-(IF($N164="X",ABS($O164-VALUE(MID(EC164,FIND("|",EC164)+1,FIND("-",EC164)-FIND("|",EC164)-1))),ABS($Q164-ABS(VALUE(MID(EC164,FIND("|",EC164)+1,FIND("-",EC164)-FIND("|",EC164)-1))-VALUE(MID(EC164,FIND("-",EC164)+1,10)))))*$D$50)))))*$I164,0)),0)</f>
        <v>0</v>
      </c>
      <c r="EE164" s="102"/>
      <c r="EF164" s="69" t="str">
        <f>Idiomas!$D$367</f>
        <v>Pegar Valores Dieciseisavos</v>
      </c>
      <c r="EG164" s="66">
        <f>IFERROR(IF($M164=EF164,($D$8+$D$9+$D$10)*$I164,IF($N164=LEFT(EF164,1),($D$8+MAX(0,IF($D$50=1,$D$9*(1-(ABS($Q164-ABS(VALUE(MID(EF164,FIND("|",EF164)+1,FIND("-",EF164)-FIND("|",EF164)-1))-VALUE(MID(EF164,FIND("-",EF164)+1,10)))))*$D$50),$D$9*(1-(IF($N164="X",ABS($O164-VALUE(MID(EF164,FIND("|",EF164)+1,FIND("-",EF164)-FIND("|",EF164)-1))),ABS($Q164-ABS(VALUE(MID(EF164,FIND("|",EF164)+1,FIND("-",EF164)-FIND("|",EF164)-1))-VALUE(MID(EF164,FIND("-",EF164)+1,10)))))*$D$50)))))*$I164,0)),0)</f>
        <v>0</v>
      </c>
      <c r="EH164" s="102"/>
      <c r="EI164" s="102"/>
    </row>
    <row r="165" spans="1:139">
      <c r="A165" s="711">
        <f>WORLDCUP!AD102</f>
        <v>0</v>
      </c>
      <c r="B165" s="711">
        <f>WORLDCUP!AC102</f>
        <v>0</v>
      </c>
      <c r="C165" s="805" t="str">
        <f ca="1">CONCATENATE(WORLDCUP!AF102,"-",WORLDCUP!AA102)</f>
        <v>2F-1C</v>
      </c>
      <c r="D165" s="805" t="str">
        <f>IF(WORLDCUP!AC102&gt;WORLDCUP!AD102,2,IF(WORLDCUP!AC102&lt;WORLDCUP!AD102,1,IF(AND(WORLDCUP!AC102=WORLDCUP!AD102,WORLDCUP!AC102&lt;&gt;"",WORLDCUP!AD102&lt;&gt;""),0,"PD")))</f>
        <v>PD</v>
      </c>
      <c r="E165" s="805" t="str">
        <f>IF(OR(WORLDCUP!AC102="",WORLDCUP!AD102=""),"-",A165&amp;"-"&amp;B165)</f>
        <v>-</v>
      </c>
      <c r="F165" s="806">
        <f t="shared" ref="F165:F179" si="1962">SUM($D$16:$D$18)*I165</f>
        <v>17</v>
      </c>
      <c r="G165" s="806">
        <f ca="1">VLOOKUP(H165,Equipos!$Q$1:$R$25,2,0)</f>
        <v>20</v>
      </c>
      <c r="H165" s="807" t="str">
        <f>Idiomas!$D$260</f>
        <v>Dieciseisavos de final</v>
      </c>
      <c r="I165" s="808">
        <v>1</v>
      </c>
      <c r="J165" s="859"/>
      <c r="K165" s="49" t="str">
        <f ca="1">CONCATENATE(WORLDCUP!AA102,"-",WORLDCUP!AF102)</f>
        <v>1C-2F</v>
      </c>
      <c r="L165" s="46"/>
      <c r="M165" s="48" t="str">
        <f>IF(OR(WORLDCUP!AC102="",WORLDCUP!AD102=""),"-",N165&amp;"|"&amp;O165&amp;"-"&amp;P165)</f>
        <v>-</v>
      </c>
      <c r="N165" s="711" t="str">
        <f>IF(OR(WORLDCUP!AC102="",WORLDCUP!AD102=""),"",IF(WORLDCUP!AC102&gt;WORLDCUP!AD102,"1",IF(WORLDCUP!AC102&lt;WORLDCUP!AD102,"2","X")))</f>
        <v/>
      </c>
      <c r="O165" s="711">
        <f>WORLDCUP!AC102</f>
        <v>0</v>
      </c>
      <c r="P165" s="711">
        <f>WORLDCUP!AD102</f>
        <v>0</v>
      </c>
      <c r="Q165" s="711">
        <f t="shared" ref="Q165:Q179" si="1963">ABS(O165-P165)</f>
        <v>0</v>
      </c>
      <c r="R165" s="102"/>
      <c r="S165" s="69" t="s">
        <v>1954</v>
      </c>
      <c r="T165" s="66">
        <f t="shared" ref="T165:T179" si="1964">IFERROR(IF($M165=S165,($D$8+$D$9+$D$10)*$I165,IF($N165=LEFT(S165,1),($D$8+MAX(0,IF($D$50=1,$D$9*(1-(ABS($Q165-ABS(VALUE(MID(S165,FIND("|",S165)+1,FIND("-",S165)-FIND("|",S165)-1))-VALUE(MID(S165,FIND("-",S165)+1,10)))))*$D$50),$D$9*(1-(IF($N165="X",ABS($O165-VALUE(MID(S165,FIND("|",S165)+1,FIND("-",S165)-FIND("|",S165)-1))),ABS($Q165-ABS(VALUE(MID(S165,FIND("|",S165)+1,FIND("-",S165)-FIND("|",S165)-1))-VALUE(MID(S165,FIND("-",S165)+1,10)))))*$D$50)))))*$I165,0)),0)</f>
        <v>0</v>
      </c>
      <c r="U165" s="102"/>
      <c r="V165" s="67" t="s">
        <v>1947</v>
      </c>
      <c r="W165" s="66">
        <f t="shared" ref="W165:W179" si="1965">IFERROR(IF($M165=V165,($D$8+$D$9+$D$10)*$I165,IF($N165=LEFT(V165,1),($D$8+MAX(0,IF($D$50=1,$D$9*(1-(ABS($Q165-ABS(VALUE(MID(V165,FIND("|",V165)+1,FIND("-",V165)-FIND("|",V165)-1))-VALUE(MID(V165,FIND("-",V165)+1,10)))))*$D$50),$D$9*(1-(IF($N165="X",ABS($O165-VALUE(MID(V165,FIND("|",V165)+1,FIND("-",V165)-FIND("|",V165)-1))),ABS($Q165-ABS(VALUE(MID(V165,FIND("|",V165)+1,FIND("-",V165)-FIND("|",V165)-1))-VALUE(MID(V165,FIND("-",V165)+1,10)))))*$D$50)))))*$I165,0)),0)</f>
        <v>0</v>
      </c>
      <c r="X165" s="102"/>
      <c r="Y165" s="67" t="s">
        <v>1953</v>
      </c>
      <c r="Z165" s="66">
        <f t="shared" ref="Z165:Z179" si="1966">IFERROR(IF($M165=Y165,($D$8+$D$9+$D$10)*$I165,IF($N165=LEFT(Y165,1),($D$8+MAX(0,IF($D$50=1,$D$9*(1-(ABS($Q165-ABS(VALUE(MID(Y165,FIND("|",Y165)+1,FIND("-",Y165)-FIND("|",Y165)-1))-VALUE(MID(Y165,FIND("-",Y165)+1,10)))))*$D$50),$D$9*(1-(IF($N165="X",ABS($O165-VALUE(MID(Y165,FIND("|",Y165)+1,FIND("-",Y165)-FIND("|",Y165)-1))),ABS($Q165-ABS(VALUE(MID(Y165,FIND("|",Y165)+1,FIND("-",Y165)-FIND("|",Y165)-1))-VALUE(MID(Y165,FIND("-",Y165)+1,10)))))*$D$50)))))*$I165,0)),0)</f>
        <v>0</v>
      </c>
      <c r="AA165" s="102"/>
      <c r="AB165" s="73" t="s">
        <v>1963</v>
      </c>
      <c r="AC165" s="66">
        <f t="shared" ref="AC165:AC179" si="1967">IFERROR(IF($M165=AB165,($D$8+$D$9+$D$10)*$I165,IF($N165=LEFT(AB165,1),($D$8+MAX(0,IF($D$50=1,$D$9*(1-(ABS($Q165-ABS(VALUE(MID(AB165,FIND("|",AB165)+1,FIND("-",AB165)-FIND("|",AB165)-1))-VALUE(MID(AB165,FIND("-",AB165)+1,10)))))*$D$50),$D$9*(1-(IF($N165="X",ABS($O165-VALUE(MID(AB165,FIND("|",AB165)+1,FIND("-",AB165)-FIND("|",AB165)-1))),ABS($Q165-ABS(VALUE(MID(AB165,FIND("|",AB165)+1,FIND("-",AB165)-FIND("|",AB165)-1))-VALUE(MID(AB165,FIND("-",AB165)+1,10)))))*$D$50)))))*$I165,0)),0)</f>
        <v>0</v>
      </c>
      <c r="AD165" s="102"/>
      <c r="AE165" s="67" t="s">
        <v>1953</v>
      </c>
      <c r="AF165" s="66">
        <f t="shared" ref="AF165:AF179" si="1968">IFERROR(IF($M165=AE165,($D$8+$D$9+$D$10)*$I165,IF($N165=LEFT(AE165,1),($D$8+MAX(0,IF($D$50=1,$D$9*(1-(ABS($Q165-ABS(VALUE(MID(AE165,FIND("|",AE165)+1,FIND("-",AE165)-FIND("|",AE165)-1))-VALUE(MID(AE165,FIND("-",AE165)+1,10)))))*$D$50),$D$9*(1-(IF($N165="X",ABS($O165-VALUE(MID(AE165,FIND("|",AE165)+1,FIND("-",AE165)-FIND("|",AE165)-1))),ABS($Q165-ABS(VALUE(MID(AE165,FIND("|",AE165)+1,FIND("-",AE165)-FIND("|",AE165)-1))-VALUE(MID(AE165,FIND("-",AE165)+1,10)))))*$D$50)))))*$I165,0)),0)</f>
        <v>0</v>
      </c>
      <c r="AG165" s="102"/>
      <c r="AH165" s="69" t="s">
        <v>1956</v>
      </c>
      <c r="AI165" s="66">
        <f t="shared" ref="AI165:AI179" si="1969">IFERROR(IF($M165=AH165,($D$8+$D$9+$D$10)*$I165,IF($N165=LEFT(AH165,1),($D$8+MAX(0,IF($D$50=1,$D$9*(1-(ABS($Q165-ABS(VALUE(MID(AH165,FIND("|",AH165)+1,FIND("-",AH165)-FIND("|",AH165)-1))-VALUE(MID(AH165,FIND("-",AH165)+1,10)))))*$D$50),$D$9*(1-(IF($N165="X",ABS($O165-VALUE(MID(AH165,FIND("|",AH165)+1,FIND("-",AH165)-FIND("|",AH165)-1))),ABS($Q165-ABS(VALUE(MID(AH165,FIND("|",AH165)+1,FIND("-",AH165)-FIND("|",AH165)-1))-VALUE(MID(AH165,FIND("-",AH165)+1,10)))))*$D$50)))))*$I165,0)),0)</f>
        <v>0</v>
      </c>
      <c r="AJ165" s="102"/>
      <c r="AK165" s="67" t="s">
        <v>1954</v>
      </c>
      <c r="AL165" s="66">
        <f t="shared" ref="AL165:AL179" si="1970">IFERROR(IF($M165=AK165,($D$8+$D$9+$D$10)*$I165,IF($N165=LEFT(AK165,1),($D$8+MAX(0,IF($D$50=1,$D$9*(1-(ABS($Q165-ABS(VALUE(MID(AK165,FIND("|",AK165)+1,FIND("-",AK165)-FIND("|",AK165)-1))-VALUE(MID(AK165,FIND("-",AK165)+1,10)))))*$D$50),$D$9*(1-(IF($N165="X",ABS($O165-VALUE(MID(AK165,FIND("|",AK165)+1,FIND("-",AK165)-FIND("|",AK165)-1))),ABS($Q165-ABS(VALUE(MID(AK165,FIND("|",AK165)+1,FIND("-",AK165)-FIND("|",AK165)-1))-VALUE(MID(AK165,FIND("-",AK165)+1,10)))))*$D$50)))))*$I165,0)),0)</f>
        <v>0</v>
      </c>
      <c r="AM165" s="102"/>
      <c r="AN165" s="67" t="s">
        <v>1947</v>
      </c>
      <c r="AO165" s="66">
        <f t="shared" ref="AO165:AO179" si="1971">IFERROR(IF($M165=AN165,($D$8+$D$9+$D$10)*$I165,IF($N165=LEFT(AN165,1),($D$8+MAX(0,IF($D$50=1,$D$9*(1-(ABS($Q165-ABS(VALUE(MID(AN165,FIND("|",AN165)+1,FIND("-",AN165)-FIND("|",AN165)-1))-VALUE(MID(AN165,FIND("-",AN165)+1,10)))))*$D$50),$D$9*(1-(IF($N165="X",ABS($O165-VALUE(MID(AN165,FIND("|",AN165)+1,FIND("-",AN165)-FIND("|",AN165)-1))),ABS($Q165-ABS(VALUE(MID(AN165,FIND("|",AN165)+1,FIND("-",AN165)-FIND("|",AN165)-1))-VALUE(MID(AN165,FIND("-",AN165)+1,10)))))*$D$50)))))*$I165,0)),0)</f>
        <v>0</v>
      </c>
      <c r="AP165" s="102"/>
      <c r="AQ165" s="73" t="s">
        <v>1953</v>
      </c>
      <c r="AR165" s="66">
        <f t="shared" ref="AR165:AR179" si="1972">IFERROR(IF($M165=AQ165,($D$8+$D$9+$D$10)*$I165,IF($N165=LEFT(AQ165,1),($D$8+MAX(0,IF($D$50=1,$D$9*(1-(ABS($Q165-ABS(VALUE(MID(AQ165,FIND("|",AQ165)+1,FIND("-",AQ165)-FIND("|",AQ165)-1))-VALUE(MID(AQ165,FIND("-",AQ165)+1,10)))))*$D$50),$D$9*(1-(IF($N165="X",ABS($O165-VALUE(MID(AQ165,FIND("|",AQ165)+1,FIND("-",AQ165)-FIND("|",AQ165)-1))),ABS($Q165-ABS(VALUE(MID(AQ165,FIND("|",AQ165)+1,FIND("-",AQ165)-FIND("|",AQ165)-1))-VALUE(MID(AQ165,FIND("-",AQ165)+1,10)))))*$D$50)))))*$I165,0)),0)</f>
        <v>0</v>
      </c>
      <c r="AS165" s="102"/>
      <c r="AT165" s="67" t="s">
        <v>1947</v>
      </c>
      <c r="AU165" s="66">
        <f t="shared" ref="AU165:AU179" si="1973">IFERROR(IF($M165=AT165,($D$8+$D$9+$D$10)*$I165,IF($N165=LEFT(AT165,1),($D$8+MAX(0,IF($D$50=1,$D$9*(1-(ABS($Q165-ABS(VALUE(MID(AT165,FIND("|",AT165)+1,FIND("-",AT165)-FIND("|",AT165)-1))-VALUE(MID(AT165,FIND("-",AT165)+1,10)))))*$D$50),$D$9*(1-(IF($N165="X",ABS($O165-VALUE(MID(AT165,FIND("|",AT165)+1,FIND("-",AT165)-FIND("|",AT165)-1))),ABS($Q165-ABS(VALUE(MID(AT165,FIND("|",AT165)+1,FIND("-",AT165)-FIND("|",AT165)-1))-VALUE(MID(AT165,FIND("-",AT165)+1,10)))))*$D$50)))))*$I165,0)),0)</f>
        <v>0</v>
      </c>
      <c r="AV165" s="102"/>
      <c r="AW165" s="69" t="s">
        <v>1947</v>
      </c>
      <c r="AX165" s="66">
        <f t="shared" ref="AX165:AX179" si="1974">IFERROR(IF($M165=AW165,($D$8+$D$9+$D$10)*$I165,IF($N165=LEFT(AW165,1),($D$8+MAX(0,IF($D$50=1,$D$9*(1-(ABS($Q165-ABS(VALUE(MID(AW165,FIND("|",AW165)+1,FIND("-",AW165)-FIND("|",AW165)-1))-VALUE(MID(AW165,FIND("-",AW165)+1,10)))))*$D$50),$D$9*(1-(IF($N165="X",ABS($O165-VALUE(MID(AW165,FIND("|",AW165)+1,FIND("-",AW165)-FIND("|",AW165)-1))),ABS($Q165-ABS(VALUE(MID(AW165,FIND("|",AW165)+1,FIND("-",AW165)-FIND("|",AW165)-1))-VALUE(MID(AW165,FIND("-",AW165)+1,10)))))*$D$50)))))*$I165,0)),0)</f>
        <v>0</v>
      </c>
      <c r="AY165" s="102"/>
      <c r="AZ165" s="67" t="s">
        <v>1947</v>
      </c>
      <c r="BA165" s="66">
        <f t="shared" ref="BA165:BA179" si="1975">IFERROR(IF($M165=AZ165,($D$8+$D$9+$D$10)*$I165,IF($N165=LEFT(AZ165,1),($D$8+MAX(0,IF($D$50=1,$D$9*(1-(ABS($Q165-ABS(VALUE(MID(AZ165,FIND("|",AZ165)+1,FIND("-",AZ165)-FIND("|",AZ165)-1))-VALUE(MID(AZ165,FIND("-",AZ165)+1,10)))))*$D$50),$D$9*(1-(IF($N165="X",ABS($O165-VALUE(MID(AZ165,FIND("|",AZ165)+1,FIND("-",AZ165)-FIND("|",AZ165)-1))),ABS($Q165-ABS(VALUE(MID(AZ165,FIND("|",AZ165)+1,FIND("-",AZ165)-FIND("|",AZ165)-1))-VALUE(MID(AZ165,FIND("-",AZ165)+1,10)))))*$D$50)))))*$I165,0)),0)</f>
        <v>0</v>
      </c>
      <c r="BB165" s="102"/>
      <c r="BC165" s="67" t="s">
        <v>1963</v>
      </c>
      <c r="BD165" s="66">
        <f t="shared" ref="BD165:BD179" si="1976">IFERROR(IF($M165=BC165,($D$8+$D$9+$D$10)*$I165,IF($N165=LEFT(BC165,1),($D$8+MAX(0,IF($D$50=1,$D$9*(1-(ABS($Q165-ABS(VALUE(MID(BC165,FIND("|",BC165)+1,FIND("-",BC165)-FIND("|",BC165)-1))-VALUE(MID(BC165,FIND("-",BC165)+1,10)))))*$D$50),$D$9*(1-(IF($N165="X",ABS($O165-VALUE(MID(BC165,FIND("|",BC165)+1,FIND("-",BC165)-FIND("|",BC165)-1))),ABS($Q165-ABS(VALUE(MID(BC165,FIND("|",BC165)+1,FIND("-",BC165)-FIND("|",BC165)-1))-VALUE(MID(BC165,FIND("-",BC165)+1,10)))))*$D$50)))))*$I165,0)),0)</f>
        <v>0</v>
      </c>
      <c r="BE165" s="102"/>
      <c r="BF165" s="73" t="s">
        <v>1956</v>
      </c>
      <c r="BG165" s="66">
        <f t="shared" ref="BG165:BG179" si="1977">IFERROR(IF($M165=BF165,($D$8+$D$9+$D$10)*$I165,IF($N165=LEFT(BF165,1),($D$8+MAX(0,IF($D$50=1,$D$9*(1-(ABS($Q165-ABS(VALUE(MID(BF165,FIND("|",BF165)+1,FIND("-",BF165)-FIND("|",BF165)-1))-VALUE(MID(BF165,FIND("-",BF165)+1,10)))))*$D$50),$D$9*(1-(IF($N165="X",ABS($O165-VALUE(MID(BF165,FIND("|",BF165)+1,FIND("-",BF165)-FIND("|",BF165)-1))),ABS($Q165-ABS(VALUE(MID(BF165,FIND("|",BF165)+1,FIND("-",BF165)-FIND("|",BF165)-1))-VALUE(MID(BF165,FIND("-",BF165)+1,10)))))*$D$50)))))*$I165,0)),0)</f>
        <v>0</v>
      </c>
      <c r="BH165" s="102"/>
      <c r="BI165" s="67" t="s">
        <v>1947</v>
      </c>
      <c r="BJ165" s="66">
        <f t="shared" ref="BJ165:BJ179" si="1978">IFERROR(IF($M165=BI165,($D$8+$D$9+$D$10)*$I165,IF($N165=LEFT(BI165,1),($D$8+MAX(0,IF($D$50=1,$D$9*(1-(ABS($Q165-ABS(VALUE(MID(BI165,FIND("|",BI165)+1,FIND("-",BI165)-FIND("|",BI165)-1))-VALUE(MID(BI165,FIND("-",BI165)+1,10)))))*$D$50),$D$9*(1-(IF($N165="X",ABS($O165-VALUE(MID(BI165,FIND("|",BI165)+1,FIND("-",BI165)-FIND("|",BI165)-1))),ABS($Q165-ABS(VALUE(MID(BI165,FIND("|",BI165)+1,FIND("-",BI165)-FIND("|",BI165)-1))-VALUE(MID(BI165,FIND("-",BI165)+1,10)))))*$D$50)))))*$I165,0)),0)</f>
        <v>0</v>
      </c>
      <c r="BK165" s="102"/>
      <c r="BL165" s="69" t="s">
        <v>1954</v>
      </c>
      <c r="BM165" s="66">
        <f t="shared" ref="BM165:BM179" si="1979">IFERROR(IF($M165=BL165,($D$8+$D$9+$D$10)*$I165,IF($N165=LEFT(BL165,1),($D$8+MAX(0,IF($D$50=1,$D$9*(1-(ABS($Q165-ABS(VALUE(MID(BL165,FIND("|",BL165)+1,FIND("-",BL165)-FIND("|",BL165)-1))-VALUE(MID(BL165,FIND("-",BL165)+1,10)))))*$D$50),$D$9*(1-(IF($N165="X",ABS($O165-VALUE(MID(BL165,FIND("|",BL165)+1,FIND("-",BL165)-FIND("|",BL165)-1))),ABS($Q165-ABS(VALUE(MID(BL165,FIND("|",BL165)+1,FIND("-",BL165)-FIND("|",BL165)-1))-VALUE(MID(BL165,FIND("-",BL165)+1,10)))))*$D$50)))))*$I165,0)),0)</f>
        <v>0</v>
      </c>
      <c r="BN165" s="102"/>
      <c r="BO165" s="67" t="s">
        <v>1948</v>
      </c>
      <c r="BP165" s="66">
        <f t="shared" ref="BP165:BP179" si="1980">IFERROR(IF($M165=BO165,($D$8+$D$9+$D$10)*$I165,IF($N165=LEFT(BO165,1),($D$8+MAX(0,IF($D$50=1,$D$9*(1-(ABS($Q165-ABS(VALUE(MID(BO165,FIND("|",BO165)+1,FIND("-",BO165)-FIND("|",BO165)-1))-VALUE(MID(BO165,FIND("-",BO165)+1,10)))))*$D$50),$D$9*(1-(IF($N165="X",ABS($O165-VALUE(MID(BO165,FIND("|",BO165)+1,FIND("-",BO165)-FIND("|",BO165)-1))),ABS($Q165-ABS(VALUE(MID(BO165,FIND("|",BO165)+1,FIND("-",BO165)-FIND("|",BO165)-1))-VALUE(MID(BO165,FIND("-",BO165)+1,10)))))*$D$50)))))*$I165,0)),0)</f>
        <v>0</v>
      </c>
      <c r="BQ165" s="102"/>
      <c r="BR165" s="67" t="s">
        <v>1953</v>
      </c>
      <c r="BS165" s="66">
        <f t="shared" ref="BS165:BS179" si="1981">IFERROR(IF($M165=BR165,($D$8+$D$9+$D$10)*$I165,IF($N165=LEFT(BR165,1),($D$8+MAX(0,IF($D$50=1,$D$9*(1-(ABS($Q165-ABS(VALUE(MID(BR165,FIND("|",BR165)+1,FIND("-",BR165)-FIND("|",BR165)-1))-VALUE(MID(BR165,FIND("-",BR165)+1,10)))))*$D$50),$D$9*(1-(IF($N165="X",ABS($O165-VALUE(MID(BR165,FIND("|",BR165)+1,FIND("-",BR165)-FIND("|",BR165)-1))),ABS($Q165-ABS(VALUE(MID(BR165,FIND("|",BR165)+1,FIND("-",BR165)-FIND("|",BR165)-1))-VALUE(MID(BR165,FIND("-",BR165)+1,10)))))*$D$50)))))*$I165,0)),0)</f>
        <v>0</v>
      </c>
      <c r="BT165" s="102"/>
      <c r="BU165" s="73"/>
      <c r="BV165" s="66">
        <f t="shared" ref="BV165:BV179" si="1982">IFERROR(IF($M165=BU165,($D$8+$D$9+$D$10)*$I165,IF($N165=LEFT(BU165,1),($D$8+MAX(0,IF($D$50=1,$D$9*(1-(ABS($Q165-ABS(VALUE(MID(BU165,FIND("|",BU165)+1,FIND("-",BU165)-FIND("|",BU165)-1))-VALUE(MID(BU165,FIND("-",BU165)+1,10)))))*$D$50),$D$9*(1-(IF($N165="X",ABS($O165-VALUE(MID(BU165,FIND("|",BU165)+1,FIND("-",BU165)-FIND("|",BU165)-1))),ABS($Q165-ABS(VALUE(MID(BU165,FIND("|",BU165)+1,FIND("-",BU165)-FIND("|",BU165)-1))-VALUE(MID(BU165,FIND("-",BU165)+1,10)))))*$D$50)))))*$I165,0)),0)</f>
        <v>0</v>
      </c>
      <c r="BW165" s="102"/>
      <c r="BX165" s="67"/>
      <c r="BY165" s="66">
        <f t="shared" ref="BY165:BY179" si="1983">IFERROR(IF($M165=BX165,($D$8+$D$9+$D$10)*$I165,IF($N165=LEFT(BX165,1),($D$8+MAX(0,IF($D$50=1,$D$9*(1-(ABS($Q165-ABS(VALUE(MID(BX165,FIND("|",BX165)+1,FIND("-",BX165)-FIND("|",BX165)-1))-VALUE(MID(BX165,FIND("-",BX165)+1,10)))))*$D$50),$D$9*(1-(IF($N165="X",ABS($O165-VALUE(MID(BX165,FIND("|",BX165)+1,FIND("-",BX165)-FIND("|",BX165)-1))),ABS($Q165-ABS(VALUE(MID(BX165,FIND("|",BX165)+1,FIND("-",BX165)-FIND("|",BX165)-1))-VALUE(MID(BX165,FIND("-",BX165)+1,10)))))*$D$50)))))*$I165,0)),0)</f>
        <v>0</v>
      </c>
      <c r="BZ165" s="102"/>
      <c r="CA165" s="69"/>
      <c r="CB165" s="66">
        <f t="shared" ref="CB165:CB179" si="1984">IFERROR(IF($M165=CA165,($D$8+$D$9+$D$10)*$I165,IF($N165=LEFT(CA165,1),($D$8+MAX(0,IF($D$50=1,$D$9*(1-(ABS($Q165-ABS(VALUE(MID(CA165,FIND("|",CA165)+1,FIND("-",CA165)-FIND("|",CA165)-1))-VALUE(MID(CA165,FIND("-",CA165)+1,10)))))*$D$50),$D$9*(1-(IF($N165="X",ABS($O165-VALUE(MID(CA165,FIND("|",CA165)+1,FIND("-",CA165)-FIND("|",CA165)-1))),ABS($Q165-ABS(VALUE(MID(CA165,FIND("|",CA165)+1,FIND("-",CA165)-FIND("|",CA165)-1))-VALUE(MID(CA165,FIND("-",CA165)+1,10)))))*$D$50)))))*$I165,0)),0)</f>
        <v>0</v>
      </c>
      <c r="CC165" s="102"/>
      <c r="CD165" s="67"/>
      <c r="CE165" s="66">
        <f t="shared" ref="CE165:CE179" si="1985">IFERROR(IF($M165=CD165,($D$8+$D$9+$D$10)*$I165,IF($N165=LEFT(CD165,1),($D$8+MAX(0,IF($D$50=1,$D$9*(1-(ABS($Q165-ABS(VALUE(MID(CD165,FIND("|",CD165)+1,FIND("-",CD165)-FIND("|",CD165)-1))-VALUE(MID(CD165,FIND("-",CD165)+1,10)))))*$D$50),$D$9*(1-(IF($N165="X",ABS($O165-VALUE(MID(CD165,FIND("|",CD165)+1,FIND("-",CD165)-FIND("|",CD165)-1))),ABS($Q165-ABS(VALUE(MID(CD165,FIND("|",CD165)+1,FIND("-",CD165)-FIND("|",CD165)-1))-VALUE(MID(CD165,FIND("-",CD165)+1,10)))))*$D$50)))))*$I165,0)),0)</f>
        <v>0</v>
      </c>
      <c r="CF165" s="102"/>
      <c r="CG165" s="67"/>
      <c r="CH165" s="66">
        <f t="shared" ref="CH165:CH179" si="1986">IFERROR(IF($M165=CG165,($D$8+$D$9+$D$10)*$I165,IF($N165=LEFT(CG165,1),($D$8+MAX(0,IF($D$50=1,$D$9*(1-(ABS($Q165-ABS(VALUE(MID(CG165,FIND("|",CG165)+1,FIND("-",CG165)-FIND("|",CG165)-1))-VALUE(MID(CG165,FIND("-",CG165)+1,10)))))*$D$50),$D$9*(1-(IF($N165="X",ABS($O165-VALUE(MID(CG165,FIND("|",CG165)+1,FIND("-",CG165)-FIND("|",CG165)-1))),ABS($Q165-ABS(VALUE(MID(CG165,FIND("|",CG165)+1,FIND("-",CG165)-FIND("|",CG165)-1))-VALUE(MID(CG165,FIND("-",CG165)+1,10)))))*$D$50)))))*$I165,0)),0)</f>
        <v>0</v>
      </c>
      <c r="CI165" s="102"/>
      <c r="CJ165" s="73"/>
      <c r="CK165" s="66">
        <f t="shared" ref="CK165:CK179" si="1987">IFERROR(IF($M165=CJ165,($D$8+$D$9+$D$10)*$I165,IF($N165=LEFT(CJ165,1),($D$8+MAX(0,IF($D$50=1,$D$9*(1-(ABS($Q165-ABS(VALUE(MID(CJ165,FIND("|",CJ165)+1,FIND("-",CJ165)-FIND("|",CJ165)-1))-VALUE(MID(CJ165,FIND("-",CJ165)+1,10)))))*$D$50),$D$9*(1-(IF($N165="X",ABS($O165-VALUE(MID(CJ165,FIND("|",CJ165)+1,FIND("-",CJ165)-FIND("|",CJ165)-1))),ABS($Q165-ABS(VALUE(MID(CJ165,FIND("|",CJ165)+1,FIND("-",CJ165)-FIND("|",CJ165)-1))-VALUE(MID(CJ165,FIND("-",CJ165)+1,10)))))*$D$50)))))*$I165,0)),0)</f>
        <v>0</v>
      </c>
      <c r="CL165" s="102"/>
      <c r="CM165" s="67"/>
      <c r="CN165" s="66">
        <f t="shared" ref="CN165:CN179" si="1988">IFERROR(IF($M165=CM165,($D$8+$D$9+$D$10)*$I165,IF($N165=LEFT(CM165,1),($D$8+MAX(0,IF($D$50=1,$D$9*(1-(ABS($Q165-ABS(VALUE(MID(CM165,FIND("|",CM165)+1,FIND("-",CM165)-FIND("|",CM165)-1))-VALUE(MID(CM165,FIND("-",CM165)+1,10)))))*$D$50),$D$9*(1-(IF($N165="X",ABS($O165-VALUE(MID(CM165,FIND("|",CM165)+1,FIND("-",CM165)-FIND("|",CM165)-1))),ABS($Q165-ABS(VALUE(MID(CM165,FIND("|",CM165)+1,FIND("-",CM165)-FIND("|",CM165)-1))-VALUE(MID(CM165,FIND("-",CM165)+1,10)))))*$D$50)))))*$I165,0)),0)</f>
        <v>0</v>
      </c>
      <c r="CO165" s="102"/>
      <c r="CP165" s="69"/>
      <c r="CQ165" s="66">
        <f t="shared" ref="CQ165:CQ179" si="1989">IFERROR(IF($M165=CP165,($D$8+$D$9+$D$10)*$I165,IF($N165=LEFT(CP165,1),($D$8+MAX(0,IF($D$50=1,$D$9*(1-(ABS($Q165-ABS(VALUE(MID(CP165,FIND("|",CP165)+1,FIND("-",CP165)-FIND("|",CP165)-1))-VALUE(MID(CP165,FIND("-",CP165)+1,10)))))*$D$50),$D$9*(1-(IF($N165="X",ABS($O165-VALUE(MID(CP165,FIND("|",CP165)+1,FIND("-",CP165)-FIND("|",CP165)-1))),ABS($Q165-ABS(VALUE(MID(CP165,FIND("|",CP165)+1,FIND("-",CP165)-FIND("|",CP165)-1))-VALUE(MID(CP165,FIND("-",CP165)+1,10)))))*$D$50)))))*$I165,0)),0)</f>
        <v>0</v>
      </c>
      <c r="CR165" s="102"/>
      <c r="CS165" s="67"/>
      <c r="CT165" s="66">
        <f t="shared" ref="CT165:CT179" si="1990">IFERROR(IF($M165=CS165,($D$8+$D$9+$D$10)*$I165,IF($N165=LEFT(CS165,1),($D$8+MAX(0,IF($D$50=1,$D$9*(1-(ABS($Q165-ABS(VALUE(MID(CS165,FIND("|",CS165)+1,FIND("-",CS165)-FIND("|",CS165)-1))-VALUE(MID(CS165,FIND("-",CS165)+1,10)))))*$D$50),$D$9*(1-(IF($N165="X",ABS($O165-VALUE(MID(CS165,FIND("|",CS165)+1,FIND("-",CS165)-FIND("|",CS165)-1))),ABS($Q165-ABS(VALUE(MID(CS165,FIND("|",CS165)+1,FIND("-",CS165)-FIND("|",CS165)-1))-VALUE(MID(CS165,FIND("-",CS165)+1,10)))))*$D$50)))))*$I165,0)),0)</f>
        <v>0</v>
      </c>
      <c r="CU165" s="102"/>
      <c r="CV165" s="67"/>
      <c r="CW165" s="66">
        <f t="shared" ref="CW165:CW179" si="1991">IFERROR(IF($M165=CV165,($D$8+$D$9+$D$10)*$I165,IF($N165=LEFT(CV165,1),($D$8+MAX(0,IF($D$50=1,$D$9*(1-(ABS($Q165-ABS(VALUE(MID(CV165,FIND("|",CV165)+1,FIND("-",CV165)-FIND("|",CV165)-1))-VALUE(MID(CV165,FIND("-",CV165)+1,10)))))*$D$50),$D$9*(1-(IF($N165="X",ABS($O165-VALUE(MID(CV165,FIND("|",CV165)+1,FIND("-",CV165)-FIND("|",CV165)-1))),ABS($Q165-ABS(VALUE(MID(CV165,FIND("|",CV165)+1,FIND("-",CV165)-FIND("|",CV165)-1))-VALUE(MID(CV165,FIND("-",CV165)+1,10)))))*$D$50)))))*$I165,0)),0)</f>
        <v>0</v>
      </c>
      <c r="CX165" s="102"/>
      <c r="CY165" s="73"/>
      <c r="CZ165" s="66">
        <f t="shared" ref="CZ165:CZ179" si="1992">IFERROR(IF($M165=CY165,($D$8+$D$9+$D$10)*$I165,IF($N165=LEFT(CY165,1),($D$8+MAX(0,IF($D$50=1,$D$9*(1-(ABS($Q165-ABS(VALUE(MID(CY165,FIND("|",CY165)+1,FIND("-",CY165)-FIND("|",CY165)-1))-VALUE(MID(CY165,FIND("-",CY165)+1,10)))))*$D$50),$D$9*(1-(IF($N165="X",ABS($O165-VALUE(MID(CY165,FIND("|",CY165)+1,FIND("-",CY165)-FIND("|",CY165)-1))),ABS($Q165-ABS(VALUE(MID(CY165,FIND("|",CY165)+1,FIND("-",CY165)-FIND("|",CY165)-1))-VALUE(MID(CY165,FIND("-",CY165)+1,10)))))*$D$50)))))*$I165,0)),0)</f>
        <v>0</v>
      </c>
      <c r="DA165" s="102"/>
      <c r="DB165" s="67"/>
      <c r="DC165" s="66">
        <f t="shared" ref="DC165:DC179" si="1993">IFERROR(IF($M165=DB165,($D$8+$D$9+$D$10)*$I165,IF($N165=LEFT(DB165,1),($D$8+MAX(0,IF($D$50=1,$D$9*(1-(ABS($Q165-ABS(VALUE(MID(DB165,FIND("|",DB165)+1,FIND("-",DB165)-FIND("|",DB165)-1))-VALUE(MID(DB165,FIND("-",DB165)+1,10)))))*$D$50),$D$9*(1-(IF($N165="X",ABS($O165-VALUE(MID(DB165,FIND("|",DB165)+1,FIND("-",DB165)-FIND("|",DB165)-1))),ABS($Q165-ABS(VALUE(MID(DB165,FIND("|",DB165)+1,FIND("-",DB165)-FIND("|",DB165)-1))-VALUE(MID(DB165,FIND("-",DB165)+1,10)))))*$D$50)))))*$I165,0)),0)</f>
        <v>0</v>
      </c>
      <c r="DD165" s="102"/>
      <c r="DE165" s="69"/>
      <c r="DF165" s="66">
        <f t="shared" ref="DF165:DF179" si="1994">IFERROR(IF($M165=DE165,($D$8+$D$9+$D$10)*$I165,IF($N165=LEFT(DE165,1),($D$8+MAX(0,IF($D$50=1,$D$9*(1-(ABS($Q165-ABS(VALUE(MID(DE165,FIND("|",DE165)+1,FIND("-",DE165)-FIND("|",DE165)-1))-VALUE(MID(DE165,FIND("-",DE165)+1,10)))))*$D$50),$D$9*(1-(IF($N165="X",ABS($O165-VALUE(MID(DE165,FIND("|",DE165)+1,FIND("-",DE165)-FIND("|",DE165)-1))),ABS($Q165-ABS(VALUE(MID(DE165,FIND("|",DE165)+1,FIND("-",DE165)-FIND("|",DE165)-1))-VALUE(MID(DE165,FIND("-",DE165)+1,10)))))*$D$50)))))*$I165,0)),0)</f>
        <v>0</v>
      </c>
      <c r="DG165" s="102"/>
      <c r="DH165" s="67"/>
      <c r="DI165" s="66">
        <f t="shared" ref="DI165:DI179" si="1995">IFERROR(IF($M165=DH165,($D$8+$D$9+$D$10)*$I165,IF($N165=LEFT(DH165,1),($D$8+MAX(0,IF($D$50=1,$D$9*(1-(ABS($Q165-ABS(VALUE(MID(DH165,FIND("|",DH165)+1,FIND("-",DH165)-FIND("|",DH165)-1))-VALUE(MID(DH165,FIND("-",DH165)+1,10)))))*$D$50),$D$9*(1-(IF($N165="X",ABS($O165-VALUE(MID(DH165,FIND("|",DH165)+1,FIND("-",DH165)-FIND("|",DH165)-1))),ABS($Q165-ABS(VALUE(MID(DH165,FIND("|",DH165)+1,FIND("-",DH165)-FIND("|",DH165)-1))-VALUE(MID(DH165,FIND("-",DH165)+1,10)))))*$D$50)))))*$I165,0)),0)</f>
        <v>0</v>
      </c>
      <c r="DJ165" s="102"/>
      <c r="DK165" s="67"/>
      <c r="DL165" s="66">
        <f t="shared" ref="DL165:DL179" si="1996">IFERROR(IF($M165=DK165,($D$8+$D$9+$D$10)*$I165,IF($N165=LEFT(DK165,1),($D$8+MAX(0,IF($D$50=1,$D$9*(1-(ABS($Q165-ABS(VALUE(MID(DK165,FIND("|",DK165)+1,FIND("-",DK165)-FIND("|",DK165)-1))-VALUE(MID(DK165,FIND("-",DK165)+1,10)))))*$D$50),$D$9*(1-(IF($N165="X",ABS($O165-VALUE(MID(DK165,FIND("|",DK165)+1,FIND("-",DK165)-FIND("|",DK165)-1))),ABS($Q165-ABS(VALUE(MID(DK165,FIND("|",DK165)+1,FIND("-",DK165)-FIND("|",DK165)-1))-VALUE(MID(DK165,FIND("-",DK165)+1,10)))))*$D$50)))))*$I165,0)),0)</f>
        <v>0</v>
      </c>
      <c r="DM165" s="102"/>
      <c r="DN165" s="73"/>
      <c r="DO165" s="66">
        <f t="shared" ref="DO165:DO179" si="1997">IFERROR(IF($M165=DN165,($D$8+$D$9+$D$10)*$I165,IF($N165=LEFT(DN165,1),($D$8+MAX(0,IF($D$50=1,$D$9*(1-(ABS($Q165-ABS(VALUE(MID(DN165,FIND("|",DN165)+1,FIND("-",DN165)-FIND("|",DN165)-1))-VALUE(MID(DN165,FIND("-",DN165)+1,10)))))*$D$50),$D$9*(1-(IF($N165="X",ABS($O165-VALUE(MID(DN165,FIND("|",DN165)+1,FIND("-",DN165)-FIND("|",DN165)-1))),ABS($Q165-ABS(VALUE(MID(DN165,FIND("|",DN165)+1,FIND("-",DN165)-FIND("|",DN165)-1))-VALUE(MID(DN165,FIND("-",DN165)+1,10)))))*$D$50)))))*$I165,0)),0)</f>
        <v>0</v>
      </c>
      <c r="DP165" s="102"/>
      <c r="DQ165" s="67"/>
      <c r="DR165" s="66">
        <f t="shared" ref="DR165:DR179" si="1998">IFERROR(IF($M165=DQ165,($D$8+$D$9+$D$10)*$I165,IF($N165=LEFT(DQ165,1),($D$8+MAX(0,IF($D$50=1,$D$9*(1-(ABS($Q165-ABS(VALUE(MID(DQ165,FIND("|",DQ165)+1,FIND("-",DQ165)-FIND("|",DQ165)-1))-VALUE(MID(DQ165,FIND("-",DQ165)+1,10)))))*$D$50),$D$9*(1-(IF($N165="X",ABS($O165-VALUE(MID(DQ165,FIND("|",DQ165)+1,FIND("-",DQ165)-FIND("|",DQ165)-1))),ABS($Q165-ABS(VALUE(MID(DQ165,FIND("|",DQ165)+1,FIND("-",DQ165)-FIND("|",DQ165)-1))-VALUE(MID(DQ165,FIND("-",DQ165)+1,10)))))*$D$50)))))*$I165,0)),0)</f>
        <v>0</v>
      </c>
      <c r="DS165" s="102"/>
      <c r="DT165" s="69"/>
      <c r="DU165" s="66">
        <f t="shared" ref="DU165:DU179" si="1999">IFERROR(IF($M165=DT165,($D$8+$D$9+$D$10)*$I165,IF($N165=LEFT(DT165,1),($D$8+MAX(0,IF($D$50=1,$D$9*(1-(ABS($Q165-ABS(VALUE(MID(DT165,FIND("|",DT165)+1,FIND("-",DT165)-FIND("|",DT165)-1))-VALUE(MID(DT165,FIND("-",DT165)+1,10)))))*$D$50),$D$9*(1-(IF($N165="X",ABS($O165-VALUE(MID(DT165,FIND("|",DT165)+1,FIND("-",DT165)-FIND("|",DT165)-1))),ABS($Q165-ABS(VALUE(MID(DT165,FIND("|",DT165)+1,FIND("-",DT165)-FIND("|",DT165)-1))-VALUE(MID(DT165,FIND("-",DT165)+1,10)))))*$D$50)))))*$I165,0)),0)</f>
        <v>0</v>
      </c>
      <c r="DV165" s="102"/>
      <c r="DW165" s="67"/>
      <c r="DX165" s="66">
        <f t="shared" ref="DX165:DX179" si="2000">IFERROR(IF($M165=DW165,($D$8+$D$9+$D$10)*$I165,IF($N165=LEFT(DW165,1),($D$8+MAX(0,IF($D$50=1,$D$9*(1-(ABS($Q165-ABS(VALUE(MID(DW165,FIND("|",DW165)+1,FIND("-",DW165)-FIND("|",DW165)-1))-VALUE(MID(DW165,FIND("-",DW165)+1,10)))))*$D$50),$D$9*(1-(IF($N165="X",ABS($O165-VALUE(MID(DW165,FIND("|",DW165)+1,FIND("-",DW165)-FIND("|",DW165)-1))),ABS($Q165-ABS(VALUE(MID(DW165,FIND("|",DW165)+1,FIND("-",DW165)-FIND("|",DW165)-1))-VALUE(MID(DW165,FIND("-",DW165)+1,10)))))*$D$50)))))*$I165,0)),0)</f>
        <v>0</v>
      </c>
      <c r="DY165" s="102"/>
      <c r="DZ165" s="67"/>
      <c r="EA165" s="66">
        <f t="shared" ref="EA165:EA179" si="2001">IFERROR(IF($M165=DZ165,($D$8+$D$9+$D$10)*$I165,IF($N165=LEFT(DZ165,1),($D$8+MAX(0,IF($D$50=1,$D$9*(1-(ABS($Q165-ABS(VALUE(MID(DZ165,FIND("|",DZ165)+1,FIND("-",DZ165)-FIND("|",DZ165)-1))-VALUE(MID(DZ165,FIND("-",DZ165)+1,10)))))*$D$50),$D$9*(1-(IF($N165="X",ABS($O165-VALUE(MID(DZ165,FIND("|",DZ165)+1,FIND("-",DZ165)-FIND("|",DZ165)-1))),ABS($Q165-ABS(VALUE(MID(DZ165,FIND("|",DZ165)+1,FIND("-",DZ165)-FIND("|",DZ165)-1))-VALUE(MID(DZ165,FIND("-",DZ165)+1,10)))))*$D$50)))))*$I165,0)),0)</f>
        <v>0</v>
      </c>
      <c r="EB165" s="102"/>
      <c r="EC165" s="73"/>
      <c r="ED165" s="66">
        <f t="shared" ref="ED165:ED179" si="2002">IFERROR(IF($M165=EC165,($D$8+$D$9+$D$10)*$I165,IF($N165=LEFT(EC165,1),($D$8+MAX(0,IF($D$50=1,$D$9*(1-(ABS($Q165-ABS(VALUE(MID(EC165,FIND("|",EC165)+1,FIND("-",EC165)-FIND("|",EC165)-1))-VALUE(MID(EC165,FIND("-",EC165)+1,10)))))*$D$50),$D$9*(1-(IF($N165="X",ABS($O165-VALUE(MID(EC165,FIND("|",EC165)+1,FIND("-",EC165)-FIND("|",EC165)-1))),ABS($Q165-ABS(VALUE(MID(EC165,FIND("|",EC165)+1,FIND("-",EC165)-FIND("|",EC165)-1))-VALUE(MID(EC165,FIND("-",EC165)+1,10)))))*$D$50)))))*$I165,0)),0)</f>
        <v>0</v>
      </c>
      <c r="EE165" s="102"/>
      <c r="EF165" s="67"/>
      <c r="EG165" s="66">
        <f t="shared" ref="EG165:EG179" si="2003">IFERROR(IF($M165=EF165,($D$8+$D$9+$D$10)*$I165,IF($N165=LEFT(EF165,1),($D$8+MAX(0,IF($D$50=1,$D$9*(1-(ABS($Q165-ABS(VALUE(MID(EF165,FIND("|",EF165)+1,FIND("-",EF165)-FIND("|",EF165)-1))-VALUE(MID(EF165,FIND("-",EF165)+1,10)))))*$D$50),$D$9*(1-(IF($N165="X",ABS($O165-VALUE(MID(EF165,FIND("|",EF165)+1,FIND("-",EF165)-FIND("|",EF165)-1))),ABS($Q165-ABS(VALUE(MID(EF165,FIND("|",EF165)+1,FIND("-",EF165)-FIND("|",EF165)-1))-VALUE(MID(EF165,FIND("-",EF165)+1,10)))))*$D$50)))))*$I165,0)),0)</f>
        <v>0</v>
      </c>
      <c r="EH165" s="102"/>
      <c r="EI165" s="102"/>
    </row>
    <row r="166" spans="1:139">
      <c r="A166" s="711">
        <f>WORLDCUP!AD103</f>
        <v>0</v>
      </c>
      <c r="B166" s="711">
        <f>WORLDCUP!AC103</f>
        <v>0</v>
      </c>
      <c r="C166" s="805" t="str">
        <f ca="1">CONCATENATE(WORLDCUP!AF103,"-",WORLDCUP!AA103)</f>
        <v>3ABCDF-1E</v>
      </c>
      <c r="D166" s="805" t="str">
        <f>IF(WORLDCUP!AC103&gt;WORLDCUP!AD103,2,IF(WORLDCUP!AC103&lt;WORLDCUP!AD103,1,IF(AND(WORLDCUP!AC103=WORLDCUP!AD103,WORLDCUP!AC103&lt;&gt;"",WORLDCUP!AD103&lt;&gt;""),0,"PD")))</f>
        <v>PD</v>
      </c>
      <c r="E166" s="805" t="str">
        <f>IF(OR(WORLDCUP!AC103="",WORLDCUP!AD103=""),"-",A166&amp;"-"&amp;B166)</f>
        <v>-</v>
      </c>
      <c r="F166" s="806">
        <f t="shared" si="1962"/>
        <v>17</v>
      </c>
      <c r="G166" s="806">
        <f ca="1">VLOOKUP(H166,Equipos!$Q$1:$R$25,2,0)</f>
        <v>20</v>
      </c>
      <c r="H166" s="807" t="str">
        <f>Idiomas!$D$260</f>
        <v>Dieciseisavos de final</v>
      </c>
      <c r="I166" s="808">
        <v>1</v>
      </c>
      <c r="J166" s="859"/>
      <c r="K166" s="49" t="str">
        <f ca="1">CONCATENATE(WORLDCUP!AA103,"-",WORLDCUP!AF103)</f>
        <v>1E-3ABCDF</v>
      </c>
      <c r="L166" s="46"/>
      <c r="M166" s="48" t="str">
        <f>IF(OR(WORLDCUP!AC103="",WORLDCUP!AD103=""),"-",N166&amp;"|"&amp;O166&amp;"-"&amp;P166)</f>
        <v>-</v>
      </c>
      <c r="N166" s="711" t="str">
        <f>IF(OR(WORLDCUP!AC103="",WORLDCUP!AD103=""),"",IF(WORLDCUP!AC103&gt;WORLDCUP!AD103,"1",IF(WORLDCUP!AC103&lt;WORLDCUP!AD103,"2","X")))</f>
        <v/>
      </c>
      <c r="O166" s="711">
        <f>WORLDCUP!AC103</f>
        <v>0</v>
      </c>
      <c r="P166" s="711">
        <f>WORLDCUP!AD103</f>
        <v>0</v>
      </c>
      <c r="Q166" s="711">
        <f t="shared" si="1963"/>
        <v>0</v>
      </c>
      <c r="R166" s="102"/>
      <c r="S166" s="67" t="s">
        <v>1959</v>
      </c>
      <c r="T166" s="66">
        <f t="shared" si="1964"/>
        <v>0</v>
      </c>
      <c r="U166" s="102"/>
      <c r="V166" s="67" t="s">
        <v>1953</v>
      </c>
      <c r="W166" s="66">
        <f t="shared" si="1965"/>
        <v>0</v>
      </c>
      <c r="X166" s="102"/>
      <c r="Y166" s="67" t="s">
        <v>1947</v>
      </c>
      <c r="Z166" s="66">
        <f t="shared" si="1966"/>
        <v>0</v>
      </c>
      <c r="AA166" s="102"/>
      <c r="AB166" s="73" t="s">
        <v>1956</v>
      </c>
      <c r="AC166" s="66">
        <f t="shared" si="1967"/>
        <v>0</v>
      </c>
      <c r="AD166" s="102"/>
      <c r="AE166" s="67" t="s">
        <v>1954</v>
      </c>
      <c r="AF166" s="66">
        <f t="shared" si="1968"/>
        <v>0</v>
      </c>
      <c r="AG166" s="102"/>
      <c r="AH166" s="67" t="s">
        <v>1959</v>
      </c>
      <c r="AI166" s="66">
        <f t="shared" si="1969"/>
        <v>0</v>
      </c>
      <c r="AJ166" s="102"/>
      <c r="AK166" s="67" t="s">
        <v>1953</v>
      </c>
      <c r="AL166" s="66">
        <f t="shared" si="1970"/>
        <v>0</v>
      </c>
      <c r="AM166" s="102"/>
      <c r="AN166" s="67" t="s">
        <v>1953</v>
      </c>
      <c r="AO166" s="66">
        <f t="shared" si="1971"/>
        <v>0</v>
      </c>
      <c r="AP166" s="102"/>
      <c r="AQ166" s="73" t="s">
        <v>1953</v>
      </c>
      <c r="AR166" s="66">
        <f t="shared" si="1972"/>
        <v>0</v>
      </c>
      <c r="AS166" s="102"/>
      <c r="AT166" s="67" t="s">
        <v>1948</v>
      </c>
      <c r="AU166" s="66">
        <f t="shared" si="1973"/>
        <v>0</v>
      </c>
      <c r="AV166" s="102"/>
      <c r="AW166" s="67" t="s">
        <v>1956</v>
      </c>
      <c r="AX166" s="66">
        <f t="shared" si="1974"/>
        <v>0</v>
      </c>
      <c r="AY166" s="102"/>
      <c r="AZ166" s="67" t="s">
        <v>1959</v>
      </c>
      <c r="BA166" s="66">
        <f t="shared" si="1975"/>
        <v>0</v>
      </c>
      <c r="BB166" s="102"/>
      <c r="BC166" s="67" t="s">
        <v>1947</v>
      </c>
      <c r="BD166" s="66">
        <f t="shared" si="1976"/>
        <v>0</v>
      </c>
      <c r="BE166" s="102"/>
      <c r="BF166" s="73" t="s">
        <v>1953</v>
      </c>
      <c r="BG166" s="66">
        <f t="shared" si="1977"/>
        <v>0</v>
      </c>
      <c r="BH166" s="102"/>
      <c r="BI166" s="67" t="s">
        <v>1953</v>
      </c>
      <c r="BJ166" s="66">
        <f t="shared" si="1978"/>
        <v>0</v>
      </c>
      <c r="BK166" s="102"/>
      <c r="BL166" s="67" t="s">
        <v>1953</v>
      </c>
      <c r="BM166" s="66">
        <f t="shared" si="1979"/>
        <v>0</v>
      </c>
      <c r="BN166" s="102"/>
      <c r="BO166" s="67" t="s">
        <v>1947</v>
      </c>
      <c r="BP166" s="66">
        <f t="shared" si="1980"/>
        <v>0</v>
      </c>
      <c r="BQ166" s="102"/>
      <c r="BR166" s="67" t="s">
        <v>1947</v>
      </c>
      <c r="BS166" s="66">
        <f t="shared" si="1981"/>
        <v>0</v>
      </c>
      <c r="BT166" s="102"/>
      <c r="BU166" s="73"/>
      <c r="BV166" s="66">
        <f t="shared" si="1982"/>
        <v>0</v>
      </c>
      <c r="BW166" s="102"/>
      <c r="BX166" s="67"/>
      <c r="BY166" s="66">
        <f t="shared" si="1983"/>
        <v>0</v>
      </c>
      <c r="BZ166" s="102"/>
      <c r="CA166" s="67"/>
      <c r="CB166" s="66">
        <f t="shared" si="1984"/>
        <v>0</v>
      </c>
      <c r="CC166" s="102"/>
      <c r="CD166" s="67"/>
      <c r="CE166" s="66">
        <f t="shared" si="1985"/>
        <v>0</v>
      </c>
      <c r="CF166" s="102"/>
      <c r="CG166" s="67"/>
      <c r="CH166" s="66">
        <f t="shared" si="1986"/>
        <v>0</v>
      </c>
      <c r="CI166" s="102"/>
      <c r="CJ166" s="73"/>
      <c r="CK166" s="66">
        <f t="shared" si="1987"/>
        <v>0</v>
      </c>
      <c r="CL166" s="102"/>
      <c r="CM166" s="67"/>
      <c r="CN166" s="66">
        <f t="shared" si="1988"/>
        <v>0</v>
      </c>
      <c r="CO166" s="102"/>
      <c r="CP166" s="67"/>
      <c r="CQ166" s="66">
        <f t="shared" si="1989"/>
        <v>0</v>
      </c>
      <c r="CR166" s="102"/>
      <c r="CS166" s="67"/>
      <c r="CT166" s="66">
        <f t="shared" si="1990"/>
        <v>0</v>
      </c>
      <c r="CU166" s="102"/>
      <c r="CV166" s="67"/>
      <c r="CW166" s="66">
        <f t="shared" si="1991"/>
        <v>0</v>
      </c>
      <c r="CX166" s="102"/>
      <c r="CY166" s="73"/>
      <c r="CZ166" s="66">
        <f t="shared" si="1992"/>
        <v>0</v>
      </c>
      <c r="DA166" s="102"/>
      <c r="DB166" s="67"/>
      <c r="DC166" s="66">
        <f t="shared" si="1993"/>
        <v>0</v>
      </c>
      <c r="DD166" s="102"/>
      <c r="DE166" s="67"/>
      <c r="DF166" s="66">
        <f t="shared" si="1994"/>
        <v>0</v>
      </c>
      <c r="DG166" s="102"/>
      <c r="DH166" s="67"/>
      <c r="DI166" s="66">
        <f t="shared" si="1995"/>
        <v>0</v>
      </c>
      <c r="DJ166" s="102"/>
      <c r="DK166" s="67"/>
      <c r="DL166" s="66">
        <f t="shared" si="1996"/>
        <v>0</v>
      </c>
      <c r="DM166" s="102"/>
      <c r="DN166" s="73"/>
      <c r="DO166" s="66">
        <f t="shared" si="1997"/>
        <v>0</v>
      </c>
      <c r="DP166" s="102"/>
      <c r="DQ166" s="67"/>
      <c r="DR166" s="66">
        <f t="shared" si="1998"/>
        <v>0</v>
      </c>
      <c r="DS166" s="102"/>
      <c r="DT166" s="67"/>
      <c r="DU166" s="66">
        <f t="shared" si="1999"/>
        <v>0</v>
      </c>
      <c r="DV166" s="102"/>
      <c r="DW166" s="67"/>
      <c r="DX166" s="66">
        <f t="shared" si="2000"/>
        <v>0</v>
      </c>
      <c r="DY166" s="102"/>
      <c r="DZ166" s="67"/>
      <c r="EA166" s="66">
        <f t="shared" si="2001"/>
        <v>0</v>
      </c>
      <c r="EB166" s="102"/>
      <c r="EC166" s="73"/>
      <c r="ED166" s="66">
        <f t="shared" si="2002"/>
        <v>0</v>
      </c>
      <c r="EE166" s="102"/>
      <c r="EF166" s="67"/>
      <c r="EG166" s="66">
        <f t="shared" si="2003"/>
        <v>0</v>
      </c>
      <c r="EH166" s="102"/>
      <c r="EI166" s="102"/>
    </row>
    <row r="167" spans="1:139">
      <c r="A167" s="711">
        <f>WORLDCUP!AD104</f>
        <v>0</v>
      </c>
      <c r="B167" s="711">
        <f>WORLDCUP!AC104</f>
        <v>0</v>
      </c>
      <c r="C167" s="805" t="str">
        <f ca="1">CONCATENATE(WORLDCUP!AF104,"-",WORLDCUP!AA104)</f>
        <v>2C-1F</v>
      </c>
      <c r="D167" s="805" t="str">
        <f>IF(WORLDCUP!AC104&gt;WORLDCUP!AD104,2,IF(WORLDCUP!AC104&lt;WORLDCUP!AD104,1,IF(AND(WORLDCUP!AC104=WORLDCUP!AD104,WORLDCUP!AC104&lt;&gt;"",WORLDCUP!AD104&lt;&gt;""),0,"PD")))</f>
        <v>PD</v>
      </c>
      <c r="E167" s="805" t="str">
        <f>IF(OR(WORLDCUP!AC104="",WORLDCUP!AD104=""),"-",A167&amp;"-"&amp;B167)</f>
        <v>-</v>
      </c>
      <c r="F167" s="806">
        <f t="shared" si="1962"/>
        <v>17</v>
      </c>
      <c r="G167" s="806">
        <f ca="1">VLOOKUP(H167,Equipos!$Q$1:$R$25,2,0)</f>
        <v>20</v>
      </c>
      <c r="H167" s="807" t="str">
        <f>Idiomas!$D$260</f>
        <v>Dieciseisavos de final</v>
      </c>
      <c r="I167" s="808">
        <v>1</v>
      </c>
      <c r="J167" s="859"/>
      <c r="K167" s="49" t="str">
        <f ca="1">CONCATENATE(WORLDCUP!AA104,"-",WORLDCUP!AF104)</f>
        <v>1F-2C</v>
      </c>
      <c r="L167" s="46"/>
      <c r="M167" s="48" t="str">
        <f>IF(OR(WORLDCUP!AC104="",WORLDCUP!AD104=""),"-",N167&amp;"|"&amp;O167&amp;"-"&amp;P167)</f>
        <v>-</v>
      </c>
      <c r="N167" s="711" t="str">
        <f>IF(OR(WORLDCUP!AC104="",WORLDCUP!AD104=""),"",IF(WORLDCUP!AC104&gt;WORLDCUP!AD104,"1",IF(WORLDCUP!AC104&lt;WORLDCUP!AD104,"2","X")))</f>
        <v/>
      </c>
      <c r="O167" s="711">
        <f>WORLDCUP!AC104</f>
        <v>0</v>
      </c>
      <c r="P167" s="711">
        <f>WORLDCUP!AD104</f>
        <v>0</v>
      </c>
      <c r="Q167" s="711">
        <f t="shared" si="1963"/>
        <v>0</v>
      </c>
      <c r="R167" s="102"/>
      <c r="S167" s="67" t="s">
        <v>1955</v>
      </c>
      <c r="T167" s="66">
        <f t="shared" si="1964"/>
        <v>0</v>
      </c>
      <c r="U167" s="102"/>
      <c r="V167" s="67" t="s">
        <v>1955</v>
      </c>
      <c r="W167" s="66">
        <f t="shared" si="1965"/>
        <v>0</v>
      </c>
      <c r="X167" s="102"/>
      <c r="Y167" s="67" t="s">
        <v>1947</v>
      </c>
      <c r="Z167" s="66">
        <f t="shared" si="1966"/>
        <v>0</v>
      </c>
      <c r="AA167" s="102"/>
      <c r="AB167" s="73" t="s">
        <v>1955</v>
      </c>
      <c r="AC167" s="66">
        <f t="shared" si="1967"/>
        <v>0</v>
      </c>
      <c r="AD167" s="102"/>
      <c r="AE167" s="67" t="s">
        <v>1956</v>
      </c>
      <c r="AF167" s="66">
        <f t="shared" si="1968"/>
        <v>0</v>
      </c>
      <c r="AG167" s="102"/>
      <c r="AH167" s="67" t="s">
        <v>1955</v>
      </c>
      <c r="AI167" s="66">
        <f t="shared" si="1969"/>
        <v>0</v>
      </c>
      <c r="AJ167" s="102"/>
      <c r="AK167" s="67" t="s">
        <v>1947</v>
      </c>
      <c r="AL167" s="66">
        <f t="shared" si="1970"/>
        <v>0</v>
      </c>
      <c r="AM167" s="102"/>
      <c r="AN167" s="67" t="s">
        <v>1956</v>
      </c>
      <c r="AO167" s="66">
        <f t="shared" si="1971"/>
        <v>0</v>
      </c>
      <c r="AP167" s="102"/>
      <c r="AQ167" s="73" t="s">
        <v>1955</v>
      </c>
      <c r="AR167" s="66">
        <f t="shared" si="1972"/>
        <v>0</v>
      </c>
      <c r="AS167" s="102"/>
      <c r="AT167" s="67" t="s">
        <v>1955</v>
      </c>
      <c r="AU167" s="66">
        <f t="shared" si="1973"/>
        <v>0</v>
      </c>
      <c r="AV167" s="102"/>
      <c r="AW167" s="67" t="s">
        <v>1966</v>
      </c>
      <c r="AX167" s="66">
        <f t="shared" si="1974"/>
        <v>0</v>
      </c>
      <c r="AY167" s="102"/>
      <c r="AZ167" s="67" t="s">
        <v>1953</v>
      </c>
      <c r="BA167" s="66">
        <f t="shared" si="1975"/>
        <v>0</v>
      </c>
      <c r="BB167" s="102"/>
      <c r="BC167" s="67" t="s">
        <v>1954</v>
      </c>
      <c r="BD167" s="66">
        <f t="shared" si="1976"/>
        <v>0</v>
      </c>
      <c r="BE167" s="102"/>
      <c r="BF167" s="73" t="s">
        <v>1960</v>
      </c>
      <c r="BG167" s="66">
        <f t="shared" si="1977"/>
        <v>0</v>
      </c>
      <c r="BH167" s="102"/>
      <c r="BI167" s="67" t="s">
        <v>1956</v>
      </c>
      <c r="BJ167" s="66">
        <f t="shared" si="1978"/>
        <v>0</v>
      </c>
      <c r="BK167" s="102"/>
      <c r="BL167" s="67" t="s">
        <v>1947</v>
      </c>
      <c r="BM167" s="66">
        <f t="shared" si="1979"/>
        <v>0</v>
      </c>
      <c r="BN167" s="102"/>
      <c r="BO167" s="67" t="s">
        <v>1948</v>
      </c>
      <c r="BP167" s="66">
        <f t="shared" si="1980"/>
        <v>0</v>
      </c>
      <c r="BQ167" s="102"/>
      <c r="BR167" s="67" t="s">
        <v>1947</v>
      </c>
      <c r="BS167" s="66">
        <f t="shared" si="1981"/>
        <v>0</v>
      </c>
      <c r="BT167" s="102"/>
      <c r="BU167" s="73"/>
      <c r="BV167" s="66">
        <f t="shared" si="1982"/>
        <v>0</v>
      </c>
      <c r="BW167" s="102"/>
      <c r="BX167" s="67"/>
      <c r="BY167" s="66">
        <f t="shared" si="1983"/>
        <v>0</v>
      </c>
      <c r="BZ167" s="102"/>
      <c r="CA167" s="67"/>
      <c r="CB167" s="66">
        <f t="shared" si="1984"/>
        <v>0</v>
      </c>
      <c r="CC167" s="102"/>
      <c r="CD167" s="67"/>
      <c r="CE167" s="66">
        <f t="shared" si="1985"/>
        <v>0</v>
      </c>
      <c r="CF167" s="102"/>
      <c r="CG167" s="67"/>
      <c r="CH167" s="66">
        <f t="shared" si="1986"/>
        <v>0</v>
      </c>
      <c r="CI167" s="102"/>
      <c r="CJ167" s="73"/>
      <c r="CK167" s="66">
        <f t="shared" si="1987"/>
        <v>0</v>
      </c>
      <c r="CL167" s="102"/>
      <c r="CM167" s="67"/>
      <c r="CN167" s="66">
        <f t="shared" si="1988"/>
        <v>0</v>
      </c>
      <c r="CO167" s="102"/>
      <c r="CP167" s="67"/>
      <c r="CQ167" s="66">
        <f t="shared" si="1989"/>
        <v>0</v>
      </c>
      <c r="CR167" s="102"/>
      <c r="CS167" s="67"/>
      <c r="CT167" s="66">
        <f t="shared" si="1990"/>
        <v>0</v>
      </c>
      <c r="CU167" s="102"/>
      <c r="CV167" s="67"/>
      <c r="CW167" s="66">
        <f t="shared" si="1991"/>
        <v>0</v>
      </c>
      <c r="CX167" s="102"/>
      <c r="CY167" s="73"/>
      <c r="CZ167" s="66">
        <f t="shared" si="1992"/>
        <v>0</v>
      </c>
      <c r="DA167" s="102"/>
      <c r="DB167" s="67"/>
      <c r="DC167" s="66">
        <f t="shared" si="1993"/>
        <v>0</v>
      </c>
      <c r="DD167" s="102"/>
      <c r="DE167" s="67"/>
      <c r="DF167" s="66">
        <f t="shared" si="1994"/>
        <v>0</v>
      </c>
      <c r="DG167" s="102"/>
      <c r="DH167" s="67"/>
      <c r="DI167" s="66">
        <f t="shared" si="1995"/>
        <v>0</v>
      </c>
      <c r="DJ167" s="102"/>
      <c r="DK167" s="67"/>
      <c r="DL167" s="66">
        <f t="shared" si="1996"/>
        <v>0</v>
      </c>
      <c r="DM167" s="102"/>
      <c r="DN167" s="73"/>
      <c r="DO167" s="66">
        <f t="shared" si="1997"/>
        <v>0</v>
      </c>
      <c r="DP167" s="102"/>
      <c r="DQ167" s="67"/>
      <c r="DR167" s="66">
        <f t="shared" si="1998"/>
        <v>0</v>
      </c>
      <c r="DS167" s="102"/>
      <c r="DT167" s="67"/>
      <c r="DU167" s="66">
        <f t="shared" si="1999"/>
        <v>0</v>
      </c>
      <c r="DV167" s="102"/>
      <c r="DW167" s="67"/>
      <c r="DX167" s="66">
        <f t="shared" si="2000"/>
        <v>0</v>
      </c>
      <c r="DY167" s="102"/>
      <c r="DZ167" s="67"/>
      <c r="EA167" s="66">
        <f t="shared" si="2001"/>
        <v>0</v>
      </c>
      <c r="EB167" s="102"/>
      <c r="EC167" s="73"/>
      <c r="ED167" s="66">
        <f t="shared" si="2002"/>
        <v>0</v>
      </c>
      <c r="EE167" s="102"/>
      <c r="EF167" s="67"/>
      <c r="EG167" s="66">
        <f t="shared" si="2003"/>
        <v>0</v>
      </c>
      <c r="EH167" s="102"/>
      <c r="EI167" s="102"/>
    </row>
    <row r="168" spans="1:139">
      <c r="A168" s="711">
        <f>WORLDCUP!AD105</f>
        <v>0</v>
      </c>
      <c r="B168" s="711">
        <f>WORLDCUP!AC105</f>
        <v>0</v>
      </c>
      <c r="C168" s="805" t="str">
        <f ca="1">CONCATENATE(WORLDCUP!AF105,"-",WORLDCUP!AA105)</f>
        <v>2I-2E</v>
      </c>
      <c r="D168" s="805" t="str">
        <f>IF(WORLDCUP!AC105&gt;WORLDCUP!AD105,2,IF(WORLDCUP!AC105&lt;WORLDCUP!AD105,1,IF(AND(WORLDCUP!AC105=WORLDCUP!AD105,WORLDCUP!AC105&lt;&gt;"",WORLDCUP!AD105&lt;&gt;""),0,"PD")))</f>
        <v>PD</v>
      </c>
      <c r="E168" s="805" t="str">
        <f>IF(OR(WORLDCUP!AC105="",WORLDCUP!AD105=""),"-",A168&amp;"-"&amp;B168)</f>
        <v>-</v>
      </c>
      <c r="F168" s="806">
        <f t="shared" si="1962"/>
        <v>17</v>
      </c>
      <c r="G168" s="806">
        <f ca="1">VLOOKUP(H168,Equipos!$Q$1:$R$25,2,0)</f>
        <v>20</v>
      </c>
      <c r="H168" s="807" t="str">
        <f>Idiomas!$D$260</f>
        <v>Dieciseisavos de final</v>
      </c>
      <c r="I168" s="808">
        <v>1</v>
      </c>
      <c r="J168" s="859"/>
      <c r="K168" s="49" t="str">
        <f ca="1">CONCATENATE(WORLDCUP!AA105,"-",WORLDCUP!AF105)</f>
        <v>2E-2I</v>
      </c>
      <c r="L168" s="46"/>
      <c r="M168" s="48" t="str">
        <f>IF(OR(WORLDCUP!AC105="",WORLDCUP!AD105=""),"-",N168&amp;"|"&amp;O168&amp;"-"&amp;P168)</f>
        <v>-</v>
      </c>
      <c r="N168" s="711" t="str">
        <f>IF(OR(WORLDCUP!AC105="",WORLDCUP!AD105=""),"",IF(WORLDCUP!AC105&gt;WORLDCUP!AD105,"1",IF(WORLDCUP!AC105&lt;WORLDCUP!AD105,"2","X")))</f>
        <v/>
      </c>
      <c r="O168" s="711">
        <f>WORLDCUP!AC105</f>
        <v>0</v>
      </c>
      <c r="P168" s="711">
        <f>WORLDCUP!AD105</f>
        <v>0</v>
      </c>
      <c r="Q168" s="711">
        <f t="shared" si="1963"/>
        <v>0</v>
      </c>
      <c r="R168" s="102"/>
      <c r="S168" s="67" t="s">
        <v>1964</v>
      </c>
      <c r="T168" s="66">
        <f t="shared" si="1964"/>
        <v>0</v>
      </c>
      <c r="U168" s="102"/>
      <c r="V168" s="67" t="s">
        <v>1956</v>
      </c>
      <c r="W168" s="66">
        <f t="shared" si="1965"/>
        <v>0</v>
      </c>
      <c r="X168" s="102"/>
      <c r="Y168" s="67" t="s">
        <v>1955</v>
      </c>
      <c r="Z168" s="66">
        <f t="shared" si="1966"/>
        <v>0</v>
      </c>
      <c r="AA168" s="102"/>
      <c r="AB168" s="67" t="s">
        <v>1955</v>
      </c>
      <c r="AC168" s="66">
        <f t="shared" si="1967"/>
        <v>0</v>
      </c>
      <c r="AD168" s="102"/>
      <c r="AE168" s="67" t="s">
        <v>1960</v>
      </c>
      <c r="AF168" s="66">
        <f t="shared" si="1968"/>
        <v>0</v>
      </c>
      <c r="AG168" s="102"/>
      <c r="AH168" s="67" t="s">
        <v>1950</v>
      </c>
      <c r="AI168" s="66">
        <f t="shared" si="1969"/>
        <v>0</v>
      </c>
      <c r="AJ168" s="102"/>
      <c r="AK168" s="67" t="s">
        <v>1955</v>
      </c>
      <c r="AL168" s="66">
        <f t="shared" si="1970"/>
        <v>0</v>
      </c>
      <c r="AM168" s="102"/>
      <c r="AN168" s="67" t="s">
        <v>1950</v>
      </c>
      <c r="AO168" s="66">
        <f t="shared" si="1971"/>
        <v>0</v>
      </c>
      <c r="AP168" s="102"/>
      <c r="AQ168" s="73" t="s">
        <v>1963</v>
      </c>
      <c r="AR168" s="66">
        <f t="shared" si="1972"/>
        <v>0</v>
      </c>
      <c r="AS168" s="102"/>
      <c r="AT168" s="67" t="s">
        <v>1948</v>
      </c>
      <c r="AU168" s="66">
        <f t="shared" si="1973"/>
        <v>0</v>
      </c>
      <c r="AV168" s="102"/>
      <c r="AW168" s="67" t="s">
        <v>1950</v>
      </c>
      <c r="AX168" s="66">
        <f t="shared" si="1974"/>
        <v>0</v>
      </c>
      <c r="AY168" s="102"/>
      <c r="AZ168" s="67" t="s">
        <v>1955</v>
      </c>
      <c r="BA168" s="66">
        <f t="shared" si="1975"/>
        <v>0</v>
      </c>
      <c r="BB168" s="102"/>
      <c r="BC168" s="67" t="s">
        <v>1955</v>
      </c>
      <c r="BD168" s="66">
        <f t="shared" si="1976"/>
        <v>0</v>
      </c>
      <c r="BE168" s="102"/>
      <c r="BF168" s="73" t="s">
        <v>1960</v>
      </c>
      <c r="BG168" s="66">
        <f t="shared" si="1977"/>
        <v>0</v>
      </c>
      <c r="BH168" s="102"/>
      <c r="BI168" s="67" t="s">
        <v>1948</v>
      </c>
      <c r="BJ168" s="66">
        <f t="shared" si="1978"/>
        <v>0</v>
      </c>
      <c r="BK168" s="102"/>
      <c r="BL168" s="67" t="s">
        <v>1960</v>
      </c>
      <c r="BM168" s="66">
        <f t="shared" si="1979"/>
        <v>0</v>
      </c>
      <c r="BN168" s="102"/>
      <c r="BO168" s="67" t="s">
        <v>1955</v>
      </c>
      <c r="BP168" s="66">
        <f t="shared" si="1980"/>
        <v>0</v>
      </c>
      <c r="BQ168" s="102"/>
      <c r="BR168" s="67" t="s">
        <v>1948</v>
      </c>
      <c r="BS168" s="66">
        <f t="shared" si="1981"/>
        <v>0</v>
      </c>
      <c r="BT168" s="102"/>
      <c r="BU168" s="73"/>
      <c r="BV168" s="66">
        <f t="shared" si="1982"/>
        <v>0</v>
      </c>
      <c r="BW168" s="102"/>
      <c r="BX168" s="67"/>
      <c r="BY168" s="66">
        <f t="shared" si="1983"/>
        <v>0</v>
      </c>
      <c r="BZ168" s="102"/>
      <c r="CA168" s="67"/>
      <c r="CB168" s="66">
        <f t="shared" si="1984"/>
        <v>0</v>
      </c>
      <c r="CC168" s="102"/>
      <c r="CD168" s="67"/>
      <c r="CE168" s="66">
        <f t="shared" si="1985"/>
        <v>0</v>
      </c>
      <c r="CF168" s="102"/>
      <c r="CG168" s="67"/>
      <c r="CH168" s="66">
        <f t="shared" si="1986"/>
        <v>0</v>
      </c>
      <c r="CI168" s="102"/>
      <c r="CJ168" s="73"/>
      <c r="CK168" s="66">
        <f t="shared" si="1987"/>
        <v>0</v>
      </c>
      <c r="CL168" s="102"/>
      <c r="CM168" s="67"/>
      <c r="CN168" s="66">
        <f t="shared" si="1988"/>
        <v>0</v>
      </c>
      <c r="CO168" s="102"/>
      <c r="CP168" s="67"/>
      <c r="CQ168" s="66">
        <f t="shared" si="1989"/>
        <v>0</v>
      </c>
      <c r="CR168" s="102"/>
      <c r="CS168" s="67"/>
      <c r="CT168" s="66">
        <f t="shared" si="1990"/>
        <v>0</v>
      </c>
      <c r="CU168" s="102"/>
      <c r="CV168" s="67"/>
      <c r="CW168" s="66">
        <f t="shared" si="1991"/>
        <v>0</v>
      </c>
      <c r="CX168" s="102"/>
      <c r="CY168" s="73"/>
      <c r="CZ168" s="66">
        <f t="shared" si="1992"/>
        <v>0</v>
      </c>
      <c r="DA168" s="102"/>
      <c r="DB168" s="67"/>
      <c r="DC168" s="66">
        <f t="shared" si="1993"/>
        <v>0</v>
      </c>
      <c r="DD168" s="102"/>
      <c r="DE168" s="67"/>
      <c r="DF168" s="66">
        <f t="shared" si="1994"/>
        <v>0</v>
      </c>
      <c r="DG168" s="102"/>
      <c r="DH168" s="67"/>
      <c r="DI168" s="66">
        <f t="shared" si="1995"/>
        <v>0</v>
      </c>
      <c r="DJ168" s="102"/>
      <c r="DK168" s="67"/>
      <c r="DL168" s="66">
        <f t="shared" si="1996"/>
        <v>0</v>
      </c>
      <c r="DM168" s="102"/>
      <c r="DN168" s="73"/>
      <c r="DO168" s="66">
        <f t="shared" si="1997"/>
        <v>0</v>
      </c>
      <c r="DP168" s="102"/>
      <c r="DQ168" s="67"/>
      <c r="DR168" s="66">
        <f t="shared" si="1998"/>
        <v>0</v>
      </c>
      <c r="DS168" s="102"/>
      <c r="DT168" s="67"/>
      <c r="DU168" s="66">
        <f t="shared" si="1999"/>
        <v>0</v>
      </c>
      <c r="DV168" s="102"/>
      <c r="DW168" s="67"/>
      <c r="DX168" s="66">
        <f t="shared" si="2000"/>
        <v>0</v>
      </c>
      <c r="DY168" s="102"/>
      <c r="DZ168" s="67"/>
      <c r="EA168" s="66">
        <f t="shared" si="2001"/>
        <v>0</v>
      </c>
      <c r="EB168" s="102"/>
      <c r="EC168" s="73"/>
      <c r="ED168" s="66">
        <f t="shared" si="2002"/>
        <v>0</v>
      </c>
      <c r="EE168" s="102"/>
      <c r="EF168" s="67"/>
      <c r="EG168" s="66">
        <f t="shared" si="2003"/>
        <v>0</v>
      </c>
      <c r="EH168" s="102"/>
      <c r="EI168" s="102"/>
    </row>
    <row r="169" spans="1:139">
      <c r="A169" s="711">
        <f>WORLDCUP!AD106</f>
        <v>0</v>
      </c>
      <c r="B169" s="711">
        <f>WORLDCUP!AC106</f>
        <v>0</v>
      </c>
      <c r="C169" s="805" t="str">
        <f ca="1">CONCATENATE(WORLDCUP!AF106,"-",WORLDCUP!AA106)</f>
        <v>3CDFGH-1I</v>
      </c>
      <c r="D169" s="805" t="str">
        <f>IF(WORLDCUP!AC106&gt;WORLDCUP!AD106,2,IF(WORLDCUP!AC106&lt;WORLDCUP!AD106,1,IF(AND(WORLDCUP!AC106=WORLDCUP!AD106,WORLDCUP!AC106&lt;&gt;"",WORLDCUP!AD106&lt;&gt;""),0,"PD")))</f>
        <v>PD</v>
      </c>
      <c r="E169" s="805" t="str">
        <f>IF(OR(WORLDCUP!AC106="",WORLDCUP!AD106=""),"-",A169&amp;"-"&amp;B169)</f>
        <v>-</v>
      </c>
      <c r="F169" s="806">
        <f t="shared" si="1962"/>
        <v>17</v>
      </c>
      <c r="G169" s="806">
        <f ca="1">VLOOKUP(H169,Equipos!$Q$1:$R$25,2,0)</f>
        <v>20</v>
      </c>
      <c r="H169" s="807" t="str">
        <f>Idiomas!$D$260</f>
        <v>Dieciseisavos de final</v>
      </c>
      <c r="I169" s="808">
        <v>1</v>
      </c>
      <c r="J169" s="859"/>
      <c r="K169" s="49" t="str">
        <f ca="1">CONCATENATE(WORLDCUP!AA106,"-",WORLDCUP!AF106)</f>
        <v>1I-3CDFGH</v>
      </c>
      <c r="L169" s="46"/>
      <c r="M169" s="48" t="str">
        <f>IF(OR(WORLDCUP!AC106="",WORLDCUP!AD106=""),"-",N169&amp;"|"&amp;O169&amp;"-"&amp;P169)</f>
        <v>-</v>
      </c>
      <c r="N169" s="711" t="str">
        <f>IF(OR(WORLDCUP!AC106="",WORLDCUP!AD106=""),"",IF(WORLDCUP!AC106&gt;WORLDCUP!AD106,"1",IF(WORLDCUP!AC106&lt;WORLDCUP!AD106,"2","X")))</f>
        <v/>
      </c>
      <c r="O169" s="711">
        <f>WORLDCUP!AC106</f>
        <v>0</v>
      </c>
      <c r="P169" s="711">
        <f>WORLDCUP!AD106</f>
        <v>0</v>
      </c>
      <c r="Q169" s="711">
        <f t="shared" si="1963"/>
        <v>0</v>
      </c>
      <c r="R169" s="102"/>
      <c r="S169" s="67" t="s">
        <v>1959</v>
      </c>
      <c r="T169" s="66">
        <f t="shared" si="1964"/>
        <v>0</v>
      </c>
      <c r="U169" s="102"/>
      <c r="V169" s="67" t="s">
        <v>1953</v>
      </c>
      <c r="W169" s="66">
        <f t="shared" si="1965"/>
        <v>0</v>
      </c>
      <c r="X169" s="102"/>
      <c r="Y169" s="67" t="s">
        <v>1954</v>
      </c>
      <c r="Z169" s="66">
        <f t="shared" si="1966"/>
        <v>0</v>
      </c>
      <c r="AA169" s="102"/>
      <c r="AB169" s="67" t="s">
        <v>1953</v>
      </c>
      <c r="AC169" s="66">
        <f t="shared" si="1967"/>
        <v>0</v>
      </c>
      <c r="AD169" s="102"/>
      <c r="AE169" s="67" t="s">
        <v>1954</v>
      </c>
      <c r="AF169" s="66">
        <f t="shared" si="1968"/>
        <v>0</v>
      </c>
      <c r="AG169" s="102"/>
      <c r="AH169" s="67" t="s">
        <v>1953</v>
      </c>
      <c r="AI169" s="66">
        <f t="shared" si="1969"/>
        <v>0</v>
      </c>
      <c r="AJ169" s="102"/>
      <c r="AK169" s="67" t="s">
        <v>1953</v>
      </c>
      <c r="AL169" s="66">
        <f t="shared" si="1970"/>
        <v>0</v>
      </c>
      <c r="AM169" s="102"/>
      <c r="AN169" s="67" t="s">
        <v>1953</v>
      </c>
      <c r="AO169" s="66">
        <f t="shared" si="1971"/>
        <v>0</v>
      </c>
      <c r="AP169" s="102"/>
      <c r="AQ169" s="73" t="s">
        <v>1962</v>
      </c>
      <c r="AR169" s="66">
        <f t="shared" si="1972"/>
        <v>0</v>
      </c>
      <c r="AS169" s="102"/>
      <c r="AT169" s="67" t="s">
        <v>1954</v>
      </c>
      <c r="AU169" s="66">
        <f t="shared" si="1973"/>
        <v>0</v>
      </c>
      <c r="AV169" s="102"/>
      <c r="AW169" s="67" t="s">
        <v>1953</v>
      </c>
      <c r="AX169" s="66">
        <f t="shared" si="1974"/>
        <v>0</v>
      </c>
      <c r="AY169" s="102"/>
      <c r="AZ169" s="67" t="s">
        <v>1953</v>
      </c>
      <c r="BA169" s="66">
        <f t="shared" si="1975"/>
        <v>0</v>
      </c>
      <c r="BB169" s="102"/>
      <c r="BC169" s="67" t="s">
        <v>1954</v>
      </c>
      <c r="BD169" s="66">
        <f t="shared" si="1976"/>
        <v>0</v>
      </c>
      <c r="BE169" s="102"/>
      <c r="BF169" s="73" t="s">
        <v>1956</v>
      </c>
      <c r="BG169" s="66">
        <f t="shared" si="1977"/>
        <v>0</v>
      </c>
      <c r="BH169" s="102"/>
      <c r="BI169" s="67" t="s">
        <v>1954</v>
      </c>
      <c r="BJ169" s="66">
        <f t="shared" si="1978"/>
        <v>0</v>
      </c>
      <c r="BK169" s="102"/>
      <c r="BL169" s="67" t="s">
        <v>1954</v>
      </c>
      <c r="BM169" s="66">
        <f t="shared" si="1979"/>
        <v>0</v>
      </c>
      <c r="BN169" s="102"/>
      <c r="BO169" s="67" t="s">
        <v>1954</v>
      </c>
      <c r="BP169" s="66">
        <f t="shared" si="1980"/>
        <v>0</v>
      </c>
      <c r="BQ169" s="102"/>
      <c r="BR169" s="67" t="s">
        <v>1953</v>
      </c>
      <c r="BS169" s="66">
        <f t="shared" si="1981"/>
        <v>0</v>
      </c>
      <c r="BT169" s="102"/>
      <c r="BU169" s="73"/>
      <c r="BV169" s="66">
        <f t="shared" si="1982"/>
        <v>0</v>
      </c>
      <c r="BW169" s="102"/>
      <c r="BX169" s="67"/>
      <c r="BY169" s="66">
        <f t="shared" si="1983"/>
        <v>0</v>
      </c>
      <c r="BZ169" s="102"/>
      <c r="CA169" s="67"/>
      <c r="CB169" s="66">
        <f t="shared" si="1984"/>
        <v>0</v>
      </c>
      <c r="CC169" s="102"/>
      <c r="CD169" s="67"/>
      <c r="CE169" s="66">
        <f t="shared" si="1985"/>
        <v>0</v>
      </c>
      <c r="CF169" s="102"/>
      <c r="CG169" s="67"/>
      <c r="CH169" s="66">
        <f t="shared" si="1986"/>
        <v>0</v>
      </c>
      <c r="CI169" s="102"/>
      <c r="CJ169" s="73"/>
      <c r="CK169" s="66">
        <f t="shared" si="1987"/>
        <v>0</v>
      </c>
      <c r="CL169" s="102"/>
      <c r="CM169" s="67"/>
      <c r="CN169" s="66">
        <f t="shared" si="1988"/>
        <v>0</v>
      </c>
      <c r="CO169" s="102"/>
      <c r="CP169" s="67"/>
      <c r="CQ169" s="66">
        <f t="shared" si="1989"/>
        <v>0</v>
      </c>
      <c r="CR169" s="102"/>
      <c r="CS169" s="67"/>
      <c r="CT169" s="66">
        <f t="shared" si="1990"/>
        <v>0</v>
      </c>
      <c r="CU169" s="102"/>
      <c r="CV169" s="67"/>
      <c r="CW169" s="66">
        <f t="shared" si="1991"/>
        <v>0</v>
      </c>
      <c r="CX169" s="102"/>
      <c r="CY169" s="73"/>
      <c r="CZ169" s="66">
        <f t="shared" si="1992"/>
        <v>0</v>
      </c>
      <c r="DA169" s="102"/>
      <c r="DB169" s="67"/>
      <c r="DC169" s="66">
        <f t="shared" si="1993"/>
        <v>0</v>
      </c>
      <c r="DD169" s="102"/>
      <c r="DE169" s="67"/>
      <c r="DF169" s="66">
        <f t="shared" si="1994"/>
        <v>0</v>
      </c>
      <c r="DG169" s="102"/>
      <c r="DH169" s="67"/>
      <c r="DI169" s="66">
        <f t="shared" si="1995"/>
        <v>0</v>
      </c>
      <c r="DJ169" s="102"/>
      <c r="DK169" s="67"/>
      <c r="DL169" s="66">
        <f t="shared" si="1996"/>
        <v>0</v>
      </c>
      <c r="DM169" s="102"/>
      <c r="DN169" s="73"/>
      <c r="DO169" s="66">
        <f t="shared" si="1997"/>
        <v>0</v>
      </c>
      <c r="DP169" s="102"/>
      <c r="DQ169" s="67"/>
      <c r="DR169" s="66">
        <f t="shared" si="1998"/>
        <v>0</v>
      </c>
      <c r="DS169" s="102"/>
      <c r="DT169" s="67"/>
      <c r="DU169" s="66">
        <f t="shared" si="1999"/>
        <v>0</v>
      </c>
      <c r="DV169" s="102"/>
      <c r="DW169" s="67"/>
      <c r="DX169" s="66">
        <f t="shared" si="2000"/>
        <v>0</v>
      </c>
      <c r="DY169" s="102"/>
      <c r="DZ169" s="67"/>
      <c r="EA169" s="66">
        <f t="shared" si="2001"/>
        <v>0</v>
      </c>
      <c r="EB169" s="102"/>
      <c r="EC169" s="73"/>
      <c r="ED169" s="66">
        <f t="shared" si="2002"/>
        <v>0</v>
      </c>
      <c r="EE169" s="102"/>
      <c r="EF169" s="67"/>
      <c r="EG169" s="66">
        <f t="shared" si="2003"/>
        <v>0</v>
      </c>
      <c r="EH169" s="102"/>
      <c r="EI169" s="102"/>
    </row>
    <row r="170" spans="1:139">
      <c r="A170" s="711">
        <f>WORLDCUP!AD107</f>
        <v>0</v>
      </c>
      <c r="B170" s="711">
        <f>WORLDCUP!AC107</f>
        <v>0</v>
      </c>
      <c r="C170" s="805" t="str">
        <f ca="1">CONCATENATE(WORLDCUP!AF107,"-",WORLDCUP!AA107)</f>
        <v>3CEFHI-1A</v>
      </c>
      <c r="D170" s="805" t="str">
        <f>IF(WORLDCUP!AC107&gt;WORLDCUP!AD107,2,IF(WORLDCUP!AC107&lt;WORLDCUP!AD107,1,IF(AND(WORLDCUP!AC107=WORLDCUP!AD107,WORLDCUP!AC107&lt;&gt;"",WORLDCUP!AD107&lt;&gt;""),0,"PD")))</f>
        <v>PD</v>
      </c>
      <c r="E170" s="805" t="str">
        <f>IF(OR(WORLDCUP!AC107="",WORLDCUP!AD107=""),"-",A170&amp;"-"&amp;B170)</f>
        <v>-</v>
      </c>
      <c r="F170" s="806">
        <f t="shared" si="1962"/>
        <v>17</v>
      </c>
      <c r="G170" s="806">
        <f ca="1">VLOOKUP(H170,Equipos!$Q$1:$R$25,2,0)</f>
        <v>20</v>
      </c>
      <c r="H170" s="807" t="str">
        <f>Idiomas!$D$260</f>
        <v>Dieciseisavos de final</v>
      </c>
      <c r="I170" s="808">
        <v>1</v>
      </c>
      <c r="J170" s="859"/>
      <c r="K170" s="49" t="str">
        <f ca="1">CONCATENATE(WORLDCUP!AA107,"-",WORLDCUP!AF107)</f>
        <v>1A-3CEFHI</v>
      </c>
      <c r="L170" s="46"/>
      <c r="M170" s="48" t="str">
        <f>IF(OR(WORLDCUP!AC107="",WORLDCUP!AD107=""),"-",N170&amp;"|"&amp;O170&amp;"-"&amp;P170)</f>
        <v>-</v>
      </c>
      <c r="N170" s="711" t="str">
        <f>IF(OR(WORLDCUP!AC107="",WORLDCUP!AD107=""),"",IF(WORLDCUP!AC107&gt;WORLDCUP!AD107,"1",IF(WORLDCUP!AC107&lt;WORLDCUP!AD107,"2","X")))</f>
        <v/>
      </c>
      <c r="O170" s="711">
        <f>WORLDCUP!AC107</f>
        <v>0</v>
      </c>
      <c r="P170" s="711">
        <f>WORLDCUP!AD107</f>
        <v>0</v>
      </c>
      <c r="Q170" s="711">
        <f t="shared" si="1963"/>
        <v>0</v>
      </c>
      <c r="R170" s="102"/>
      <c r="S170" s="67" t="s">
        <v>1947</v>
      </c>
      <c r="T170" s="66">
        <f t="shared" si="1964"/>
        <v>0</v>
      </c>
      <c r="U170" s="102"/>
      <c r="V170" s="67" t="s">
        <v>1948</v>
      </c>
      <c r="W170" s="66">
        <f t="shared" si="1965"/>
        <v>0</v>
      </c>
      <c r="X170" s="102"/>
      <c r="Y170" s="67" t="s">
        <v>1947</v>
      </c>
      <c r="Z170" s="66">
        <f t="shared" si="1966"/>
        <v>0</v>
      </c>
      <c r="AA170" s="102"/>
      <c r="AB170" s="67" t="s">
        <v>1947</v>
      </c>
      <c r="AC170" s="66">
        <f t="shared" si="1967"/>
        <v>0</v>
      </c>
      <c r="AD170" s="102"/>
      <c r="AE170" s="67" t="s">
        <v>1956</v>
      </c>
      <c r="AF170" s="66">
        <f t="shared" si="1968"/>
        <v>0</v>
      </c>
      <c r="AG170" s="102"/>
      <c r="AH170" s="67" t="s">
        <v>1953</v>
      </c>
      <c r="AI170" s="66">
        <f t="shared" si="1969"/>
        <v>0</v>
      </c>
      <c r="AJ170" s="102"/>
      <c r="AK170" s="67" t="s">
        <v>1947</v>
      </c>
      <c r="AL170" s="66">
        <f t="shared" si="1970"/>
        <v>0</v>
      </c>
      <c r="AM170" s="102"/>
      <c r="AN170" s="67" t="s">
        <v>1956</v>
      </c>
      <c r="AO170" s="66">
        <f t="shared" si="1971"/>
        <v>0</v>
      </c>
      <c r="AP170" s="102"/>
      <c r="AQ170" s="73" t="s">
        <v>1947</v>
      </c>
      <c r="AR170" s="66">
        <f t="shared" si="1972"/>
        <v>0</v>
      </c>
      <c r="AS170" s="102"/>
      <c r="AT170" s="67" t="s">
        <v>1953</v>
      </c>
      <c r="AU170" s="66">
        <f t="shared" si="1973"/>
        <v>0</v>
      </c>
      <c r="AV170" s="102"/>
      <c r="AW170" s="67" t="s">
        <v>1950</v>
      </c>
      <c r="AX170" s="66">
        <f t="shared" si="1974"/>
        <v>0</v>
      </c>
      <c r="AY170" s="102"/>
      <c r="AZ170" s="67" t="s">
        <v>1956</v>
      </c>
      <c r="BA170" s="66">
        <f t="shared" si="1975"/>
        <v>0</v>
      </c>
      <c r="BB170" s="102"/>
      <c r="BC170" s="67" t="s">
        <v>1953</v>
      </c>
      <c r="BD170" s="66">
        <f t="shared" si="1976"/>
        <v>0</v>
      </c>
      <c r="BE170" s="102"/>
      <c r="BF170" s="73" t="s">
        <v>1956</v>
      </c>
      <c r="BG170" s="66">
        <f t="shared" si="1977"/>
        <v>0</v>
      </c>
      <c r="BH170" s="102"/>
      <c r="BI170" s="67" t="s">
        <v>1950</v>
      </c>
      <c r="BJ170" s="66">
        <f t="shared" si="1978"/>
        <v>0</v>
      </c>
      <c r="BK170" s="102"/>
      <c r="BL170" s="67" t="s">
        <v>1947</v>
      </c>
      <c r="BM170" s="66">
        <f t="shared" si="1979"/>
        <v>0</v>
      </c>
      <c r="BN170" s="102"/>
      <c r="BO170" s="67" t="s">
        <v>1956</v>
      </c>
      <c r="BP170" s="66">
        <f t="shared" si="1980"/>
        <v>0</v>
      </c>
      <c r="BQ170" s="102"/>
      <c r="BR170" s="67" t="s">
        <v>1953</v>
      </c>
      <c r="BS170" s="66">
        <f t="shared" si="1981"/>
        <v>0</v>
      </c>
      <c r="BT170" s="102"/>
      <c r="BU170" s="73"/>
      <c r="BV170" s="66">
        <f t="shared" si="1982"/>
        <v>0</v>
      </c>
      <c r="BW170" s="102"/>
      <c r="BX170" s="67"/>
      <c r="BY170" s="66">
        <f t="shared" si="1983"/>
        <v>0</v>
      </c>
      <c r="BZ170" s="102"/>
      <c r="CA170" s="67"/>
      <c r="CB170" s="66">
        <f t="shared" si="1984"/>
        <v>0</v>
      </c>
      <c r="CC170" s="102"/>
      <c r="CD170" s="67"/>
      <c r="CE170" s="66">
        <f t="shared" si="1985"/>
        <v>0</v>
      </c>
      <c r="CF170" s="102"/>
      <c r="CG170" s="67"/>
      <c r="CH170" s="66">
        <f t="shared" si="1986"/>
        <v>0</v>
      </c>
      <c r="CI170" s="102"/>
      <c r="CJ170" s="73"/>
      <c r="CK170" s="66">
        <f t="shared" si="1987"/>
        <v>0</v>
      </c>
      <c r="CL170" s="102"/>
      <c r="CM170" s="67"/>
      <c r="CN170" s="66">
        <f t="shared" si="1988"/>
        <v>0</v>
      </c>
      <c r="CO170" s="102"/>
      <c r="CP170" s="67"/>
      <c r="CQ170" s="66">
        <f t="shared" si="1989"/>
        <v>0</v>
      </c>
      <c r="CR170" s="102"/>
      <c r="CS170" s="67"/>
      <c r="CT170" s="66">
        <f t="shared" si="1990"/>
        <v>0</v>
      </c>
      <c r="CU170" s="102"/>
      <c r="CV170" s="67"/>
      <c r="CW170" s="66">
        <f t="shared" si="1991"/>
        <v>0</v>
      </c>
      <c r="CX170" s="102"/>
      <c r="CY170" s="73"/>
      <c r="CZ170" s="66">
        <f t="shared" si="1992"/>
        <v>0</v>
      </c>
      <c r="DA170" s="102"/>
      <c r="DB170" s="67"/>
      <c r="DC170" s="66">
        <f t="shared" si="1993"/>
        <v>0</v>
      </c>
      <c r="DD170" s="102"/>
      <c r="DE170" s="67"/>
      <c r="DF170" s="66">
        <f t="shared" si="1994"/>
        <v>0</v>
      </c>
      <c r="DG170" s="102"/>
      <c r="DH170" s="67"/>
      <c r="DI170" s="66">
        <f t="shared" si="1995"/>
        <v>0</v>
      </c>
      <c r="DJ170" s="102"/>
      <c r="DK170" s="67"/>
      <c r="DL170" s="66">
        <f t="shared" si="1996"/>
        <v>0</v>
      </c>
      <c r="DM170" s="102"/>
      <c r="DN170" s="73"/>
      <c r="DO170" s="66">
        <f t="shared" si="1997"/>
        <v>0</v>
      </c>
      <c r="DP170" s="102"/>
      <c r="DQ170" s="67"/>
      <c r="DR170" s="66">
        <f t="shared" si="1998"/>
        <v>0</v>
      </c>
      <c r="DS170" s="102"/>
      <c r="DT170" s="67"/>
      <c r="DU170" s="66">
        <f t="shared" si="1999"/>
        <v>0</v>
      </c>
      <c r="DV170" s="102"/>
      <c r="DW170" s="67"/>
      <c r="DX170" s="66">
        <f t="shared" si="2000"/>
        <v>0</v>
      </c>
      <c r="DY170" s="102"/>
      <c r="DZ170" s="67"/>
      <c r="EA170" s="66">
        <f t="shared" si="2001"/>
        <v>0</v>
      </c>
      <c r="EB170" s="102"/>
      <c r="EC170" s="65"/>
      <c r="ED170" s="66">
        <f t="shared" si="2002"/>
        <v>0</v>
      </c>
      <c r="EE170" s="102"/>
      <c r="EF170" s="67"/>
      <c r="EG170" s="66">
        <f t="shared" si="2003"/>
        <v>0</v>
      </c>
      <c r="EH170" s="102"/>
      <c r="EI170" s="102"/>
    </row>
    <row r="171" spans="1:139">
      <c r="A171" s="711">
        <f>WORLDCUP!AD108</f>
        <v>0</v>
      </c>
      <c r="B171" s="711">
        <f>WORLDCUP!AC108</f>
        <v>0</v>
      </c>
      <c r="C171" s="805" t="str">
        <f ca="1">CONCATENATE(WORLDCUP!AF108,"-",WORLDCUP!AA108)</f>
        <v>3EHIJK-1L</v>
      </c>
      <c r="D171" s="805" t="str">
        <f>IF(WORLDCUP!AC108&gt;WORLDCUP!AD108,2,IF(WORLDCUP!AC108&lt;WORLDCUP!AD108,1,IF(AND(WORLDCUP!AC108=WORLDCUP!AD108,WORLDCUP!AC108&lt;&gt;"",WORLDCUP!AD108&lt;&gt;""),0,"PD")))</f>
        <v>PD</v>
      </c>
      <c r="E171" s="805" t="str">
        <f>IF(OR(WORLDCUP!AC108="",WORLDCUP!AD108=""),"-",A171&amp;"-"&amp;B171)</f>
        <v>-</v>
      </c>
      <c r="F171" s="806">
        <f t="shared" si="1962"/>
        <v>17</v>
      </c>
      <c r="G171" s="806">
        <f ca="1">VLOOKUP(H171,Equipos!$Q$1:$R$25,2,0)</f>
        <v>20</v>
      </c>
      <c r="H171" s="807" t="str">
        <f>Idiomas!$D$260</f>
        <v>Dieciseisavos de final</v>
      </c>
      <c r="I171" s="808">
        <v>1</v>
      </c>
      <c r="J171" s="859"/>
      <c r="K171" s="49" t="str">
        <f ca="1">CONCATENATE(WORLDCUP!AA108,"-",WORLDCUP!AF108)</f>
        <v>1L-3EHIJK</v>
      </c>
      <c r="L171" s="46"/>
      <c r="M171" s="48" t="str">
        <f>IF(OR(WORLDCUP!AC108="",WORLDCUP!AD108=""),"-",N171&amp;"|"&amp;O171&amp;"-"&amp;P171)</f>
        <v>-</v>
      </c>
      <c r="N171" s="711" t="str">
        <f>IF(OR(WORLDCUP!AC108="",WORLDCUP!AD108=""),"",IF(WORLDCUP!AC108&gt;WORLDCUP!AD108,"1",IF(WORLDCUP!AC108&lt;WORLDCUP!AD108,"2","X")))</f>
        <v/>
      </c>
      <c r="O171" s="711">
        <f>WORLDCUP!AC108</f>
        <v>0</v>
      </c>
      <c r="P171" s="711">
        <f>WORLDCUP!AD108</f>
        <v>0</v>
      </c>
      <c r="Q171" s="711">
        <f t="shared" si="1963"/>
        <v>0</v>
      </c>
      <c r="R171" s="102"/>
      <c r="S171" s="67" t="s">
        <v>1959</v>
      </c>
      <c r="T171" s="66">
        <f t="shared" si="1964"/>
        <v>0</v>
      </c>
      <c r="U171" s="102"/>
      <c r="V171" s="67" t="s">
        <v>1947</v>
      </c>
      <c r="W171" s="66">
        <f t="shared" si="1965"/>
        <v>0</v>
      </c>
      <c r="X171" s="102"/>
      <c r="Y171" s="67" t="s">
        <v>1953</v>
      </c>
      <c r="Z171" s="66">
        <f t="shared" si="1966"/>
        <v>0</v>
      </c>
      <c r="AA171" s="102"/>
      <c r="AB171" s="67" t="s">
        <v>1959</v>
      </c>
      <c r="AC171" s="66">
        <f t="shared" si="1967"/>
        <v>0</v>
      </c>
      <c r="AD171" s="102"/>
      <c r="AE171" s="67" t="s">
        <v>1953</v>
      </c>
      <c r="AF171" s="66">
        <f t="shared" si="1968"/>
        <v>0</v>
      </c>
      <c r="AG171" s="102"/>
      <c r="AH171" s="67" t="s">
        <v>1952</v>
      </c>
      <c r="AI171" s="66">
        <f t="shared" si="1969"/>
        <v>0</v>
      </c>
      <c r="AJ171" s="102"/>
      <c r="AK171" s="67" t="s">
        <v>1954</v>
      </c>
      <c r="AL171" s="66">
        <f t="shared" si="1970"/>
        <v>0</v>
      </c>
      <c r="AM171" s="102"/>
      <c r="AN171" s="67" t="s">
        <v>1947</v>
      </c>
      <c r="AO171" s="66">
        <f t="shared" si="1971"/>
        <v>0</v>
      </c>
      <c r="AP171" s="102"/>
      <c r="AQ171" s="73" t="s">
        <v>1959</v>
      </c>
      <c r="AR171" s="66">
        <f t="shared" si="1972"/>
        <v>0</v>
      </c>
      <c r="AS171" s="102"/>
      <c r="AT171" s="67" t="s">
        <v>1963</v>
      </c>
      <c r="AU171" s="66">
        <f t="shared" si="1973"/>
        <v>0</v>
      </c>
      <c r="AV171" s="102"/>
      <c r="AW171" s="67" t="s">
        <v>1953</v>
      </c>
      <c r="AX171" s="66">
        <f t="shared" si="1974"/>
        <v>0</v>
      </c>
      <c r="AY171" s="102"/>
      <c r="AZ171" s="67" t="s">
        <v>1959</v>
      </c>
      <c r="BA171" s="66">
        <f t="shared" si="1975"/>
        <v>0</v>
      </c>
      <c r="BB171" s="102"/>
      <c r="BC171" s="67" t="s">
        <v>1953</v>
      </c>
      <c r="BD171" s="66">
        <f t="shared" si="1976"/>
        <v>0</v>
      </c>
      <c r="BE171" s="102"/>
      <c r="BF171" s="73" t="s">
        <v>1947</v>
      </c>
      <c r="BG171" s="66">
        <f t="shared" si="1977"/>
        <v>0</v>
      </c>
      <c r="BH171" s="102"/>
      <c r="BI171" s="67" t="s">
        <v>1947</v>
      </c>
      <c r="BJ171" s="66">
        <f t="shared" si="1978"/>
        <v>0</v>
      </c>
      <c r="BK171" s="102"/>
      <c r="BL171" s="67" t="s">
        <v>1959</v>
      </c>
      <c r="BM171" s="66">
        <f t="shared" si="1979"/>
        <v>0</v>
      </c>
      <c r="BN171" s="102"/>
      <c r="BO171" s="67" t="s">
        <v>1947</v>
      </c>
      <c r="BP171" s="66">
        <f t="shared" si="1980"/>
        <v>0</v>
      </c>
      <c r="BQ171" s="102"/>
      <c r="BR171" s="67" t="s">
        <v>1947</v>
      </c>
      <c r="BS171" s="66">
        <f t="shared" si="1981"/>
        <v>0</v>
      </c>
      <c r="BT171" s="102"/>
      <c r="BU171" s="73"/>
      <c r="BV171" s="66">
        <f t="shared" si="1982"/>
        <v>0</v>
      </c>
      <c r="BW171" s="102"/>
      <c r="BX171" s="67"/>
      <c r="BY171" s="66">
        <f t="shared" si="1983"/>
        <v>0</v>
      </c>
      <c r="BZ171" s="102"/>
      <c r="CA171" s="67"/>
      <c r="CB171" s="66">
        <f t="shared" si="1984"/>
        <v>0</v>
      </c>
      <c r="CC171" s="102"/>
      <c r="CD171" s="67"/>
      <c r="CE171" s="66">
        <f t="shared" si="1985"/>
        <v>0</v>
      </c>
      <c r="CF171" s="102"/>
      <c r="CG171" s="67"/>
      <c r="CH171" s="66">
        <f t="shared" si="1986"/>
        <v>0</v>
      </c>
      <c r="CI171" s="102"/>
      <c r="CJ171" s="73"/>
      <c r="CK171" s="66">
        <f t="shared" si="1987"/>
        <v>0</v>
      </c>
      <c r="CL171" s="102"/>
      <c r="CM171" s="67"/>
      <c r="CN171" s="66">
        <f t="shared" si="1988"/>
        <v>0</v>
      </c>
      <c r="CO171" s="102"/>
      <c r="CP171" s="67"/>
      <c r="CQ171" s="66">
        <f t="shared" si="1989"/>
        <v>0</v>
      </c>
      <c r="CR171" s="102"/>
      <c r="CS171" s="67"/>
      <c r="CT171" s="66">
        <f t="shared" si="1990"/>
        <v>0</v>
      </c>
      <c r="CU171" s="102"/>
      <c r="CV171" s="67"/>
      <c r="CW171" s="66">
        <f t="shared" si="1991"/>
        <v>0</v>
      </c>
      <c r="CX171" s="102"/>
      <c r="CY171" s="73"/>
      <c r="CZ171" s="66">
        <f t="shared" si="1992"/>
        <v>0</v>
      </c>
      <c r="DA171" s="102"/>
      <c r="DB171" s="67"/>
      <c r="DC171" s="66">
        <f t="shared" si="1993"/>
        <v>0</v>
      </c>
      <c r="DD171" s="102"/>
      <c r="DE171" s="67"/>
      <c r="DF171" s="66">
        <f t="shared" si="1994"/>
        <v>0</v>
      </c>
      <c r="DG171" s="102"/>
      <c r="DH171" s="67"/>
      <c r="DI171" s="66">
        <f t="shared" si="1995"/>
        <v>0</v>
      </c>
      <c r="DJ171" s="102"/>
      <c r="DK171" s="67"/>
      <c r="DL171" s="66">
        <f t="shared" si="1996"/>
        <v>0</v>
      </c>
      <c r="DM171" s="102"/>
      <c r="DN171" s="73"/>
      <c r="DO171" s="66">
        <f t="shared" si="1997"/>
        <v>0</v>
      </c>
      <c r="DP171" s="102"/>
      <c r="DQ171" s="67"/>
      <c r="DR171" s="66">
        <f t="shared" si="1998"/>
        <v>0</v>
      </c>
      <c r="DS171" s="102"/>
      <c r="DT171" s="67"/>
      <c r="DU171" s="66">
        <f t="shared" si="1999"/>
        <v>0</v>
      </c>
      <c r="DV171" s="102"/>
      <c r="DW171" s="67"/>
      <c r="DX171" s="66">
        <f t="shared" si="2000"/>
        <v>0</v>
      </c>
      <c r="DY171" s="102"/>
      <c r="DZ171" s="67"/>
      <c r="EA171" s="66">
        <f t="shared" si="2001"/>
        <v>0</v>
      </c>
      <c r="EB171" s="102"/>
      <c r="EC171" s="65"/>
      <c r="ED171" s="66">
        <f t="shared" si="2002"/>
        <v>0</v>
      </c>
      <c r="EE171" s="102"/>
      <c r="EF171" s="67"/>
      <c r="EG171" s="66">
        <f t="shared" si="2003"/>
        <v>0</v>
      </c>
      <c r="EH171" s="102"/>
      <c r="EI171" s="102"/>
    </row>
    <row r="172" spans="1:139">
      <c r="A172" s="711">
        <f>WORLDCUP!AD109</f>
        <v>0</v>
      </c>
      <c r="B172" s="711">
        <f>WORLDCUP!AC109</f>
        <v>0</v>
      </c>
      <c r="C172" s="805" t="str">
        <f ca="1">CONCATENATE(WORLDCUP!AF109,"-",WORLDCUP!AA109)</f>
        <v>3AEHIJ-1G</v>
      </c>
      <c r="D172" s="805" t="str">
        <f>IF(WORLDCUP!AC109&gt;WORLDCUP!AD109,2,IF(WORLDCUP!AC109&lt;WORLDCUP!AD109,1,IF(AND(WORLDCUP!AC109=WORLDCUP!AD109,WORLDCUP!AC109&lt;&gt;"",WORLDCUP!AD109&lt;&gt;""),0,"PD")))</f>
        <v>PD</v>
      </c>
      <c r="E172" s="805" t="str">
        <f>IF(OR(WORLDCUP!AC109="",WORLDCUP!AD109=""),"-",A172&amp;"-"&amp;B172)</f>
        <v>-</v>
      </c>
      <c r="F172" s="806">
        <f t="shared" si="1962"/>
        <v>17</v>
      </c>
      <c r="G172" s="806">
        <f ca="1">VLOOKUP(H172,Equipos!$Q$1:$R$25,2,0)</f>
        <v>20</v>
      </c>
      <c r="H172" s="807" t="str">
        <f>Idiomas!$D$260</f>
        <v>Dieciseisavos de final</v>
      </c>
      <c r="I172" s="808">
        <v>1</v>
      </c>
      <c r="J172" s="859"/>
      <c r="K172" s="49" t="str">
        <f ca="1">CONCATENATE(WORLDCUP!AA109,"-",WORLDCUP!AF109)</f>
        <v>1G-3AEHIJ</v>
      </c>
      <c r="L172" s="46"/>
      <c r="M172" s="48" t="str">
        <f>IF(OR(WORLDCUP!AC109="",WORLDCUP!AD109=""),"-",N172&amp;"|"&amp;O172&amp;"-"&amp;P172)</f>
        <v>-</v>
      </c>
      <c r="N172" s="711" t="str">
        <f>IF(OR(WORLDCUP!AC109="",WORLDCUP!AD109=""),"",IF(WORLDCUP!AC109&gt;WORLDCUP!AD109,"1",IF(WORLDCUP!AC109&lt;WORLDCUP!AD109,"2","X")))</f>
        <v/>
      </c>
      <c r="O172" s="711">
        <f>WORLDCUP!AC109</f>
        <v>0</v>
      </c>
      <c r="P172" s="711">
        <f>WORLDCUP!AD109</f>
        <v>0</v>
      </c>
      <c r="Q172" s="711">
        <f t="shared" si="1963"/>
        <v>0</v>
      </c>
      <c r="R172" s="102"/>
      <c r="S172" s="67" t="s">
        <v>1956</v>
      </c>
      <c r="T172" s="66">
        <f t="shared" si="1964"/>
        <v>0</v>
      </c>
      <c r="U172" s="102"/>
      <c r="V172" s="67" t="s">
        <v>1948</v>
      </c>
      <c r="W172" s="66">
        <f t="shared" si="1965"/>
        <v>0</v>
      </c>
      <c r="X172" s="102"/>
      <c r="Y172" s="67" t="s">
        <v>1956</v>
      </c>
      <c r="Z172" s="66">
        <f t="shared" si="1966"/>
        <v>0</v>
      </c>
      <c r="AA172" s="102"/>
      <c r="AB172" s="67" t="s">
        <v>1948</v>
      </c>
      <c r="AC172" s="66">
        <f t="shared" si="1967"/>
        <v>0</v>
      </c>
      <c r="AD172" s="102"/>
      <c r="AE172" s="67" t="s">
        <v>1953</v>
      </c>
      <c r="AF172" s="66">
        <f t="shared" si="1968"/>
        <v>0</v>
      </c>
      <c r="AG172" s="102"/>
      <c r="AH172" s="67" t="s">
        <v>1956</v>
      </c>
      <c r="AI172" s="66">
        <f t="shared" si="1969"/>
        <v>0</v>
      </c>
      <c r="AJ172" s="102"/>
      <c r="AK172" s="67" t="s">
        <v>1947</v>
      </c>
      <c r="AL172" s="66">
        <f t="shared" si="1970"/>
        <v>0</v>
      </c>
      <c r="AM172" s="102"/>
      <c r="AN172" s="67" t="s">
        <v>1956</v>
      </c>
      <c r="AO172" s="66">
        <f t="shared" si="1971"/>
        <v>0</v>
      </c>
      <c r="AP172" s="102"/>
      <c r="AQ172" s="73" t="s">
        <v>1989</v>
      </c>
      <c r="AR172" s="66">
        <f t="shared" si="1972"/>
        <v>0</v>
      </c>
      <c r="AS172" s="102"/>
      <c r="AT172" s="67" t="s">
        <v>1953</v>
      </c>
      <c r="AU172" s="66">
        <f t="shared" si="1973"/>
        <v>0</v>
      </c>
      <c r="AV172" s="102"/>
      <c r="AW172" s="67" t="s">
        <v>1947</v>
      </c>
      <c r="AX172" s="66">
        <f t="shared" si="1974"/>
        <v>0</v>
      </c>
      <c r="AY172" s="102"/>
      <c r="AZ172" s="67" t="s">
        <v>1953</v>
      </c>
      <c r="BA172" s="66">
        <f t="shared" si="1975"/>
        <v>0</v>
      </c>
      <c r="BB172" s="102"/>
      <c r="BC172" s="67" t="s">
        <v>1952</v>
      </c>
      <c r="BD172" s="66">
        <f t="shared" si="1976"/>
        <v>0</v>
      </c>
      <c r="BE172" s="102"/>
      <c r="BF172" s="73" t="s">
        <v>1947</v>
      </c>
      <c r="BG172" s="66">
        <f t="shared" si="1977"/>
        <v>0</v>
      </c>
      <c r="BH172" s="102"/>
      <c r="BI172" s="67" t="s">
        <v>1956</v>
      </c>
      <c r="BJ172" s="66">
        <f t="shared" si="1978"/>
        <v>0</v>
      </c>
      <c r="BK172" s="102"/>
      <c r="BL172" s="67" t="s">
        <v>1947</v>
      </c>
      <c r="BM172" s="66">
        <f t="shared" si="1979"/>
        <v>0</v>
      </c>
      <c r="BN172" s="102"/>
      <c r="BO172" s="67" t="s">
        <v>1956</v>
      </c>
      <c r="BP172" s="66">
        <f t="shared" si="1980"/>
        <v>0</v>
      </c>
      <c r="BQ172" s="102"/>
      <c r="BR172" s="67" t="s">
        <v>1953</v>
      </c>
      <c r="BS172" s="66">
        <f t="shared" si="1981"/>
        <v>0</v>
      </c>
      <c r="BT172" s="102"/>
      <c r="BU172" s="73"/>
      <c r="BV172" s="66">
        <f t="shared" si="1982"/>
        <v>0</v>
      </c>
      <c r="BW172" s="102"/>
      <c r="BX172" s="67"/>
      <c r="BY172" s="66">
        <f t="shared" si="1983"/>
        <v>0</v>
      </c>
      <c r="BZ172" s="102"/>
      <c r="CA172" s="67"/>
      <c r="CB172" s="66">
        <f t="shared" si="1984"/>
        <v>0</v>
      </c>
      <c r="CC172" s="102"/>
      <c r="CD172" s="67"/>
      <c r="CE172" s="66">
        <f t="shared" si="1985"/>
        <v>0</v>
      </c>
      <c r="CF172" s="102"/>
      <c r="CG172" s="67"/>
      <c r="CH172" s="66">
        <f t="shared" si="1986"/>
        <v>0</v>
      </c>
      <c r="CI172" s="102"/>
      <c r="CJ172" s="73"/>
      <c r="CK172" s="66">
        <f t="shared" si="1987"/>
        <v>0</v>
      </c>
      <c r="CL172" s="102"/>
      <c r="CM172" s="67"/>
      <c r="CN172" s="66">
        <f t="shared" si="1988"/>
        <v>0</v>
      </c>
      <c r="CO172" s="102"/>
      <c r="CP172" s="67"/>
      <c r="CQ172" s="66">
        <f t="shared" si="1989"/>
        <v>0</v>
      </c>
      <c r="CR172" s="102"/>
      <c r="CS172" s="67"/>
      <c r="CT172" s="66">
        <f t="shared" si="1990"/>
        <v>0</v>
      </c>
      <c r="CU172" s="102"/>
      <c r="CV172" s="67"/>
      <c r="CW172" s="66">
        <f t="shared" si="1991"/>
        <v>0</v>
      </c>
      <c r="CX172" s="102"/>
      <c r="CY172" s="73"/>
      <c r="CZ172" s="66">
        <f t="shared" si="1992"/>
        <v>0</v>
      </c>
      <c r="DA172" s="102"/>
      <c r="DB172" s="67"/>
      <c r="DC172" s="66">
        <f t="shared" si="1993"/>
        <v>0</v>
      </c>
      <c r="DD172" s="102"/>
      <c r="DE172" s="67"/>
      <c r="DF172" s="66">
        <f t="shared" si="1994"/>
        <v>0</v>
      </c>
      <c r="DG172" s="102"/>
      <c r="DH172" s="67"/>
      <c r="DI172" s="66">
        <f t="shared" si="1995"/>
        <v>0</v>
      </c>
      <c r="DJ172" s="102"/>
      <c r="DK172" s="67"/>
      <c r="DL172" s="66">
        <f t="shared" si="1996"/>
        <v>0</v>
      </c>
      <c r="DM172" s="102"/>
      <c r="DN172" s="73"/>
      <c r="DO172" s="66">
        <f t="shared" si="1997"/>
        <v>0</v>
      </c>
      <c r="DP172" s="102"/>
      <c r="DQ172" s="67"/>
      <c r="DR172" s="66">
        <f t="shared" si="1998"/>
        <v>0</v>
      </c>
      <c r="DS172" s="102"/>
      <c r="DT172" s="67"/>
      <c r="DU172" s="66">
        <f t="shared" si="1999"/>
        <v>0</v>
      </c>
      <c r="DV172" s="102"/>
      <c r="DW172" s="67"/>
      <c r="DX172" s="66">
        <f t="shared" si="2000"/>
        <v>0</v>
      </c>
      <c r="DY172" s="102"/>
      <c r="DZ172" s="67"/>
      <c r="EA172" s="66">
        <f t="shared" si="2001"/>
        <v>0</v>
      </c>
      <c r="EB172" s="102"/>
      <c r="EC172" s="67"/>
      <c r="ED172" s="66">
        <f t="shared" si="2002"/>
        <v>0</v>
      </c>
      <c r="EE172" s="102"/>
      <c r="EF172" s="67"/>
      <c r="EG172" s="66">
        <f t="shared" si="2003"/>
        <v>0</v>
      </c>
      <c r="EH172" s="102"/>
      <c r="EI172" s="102"/>
    </row>
    <row r="173" spans="1:139">
      <c r="A173" s="711">
        <f>WORLDCUP!AD110</f>
        <v>0</v>
      </c>
      <c r="B173" s="711">
        <f>WORLDCUP!AC110</f>
        <v>0</v>
      </c>
      <c r="C173" s="805" t="str">
        <f ca="1">CONCATENATE(WORLDCUP!AF110,"-",WORLDCUP!AA110)</f>
        <v>3BEFIJ-1D</v>
      </c>
      <c r="D173" s="805" t="str">
        <f>IF(WORLDCUP!AC110&gt;WORLDCUP!AD110,2,IF(WORLDCUP!AC110&lt;WORLDCUP!AD110,1,IF(AND(WORLDCUP!AC110=WORLDCUP!AD110,WORLDCUP!AC110&lt;&gt;"",WORLDCUP!AD110&lt;&gt;""),0,"PD")))</f>
        <v>PD</v>
      </c>
      <c r="E173" s="805" t="str">
        <f>IF(OR(WORLDCUP!AC110="",WORLDCUP!AD110=""),"-",A173&amp;"-"&amp;B173)</f>
        <v>-</v>
      </c>
      <c r="F173" s="806">
        <f t="shared" si="1962"/>
        <v>17</v>
      </c>
      <c r="G173" s="806">
        <f ca="1">VLOOKUP(H173,Equipos!$Q$1:$R$25,2,0)</f>
        <v>20</v>
      </c>
      <c r="H173" s="807" t="str">
        <f>Idiomas!$D$260</f>
        <v>Dieciseisavos de final</v>
      </c>
      <c r="I173" s="808">
        <v>1</v>
      </c>
      <c r="J173" s="859"/>
      <c r="K173" s="49" t="str">
        <f ca="1">CONCATENATE(WORLDCUP!AA110,"-",WORLDCUP!AF110)</f>
        <v>1D-3BEFIJ</v>
      </c>
      <c r="L173" s="46"/>
      <c r="M173" s="48" t="str">
        <f>IF(OR(WORLDCUP!AC110="",WORLDCUP!AD110=""),"-",N173&amp;"|"&amp;O173&amp;"-"&amp;P173)</f>
        <v>-</v>
      </c>
      <c r="N173" s="711" t="str">
        <f>IF(OR(WORLDCUP!AC110="",WORLDCUP!AD110=""),"",IF(WORLDCUP!AC110&gt;WORLDCUP!AD110,"1",IF(WORLDCUP!AC110&lt;WORLDCUP!AD110,"2","X")))</f>
        <v/>
      </c>
      <c r="O173" s="711">
        <f>WORLDCUP!AC110</f>
        <v>0</v>
      </c>
      <c r="P173" s="711">
        <f>WORLDCUP!AD110</f>
        <v>0</v>
      </c>
      <c r="Q173" s="711">
        <f t="shared" si="1963"/>
        <v>0</v>
      </c>
      <c r="R173" s="102"/>
      <c r="S173" s="67" t="s">
        <v>1962</v>
      </c>
      <c r="T173" s="66">
        <f t="shared" si="1964"/>
        <v>0</v>
      </c>
      <c r="U173" s="102"/>
      <c r="V173" s="67" t="s">
        <v>1956</v>
      </c>
      <c r="W173" s="66">
        <f t="shared" si="1965"/>
        <v>0</v>
      </c>
      <c r="X173" s="102"/>
      <c r="Y173" s="67" t="s">
        <v>1953</v>
      </c>
      <c r="Z173" s="66">
        <f t="shared" si="1966"/>
        <v>0</v>
      </c>
      <c r="AA173" s="102"/>
      <c r="AB173" s="67" t="s">
        <v>1948</v>
      </c>
      <c r="AC173" s="66">
        <f t="shared" si="1967"/>
        <v>0</v>
      </c>
      <c r="AD173" s="102"/>
      <c r="AE173" s="67" t="s">
        <v>1956</v>
      </c>
      <c r="AF173" s="66">
        <f t="shared" si="1968"/>
        <v>0</v>
      </c>
      <c r="AG173" s="102"/>
      <c r="AH173" s="67" t="s">
        <v>1955</v>
      </c>
      <c r="AI173" s="66">
        <f t="shared" si="1969"/>
        <v>0</v>
      </c>
      <c r="AJ173" s="102"/>
      <c r="AK173" s="67" t="s">
        <v>1947</v>
      </c>
      <c r="AL173" s="66">
        <f t="shared" si="1970"/>
        <v>0</v>
      </c>
      <c r="AM173" s="102"/>
      <c r="AN173" s="67" t="s">
        <v>1956</v>
      </c>
      <c r="AO173" s="66">
        <f t="shared" si="1971"/>
        <v>0</v>
      </c>
      <c r="AP173" s="102"/>
      <c r="AQ173" s="67" t="s">
        <v>1947</v>
      </c>
      <c r="AR173" s="66">
        <f t="shared" si="1972"/>
        <v>0</v>
      </c>
      <c r="AS173" s="102"/>
      <c r="AT173" s="67" t="s">
        <v>1954</v>
      </c>
      <c r="AU173" s="66">
        <f t="shared" si="1973"/>
        <v>0</v>
      </c>
      <c r="AV173" s="102"/>
      <c r="AW173" s="67" t="s">
        <v>1948</v>
      </c>
      <c r="AX173" s="66">
        <f t="shared" si="1974"/>
        <v>0</v>
      </c>
      <c r="AY173" s="102"/>
      <c r="AZ173" s="67" t="s">
        <v>1953</v>
      </c>
      <c r="BA173" s="66">
        <f t="shared" si="1975"/>
        <v>0</v>
      </c>
      <c r="BB173" s="102"/>
      <c r="BC173" s="67" t="s">
        <v>1947</v>
      </c>
      <c r="BD173" s="66">
        <f t="shared" si="1976"/>
        <v>0</v>
      </c>
      <c r="BE173" s="102"/>
      <c r="BF173" s="67" t="s">
        <v>1959</v>
      </c>
      <c r="BG173" s="66">
        <f t="shared" si="1977"/>
        <v>0</v>
      </c>
      <c r="BH173" s="102"/>
      <c r="BI173" s="67" t="s">
        <v>1962</v>
      </c>
      <c r="BJ173" s="66">
        <f t="shared" si="1978"/>
        <v>0</v>
      </c>
      <c r="BK173" s="102"/>
      <c r="BL173" s="67" t="s">
        <v>1956</v>
      </c>
      <c r="BM173" s="66">
        <f t="shared" si="1979"/>
        <v>0</v>
      </c>
      <c r="BN173" s="102"/>
      <c r="BO173" s="67" t="s">
        <v>1948</v>
      </c>
      <c r="BP173" s="66">
        <f t="shared" si="1980"/>
        <v>0</v>
      </c>
      <c r="BQ173" s="102"/>
      <c r="BR173" s="67" t="s">
        <v>1953</v>
      </c>
      <c r="BS173" s="66">
        <f t="shared" si="1981"/>
        <v>0</v>
      </c>
      <c r="BT173" s="102"/>
      <c r="BU173" s="67"/>
      <c r="BV173" s="66">
        <f t="shared" si="1982"/>
        <v>0</v>
      </c>
      <c r="BW173" s="102"/>
      <c r="BX173" s="67"/>
      <c r="BY173" s="66">
        <f t="shared" si="1983"/>
        <v>0</v>
      </c>
      <c r="BZ173" s="102"/>
      <c r="CA173" s="67"/>
      <c r="CB173" s="66">
        <f t="shared" si="1984"/>
        <v>0</v>
      </c>
      <c r="CC173" s="102"/>
      <c r="CD173" s="67"/>
      <c r="CE173" s="66">
        <f t="shared" si="1985"/>
        <v>0</v>
      </c>
      <c r="CF173" s="102"/>
      <c r="CG173" s="67"/>
      <c r="CH173" s="66">
        <f t="shared" si="1986"/>
        <v>0</v>
      </c>
      <c r="CI173" s="102"/>
      <c r="CJ173" s="67"/>
      <c r="CK173" s="66">
        <f t="shared" si="1987"/>
        <v>0</v>
      </c>
      <c r="CL173" s="102"/>
      <c r="CM173" s="67"/>
      <c r="CN173" s="66">
        <f t="shared" si="1988"/>
        <v>0</v>
      </c>
      <c r="CO173" s="102"/>
      <c r="CP173" s="67"/>
      <c r="CQ173" s="66">
        <f t="shared" si="1989"/>
        <v>0</v>
      </c>
      <c r="CR173" s="102"/>
      <c r="CS173" s="67"/>
      <c r="CT173" s="66">
        <f t="shared" si="1990"/>
        <v>0</v>
      </c>
      <c r="CU173" s="102"/>
      <c r="CV173" s="67"/>
      <c r="CW173" s="66">
        <f t="shared" si="1991"/>
        <v>0</v>
      </c>
      <c r="CX173" s="102"/>
      <c r="CY173" s="67"/>
      <c r="CZ173" s="66">
        <f t="shared" si="1992"/>
        <v>0</v>
      </c>
      <c r="DA173" s="102"/>
      <c r="DB173" s="67"/>
      <c r="DC173" s="66">
        <f t="shared" si="1993"/>
        <v>0</v>
      </c>
      <c r="DD173" s="102"/>
      <c r="DE173" s="67"/>
      <c r="DF173" s="66">
        <f t="shared" si="1994"/>
        <v>0</v>
      </c>
      <c r="DG173" s="102"/>
      <c r="DH173" s="67"/>
      <c r="DI173" s="66">
        <f t="shared" si="1995"/>
        <v>0</v>
      </c>
      <c r="DJ173" s="102"/>
      <c r="DK173" s="67"/>
      <c r="DL173" s="66">
        <f t="shared" si="1996"/>
        <v>0</v>
      </c>
      <c r="DM173" s="102"/>
      <c r="DN173" s="67"/>
      <c r="DO173" s="66">
        <f t="shared" si="1997"/>
        <v>0</v>
      </c>
      <c r="DP173" s="102"/>
      <c r="DQ173" s="67"/>
      <c r="DR173" s="66">
        <f t="shared" si="1998"/>
        <v>0</v>
      </c>
      <c r="DS173" s="102"/>
      <c r="DT173" s="67"/>
      <c r="DU173" s="66">
        <f t="shared" si="1999"/>
        <v>0</v>
      </c>
      <c r="DV173" s="102"/>
      <c r="DW173" s="67"/>
      <c r="DX173" s="66">
        <f t="shared" si="2000"/>
        <v>0</v>
      </c>
      <c r="DY173" s="102"/>
      <c r="DZ173" s="67"/>
      <c r="EA173" s="66">
        <f t="shared" si="2001"/>
        <v>0</v>
      </c>
      <c r="EB173" s="102"/>
      <c r="EC173" s="68"/>
      <c r="ED173" s="66">
        <f t="shared" si="2002"/>
        <v>0</v>
      </c>
      <c r="EE173" s="102"/>
      <c r="EF173" s="67"/>
      <c r="EG173" s="66">
        <f t="shared" si="2003"/>
        <v>0</v>
      </c>
      <c r="EH173" s="102"/>
      <c r="EI173" s="102"/>
    </row>
    <row r="174" spans="1:139">
      <c r="A174" s="711">
        <f>WORLDCUP!AD111</f>
        <v>0</v>
      </c>
      <c r="B174" s="711">
        <f>WORLDCUP!AC111</f>
        <v>0</v>
      </c>
      <c r="C174" s="805" t="str">
        <f ca="1">CONCATENATE(WORLDCUP!AF111,"-",WORLDCUP!AA111)</f>
        <v>2J-1H</v>
      </c>
      <c r="D174" s="805" t="str">
        <f>IF(WORLDCUP!AC111&gt;WORLDCUP!AD111,2,IF(WORLDCUP!AC111&lt;WORLDCUP!AD111,1,IF(AND(WORLDCUP!AC111=WORLDCUP!AD111,WORLDCUP!AC111&lt;&gt;"",WORLDCUP!AD111&lt;&gt;""),0,"PD")))</f>
        <v>PD</v>
      </c>
      <c r="E174" s="805" t="str">
        <f>IF(OR(WORLDCUP!AC111="",WORLDCUP!AD111=""),"-",A174&amp;"-"&amp;B174)</f>
        <v>-</v>
      </c>
      <c r="F174" s="806">
        <f t="shared" si="1962"/>
        <v>17</v>
      </c>
      <c r="G174" s="806">
        <f ca="1">VLOOKUP(H174,Equipos!$Q$1:$R$25,2,0)</f>
        <v>20</v>
      </c>
      <c r="H174" s="807" t="str">
        <f>Idiomas!$D$260</f>
        <v>Dieciseisavos de final</v>
      </c>
      <c r="I174" s="808">
        <v>1</v>
      </c>
      <c r="J174" s="859"/>
      <c r="K174" s="49" t="str">
        <f ca="1">CONCATENATE(WORLDCUP!AA111,"-",WORLDCUP!AF111)</f>
        <v>1H-2J</v>
      </c>
      <c r="L174" s="46"/>
      <c r="M174" s="48" t="str">
        <f>IF(OR(WORLDCUP!AC111="",WORLDCUP!AD111=""),"-",N174&amp;"|"&amp;O174&amp;"-"&amp;P174)</f>
        <v>-</v>
      </c>
      <c r="N174" s="711" t="str">
        <f>IF(OR(WORLDCUP!AC111="",WORLDCUP!AD111=""),"",IF(WORLDCUP!AC111&gt;WORLDCUP!AD111,"1",IF(WORLDCUP!AC111&lt;WORLDCUP!AD111,"2","X")))</f>
        <v/>
      </c>
      <c r="O174" s="711">
        <f>WORLDCUP!AC111</f>
        <v>0</v>
      </c>
      <c r="P174" s="711">
        <f>WORLDCUP!AD111</f>
        <v>0</v>
      </c>
      <c r="Q174" s="711">
        <f t="shared" si="1963"/>
        <v>0</v>
      </c>
      <c r="R174" s="102"/>
      <c r="S174" s="67" t="s">
        <v>1959</v>
      </c>
      <c r="T174" s="66">
        <f t="shared" si="1964"/>
        <v>0</v>
      </c>
      <c r="U174" s="102"/>
      <c r="V174" s="67" t="s">
        <v>1953</v>
      </c>
      <c r="W174" s="66">
        <f t="shared" si="1965"/>
        <v>0</v>
      </c>
      <c r="X174" s="102"/>
      <c r="Y174" s="67" t="s">
        <v>1954</v>
      </c>
      <c r="Z174" s="66">
        <f t="shared" si="1966"/>
        <v>0</v>
      </c>
      <c r="AA174" s="102"/>
      <c r="AB174" s="67" t="s">
        <v>1953</v>
      </c>
      <c r="AC174" s="66">
        <f t="shared" si="1967"/>
        <v>0</v>
      </c>
      <c r="AD174" s="102"/>
      <c r="AE174" s="67" t="s">
        <v>1959</v>
      </c>
      <c r="AF174" s="66">
        <f t="shared" si="1968"/>
        <v>0</v>
      </c>
      <c r="AG174" s="102"/>
      <c r="AH174" s="67" t="s">
        <v>1954</v>
      </c>
      <c r="AI174" s="66">
        <f t="shared" si="1969"/>
        <v>0</v>
      </c>
      <c r="AJ174" s="102"/>
      <c r="AK174" s="67" t="s">
        <v>1953</v>
      </c>
      <c r="AL174" s="66">
        <f t="shared" si="1970"/>
        <v>0</v>
      </c>
      <c r="AM174" s="102"/>
      <c r="AN174" s="67" t="s">
        <v>1953</v>
      </c>
      <c r="AO174" s="66">
        <f t="shared" si="1971"/>
        <v>0</v>
      </c>
      <c r="AP174" s="102"/>
      <c r="AQ174" s="67" t="s">
        <v>1947</v>
      </c>
      <c r="AR174" s="66">
        <f t="shared" si="1972"/>
        <v>0</v>
      </c>
      <c r="AS174" s="102"/>
      <c r="AT174" s="67" t="s">
        <v>1954</v>
      </c>
      <c r="AU174" s="66">
        <f t="shared" si="1973"/>
        <v>0</v>
      </c>
      <c r="AV174" s="102"/>
      <c r="AW174" s="67" t="s">
        <v>1953</v>
      </c>
      <c r="AX174" s="66">
        <f t="shared" si="1974"/>
        <v>0</v>
      </c>
      <c r="AY174" s="102"/>
      <c r="AZ174" s="67" t="s">
        <v>1953</v>
      </c>
      <c r="BA174" s="66">
        <f t="shared" si="1975"/>
        <v>0</v>
      </c>
      <c r="BB174" s="102"/>
      <c r="BC174" s="67" t="s">
        <v>1959</v>
      </c>
      <c r="BD174" s="66">
        <f t="shared" si="1976"/>
        <v>0</v>
      </c>
      <c r="BE174" s="102"/>
      <c r="BF174" s="67" t="s">
        <v>1953</v>
      </c>
      <c r="BG174" s="66">
        <f t="shared" si="1977"/>
        <v>0</v>
      </c>
      <c r="BH174" s="102"/>
      <c r="BI174" s="67" t="s">
        <v>1953</v>
      </c>
      <c r="BJ174" s="66">
        <f t="shared" si="1978"/>
        <v>0</v>
      </c>
      <c r="BK174" s="102"/>
      <c r="BL174" s="67" t="s">
        <v>1954</v>
      </c>
      <c r="BM174" s="66">
        <f t="shared" si="1979"/>
        <v>0</v>
      </c>
      <c r="BN174" s="102"/>
      <c r="BO174" s="67" t="s">
        <v>1954</v>
      </c>
      <c r="BP174" s="66">
        <f t="shared" si="1980"/>
        <v>0</v>
      </c>
      <c r="BQ174" s="102"/>
      <c r="BR174" s="67" t="s">
        <v>1953</v>
      </c>
      <c r="BS174" s="66">
        <f t="shared" si="1981"/>
        <v>0</v>
      </c>
      <c r="BT174" s="102"/>
      <c r="BU174" s="67"/>
      <c r="BV174" s="66">
        <f t="shared" si="1982"/>
        <v>0</v>
      </c>
      <c r="BW174" s="102"/>
      <c r="BX174" s="67"/>
      <c r="BY174" s="66">
        <f t="shared" si="1983"/>
        <v>0</v>
      </c>
      <c r="BZ174" s="102"/>
      <c r="CA174" s="67"/>
      <c r="CB174" s="66">
        <f t="shared" si="1984"/>
        <v>0</v>
      </c>
      <c r="CC174" s="102"/>
      <c r="CD174" s="67"/>
      <c r="CE174" s="66">
        <f t="shared" si="1985"/>
        <v>0</v>
      </c>
      <c r="CF174" s="102"/>
      <c r="CG174" s="67"/>
      <c r="CH174" s="66">
        <f t="shared" si="1986"/>
        <v>0</v>
      </c>
      <c r="CI174" s="102"/>
      <c r="CJ174" s="67"/>
      <c r="CK174" s="66">
        <f t="shared" si="1987"/>
        <v>0</v>
      </c>
      <c r="CL174" s="102"/>
      <c r="CM174" s="67"/>
      <c r="CN174" s="66">
        <f t="shared" si="1988"/>
        <v>0</v>
      </c>
      <c r="CO174" s="102"/>
      <c r="CP174" s="67"/>
      <c r="CQ174" s="66">
        <f t="shared" si="1989"/>
        <v>0</v>
      </c>
      <c r="CR174" s="102"/>
      <c r="CS174" s="67"/>
      <c r="CT174" s="66">
        <f t="shared" si="1990"/>
        <v>0</v>
      </c>
      <c r="CU174" s="102"/>
      <c r="CV174" s="67"/>
      <c r="CW174" s="66">
        <f t="shared" si="1991"/>
        <v>0</v>
      </c>
      <c r="CX174" s="102"/>
      <c r="CY174" s="67"/>
      <c r="CZ174" s="66">
        <f t="shared" si="1992"/>
        <v>0</v>
      </c>
      <c r="DA174" s="102"/>
      <c r="DB174" s="67"/>
      <c r="DC174" s="66">
        <f t="shared" si="1993"/>
        <v>0</v>
      </c>
      <c r="DD174" s="102"/>
      <c r="DE174" s="67"/>
      <c r="DF174" s="66">
        <f t="shared" si="1994"/>
        <v>0</v>
      </c>
      <c r="DG174" s="102"/>
      <c r="DH174" s="67"/>
      <c r="DI174" s="66">
        <f t="shared" si="1995"/>
        <v>0</v>
      </c>
      <c r="DJ174" s="102"/>
      <c r="DK174" s="67"/>
      <c r="DL174" s="66">
        <f t="shared" si="1996"/>
        <v>0</v>
      </c>
      <c r="DM174" s="102"/>
      <c r="DN174" s="67"/>
      <c r="DO174" s="66">
        <f t="shared" si="1997"/>
        <v>0</v>
      </c>
      <c r="DP174" s="102"/>
      <c r="DQ174" s="67"/>
      <c r="DR174" s="66">
        <f t="shared" si="1998"/>
        <v>0</v>
      </c>
      <c r="DS174" s="102"/>
      <c r="DT174" s="67"/>
      <c r="DU174" s="66">
        <f t="shared" si="1999"/>
        <v>0</v>
      </c>
      <c r="DV174" s="102"/>
      <c r="DW174" s="67"/>
      <c r="DX174" s="66">
        <f t="shared" si="2000"/>
        <v>0</v>
      </c>
      <c r="DY174" s="102"/>
      <c r="DZ174" s="67"/>
      <c r="EA174" s="66">
        <f t="shared" si="2001"/>
        <v>0</v>
      </c>
      <c r="EB174" s="102"/>
      <c r="EC174" s="67"/>
      <c r="ED174" s="66">
        <f t="shared" si="2002"/>
        <v>0</v>
      </c>
      <c r="EE174" s="102"/>
      <c r="EF174" s="67"/>
      <c r="EG174" s="66">
        <f t="shared" si="2003"/>
        <v>0</v>
      </c>
      <c r="EH174" s="102"/>
      <c r="EI174" s="102"/>
    </row>
    <row r="175" spans="1:139">
      <c r="A175" s="711">
        <f>WORLDCUP!AD112</f>
        <v>0</v>
      </c>
      <c r="B175" s="711">
        <f>WORLDCUP!AC112</f>
        <v>0</v>
      </c>
      <c r="C175" s="805" t="str">
        <f ca="1">CONCATENATE(WORLDCUP!AF112,"-",WORLDCUP!AA112)</f>
        <v>2L-2K</v>
      </c>
      <c r="D175" s="805" t="str">
        <f>IF(WORLDCUP!AC112&gt;WORLDCUP!AD112,2,IF(WORLDCUP!AC112&lt;WORLDCUP!AD112,1,IF(AND(WORLDCUP!AC112=WORLDCUP!AD112,WORLDCUP!AC112&lt;&gt;"",WORLDCUP!AD112&lt;&gt;""),0,"PD")))</f>
        <v>PD</v>
      </c>
      <c r="E175" s="805" t="str">
        <f>IF(OR(WORLDCUP!AC112="",WORLDCUP!AD112=""),"-",A175&amp;"-"&amp;B175)</f>
        <v>-</v>
      </c>
      <c r="F175" s="806">
        <f t="shared" si="1962"/>
        <v>17</v>
      </c>
      <c r="G175" s="806">
        <f ca="1">VLOOKUP(H175,Equipos!$Q$1:$R$25,2,0)</f>
        <v>20</v>
      </c>
      <c r="H175" s="807" t="str">
        <f>Idiomas!$D$260</f>
        <v>Dieciseisavos de final</v>
      </c>
      <c r="I175" s="808">
        <v>1</v>
      </c>
      <c r="J175" s="859"/>
      <c r="K175" s="49" t="str">
        <f ca="1">CONCATENATE(WORLDCUP!AA112,"-",WORLDCUP!AF112)</f>
        <v>2K-2L</v>
      </c>
      <c r="L175" s="46"/>
      <c r="M175" s="48" t="str">
        <f>IF(OR(WORLDCUP!AC112="",WORLDCUP!AD112=""),"-",N175&amp;"|"&amp;O175&amp;"-"&amp;P175)</f>
        <v>-</v>
      </c>
      <c r="N175" s="711" t="str">
        <f>IF(OR(WORLDCUP!AC112="",WORLDCUP!AD112=""),"",IF(WORLDCUP!AC112&gt;WORLDCUP!AD112,"1",IF(WORLDCUP!AC112&lt;WORLDCUP!AD112,"2","X")))</f>
        <v/>
      </c>
      <c r="O175" s="711">
        <f>WORLDCUP!AC112</f>
        <v>0</v>
      </c>
      <c r="P175" s="711">
        <f>WORLDCUP!AD112</f>
        <v>0</v>
      </c>
      <c r="Q175" s="711">
        <f t="shared" si="1963"/>
        <v>0</v>
      </c>
      <c r="R175" s="102"/>
      <c r="S175" s="67" t="s">
        <v>1955</v>
      </c>
      <c r="T175" s="66">
        <f t="shared" si="1964"/>
        <v>0</v>
      </c>
      <c r="U175" s="102"/>
      <c r="V175" s="67" t="s">
        <v>1947</v>
      </c>
      <c r="W175" s="66">
        <f t="shared" si="1965"/>
        <v>0</v>
      </c>
      <c r="X175" s="102"/>
      <c r="Y175" s="67" t="s">
        <v>1947</v>
      </c>
      <c r="Z175" s="66">
        <f t="shared" si="1966"/>
        <v>0</v>
      </c>
      <c r="AA175" s="102"/>
      <c r="AB175" s="67" t="s">
        <v>1955</v>
      </c>
      <c r="AC175" s="66">
        <f t="shared" si="1967"/>
        <v>0</v>
      </c>
      <c r="AD175" s="102"/>
      <c r="AE175" s="67" t="s">
        <v>1950</v>
      </c>
      <c r="AF175" s="66">
        <f t="shared" si="1968"/>
        <v>0</v>
      </c>
      <c r="AG175" s="102"/>
      <c r="AH175" s="67" t="s">
        <v>1950</v>
      </c>
      <c r="AI175" s="66">
        <f t="shared" si="1969"/>
        <v>0</v>
      </c>
      <c r="AJ175" s="102"/>
      <c r="AK175" s="67" t="s">
        <v>1947</v>
      </c>
      <c r="AL175" s="66">
        <f t="shared" si="1970"/>
        <v>0</v>
      </c>
      <c r="AM175" s="102"/>
      <c r="AN175" s="67" t="s">
        <v>1948</v>
      </c>
      <c r="AO175" s="66">
        <f t="shared" si="1971"/>
        <v>0</v>
      </c>
      <c r="AP175" s="102"/>
      <c r="AQ175" s="67" t="s">
        <v>1956</v>
      </c>
      <c r="AR175" s="66">
        <f t="shared" si="1972"/>
        <v>0</v>
      </c>
      <c r="AS175" s="102"/>
      <c r="AT175" s="67" t="s">
        <v>1948</v>
      </c>
      <c r="AU175" s="66">
        <f t="shared" si="1973"/>
        <v>0</v>
      </c>
      <c r="AV175" s="102"/>
      <c r="AW175" s="67" t="s">
        <v>1948</v>
      </c>
      <c r="AX175" s="66">
        <f t="shared" si="1974"/>
        <v>0</v>
      </c>
      <c r="AY175" s="102"/>
      <c r="AZ175" s="67" t="s">
        <v>1947</v>
      </c>
      <c r="BA175" s="66">
        <f t="shared" si="1975"/>
        <v>0</v>
      </c>
      <c r="BB175" s="102"/>
      <c r="BC175" s="67" t="s">
        <v>1947</v>
      </c>
      <c r="BD175" s="66">
        <f t="shared" si="1976"/>
        <v>0</v>
      </c>
      <c r="BE175" s="102"/>
      <c r="BF175" s="67" t="s">
        <v>1956</v>
      </c>
      <c r="BG175" s="66">
        <f t="shared" si="1977"/>
        <v>0</v>
      </c>
      <c r="BH175" s="102"/>
      <c r="BI175" s="67" t="s">
        <v>1955</v>
      </c>
      <c r="BJ175" s="66">
        <f t="shared" si="1978"/>
        <v>0</v>
      </c>
      <c r="BK175" s="102"/>
      <c r="BL175" s="67" t="s">
        <v>1948</v>
      </c>
      <c r="BM175" s="66">
        <f t="shared" si="1979"/>
        <v>0</v>
      </c>
      <c r="BN175" s="102"/>
      <c r="BO175" s="67" t="s">
        <v>1948</v>
      </c>
      <c r="BP175" s="66">
        <f t="shared" si="1980"/>
        <v>0</v>
      </c>
      <c r="BQ175" s="102"/>
      <c r="BR175" s="67" t="s">
        <v>1955</v>
      </c>
      <c r="BS175" s="66">
        <f t="shared" si="1981"/>
        <v>0</v>
      </c>
      <c r="BT175" s="102"/>
      <c r="BU175" s="67"/>
      <c r="BV175" s="66">
        <f t="shared" si="1982"/>
        <v>0</v>
      </c>
      <c r="BW175" s="102"/>
      <c r="BX175" s="67"/>
      <c r="BY175" s="66">
        <f t="shared" si="1983"/>
        <v>0</v>
      </c>
      <c r="BZ175" s="102"/>
      <c r="CA175" s="67"/>
      <c r="CB175" s="66">
        <f t="shared" si="1984"/>
        <v>0</v>
      </c>
      <c r="CC175" s="102"/>
      <c r="CD175" s="67"/>
      <c r="CE175" s="66">
        <f t="shared" si="1985"/>
        <v>0</v>
      </c>
      <c r="CF175" s="102"/>
      <c r="CG175" s="67"/>
      <c r="CH175" s="66">
        <f t="shared" si="1986"/>
        <v>0</v>
      </c>
      <c r="CI175" s="102"/>
      <c r="CJ175" s="67"/>
      <c r="CK175" s="66">
        <f t="shared" si="1987"/>
        <v>0</v>
      </c>
      <c r="CL175" s="102"/>
      <c r="CM175" s="67"/>
      <c r="CN175" s="66">
        <f t="shared" si="1988"/>
        <v>0</v>
      </c>
      <c r="CO175" s="102"/>
      <c r="CP175" s="67"/>
      <c r="CQ175" s="66">
        <f t="shared" si="1989"/>
        <v>0</v>
      </c>
      <c r="CR175" s="102"/>
      <c r="CS175" s="67"/>
      <c r="CT175" s="66">
        <f t="shared" si="1990"/>
        <v>0</v>
      </c>
      <c r="CU175" s="102"/>
      <c r="CV175" s="67"/>
      <c r="CW175" s="66">
        <f t="shared" si="1991"/>
        <v>0</v>
      </c>
      <c r="CX175" s="102"/>
      <c r="CY175" s="67"/>
      <c r="CZ175" s="66">
        <f t="shared" si="1992"/>
        <v>0</v>
      </c>
      <c r="DA175" s="102"/>
      <c r="DB175" s="67"/>
      <c r="DC175" s="66">
        <f t="shared" si="1993"/>
        <v>0</v>
      </c>
      <c r="DD175" s="102"/>
      <c r="DE175" s="67"/>
      <c r="DF175" s="66">
        <f t="shared" si="1994"/>
        <v>0</v>
      </c>
      <c r="DG175" s="102"/>
      <c r="DH175" s="67"/>
      <c r="DI175" s="66">
        <f t="shared" si="1995"/>
        <v>0</v>
      </c>
      <c r="DJ175" s="102"/>
      <c r="DK175" s="67"/>
      <c r="DL175" s="66">
        <f t="shared" si="1996"/>
        <v>0</v>
      </c>
      <c r="DM175" s="102"/>
      <c r="DN175" s="67"/>
      <c r="DO175" s="66">
        <f t="shared" si="1997"/>
        <v>0</v>
      </c>
      <c r="DP175" s="102"/>
      <c r="DQ175" s="67"/>
      <c r="DR175" s="66">
        <f t="shared" si="1998"/>
        <v>0</v>
      </c>
      <c r="DS175" s="102"/>
      <c r="DT175" s="67"/>
      <c r="DU175" s="66">
        <f t="shared" si="1999"/>
        <v>0</v>
      </c>
      <c r="DV175" s="102"/>
      <c r="DW175" s="67"/>
      <c r="DX175" s="66">
        <f t="shared" si="2000"/>
        <v>0</v>
      </c>
      <c r="DY175" s="102"/>
      <c r="DZ175" s="67"/>
      <c r="EA175" s="66">
        <f t="shared" si="2001"/>
        <v>0</v>
      </c>
      <c r="EB175" s="102"/>
      <c r="EC175" s="67"/>
      <c r="ED175" s="66">
        <f t="shared" si="2002"/>
        <v>0</v>
      </c>
      <c r="EE175" s="102"/>
      <c r="EF175" s="67"/>
      <c r="EG175" s="66">
        <f t="shared" si="2003"/>
        <v>0</v>
      </c>
      <c r="EH175" s="102"/>
      <c r="EI175" s="102"/>
    </row>
    <row r="176" spans="1:139">
      <c r="A176" s="711">
        <f>WORLDCUP!AD113</f>
        <v>0</v>
      </c>
      <c r="B176" s="711">
        <f>WORLDCUP!AC113</f>
        <v>0</v>
      </c>
      <c r="C176" s="805" t="str">
        <f ca="1">CONCATENATE(WORLDCUP!AF113,"-",WORLDCUP!AA113)</f>
        <v>3EFGIJ-1B</v>
      </c>
      <c r="D176" s="805" t="str">
        <f>IF(WORLDCUP!AC113&gt;WORLDCUP!AD113,2,IF(WORLDCUP!AC113&lt;WORLDCUP!AD113,1,IF(AND(WORLDCUP!AC113=WORLDCUP!AD113,WORLDCUP!AC113&lt;&gt;"",WORLDCUP!AD113&lt;&gt;""),0,"PD")))</f>
        <v>PD</v>
      </c>
      <c r="E176" s="805" t="str">
        <f>IF(OR(WORLDCUP!AC113="",WORLDCUP!AD113=""),"-",A176&amp;"-"&amp;B176)</f>
        <v>-</v>
      </c>
      <c r="F176" s="806">
        <f t="shared" si="1962"/>
        <v>17</v>
      </c>
      <c r="G176" s="806">
        <f ca="1">VLOOKUP(H176,Equipos!$Q$1:$R$25,2,0)</f>
        <v>20</v>
      </c>
      <c r="H176" s="807" t="str">
        <f>Idiomas!$D$260</f>
        <v>Dieciseisavos de final</v>
      </c>
      <c r="I176" s="808">
        <v>1</v>
      </c>
      <c r="J176" s="859"/>
      <c r="K176" s="49" t="str">
        <f ca="1">CONCATENATE(WORLDCUP!AA113,"-",WORLDCUP!AF113)</f>
        <v>1B-3EFGIJ</v>
      </c>
      <c r="L176" s="46"/>
      <c r="M176" s="48" t="str">
        <f>IF(OR(WORLDCUP!AC113="",WORLDCUP!AD113=""),"-",N176&amp;"|"&amp;O176&amp;"-"&amp;P176)</f>
        <v>-</v>
      </c>
      <c r="N176" s="711" t="str">
        <f>IF(OR(WORLDCUP!AC113="",WORLDCUP!AD113=""),"",IF(WORLDCUP!AC113&gt;WORLDCUP!AD113,"1",IF(WORLDCUP!AC113&lt;WORLDCUP!AD113,"2","X")))</f>
        <v/>
      </c>
      <c r="O176" s="711">
        <f>WORLDCUP!AC113</f>
        <v>0</v>
      </c>
      <c r="P176" s="711">
        <f>WORLDCUP!AD113</f>
        <v>0</v>
      </c>
      <c r="Q176" s="711">
        <f t="shared" si="1963"/>
        <v>0</v>
      </c>
      <c r="R176" s="102"/>
      <c r="S176" s="67" t="s">
        <v>1962</v>
      </c>
      <c r="T176" s="66">
        <f t="shared" si="1964"/>
        <v>0</v>
      </c>
      <c r="U176" s="102"/>
      <c r="V176" s="67" t="s">
        <v>1956</v>
      </c>
      <c r="W176" s="66">
        <f t="shared" si="1965"/>
        <v>0</v>
      </c>
      <c r="X176" s="102"/>
      <c r="Y176" s="67" t="s">
        <v>1956</v>
      </c>
      <c r="Z176" s="66">
        <f t="shared" si="1966"/>
        <v>0</v>
      </c>
      <c r="AA176" s="102"/>
      <c r="AB176" s="67" t="s">
        <v>1950</v>
      </c>
      <c r="AC176" s="66">
        <f t="shared" si="1967"/>
        <v>0</v>
      </c>
      <c r="AD176" s="102"/>
      <c r="AE176" s="67" t="s">
        <v>1947</v>
      </c>
      <c r="AF176" s="66">
        <f t="shared" si="1968"/>
        <v>0</v>
      </c>
      <c r="AG176" s="102"/>
      <c r="AH176" s="67" t="s">
        <v>1956</v>
      </c>
      <c r="AI176" s="66">
        <f t="shared" si="1969"/>
        <v>0</v>
      </c>
      <c r="AJ176" s="102"/>
      <c r="AK176" s="67" t="s">
        <v>1956</v>
      </c>
      <c r="AL176" s="66">
        <f t="shared" si="1970"/>
        <v>0</v>
      </c>
      <c r="AM176" s="102"/>
      <c r="AN176" s="67" t="s">
        <v>1956</v>
      </c>
      <c r="AO176" s="66">
        <f t="shared" si="1971"/>
        <v>0</v>
      </c>
      <c r="AP176" s="102"/>
      <c r="AQ176" s="67" t="s">
        <v>1948</v>
      </c>
      <c r="AR176" s="66">
        <f t="shared" si="1972"/>
        <v>0</v>
      </c>
      <c r="AS176" s="102"/>
      <c r="AT176" s="67" t="s">
        <v>1956</v>
      </c>
      <c r="AU176" s="66">
        <f t="shared" si="1973"/>
        <v>0</v>
      </c>
      <c r="AV176" s="102"/>
      <c r="AW176" s="67" t="s">
        <v>1956</v>
      </c>
      <c r="AX176" s="66">
        <f t="shared" si="1974"/>
        <v>0</v>
      </c>
      <c r="AY176" s="102"/>
      <c r="AZ176" s="67" t="s">
        <v>1947</v>
      </c>
      <c r="BA176" s="66">
        <f t="shared" si="1975"/>
        <v>0</v>
      </c>
      <c r="BB176" s="102"/>
      <c r="BC176" s="67" t="s">
        <v>1955</v>
      </c>
      <c r="BD176" s="66">
        <f t="shared" si="1976"/>
        <v>0</v>
      </c>
      <c r="BE176" s="102"/>
      <c r="BF176" s="67" t="s">
        <v>1956</v>
      </c>
      <c r="BG176" s="66">
        <f t="shared" si="1977"/>
        <v>0</v>
      </c>
      <c r="BH176" s="102"/>
      <c r="BI176" s="67" t="s">
        <v>1962</v>
      </c>
      <c r="BJ176" s="66">
        <f t="shared" si="1978"/>
        <v>0</v>
      </c>
      <c r="BK176" s="102"/>
      <c r="BL176" s="67" t="s">
        <v>1953</v>
      </c>
      <c r="BM176" s="66">
        <f t="shared" si="1979"/>
        <v>0</v>
      </c>
      <c r="BN176" s="102"/>
      <c r="BO176" s="67" t="s">
        <v>1947</v>
      </c>
      <c r="BP176" s="66">
        <f t="shared" si="1980"/>
        <v>0</v>
      </c>
      <c r="BQ176" s="102"/>
      <c r="BR176" s="67" t="s">
        <v>1953</v>
      </c>
      <c r="BS176" s="66">
        <f t="shared" si="1981"/>
        <v>0</v>
      </c>
      <c r="BT176" s="102"/>
      <c r="BU176" s="67"/>
      <c r="BV176" s="66">
        <f t="shared" si="1982"/>
        <v>0</v>
      </c>
      <c r="BW176" s="102"/>
      <c r="BX176" s="67"/>
      <c r="BY176" s="66">
        <f t="shared" si="1983"/>
        <v>0</v>
      </c>
      <c r="BZ176" s="102"/>
      <c r="CA176" s="67"/>
      <c r="CB176" s="66">
        <f t="shared" si="1984"/>
        <v>0</v>
      </c>
      <c r="CC176" s="102"/>
      <c r="CD176" s="67"/>
      <c r="CE176" s="66">
        <f t="shared" si="1985"/>
        <v>0</v>
      </c>
      <c r="CF176" s="102"/>
      <c r="CG176" s="67"/>
      <c r="CH176" s="66">
        <f t="shared" si="1986"/>
        <v>0</v>
      </c>
      <c r="CI176" s="102"/>
      <c r="CJ176" s="67"/>
      <c r="CK176" s="66">
        <f t="shared" si="1987"/>
        <v>0</v>
      </c>
      <c r="CL176" s="102"/>
      <c r="CM176" s="67"/>
      <c r="CN176" s="66">
        <f t="shared" si="1988"/>
        <v>0</v>
      </c>
      <c r="CO176" s="102"/>
      <c r="CP176" s="67"/>
      <c r="CQ176" s="66">
        <f t="shared" si="1989"/>
        <v>0</v>
      </c>
      <c r="CR176" s="102"/>
      <c r="CS176" s="67"/>
      <c r="CT176" s="66">
        <f t="shared" si="1990"/>
        <v>0</v>
      </c>
      <c r="CU176" s="102"/>
      <c r="CV176" s="67"/>
      <c r="CW176" s="66">
        <f t="shared" si="1991"/>
        <v>0</v>
      </c>
      <c r="CX176" s="102"/>
      <c r="CY176" s="67"/>
      <c r="CZ176" s="66">
        <f t="shared" si="1992"/>
        <v>0</v>
      </c>
      <c r="DA176" s="102"/>
      <c r="DB176" s="67"/>
      <c r="DC176" s="66">
        <f t="shared" si="1993"/>
        <v>0</v>
      </c>
      <c r="DD176" s="102"/>
      <c r="DE176" s="67"/>
      <c r="DF176" s="66">
        <f t="shared" si="1994"/>
        <v>0</v>
      </c>
      <c r="DG176" s="102"/>
      <c r="DH176" s="67"/>
      <c r="DI176" s="66">
        <f t="shared" si="1995"/>
        <v>0</v>
      </c>
      <c r="DJ176" s="102"/>
      <c r="DK176" s="67"/>
      <c r="DL176" s="66">
        <f t="shared" si="1996"/>
        <v>0</v>
      </c>
      <c r="DM176" s="102"/>
      <c r="DN176" s="67"/>
      <c r="DO176" s="66">
        <f t="shared" si="1997"/>
        <v>0</v>
      </c>
      <c r="DP176" s="102"/>
      <c r="DQ176" s="67"/>
      <c r="DR176" s="66">
        <f t="shared" si="1998"/>
        <v>0</v>
      </c>
      <c r="DS176" s="102"/>
      <c r="DT176" s="67"/>
      <c r="DU176" s="66">
        <f t="shared" si="1999"/>
        <v>0</v>
      </c>
      <c r="DV176" s="102"/>
      <c r="DW176" s="67"/>
      <c r="DX176" s="66">
        <f t="shared" si="2000"/>
        <v>0</v>
      </c>
      <c r="DY176" s="102"/>
      <c r="DZ176" s="67"/>
      <c r="EA176" s="66">
        <f t="shared" si="2001"/>
        <v>0</v>
      </c>
      <c r="EB176" s="102"/>
      <c r="EC176" s="67"/>
      <c r="ED176" s="66">
        <f t="shared" si="2002"/>
        <v>0</v>
      </c>
      <c r="EE176" s="102"/>
      <c r="EF176" s="67"/>
      <c r="EG176" s="66">
        <f t="shared" si="2003"/>
        <v>0</v>
      </c>
      <c r="EH176" s="102"/>
      <c r="EI176" s="102"/>
    </row>
    <row r="177" spans="1:139">
      <c r="A177" s="711">
        <f>WORLDCUP!AD114</f>
        <v>0</v>
      </c>
      <c r="B177" s="711">
        <f>WORLDCUP!AC114</f>
        <v>0</v>
      </c>
      <c r="C177" s="805" t="str">
        <f ca="1">CONCATENATE(WORLDCUP!AF114,"-",WORLDCUP!AA114)</f>
        <v>2G-2D</v>
      </c>
      <c r="D177" s="805" t="str">
        <f>IF(WORLDCUP!AC114&gt;WORLDCUP!AD114,2,IF(WORLDCUP!AC114&lt;WORLDCUP!AD114,1,IF(AND(WORLDCUP!AC114=WORLDCUP!AD114,WORLDCUP!AC114&lt;&gt;"",WORLDCUP!AD114&lt;&gt;""),0,"PD")))</f>
        <v>PD</v>
      </c>
      <c r="E177" s="805" t="str">
        <f>IF(OR(WORLDCUP!AC114="",WORLDCUP!AD114=""),"-",A177&amp;"-"&amp;B177)</f>
        <v>-</v>
      </c>
      <c r="F177" s="806">
        <f t="shared" si="1962"/>
        <v>17</v>
      </c>
      <c r="G177" s="806">
        <f ca="1">VLOOKUP(H177,Equipos!$Q$1:$R$25,2,0)</f>
        <v>20</v>
      </c>
      <c r="H177" s="807" t="str">
        <f>Idiomas!$D$260</f>
        <v>Dieciseisavos de final</v>
      </c>
      <c r="I177" s="808">
        <v>1</v>
      </c>
      <c r="J177" s="859"/>
      <c r="K177" s="49" t="str">
        <f ca="1">CONCATENATE(WORLDCUP!AA114,"-",WORLDCUP!AF114)</f>
        <v>2D-2G</v>
      </c>
      <c r="L177" s="46"/>
      <c r="M177" s="48" t="str">
        <f>IF(OR(WORLDCUP!AC114="",WORLDCUP!AD114=""),"-",N177&amp;"|"&amp;O177&amp;"-"&amp;P177)</f>
        <v>-</v>
      </c>
      <c r="N177" s="711" t="str">
        <f>IF(OR(WORLDCUP!AC114="",WORLDCUP!AD114=""),"",IF(WORLDCUP!AC114&gt;WORLDCUP!AD114,"1",IF(WORLDCUP!AC114&lt;WORLDCUP!AD114,"2","X")))</f>
        <v/>
      </c>
      <c r="O177" s="711">
        <f>WORLDCUP!AC114</f>
        <v>0</v>
      </c>
      <c r="P177" s="711">
        <f>WORLDCUP!AD114</f>
        <v>0</v>
      </c>
      <c r="Q177" s="711">
        <f t="shared" si="1963"/>
        <v>0</v>
      </c>
      <c r="R177" s="102"/>
      <c r="S177" s="67" t="s">
        <v>1953</v>
      </c>
      <c r="T177" s="66">
        <f t="shared" si="1964"/>
        <v>0</v>
      </c>
      <c r="U177" s="102"/>
      <c r="V177" s="67" t="s">
        <v>1948</v>
      </c>
      <c r="W177" s="66">
        <f t="shared" si="1965"/>
        <v>0</v>
      </c>
      <c r="X177" s="102"/>
      <c r="Y177" s="67" t="s">
        <v>1950</v>
      </c>
      <c r="Z177" s="66">
        <f t="shared" si="1966"/>
        <v>0</v>
      </c>
      <c r="AA177" s="102"/>
      <c r="AB177" s="67" t="s">
        <v>1956</v>
      </c>
      <c r="AC177" s="66">
        <f t="shared" si="1967"/>
        <v>0</v>
      </c>
      <c r="AD177" s="102"/>
      <c r="AE177" s="67" t="s">
        <v>1960</v>
      </c>
      <c r="AF177" s="66">
        <f t="shared" si="1968"/>
        <v>0</v>
      </c>
      <c r="AG177" s="102"/>
      <c r="AH177" s="67" t="s">
        <v>1948</v>
      </c>
      <c r="AI177" s="66">
        <f t="shared" si="1969"/>
        <v>0</v>
      </c>
      <c r="AJ177" s="102"/>
      <c r="AK177" s="67" t="s">
        <v>1956</v>
      </c>
      <c r="AL177" s="66">
        <f t="shared" si="1970"/>
        <v>0</v>
      </c>
      <c r="AM177" s="102"/>
      <c r="AN177" s="67" t="s">
        <v>1956</v>
      </c>
      <c r="AO177" s="66">
        <f t="shared" si="1971"/>
        <v>0</v>
      </c>
      <c r="AP177" s="102"/>
      <c r="AQ177" s="67" t="s">
        <v>1956</v>
      </c>
      <c r="AR177" s="66">
        <f t="shared" si="1972"/>
        <v>0</v>
      </c>
      <c r="AS177" s="102"/>
      <c r="AT177" s="67" t="s">
        <v>1956</v>
      </c>
      <c r="AU177" s="66">
        <f t="shared" si="1973"/>
        <v>0</v>
      </c>
      <c r="AV177" s="102"/>
      <c r="AW177" s="67" t="s">
        <v>1947</v>
      </c>
      <c r="AX177" s="66">
        <f t="shared" si="1974"/>
        <v>0</v>
      </c>
      <c r="AY177" s="102"/>
      <c r="AZ177" s="67" t="s">
        <v>1955</v>
      </c>
      <c r="BA177" s="66">
        <f t="shared" si="1975"/>
        <v>0</v>
      </c>
      <c r="BB177" s="102"/>
      <c r="BC177" s="67" t="s">
        <v>1953</v>
      </c>
      <c r="BD177" s="66">
        <f t="shared" si="1976"/>
        <v>0</v>
      </c>
      <c r="BE177" s="102"/>
      <c r="BF177" s="67" t="s">
        <v>1950</v>
      </c>
      <c r="BG177" s="66">
        <f t="shared" si="1977"/>
        <v>0</v>
      </c>
      <c r="BH177" s="102"/>
      <c r="BI177" s="67" t="s">
        <v>1948</v>
      </c>
      <c r="BJ177" s="66">
        <f t="shared" si="1978"/>
        <v>0</v>
      </c>
      <c r="BK177" s="102"/>
      <c r="BL177" s="67" t="s">
        <v>1947</v>
      </c>
      <c r="BM177" s="66">
        <f t="shared" si="1979"/>
        <v>0</v>
      </c>
      <c r="BN177" s="102"/>
      <c r="BO177" s="67" t="s">
        <v>1966</v>
      </c>
      <c r="BP177" s="66">
        <f t="shared" si="1980"/>
        <v>0</v>
      </c>
      <c r="BQ177" s="102"/>
      <c r="BR177" s="67" t="s">
        <v>1947</v>
      </c>
      <c r="BS177" s="66">
        <f t="shared" si="1981"/>
        <v>0</v>
      </c>
      <c r="BT177" s="102"/>
      <c r="BU177" s="67"/>
      <c r="BV177" s="66">
        <f t="shared" si="1982"/>
        <v>0</v>
      </c>
      <c r="BW177" s="102"/>
      <c r="BX177" s="67"/>
      <c r="BY177" s="66">
        <f t="shared" si="1983"/>
        <v>0</v>
      </c>
      <c r="BZ177" s="102"/>
      <c r="CA177" s="67"/>
      <c r="CB177" s="66">
        <f t="shared" si="1984"/>
        <v>0</v>
      </c>
      <c r="CC177" s="102"/>
      <c r="CD177" s="67"/>
      <c r="CE177" s="66">
        <f t="shared" si="1985"/>
        <v>0</v>
      </c>
      <c r="CF177" s="102"/>
      <c r="CG177" s="67"/>
      <c r="CH177" s="66">
        <f t="shared" si="1986"/>
        <v>0</v>
      </c>
      <c r="CI177" s="102"/>
      <c r="CJ177" s="67"/>
      <c r="CK177" s="66">
        <f t="shared" si="1987"/>
        <v>0</v>
      </c>
      <c r="CL177" s="102"/>
      <c r="CM177" s="67"/>
      <c r="CN177" s="66">
        <f t="shared" si="1988"/>
        <v>0</v>
      </c>
      <c r="CO177" s="102"/>
      <c r="CP177" s="67"/>
      <c r="CQ177" s="66">
        <f t="shared" si="1989"/>
        <v>0</v>
      </c>
      <c r="CR177" s="102"/>
      <c r="CS177" s="67"/>
      <c r="CT177" s="66">
        <f t="shared" si="1990"/>
        <v>0</v>
      </c>
      <c r="CU177" s="102"/>
      <c r="CV177" s="67"/>
      <c r="CW177" s="66">
        <f t="shared" si="1991"/>
        <v>0</v>
      </c>
      <c r="CX177" s="102"/>
      <c r="CY177" s="67"/>
      <c r="CZ177" s="66">
        <f t="shared" si="1992"/>
        <v>0</v>
      </c>
      <c r="DA177" s="102"/>
      <c r="DB177" s="67"/>
      <c r="DC177" s="66">
        <f t="shared" si="1993"/>
        <v>0</v>
      </c>
      <c r="DD177" s="102"/>
      <c r="DE177" s="67"/>
      <c r="DF177" s="66">
        <f t="shared" si="1994"/>
        <v>0</v>
      </c>
      <c r="DG177" s="102"/>
      <c r="DH177" s="67"/>
      <c r="DI177" s="66">
        <f t="shared" si="1995"/>
        <v>0</v>
      </c>
      <c r="DJ177" s="102"/>
      <c r="DK177" s="67"/>
      <c r="DL177" s="66">
        <f t="shared" si="1996"/>
        <v>0</v>
      </c>
      <c r="DM177" s="102"/>
      <c r="DN177" s="67"/>
      <c r="DO177" s="66">
        <f t="shared" si="1997"/>
        <v>0</v>
      </c>
      <c r="DP177" s="102"/>
      <c r="DQ177" s="67"/>
      <c r="DR177" s="66">
        <f t="shared" si="1998"/>
        <v>0</v>
      </c>
      <c r="DS177" s="102"/>
      <c r="DT177" s="67"/>
      <c r="DU177" s="66">
        <f t="shared" si="1999"/>
        <v>0</v>
      </c>
      <c r="DV177" s="102"/>
      <c r="DW177" s="67"/>
      <c r="DX177" s="66">
        <f t="shared" si="2000"/>
        <v>0</v>
      </c>
      <c r="DY177" s="102"/>
      <c r="DZ177" s="67"/>
      <c r="EA177" s="66">
        <f t="shared" si="2001"/>
        <v>0</v>
      </c>
      <c r="EB177" s="102"/>
      <c r="EC177" s="67"/>
      <c r="ED177" s="66">
        <f t="shared" si="2002"/>
        <v>0</v>
      </c>
      <c r="EE177" s="102"/>
      <c r="EF177" s="67"/>
      <c r="EG177" s="66">
        <f t="shared" si="2003"/>
        <v>0</v>
      </c>
      <c r="EH177" s="102"/>
      <c r="EI177" s="102"/>
    </row>
    <row r="178" spans="1:139">
      <c r="A178" s="711">
        <f>WORLDCUP!AD115</f>
        <v>0</v>
      </c>
      <c r="B178" s="711">
        <f>WORLDCUP!AC115</f>
        <v>0</v>
      </c>
      <c r="C178" s="805" t="str">
        <f ca="1">CONCATENATE(WORLDCUP!AF115,"-",WORLDCUP!AA115)</f>
        <v>2H-1J</v>
      </c>
      <c r="D178" s="805" t="str">
        <f>IF(WORLDCUP!AC115&gt;WORLDCUP!AD115,2,IF(WORLDCUP!AC115&lt;WORLDCUP!AD115,1,IF(AND(WORLDCUP!AC115=WORLDCUP!AD115,WORLDCUP!AC115&lt;&gt;"",WORLDCUP!AD115&lt;&gt;""),0,"PD")))</f>
        <v>PD</v>
      </c>
      <c r="E178" s="805" t="str">
        <f>IF(OR(WORLDCUP!AC115="",WORLDCUP!AD115=""),"-",A178&amp;"-"&amp;B178)</f>
        <v>-</v>
      </c>
      <c r="F178" s="806">
        <f t="shared" si="1962"/>
        <v>17</v>
      </c>
      <c r="G178" s="806">
        <f ca="1">VLOOKUP(H178,Equipos!$Q$1:$R$25,2,0)</f>
        <v>20</v>
      </c>
      <c r="H178" s="807" t="str">
        <f>Idiomas!$D$260</f>
        <v>Dieciseisavos de final</v>
      </c>
      <c r="I178" s="808">
        <v>1</v>
      </c>
      <c r="J178" s="859"/>
      <c r="K178" s="49" t="str">
        <f ca="1">CONCATENATE(WORLDCUP!AA115,"-",WORLDCUP!AF115)</f>
        <v>1J-2H</v>
      </c>
      <c r="L178" s="46"/>
      <c r="M178" s="48" t="str">
        <f>IF(OR(WORLDCUP!AC115="",WORLDCUP!AD115=""),"-",N178&amp;"|"&amp;O178&amp;"-"&amp;P178)</f>
        <v>-</v>
      </c>
      <c r="N178" s="711" t="str">
        <f>IF(OR(WORLDCUP!AC115="",WORLDCUP!AD115=""),"",IF(WORLDCUP!AC115&gt;WORLDCUP!AD115,"1",IF(WORLDCUP!AC115&lt;WORLDCUP!AD115,"2","X")))</f>
        <v/>
      </c>
      <c r="O178" s="711">
        <f>WORLDCUP!AC115</f>
        <v>0</v>
      </c>
      <c r="P178" s="711">
        <f>WORLDCUP!AD115</f>
        <v>0</v>
      </c>
      <c r="Q178" s="711">
        <f t="shared" si="1963"/>
        <v>0</v>
      </c>
      <c r="R178" s="102"/>
      <c r="S178" s="67" t="s">
        <v>1951</v>
      </c>
      <c r="T178" s="66">
        <f t="shared" si="1964"/>
        <v>0</v>
      </c>
      <c r="U178" s="102"/>
      <c r="V178" s="67" t="s">
        <v>1947</v>
      </c>
      <c r="W178" s="66">
        <f t="shared" si="1965"/>
        <v>0</v>
      </c>
      <c r="X178" s="102"/>
      <c r="Y178" s="67" t="s">
        <v>1947</v>
      </c>
      <c r="Z178" s="66">
        <f t="shared" si="1966"/>
        <v>0</v>
      </c>
      <c r="AA178" s="102"/>
      <c r="AB178" s="67" t="s">
        <v>1947</v>
      </c>
      <c r="AC178" s="66">
        <f t="shared" si="1967"/>
        <v>0</v>
      </c>
      <c r="AD178" s="102"/>
      <c r="AE178" s="67" t="s">
        <v>1954</v>
      </c>
      <c r="AF178" s="66">
        <f t="shared" si="1968"/>
        <v>0</v>
      </c>
      <c r="AG178" s="102"/>
      <c r="AH178" s="67" t="s">
        <v>1956</v>
      </c>
      <c r="AI178" s="66">
        <f t="shared" si="1969"/>
        <v>0</v>
      </c>
      <c r="AJ178" s="102"/>
      <c r="AK178" s="67" t="s">
        <v>1947</v>
      </c>
      <c r="AL178" s="66">
        <f t="shared" si="1970"/>
        <v>0</v>
      </c>
      <c r="AM178" s="102"/>
      <c r="AN178" s="67" t="s">
        <v>1948</v>
      </c>
      <c r="AO178" s="66">
        <f t="shared" si="1971"/>
        <v>0</v>
      </c>
      <c r="AP178" s="102"/>
      <c r="AQ178" s="67" t="s">
        <v>1947</v>
      </c>
      <c r="AR178" s="66">
        <f t="shared" si="1972"/>
        <v>0</v>
      </c>
      <c r="AS178" s="102"/>
      <c r="AT178" s="67" t="s">
        <v>1948</v>
      </c>
      <c r="AU178" s="66">
        <f t="shared" si="1973"/>
        <v>0</v>
      </c>
      <c r="AV178" s="102"/>
      <c r="AW178" s="67" t="s">
        <v>1947</v>
      </c>
      <c r="AX178" s="66">
        <f t="shared" si="1974"/>
        <v>0</v>
      </c>
      <c r="AY178" s="102"/>
      <c r="AZ178" s="67" t="s">
        <v>1953</v>
      </c>
      <c r="BA178" s="66">
        <f t="shared" si="1975"/>
        <v>0</v>
      </c>
      <c r="BB178" s="102"/>
      <c r="BC178" s="67" t="s">
        <v>1948</v>
      </c>
      <c r="BD178" s="66">
        <f t="shared" si="1976"/>
        <v>0</v>
      </c>
      <c r="BE178" s="102"/>
      <c r="BF178" s="67" t="s">
        <v>1953</v>
      </c>
      <c r="BG178" s="66">
        <f t="shared" si="1977"/>
        <v>0</v>
      </c>
      <c r="BH178" s="102"/>
      <c r="BI178" s="67" t="s">
        <v>1953</v>
      </c>
      <c r="BJ178" s="66">
        <f t="shared" si="1978"/>
        <v>0</v>
      </c>
      <c r="BK178" s="102"/>
      <c r="BL178" s="67" t="s">
        <v>1954</v>
      </c>
      <c r="BM178" s="66">
        <f t="shared" si="1979"/>
        <v>0</v>
      </c>
      <c r="BN178" s="102"/>
      <c r="BO178" s="67" t="s">
        <v>1954</v>
      </c>
      <c r="BP178" s="66">
        <f t="shared" si="1980"/>
        <v>0</v>
      </c>
      <c r="BQ178" s="102"/>
      <c r="BR178" s="67" t="s">
        <v>1947</v>
      </c>
      <c r="BS178" s="66">
        <f t="shared" si="1981"/>
        <v>0</v>
      </c>
      <c r="BT178" s="102"/>
      <c r="BU178" s="67"/>
      <c r="BV178" s="66">
        <f t="shared" si="1982"/>
        <v>0</v>
      </c>
      <c r="BW178" s="102"/>
      <c r="BX178" s="67"/>
      <c r="BY178" s="66">
        <f t="shared" si="1983"/>
        <v>0</v>
      </c>
      <c r="BZ178" s="102"/>
      <c r="CA178" s="67"/>
      <c r="CB178" s="66">
        <f t="shared" si="1984"/>
        <v>0</v>
      </c>
      <c r="CC178" s="102"/>
      <c r="CD178" s="67"/>
      <c r="CE178" s="66">
        <f t="shared" si="1985"/>
        <v>0</v>
      </c>
      <c r="CF178" s="102"/>
      <c r="CG178" s="67"/>
      <c r="CH178" s="66">
        <f t="shared" si="1986"/>
        <v>0</v>
      </c>
      <c r="CI178" s="102"/>
      <c r="CJ178" s="67"/>
      <c r="CK178" s="66">
        <f t="shared" si="1987"/>
        <v>0</v>
      </c>
      <c r="CL178" s="102"/>
      <c r="CM178" s="67"/>
      <c r="CN178" s="66">
        <f t="shared" si="1988"/>
        <v>0</v>
      </c>
      <c r="CO178" s="102"/>
      <c r="CP178" s="67"/>
      <c r="CQ178" s="66">
        <f t="shared" si="1989"/>
        <v>0</v>
      </c>
      <c r="CR178" s="102"/>
      <c r="CS178" s="67"/>
      <c r="CT178" s="66">
        <f t="shared" si="1990"/>
        <v>0</v>
      </c>
      <c r="CU178" s="102"/>
      <c r="CV178" s="67"/>
      <c r="CW178" s="66">
        <f t="shared" si="1991"/>
        <v>0</v>
      </c>
      <c r="CX178" s="102"/>
      <c r="CY178" s="67"/>
      <c r="CZ178" s="66">
        <f t="shared" si="1992"/>
        <v>0</v>
      </c>
      <c r="DA178" s="102"/>
      <c r="DB178" s="67"/>
      <c r="DC178" s="66">
        <f t="shared" si="1993"/>
        <v>0</v>
      </c>
      <c r="DD178" s="102"/>
      <c r="DE178" s="67"/>
      <c r="DF178" s="66">
        <f t="shared" si="1994"/>
        <v>0</v>
      </c>
      <c r="DG178" s="102"/>
      <c r="DH178" s="67"/>
      <c r="DI178" s="66">
        <f t="shared" si="1995"/>
        <v>0</v>
      </c>
      <c r="DJ178" s="102"/>
      <c r="DK178" s="67"/>
      <c r="DL178" s="66">
        <f t="shared" si="1996"/>
        <v>0</v>
      </c>
      <c r="DM178" s="102"/>
      <c r="DN178" s="67"/>
      <c r="DO178" s="66">
        <f t="shared" si="1997"/>
        <v>0</v>
      </c>
      <c r="DP178" s="102"/>
      <c r="DQ178" s="67"/>
      <c r="DR178" s="66">
        <f t="shared" si="1998"/>
        <v>0</v>
      </c>
      <c r="DS178" s="102"/>
      <c r="DT178" s="67"/>
      <c r="DU178" s="66">
        <f t="shared" si="1999"/>
        <v>0</v>
      </c>
      <c r="DV178" s="102"/>
      <c r="DW178" s="67"/>
      <c r="DX178" s="66">
        <f t="shared" si="2000"/>
        <v>0</v>
      </c>
      <c r="DY178" s="102"/>
      <c r="DZ178" s="67"/>
      <c r="EA178" s="66">
        <f t="shared" si="2001"/>
        <v>0</v>
      </c>
      <c r="EB178" s="102"/>
      <c r="EC178" s="67"/>
      <c r="ED178" s="66">
        <f t="shared" si="2002"/>
        <v>0</v>
      </c>
      <c r="EE178" s="102"/>
      <c r="EF178" s="67"/>
      <c r="EG178" s="66">
        <f t="shared" si="2003"/>
        <v>0</v>
      </c>
      <c r="EH178" s="102"/>
      <c r="EI178" s="102"/>
    </row>
    <row r="179" spans="1:139">
      <c r="A179" s="711">
        <f>WORLDCUP!AD116</f>
        <v>0</v>
      </c>
      <c r="B179" s="711">
        <f>WORLDCUP!AC116</f>
        <v>0</v>
      </c>
      <c r="C179" s="805" t="str">
        <f ca="1">CONCATENATE(WORLDCUP!AF116,"-",WORLDCUP!AA116)</f>
        <v>3DEIJL-1K</v>
      </c>
      <c r="D179" s="805" t="str">
        <f>IF(WORLDCUP!AC116&gt;WORLDCUP!AD116,2,IF(WORLDCUP!AC116&lt;WORLDCUP!AD116,1,IF(AND(WORLDCUP!AC116=WORLDCUP!AD116,WORLDCUP!AC116&lt;&gt;"",WORLDCUP!AD116&lt;&gt;""),0,"PD")))</f>
        <v>PD</v>
      </c>
      <c r="E179" s="805" t="str">
        <f>IF(OR(WORLDCUP!AC116="",WORLDCUP!AD116=""),"-",A179&amp;"-"&amp;B179)</f>
        <v>-</v>
      </c>
      <c r="F179" s="806">
        <f t="shared" si="1962"/>
        <v>17</v>
      </c>
      <c r="G179" s="806">
        <f ca="1">VLOOKUP(H179,Equipos!$Q$1:$R$25,2,0)</f>
        <v>20</v>
      </c>
      <c r="H179" s="807" t="str">
        <f>Idiomas!$D$260</f>
        <v>Dieciseisavos de final</v>
      </c>
      <c r="I179" s="808">
        <v>1</v>
      </c>
      <c r="J179" s="859"/>
      <c r="K179" s="107" t="str">
        <f ca="1">CONCATENATE(WORLDCUP!AA116,"-",WORLDCUP!AF116)</f>
        <v>1K-3DEIJL</v>
      </c>
      <c r="L179" s="107"/>
      <c r="M179" s="48" t="str">
        <f>IF(OR(WORLDCUP!AC116="",WORLDCUP!AD116=""),"-",N179&amp;"|"&amp;O179&amp;"-"&amp;P179)</f>
        <v>-</v>
      </c>
      <c r="N179" s="711" t="str">
        <f>IF(OR(WORLDCUP!AC116="",WORLDCUP!AD116=""),"",IF(WORLDCUP!AC116&gt;WORLDCUP!AD116,"1",IF(WORLDCUP!AC116&lt;WORLDCUP!AD116,"2","X")))</f>
        <v/>
      </c>
      <c r="O179" s="711">
        <f>WORLDCUP!AC116</f>
        <v>0</v>
      </c>
      <c r="P179" s="711">
        <f>WORLDCUP!AD116</f>
        <v>0</v>
      </c>
      <c r="Q179" s="711">
        <f t="shared" si="1963"/>
        <v>0</v>
      </c>
      <c r="R179" s="102"/>
      <c r="S179" s="73" t="s">
        <v>1954</v>
      </c>
      <c r="T179" s="66">
        <f t="shared" si="1964"/>
        <v>0</v>
      </c>
      <c r="U179" s="102"/>
      <c r="V179" s="73" t="s">
        <v>1947</v>
      </c>
      <c r="W179" s="66">
        <f t="shared" si="1965"/>
        <v>0</v>
      </c>
      <c r="X179" s="102"/>
      <c r="Y179" s="73" t="s">
        <v>1953</v>
      </c>
      <c r="Z179" s="66">
        <f t="shared" si="1966"/>
        <v>0</v>
      </c>
      <c r="AA179" s="102"/>
      <c r="AB179" s="73" t="s">
        <v>1947</v>
      </c>
      <c r="AC179" s="66">
        <f t="shared" si="1967"/>
        <v>0</v>
      </c>
      <c r="AD179" s="102"/>
      <c r="AE179" s="73" t="s">
        <v>1952</v>
      </c>
      <c r="AF179" s="66">
        <f t="shared" si="1968"/>
        <v>0</v>
      </c>
      <c r="AG179" s="102"/>
      <c r="AH179" s="73" t="s">
        <v>1953</v>
      </c>
      <c r="AI179" s="66">
        <f t="shared" si="1969"/>
        <v>0</v>
      </c>
      <c r="AJ179" s="102"/>
      <c r="AK179" s="73" t="s">
        <v>1953</v>
      </c>
      <c r="AL179" s="66">
        <f t="shared" si="1970"/>
        <v>0</v>
      </c>
      <c r="AM179" s="102"/>
      <c r="AN179" s="73" t="s">
        <v>1959</v>
      </c>
      <c r="AO179" s="66">
        <f t="shared" si="1971"/>
        <v>0</v>
      </c>
      <c r="AP179" s="102"/>
      <c r="AQ179" s="73" t="s">
        <v>1959</v>
      </c>
      <c r="AR179" s="66">
        <f t="shared" si="1972"/>
        <v>0</v>
      </c>
      <c r="AS179" s="102"/>
      <c r="AT179" s="73" t="s">
        <v>1959</v>
      </c>
      <c r="AU179" s="66">
        <f t="shared" si="1973"/>
        <v>0</v>
      </c>
      <c r="AV179" s="102"/>
      <c r="AW179" s="73" t="s">
        <v>1953</v>
      </c>
      <c r="AX179" s="66">
        <f t="shared" si="1974"/>
        <v>0</v>
      </c>
      <c r="AY179" s="102"/>
      <c r="AZ179" s="73" t="s">
        <v>1953</v>
      </c>
      <c r="BA179" s="66">
        <f t="shared" si="1975"/>
        <v>0</v>
      </c>
      <c r="BB179" s="102"/>
      <c r="BC179" s="73" t="s">
        <v>1951</v>
      </c>
      <c r="BD179" s="66">
        <f t="shared" si="1976"/>
        <v>0</v>
      </c>
      <c r="BE179" s="102"/>
      <c r="BF179" s="73" t="s">
        <v>1966</v>
      </c>
      <c r="BG179" s="66">
        <f t="shared" si="1977"/>
        <v>0</v>
      </c>
      <c r="BH179" s="102"/>
      <c r="BI179" s="73" t="s">
        <v>1953</v>
      </c>
      <c r="BJ179" s="66">
        <f t="shared" si="1978"/>
        <v>0</v>
      </c>
      <c r="BK179" s="102"/>
      <c r="BL179" s="73" t="s">
        <v>1959</v>
      </c>
      <c r="BM179" s="66">
        <f t="shared" si="1979"/>
        <v>0</v>
      </c>
      <c r="BN179" s="102"/>
      <c r="BO179" s="73" t="s">
        <v>1947</v>
      </c>
      <c r="BP179" s="66">
        <f t="shared" si="1980"/>
        <v>0</v>
      </c>
      <c r="BQ179" s="102"/>
      <c r="BR179" s="73" t="s">
        <v>1947</v>
      </c>
      <c r="BS179" s="66">
        <f t="shared" si="1981"/>
        <v>0</v>
      </c>
      <c r="BT179" s="102"/>
      <c r="BU179" s="73"/>
      <c r="BV179" s="66">
        <f t="shared" si="1982"/>
        <v>0</v>
      </c>
      <c r="BW179" s="102"/>
      <c r="BX179" s="73"/>
      <c r="BY179" s="66">
        <f t="shared" si="1983"/>
        <v>0</v>
      </c>
      <c r="BZ179" s="102"/>
      <c r="CA179" s="73"/>
      <c r="CB179" s="66">
        <f t="shared" si="1984"/>
        <v>0</v>
      </c>
      <c r="CC179" s="102"/>
      <c r="CD179" s="73"/>
      <c r="CE179" s="66">
        <f t="shared" si="1985"/>
        <v>0</v>
      </c>
      <c r="CF179" s="102"/>
      <c r="CG179" s="73"/>
      <c r="CH179" s="66">
        <f t="shared" si="1986"/>
        <v>0</v>
      </c>
      <c r="CI179" s="102"/>
      <c r="CJ179" s="73"/>
      <c r="CK179" s="66">
        <f t="shared" si="1987"/>
        <v>0</v>
      </c>
      <c r="CL179" s="102"/>
      <c r="CM179" s="73"/>
      <c r="CN179" s="66">
        <f t="shared" si="1988"/>
        <v>0</v>
      </c>
      <c r="CO179" s="102"/>
      <c r="CP179" s="73"/>
      <c r="CQ179" s="66">
        <f t="shared" si="1989"/>
        <v>0</v>
      </c>
      <c r="CR179" s="102"/>
      <c r="CS179" s="73"/>
      <c r="CT179" s="66">
        <f t="shared" si="1990"/>
        <v>0</v>
      </c>
      <c r="CU179" s="102"/>
      <c r="CV179" s="73"/>
      <c r="CW179" s="66">
        <f t="shared" si="1991"/>
        <v>0</v>
      </c>
      <c r="CX179" s="102"/>
      <c r="CY179" s="73"/>
      <c r="CZ179" s="66">
        <f t="shared" si="1992"/>
        <v>0</v>
      </c>
      <c r="DA179" s="102"/>
      <c r="DB179" s="73"/>
      <c r="DC179" s="66">
        <f t="shared" si="1993"/>
        <v>0</v>
      </c>
      <c r="DD179" s="102"/>
      <c r="DE179" s="73"/>
      <c r="DF179" s="66">
        <f t="shared" si="1994"/>
        <v>0</v>
      </c>
      <c r="DG179" s="102"/>
      <c r="DH179" s="73"/>
      <c r="DI179" s="66">
        <f t="shared" si="1995"/>
        <v>0</v>
      </c>
      <c r="DJ179" s="102"/>
      <c r="DK179" s="73"/>
      <c r="DL179" s="66">
        <f t="shared" si="1996"/>
        <v>0</v>
      </c>
      <c r="DM179" s="102"/>
      <c r="DN179" s="73"/>
      <c r="DO179" s="66">
        <f t="shared" si="1997"/>
        <v>0</v>
      </c>
      <c r="DP179" s="102"/>
      <c r="DQ179" s="73"/>
      <c r="DR179" s="66">
        <f t="shared" si="1998"/>
        <v>0</v>
      </c>
      <c r="DS179" s="102"/>
      <c r="DT179" s="73"/>
      <c r="DU179" s="66">
        <f t="shared" si="1999"/>
        <v>0</v>
      </c>
      <c r="DV179" s="102"/>
      <c r="DW179" s="73"/>
      <c r="DX179" s="66">
        <f t="shared" si="2000"/>
        <v>0</v>
      </c>
      <c r="DY179" s="102"/>
      <c r="DZ179" s="73"/>
      <c r="EA179" s="66">
        <f t="shared" si="2001"/>
        <v>0</v>
      </c>
      <c r="EB179" s="102"/>
      <c r="EC179" s="73"/>
      <c r="ED179" s="66">
        <f t="shared" si="2002"/>
        <v>0</v>
      </c>
      <c r="EE179" s="102"/>
      <c r="EF179" s="73"/>
      <c r="EG179" s="66">
        <f t="shared" si="2003"/>
        <v>0</v>
      </c>
      <c r="EH179" s="102"/>
      <c r="EI179" s="102"/>
    </row>
    <row r="180" spans="1:139">
      <c r="A180" s="711"/>
      <c r="B180" s="711"/>
      <c r="C180" s="805"/>
      <c r="D180" s="805"/>
      <c r="E180" s="805"/>
      <c r="F180" s="806"/>
      <c r="G180" s="806"/>
      <c r="H180" s="807"/>
      <c r="I180" s="800"/>
      <c r="J180" s="86"/>
      <c r="K180" s="416" t="str">
        <f>Idiomas!D458</f>
        <v>Partidos 1/16</v>
      </c>
      <c r="L180" s="417"/>
      <c r="M180" s="416" t="str">
        <f>"Max: "&amp;SUM($D$16:$D$18)*SUM($I$164:$I$179)</f>
        <v>Max: 272</v>
      </c>
      <c r="N180" s="711"/>
      <c r="O180" s="711"/>
      <c r="P180" s="711"/>
      <c r="Q180" s="711"/>
      <c r="R180" s="43"/>
      <c r="S180" s="77"/>
      <c r="T180" s="64">
        <f>SUM(T164:T179)</f>
        <v>0</v>
      </c>
      <c r="U180" s="58"/>
      <c r="V180" s="77"/>
      <c r="W180" s="64">
        <f>SUM(W164:W179)</f>
        <v>0</v>
      </c>
      <c r="X180" s="58"/>
      <c r="Y180" s="77"/>
      <c r="Z180" s="64">
        <f>SUM(Z164:Z179)</f>
        <v>0</v>
      </c>
      <c r="AA180" s="58"/>
      <c r="AB180" s="77"/>
      <c r="AC180" s="64">
        <f>SUM(AC164:AC179)</f>
        <v>0</v>
      </c>
      <c r="AD180" s="58"/>
      <c r="AE180" s="77"/>
      <c r="AF180" s="64">
        <f>SUM(AF164:AF179)</f>
        <v>0</v>
      </c>
      <c r="AG180" s="58"/>
      <c r="AH180" s="77"/>
      <c r="AI180" s="64">
        <f>SUM(AI164:AI179)</f>
        <v>0</v>
      </c>
      <c r="AJ180" s="58"/>
      <c r="AK180" s="77"/>
      <c r="AL180" s="64">
        <f>SUM(AL164:AL179)</f>
        <v>0</v>
      </c>
      <c r="AM180" s="58"/>
      <c r="AN180" s="77"/>
      <c r="AO180" s="64">
        <f>SUM(AO164:AO179)</f>
        <v>0</v>
      </c>
      <c r="AP180" s="58"/>
      <c r="AQ180" s="77"/>
      <c r="AR180" s="64">
        <f>SUM(AR164:AR179)</f>
        <v>0</v>
      </c>
      <c r="AS180" s="58"/>
      <c r="AT180" s="77"/>
      <c r="AU180" s="64">
        <f>SUM(AU164:AU179)</f>
        <v>0</v>
      </c>
      <c r="AV180" s="58"/>
      <c r="AW180" s="77"/>
      <c r="AX180" s="64">
        <f>SUM(AX164:AX179)</f>
        <v>0</v>
      </c>
      <c r="AY180" s="58"/>
      <c r="AZ180" s="77"/>
      <c r="BA180" s="64">
        <f>SUM(BA164:BA179)</f>
        <v>0</v>
      </c>
      <c r="BB180" s="58"/>
      <c r="BC180" s="77"/>
      <c r="BD180" s="64">
        <f>SUM(BD164:BD179)</f>
        <v>0</v>
      </c>
      <c r="BE180" s="58"/>
      <c r="BF180" s="77"/>
      <c r="BG180" s="64">
        <f>SUM(BG164:BG179)</f>
        <v>0</v>
      </c>
      <c r="BH180" s="58"/>
      <c r="BI180" s="77"/>
      <c r="BJ180" s="64">
        <f>SUM(BJ164:BJ179)</f>
        <v>0</v>
      </c>
      <c r="BK180" s="58"/>
      <c r="BL180" s="77"/>
      <c r="BM180" s="64">
        <f>SUM(BM164:BM179)</f>
        <v>0</v>
      </c>
      <c r="BN180" s="58"/>
      <c r="BO180" s="77" t="s">
        <v>2011</v>
      </c>
      <c r="BP180" s="64">
        <f>SUM(BP164:BP179)</f>
        <v>0</v>
      </c>
      <c r="BQ180" s="58"/>
      <c r="BR180" s="77"/>
      <c r="BS180" s="64">
        <f>SUM(BS164:BS179)</f>
        <v>0</v>
      </c>
      <c r="BT180" s="58"/>
      <c r="BU180" s="77"/>
      <c r="BV180" s="64">
        <f>SUM(BV164:BV179)</f>
        <v>0</v>
      </c>
      <c r="BW180" s="58"/>
      <c r="BX180" s="77"/>
      <c r="BY180" s="64">
        <f>SUM(BY164:BY179)</f>
        <v>0</v>
      </c>
      <c r="BZ180" s="58"/>
      <c r="CA180" s="77"/>
      <c r="CB180" s="64">
        <f>SUM(CB164:CB179)</f>
        <v>0</v>
      </c>
      <c r="CC180" s="58"/>
      <c r="CD180" s="77"/>
      <c r="CE180" s="64">
        <f>SUM(CE164:CE179)</f>
        <v>0</v>
      </c>
      <c r="CF180" s="58"/>
      <c r="CG180" s="77"/>
      <c r="CH180" s="64">
        <f>SUM(CH164:CH179)</f>
        <v>0</v>
      </c>
      <c r="CI180" s="58"/>
      <c r="CJ180" s="77"/>
      <c r="CK180" s="64">
        <f>SUM(CK164:CK179)</f>
        <v>0</v>
      </c>
      <c r="CL180" s="58"/>
      <c r="CM180" s="77"/>
      <c r="CN180" s="64">
        <f>SUM(CN164:CN179)</f>
        <v>0</v>
      </c>
      <c r="CO180" s="58"/>
      <c r="CP180" s="77"/>
      <c r="CQ180" s="64">
        <f>SUM(CQ164:CQ179)</f>
        <v>0</v>
      </c>
      <c r="CR180" s="58"/>
      <c r="CS180" s="77"/>
      <c r="CT180" s="64">
        <f>SUM(CT164:CT179)</f>
        <v>0</v>
      </c>
      <c r="CU180" s="58"/>
      <c r="CV180" s="77"/>
      <c r="CW180" s="64">
        <f>SUM(CW164:CW179)</f>
        <v>0</v>
      </c>
      <c r="CX180" s="58"/>
      <c r="CY180" s="77"/>
      <c r="CZ180" s="64">
        <f>SUM(CZ164:CZ179)</f>
        <v>0</v>
      </c>
      <c r="DA180" s="58"/>
      <c r="DB180" s="77"/>
      <c r="DC180" s="64">
        <f>SUM(DC164:DC179)</f>
        <v>0</v>
      </c>
      <c r="DD180" s="58"/>
      <c r="DE180" s="77"/>
      <c r="DF180" s="64">
        <f>SUM(DF164:DF179)</f>
        <v>0</v>
      </c>
      <c r="DG180" s="58"/>
      <c r="DH180" s="77"/>
      <c r="DI180" s="64">
        <f>SUM(DI164:DI179)</f>
        <v>0</v>
      </c>
      <c r="DJ180" s="58"/>
      <c r="DK180" s="77"/>
      <c r="DL180" s="64">
        <f>SUM(DL164:DL179)</f>
        <v>0</v>
      </c>
      <c r="DM180" s="58"/>
      <c r="DN180" s="77"/>
      <c r="DO180" s="64">
        <f>SUM(DO164:DO179)</f>
        <v>0</v>
      </c>
      <c r="DP180" s="58"/>
      <c r="DQ180" s="77"/>
      <c r="DR180" s="64">
        <f>SUM(DR164:DR179)</f>
        <v>0</v>
      </c>
      <c r="DS180" s="58"/>
      <c r="DT180" s="77"/>
      <c r="DU180" s="64">
        <f>SUM(DU164:DU179)</f>
        <v>0</v>
      </c>
      <c r="DV180" s="58"/>
      <c r="DW180" s="77"/>
      <c r="DX180" s="64">
        <f>SUM(DX164:DX179)</f>
        <v>0</v>
      </c>
      <c r="DY180" s="58"/>
      <c r="DZ180" s="77"/>
      <c r="EA180" s="64">
        <f>SUM(EA164:EA179)</f>
        <v>0</v>
      </c>
      <c r="EB180" s="58"/>
      <c r="EC180" s="77"/>
      <c r="ED180" s="64">
        <f>SUM(ED164:ED179)</f>
        <v>0</v>
      </c>
      <c r="EE180" s="58"/>
      <c r="EF180" s="77"/>
      <c r="EG180" s="64">
        <f>SUM(EG164:EG179)</f>
        <v>0</v>
      </c>
      <c r="EH180" s="58"/>
      <c r="EI180" s="58"/>
    </row>
    <row r="181" spans="1:139">
      <c r="A181" s="711"/>
      <c r="B181" s="711"/>
      <c r="C181" s="805"/>
      <c r="D181" s="805"/>
      <c r="E181" s="805"/>
      <c r="F181" s="806"/>
      <c r="G181" s="806"/>
      <c r="H181" s="807"/>
      <c r="I181" s="800"/>
      <c r="J181" s="86"/>
      <c r="K181" s="105" t="str">
        <f>Idiomas!D139</f>
        <v>CLASIFICADOS PARA OCTAVOS</v>
      </c>
      <c r="L181" s="44"/>
      <c r="M181" s="64"/>
      <c r="N181" s="711"/>
      <c r="O181" s="711"/>
      <c r="P181" s="711"/>
      <c r="Q181" s="711"/>
      <c r="R181" s="43"/>
      <c r="S181" s="77"/>
      <c r="T181" s="64"/>
      <c r="U181" s="58"/>
      <c r="V181" s="77"/>
      <c r="W181" s="64"/>
      <c r="X181" s="58"/>
      <c r="Y181" s="77"/>
      <c r="Z181" s="64"/>
      <c r="AA181" s="58"/>
      <c r="AB181" s="77"/>
      <c r="AC181" s="64"/>
      <c r="AD181" s="58"/>
      <c r="AE181" s="77"/>
      <c r="AF181" s="64"/>
      <c r="AG181" s="58"/>
      <c r="AH181" s="77"/>
      <c r="AI181" s="64"/>
      <c r="AJ181" s="58"/>
      <c r="AK181" s="77"/>
      <c r="AL181" s="64"/>
      <c r="AM181" s="58"/>
      <c r="AN181" s="77"/>
      <c r="AO181" s="64"/>
      <c r="AP181" s="58"/>
      <c r="AQ181" s="77"/>
      <c r="AR181" s="64"/>
      <c r="AS181" s="58"/>
      <c r="AT181" s="77"/>
      <c r="AU181" s="64"/>
      <c r="AV181" s="58"/>
      <c r="AW181" s="77"/>
      <c r="AX181" s="64"/>
      <c r="AY181" s="58"/>
      <c r="AZ181" s="77"/>
      <c r="BA181" s="64"/>
      <c r="BB181" s="58"/>
      <c r="BC181" s="77"/>
      <c r="BD181" s="64"/>
      <c r="BE181" s="58"/>
      <c r="BF181" s="77"/>
      <c r="BG181" s="64"/>
      <c r="BH181" s="58"/>
      <c r="BI181" s="77"/>
      <c r="BJ181" s="64"/>
      <c r="BK181" s="58"/>
      <c r="BL181" s="77"/>
      <c r="BM181" s="64"/>
      <c r="BN181" s="58"/>
      <c r="BO181" s="77"/>
      <c r="BP181" s="64"/>
      <c r="BQ181" s="58"/>
      <c r="BR181" s="77"/>
      <c r="BS181" s="64"/>
      <c r="BT181" s="58"/>
      <c r="BU181" s="77"/>
      <c r="BV181" s="64"/>
      <c r="BW181" s="58"/>
      <c r="BX181" s="77"/>
      <c r="BY181" s="64"/>
      <c r="BZ181" s="58"/>
      <c r="CA181" s="77"/>
      <c r="CB181" s="64"/>
      <c r="CC181" s="58"/>
      <c r="CD181" s="77"/>
      <c r="CE181" s="64"/>
      <c r="CF181" s="58"/>
      <c r="CG181" s="77"/>
      <c r="CH181" s="64"/>
      <c r="CI181" s="58"/>
      <c r="CJ181" s="77"/>
      <c r="CK181" s="64"/>
      <c r="CL181" s="58"/>
      <c r="CM181" s="77"/>
      <c r="CN181" s="64"/>
      <c r="CO181" s="58"/>
      <c r="CP181" s="77"/>
      <c r="CQ181" s="64"/>
      <c r="CR181" s="58"/>
      <c r="CS181" s="77"/>
      <c r="CT181" s="64"/>
      <c r="CU181" s="58"/>
      <c r="CV181" s="77"/>
      <c r="CW181" s="64"/>
      <c r="CX181" s="58"/>
      <c r="CY181" s="77"/>
      <c r="CZ181" s="64"/>
      <c r="DA181" s="58"/>
      <c r="DB181" s="77"/>
      <c r="DC181" s="64"/>
      <c r="DD181" s="58"/>
      <c r="DE181" s="77"/>
      <c r="DF181" s="64"/>
      <c r="DG181" s="58"/>
      <c r="DH181" s="77"/>
      <c r="DI181" s="64"/>
      <c r="DJ181" s="58"/>
      <c r="DK181" s="77"/>
      <c r="DL181" s="64"/>
      <c r="DM181" s="58"/>
      <c r="DN181" s="77"/>
      <c r="DO181" s="64"/>
      <c r="DP181" s="58"/>
      <c r="DQ181" s="77"/>
      <c r="DR181" s="64"/>
      <c r="DS181" s="58"/>
      <c r="DT181" s="77"/>
      <c r="DU181" s="64"/>
      <c r="DV181" s="58"/>
      <c r="DW181" s="77"/>
      <c r="DX181" s="64"/>
      <c r="DY181" s="58"/>
      <c r="DZ181" s="77"/>
      <c r="EA181" s="64"/>
      <c r="EB181" s="58"/>
      <c r="EC181" s="77"/>
      <c r="ED181" s="64"/>
      <c r="EE181" s="58"/>
      <c r="EF181" s="77"/>
      <c r="EG181" s="64"/>
      <c r="EH181" s="58"/>
      <c r="EI181" s="58"/>
    </row>
    <row r="182" spans="1:139">
      <c r="A182" s="711"/>
      <c r="B182" s="711"/>
      <c r="C182" s="805"/>
      <c r="D182" s="805"/>
      <c r="E182" s="805"/>
      <c r="F182" s="806">
        <f>$D$19</f>
        <v>4</v>
      </c>
      <c r="G182" s="806">
        <f ca="1">VLOOKUP(H182,Equipos!$Q$1:$R$25,2,0)</f>
        <v>20</v>
      </c>
      <c r="H182" s="807" t="str">
        <f>Idiomas!$D$260</f>
        <v>Dieciseisavos de final</v>
      </c>
      <c r="I182" s="800"/>
      <c r="J182" s="859" t="s">
        <v>88</v>
      </c>
      <c r="K182" s="46" t="str">
        <f>Idiomas!$D$199&amp;"-"&amp;ROWS($L$182:L182)</f>
        <v>Octavofinalista-1</v>
      </c>
      <c r="L182" s="46"/>
      <c r="M182" s="48" t="str">
        <f>WORLDCUP!AA120</f>
        <v>W73</v>
      </c>
      <c r="N182" s="711"/>
      <c r="O182" s="711"/>
      <c r="P182" s="711"/>
      <c r="Q182" s="711"/>
      <c r="R182" s="102"/>
      <c r="S182" s="69" t="s">
        <v>1837</v>
      </c>
      <c r="T182" s="70">
        <f t="shared" ref="T182:T197" si="2004">COUNTIF($M$182:$M$197,S182)*$D$19</f>
        <v>0</v>
      </c>
      <c r="U182" s="57"/>
      <c r="V182" s="69" t="s">
        <v>1260</v>
      </c>
      <c r="W182" s="70">
        <f t="shared" ref="W182:W197" si="2005">COUNTIF($M$182:$M$197,V182)*$D$19</f>
        <v>0</v>
      </c>
      <c r="X182" s="57"/>
      <c r="Y182" s="69" t="s">
        <v>1259</v>
      </c>
      <c r="Z182" s="70">
        <f t="shared" ref="Z182:Z197" si="2006">COUNTIF($M$182:$M$197,Y182)*$D$19</f>
        <v>0</v>
      </c>
      <c r="AA182" s="57"/>
      <c r="AB182" s="69" t="s">
        <v>1265</v>
      </c>
      <c r="AC182" s="70">
        <f t="shared" ref="AC182:AC197" si="2007">COUNTIF($M$182:$M$197,AB182)*$D$19</f>
        <v>0</v>
      </c>
      <c r="AD182" s="57"/>
      <c r="AE182" s="69" t="s">
        <v>1265</v>
      </c>
      <c r="AF182" s="70">
        <f t="shared" ref="AF182:AF197" si="2008">COUNTIF($M$182:$M$197,AE182)*$D$19</f>
        <v>0</v>
      </c>
      <c r="AG182" s="57"/>
      <c r="AH182" s="69" t="s">
        <v>1260</v>
      </c>
      <c r="AI182" s="70">
        <f t="shared" ref="AI182:AI197" si="2009">COUNTIF($M$182:$M$197,AH182)*$D$19</f>
        <v>0</v>
      </c>
      <c r="AJ182" s="57"/>
      <c r="AK182" s="69" t="s">
        <v>1260</v>
      </c>
      <c r="AL182" s="70">
        <f t="shared" ref="AL182:AL197" si="2010">COUNTIF($M$182:$M$197,AK182)*$D$19</f>
        <v>0</v>
      </c>
      <c r="AM182" s="57"/>
      <c r="AN182" s="69" t="s">
        <v>1260</v>
      </c>
      <c r="AO182" s="70">
        <f t="shared" ref="AO182:AO197" si="2011">COUNTIF($M$182:$M$197,AN182)*$D$19</f>
        <v>0</v>
      </c>
      <c r="AP182" s="57"/>
      <c r="AQ182" s="69" t="s">
        <v>1265</v>
      </c>
      <c r="AR182" s="70">
        <f t="shared" ref="AR182:AR197" si="2012">COUNTIF($M$182:$M$197,AQ182)*$D$19</f>
        <v>0</v>
      </c>
      <c r="AS182" s="57"/>
      <c r="AT182" s="69" t="s">
        <v>75</v>
      </c>
      <c r="AU182" s="70">
        <f t="shared" ref="AU182:AU197" si="2013">COUNTIF($M$182:$M$197,AT182)*$D$19</f>
        <v>0</v>
      </c>
      <c r="AV182" s="57"/>
      <c r="AW182" s="69" t="s">
        <v>1260</v>
      </c>
      <c r="AX182" s="70">
        <f t="shared" ref="AX182:AX197" si="2014">COUNTIF($M$182:$M$197,AW182)*$D$19</f>
        <v>0</v>
      </c>
      <c r="AY182" s="57"/>
      <c r="AZ182" s="69" t="s">
        <v>1837</v>
      </c>
      <c r="BA182" s="70">
        <f t="shared" ref="BA182:BA197" si="2015">COUNTIF($M$182:$M$197,AZ182)*$D$19</f>
        <v>0</v>
      </c>
      <c r="BB182" s="57"/>
      <c r="BC182" s="69" t="s">
        <v>1837</v>
      </c>
      <c r="BD182" s="70">
        <f t="shared" ref="BD182:BD197" si="2016">COUNTIF($M$182:$M$197,BC182)*$D$19</f>
        <v>0</v>
      </c>
      <c r="BE182" s="57"/>
      <c r="BF182" s="69" t="s">
        <v>1259</v>
      </c>
      <c r="BG182" s="70">
        <f t="shared" ref="BG182:BG197" si="2017">COUNTIF($M$182:$M$197,BF182)*$D$19</f>
        <v>0</v>
      </c>
      <c r="BH182" s="57"/>
      <c r="BI182" s="69" t="s">
        <v>1260</v>
      </c>
      <c r="BJ182" s="70">
        <f t="shared" ref="BJ182:BJ197" si="2018">COUNTIF($M$182:$M$197,BI182)*$D$19</f>
        <v>0</v>
      </c>
      <c r="BK182" s="57"/>
      <c r="BL182" s="69" t="s">
        <v>1259</v>
      </c>
      <c r="BM182" s="70">
        <f t="shared" ref="BM182:BM197" si="2019">COUNTIF($M$182:$M$197,BL182)*$D$19</f>
        <v>0</v>
      </c>
      <c r="BN182" s="57"/>
      <c r="BO182" s="69" t="s">
        <v>1837</v>
      </c>
      <c r="BP182" s="70">
        <f t="shared" ref="BP182:BP197" si="2020">COUNTIF($M$182:$M$197,BO182)*$D$19</f>
        <v>0</v>
      </c>
      <c r="BQ182" s="57"/>
      <c r="BR182" s="69" t="s">
        <v>1260</v>
      </c>
      <c r="BS182" s="70">
        <f t="shared" ref="BS182:BS197" si="2021">COUNTIF($M$182:$M$197,BR182)*$D$19</f>
        <v>0</v>
      </c>
      <c r="BT182" s="57"/>
      <c r="BU182" s="69"/>
      <c r="BV182" s="70">
        <f t="shared" ref="BV182:BV197" si="2022">COUNTIF($M$182:$M$197,BU182)*$D$19</f>
        <v>0</v>
      </c>
      <c r="BW182" s="57"/>
      <c r="BX182" s="69"/>
      <c r="BY182" s="70">
        <f t="shared" ref="BY182:BY197" si="2023">COUNTIF($M$182:$M$197,BX182)*$D$19</f>
        <v>0</v>
      </c>
      <c r="BZ182" s="57"/>
      <c r="CA182" s="69"/>
      <c r="CB182" s="70">
        <f t="shared" ref="CB182:CB197" si="2024">COUNTIF($M$182:$M$197,CA182)*$D$19</f>
        <v>0</v>
      </c>
      <c r="CC182" s="57"/>
      <c r="CD182" s="69"/>
      <c r="CE182" s="70">
        <f t="shared" ref="CE182:CE197" si="2025">COUNTIF($M$182:$M$197,CD182)*$D$19</f>
        <v>0</v>
      </c>
      <c r="CF182" s="57"/>
      <c r="CG182" s="69"/>
      <c r="CH182" s="70">
        <f t="shared" ref="CH182:CH197" si="2026">COUNTIF($M$182:$M$197,CG182)*$D$19</f>
        <v>0</v>
      </c>
      <c r="CI182" s="57"/>
      <c r="CJ182" s="69"/>
      <c r="CK182" s="70">
        <f t="shared" ref="CK182:CK197" si="2027">COUNTIF($M$182:$M$197,CJ182)*$D$19</f>
        <v>0</v>
      </c>
      <c r="CL182" s="57"/>
      <c r="CM182" s="69"/>
      <c r="CN182" s="70">
        <f t="shared" ref="CN182:CN197" si="2028">COUNTIF($M$182:$M$197,CM182)*$D$19</f>
        <v>0</v>
      </c>
      <c r="CO182" s="57"/>
      <c r="CP182" s="69"/>
      <c r="CQ182" s="70">
        <f t="shared" ref="CQ182:CQ197" si="2029">COUNTIF($M$182:$M$197,CP182)*$D$19</f>
        <v>0</v>
      </c>
      <c r="CR182" s="57"/>
      <c r="CS182" s="69"/>
      <c r="CT182" s="70">
        <f t="shared" ref="CT182:CT197" si="2030">COUNTIF($M$182:$M$197,CS182)*$D$19</f>
        <v>0</v>
      </c>
      <c r="CU182" s="57"/>
      <c r="CV182" s="69"/>
      <c r="CW182" s="70">
        <f t="shared" ref="CW182:CW197" si="2031">COUNTIF($M$182:$M$197,CV182)*$D$19</f>
        <v>0</v>
      </c>
      <c r="CX182" s="57"/>
      <c r="CY182" s="69"/>
      <c r="CZ182" s="70">
        <f t="shared" ref="CZ182:CZ197" si="2032">COUNTIF($M$182:$M$197,CY182)*$D$19</f>
        <v>0</v>
      </c>
      <c r="DA182" s="57"/>
      <c r="DB182" s="69"/>
      <c r="DC182" s="70">
        <f t="shared" ref="DC182:DC197" si="2033">COUNTIF($M$182:$M$197,DB182)*$D$19</f>
        <v>0</v>
      </c>
      <c r="DD182" s="57"/>
      <c r="DE182" s="69"/>
      <c r="DF182" s="70">
        <f t="shared" ref="DF182:DF197" si="2034">COUNTIF($M$182:$M$197,DE182)*$D$19</f>
        <v>0</v>
      </c>
      <c r="DG182" s="57"/>
      <c r="DH182" s="69"/>
      <c r="DI182" s="70">
        <f t="shared" ref="DI182:DI197" si="2035">COUNTIF($M$182:$M$197,DH182)*$D$19</f>
        <v>0</v>
      </c>
      <c r="DJ182" s="57"/>
      <c r="DK182" s="69"/>
      <c r="DL182" s="70">
        <f t="shared" ref="DL182:DL197" si="2036">COUNTIF($M$182:$M$197,DK182)*$D$19</f>
        <v>0</v>
      </c>
      <c r="DM182" s="57"/>
      <c r="DN182" s="69"/>
      <c r="DO182" s="70">
        <f t="shared" ref="DO182:DO197" si="2037">COUNTIF($M$182:$M$197,DN182)*$D$19</f>
        <v>0</v>
      </c>
      <c r="DP182" s="57"/>
      <c r="DQ182" s="69"/>
      <c r="DR182" s="70">
        <f t="shared" ref="DR182:DR197" si="2038">COUNTIF($M$182:$M$197,DQ182)*$D$19</f>
        <v>0</v>
      </c>
      <c r="DS182" s="57"/>
      <c r="DT182" s="69"/>
      <c r="DU182" s="70">
        <f t="shared" ref="DU182:DU197" si="2039">COUNTIF($M$182:$M$197,DT182)*$D$19</f>
        <v>0</v>
      </c>
      <c r="DV182" s="57"/>
      <c r="DW182" s="69"/>
      <c r="DX182" s="70">
        <f t="shared" ref="DX182:DX197" si="2040">COUNTIF($M$182:$M$197,DW182)*$D$19</f>
        <v>0</v>
      </c>
      <c r="DY182" s="57"/>
      <c r="DZ182" s="69"/>
      <c r="EA182" s="70">
        <f t="shared" ref="EA182:EA197" si="2041">COUNTIF($M$182:$M$197,DZ182)*$D$19</f>
        <v>0</v>
      </c>
      <c r="EB182" s="57"/>
      <c r="EC182" s="69"/>
      <c r="ED182" s="70">
        <f t="shared" ref="ED182:ED197" si="2042">COUNTIF($M$182:$M$197,EC182)*$D$19</f>
        <v>0</v>
      </c>
      <c r="EE182" s="57"/>
      <c r="EF182" s="69"/>
      <c r="EG182" s="70">
        <f t="shared" ref="EG182:EG197" si="2043">COUNTIF($M$182:$M$197,EF182)*$D$19</f>
        <v>0</v>
      </c>
      <c r="EH182" s="57"/>
      <c r="EI182" s="57"/>
    </row>
    <row r="183" spans="1:139">
      <c r="A183" s="711"/>
      <c r="B183" s="711"/>
      <c r="C183" s="805"/>
      <c r="D183" s="805"/>
      <c r="E183" s="805"/>
      <c r="F183" s="806">
        <f t="shared" ref="F183:F197" si="2044">$D$19</f>
        <v>4</v>
      </c>
      <c r="G183" s="806">
        <f ca="1">VLOOKUP(H183,Equipos!$Q$1:$R$25,2,0)</f>
        <v>20</v>
      </c>
      <c r="H183" s="807" t="str">
        <f>Idiomas!$D$260</f>
        <v>Dieciseisavos de final</v>
      </c>
      <c r="I183" s="800"/>
      <c r="J183" s="859"/>
      <c r="K183" s="49" t="str">
        <f>Idiomas!$D$199&amp;"-"&amp;ROWS($L$182:L183)</f>
        <v>Octavofinalista-2</v>
      </c>
      <c r="L183" s="46"/>
      <c r="M183" s="48" t="str">
        <f>WORLDCUP!AA121</f>
        <v>W74</v>
      </c>
      <c r="N183" s="711"/>
      <c r="O183" s="711"/>
      <c r="P183" s="711"/>
      <c r="Q183" s="711"/>
      <c r="R183" s="102"/>
      <c r="S183" s="67" t="s">
        <v>77</v>
      </c>
      <c r="T183" s="66">
        <f t="shared" si="2004"/>
        <v>0</v>
      </c>
      <c r="U183" s="57"/>
      <c r="V183" s="67" t="s">
        <v>77</v>
      </c>
      <c r="W183" s="66">
        <f t="shared" si="2005"/>
        <v>0</v>
      </c>
      <c r="X183" s="57"/>
      <c r="Y183" s="67" t="s">
        <v>77</v>
      </c>
      <c r="Z183" s="66">
        <f t="shared" si="2006"/>
        <v>0</v>
      </c>
      <c r="AA183" s="57"/>
      <c r="AB183" s="67" t="s">
        <v>77</v>
      </c>
      <c r="AC183" s="66">
        <f t="shared" si="2007"/>
        <v>0</v>
      </c>
      <c r="AD183" s="57"/>
      <c r="AE183" s="67" t="s">
        <v>77</v>
      </c>
      <c r="AF183" s="66">
        <f t="shared" si="2008"/>
        <v>0</v>
      </c>
      <c r="AG183" s="57"/>
      <c r="AH183" s="67" t="s">
        <v>77</v>
      </c>
      <c r="AI183" s="66">
        <f t="shared" si="2009"/>
        <v>0</v>
      </c>
      <c r="AJ183" s="57"/>
      <c r="AK183" s="67" t="s">
        <v>77</v>
      </c>
      <c r="AL183" s="66">
        <f t="shared" si="2010"/>
        <v>0</v>
      </c>
      <c r="AM183" s="57"/>
      <c r="AN183" s="67" t="s">
        <v>77</v>
      </c>
      <c r="AO183" s="66">
        <f t="shared" si="2011"/>
        <v>0</v>
      </c>
      <c r="AP183" s="57"/>
      <c r="AQ183" s="67" t="s">
        <v>77</v>
      </c>
      <c r="AR183" s="66">
        <f t="shared" si="2012"/>
        <v>0</v>
      </c>
      <c r="AS183" s="57"/>
      <c r="AT183" s="67" t="s">
        <v>77</v>
      </c>
      <c r="AU183" s="66">
        <f t="shared" si="2013"/>
        <v>0</v>
      </c>
      <c r="AV183" s="57"/>
      <c r="AW183" s="67" t="s">
        <v>77</v>
      </c>
      <c r="AX183" s="66">
        <f t="shared" si="2014"/>
        <v>0</v>
      </c>
      <c r="AY183" s="57"/>
      <c r="AZ183" s="67" t="s">
        <v>77</v>
      </c>
      <c r="BA183" s="66">
        <f t="shared" si="2015"/>
        <v>0</v>
      </c>
      <c r="BB183" s="57"/>
      <c r="BC183" s="67" t="s">
        <v>77</v>
      </c>
      <c r="BD183" s="66">
        <f t="shared" si="2016"/>
        <v>0</v>
      </c>
      <c r="BE183" s="57"/>
      <c r="BF183" s="67" t="s">
        <v>77</v>
      </c>
      <c r="BG183" s="66">
        <f t="shared" si="2017"/>
        <v>0</v>
      </c>
      <c r="BH183" s="57"/>
      <c r="BI183" s="67" t="s">
        <v>77</v>
      </c>
      <c r="BJ183" s="66">
        <f t="shared" si="2018"/>
        <v>0</v>
      </c>
      <c r="BK183" s="57"/>
      <c r="BL183" s="67" t="s">
        <v>77</v>
      </c>
      <c r="BM183" s="66">
        <f t="shared" si="2019"/>
        <v>0</v>
      </c>
      <c r="BN183" s="57"/>
      <c r="BO183" s="67" t="s">
        <v>77</v>
      </c>
      <c r="BP183" s="66">
        <f t="shared" si="2020"/>
        <v>0</v>
      </c>
      <c r="BQ183" s="57"/>
      <c r="BR183" s="67" t="s">
        <v>77</v>
      </c>
      <c r="BS183" s="66">
        <f t="shared" si="2021"/>
        <v>0</v>
      </c>
      <c r="BT183" s="57"/>
      <c r="BU183" s="67"/>
      <c r="BV183" s="66">
        <f t="shared" si="2022"/>
        <v>0</v>
      </c>
      <c r="BW183" s="57"/>
      <c r="BX183" s="67"/>
      <c r="BY183" s="66">
        <f t="shared" si="2023"/>
        <v>0</v>
      </c>
      <c r="BZ183" s="57"/>
      <c r="CA183" s="67"/>
      <c r="CB183" s="66">
        <f t="shared" si="2024"/>
        <v>0</v>
      </c>
      <c r="CC183" s="57"/>
      <c r="CD183" s="67"/>
      <c r="CE183" s="66">
        <f t="shared" si="2025"/>
        <v>0</v>
      </c>
      <c r="CF183" s="57"/>
      <c r="CG183" s="67"/>
      <c r="CH183" s="66">
        <f t="shared" si="2026"/>
        <v>0</v>
      </c>
      <c r="CI183" s="57"/>
      <c r="CJ183" s="67"/>
      <c r="CK183" s="66">
        <f t="shared" si="2027"/>
        <v>0</v>
      </c>
      <c r="CL183" s="57"/>
      <c r="CM183" s="67"/>
      <c r="CN183" s="66">
        <f t="shared" si="2028"/>
        <v>0</v>
      </c>
      <c r="CO183" s="57"/>
      <c r="CP183" s="67"/>
      <c r="CQ183" s="66">
        <f t="shared" si="2029"/>
        <v>0</v>
      </c>
      <c r="CR183" s="57"/>
      <c r="CS183" s="67"/>
      <c r="CT183" s="66">
        <f t="shared" si="2030"/>
        <v>0</v>
      </c>
      <c r="CU183" s="57"/>
      <c r="CV183" s="67"/>
      <c r="CW183" s="66">
        <f t="shared" si="2031"/>
        <v>0</v>
      </c>
      <c r="CX183" s="57"/>
      <c r="CY183" s="67"/>
      <c r="CZ183" s="66">
        <f t="shared" si="2032"/>
        <v>0</v>
      </c>
      <c r="DA183" s="57"/>
      <c r="DB183" s="67"/>
      <c r="DC183" s="66">
        <f t="shared" si="2033"/>
        <v>0</v>
      </c>
      <c r="DD183" s="57"/>
      <c r="DE183" s="67"/>
      <c r="DF183" s="66">
        <f t="shared" si="2034"/>
        <v>0</v>
      </c>
      <c r="DG183" s="57"/>
      <c r="DH183" s="67"/>
      <c r="DI183" s="66">
        <f t="shared" si="2035"/>
        <v>0</v>
      </c>
      <c r="DJ183" s="57"/>
      <c r="DK183" s="67"/>
      <c r="DL183" s="66">
        <f t="shared" si="2036"/>
        <v>0</v>
      </c>
      <c r="DM183" s="57"/>
      <c r="DN183" s="67"/>
      <c r="DO183" s="66">
        <f t="shared" si="2037"/>
        <v>0</v>
      </c>
      <c r="DP183" s="57"/>
      <c r="DQ183" s="67"/>
      <c r="DR183" s="66">
        <f t="shared" si="2038"/>
        <v>0</v>
      </c>
      <c r="DS183" s="57"/>
      <c r="DT183" s="67"/>
      <c r="DU183" s="66">
        <f t="shared" si="2039"/>
        <v>0</v>
      </c>
      <c r="DV183" s="57"/>
      <c r="DW183" s="67"/>
      <c r="DX183" s="66">
        <f t="shared" si="2040"/>
        <v>0</v>
      </c>
      <c r="DY183" s="57"/>
      <c r="DZ183" s="67"/>
      <c r="EA183" s="66">
        <f t="shared" si="2041"/>
        <v>0</v>
      </c>
      <c r="EB183" s="57"/>
      <c r="EC183" s="67"/>
      <c r="ED183" s="66">
        <f t="shared" si="2042"/>
        <v>0</v>
      </c>
      <c r="EE183" s="57"/>
      <c r="EF183" s="67"/>
      <c r="EG183" s="66">
        <f t="shared" si="2043"/>
        <v>0</v>
      </c>
      <c r="EH183" s="57"/>
      <c r="EI183" s="57"/>
    </row>
    <row r="184" spans="1:139">
      <c r="A184" s="711"/>
      <c r="B184" s="711"/>
      <c r="C184" s="805"/>
      <c r="D184" s="805"/>
      <c r="E184" s="805"/>
      <c r="F184" s="806">
        <f t="shared" si="2044"/>
        <v>4</v>
      </c>
      <c r="G184" s="806">
        <f ca="1">VLOOKUP(H184,Equipos!$Q$1:$R$25,2,0)</f>
        <v>20</v>
      </c>
      <c r="H184" s="807" t="str">
        <f>Idiomas!$D$260</f>
        <v>Dieciseisavos de final</v>
      </c>
      <c r="I184" s="800"/>
      <c r="J184" s="859"/>
      <c r="K184" s="49" t="str">
        <f>Idiomas!$D$199&amp;"-"&amp;ROWS($L$182:L184)</f>
        <v>Octavofinalista-3</v>
      </c>
      <c r="L184" s="46"/>
      <c r="M184" s="48" t="str">
        <f>WORLDCUP!AA122</f>
        <v>W76</v>
      </c>
      <c r="N184" s="711"/>
      <c r="O184" s="711"/>
      <c r="P184" s="711"/>
      <c r="Q184" s="711"/>
      <c r="R184" s="102"/>
      <c r="S184" s="67" t="s">
        <v>1258</v>
      </c>
      <c r="T184" s="66">
        <f t="shared" si="2004"/>
        <v>0</v>
      </c>
      <c r="U184" s="57"/>
      <c r="V184" s="67" t="s">
        <v>1258</v>
      </c>
      <c r="W184" s="66">
        <f t="shared" si="2005"/>
        <v>0</v>
      </c>
      <c r="X184" s="57"/>
      <c r="Y184" s="67" t="s">
        <v>1258</v>
      </c>
      <c r="Z184" s="66">
        <f t="shared" si="2006"/>
        <v>0</v>
      </c>
      <c r="AA184" s="57"/>
      <c r="AB184" s="67" t="s">
        <v>1317</v>
      </c>
      <c r="AC184" s="66">
        <f t="shared" si="2007"/>
        <v>0</v>
      </c>
      <c r="AD184" s="57"/>
      <c r="AE184" s="67" t="s">
        <v>1317</v>
      </c>
      <c r="AF184" s="66">
        <f t="shared" si="2008"/>
        <v>0</v>
      </c>
      <c r="AG184" s="57"/>
      <c r="AH184" s="67" t="s">
        <v>1258</v>
      </c>
      <c r="AI184" s="66">
        <f t="shared" si="2009"/>
        <v>0</v>
      </c>
      <c r="AJ184" s="57"/>
      <c r="AK184" s="67" t="s">
        <v>1258</v>
      </c>
      <c r="AL184" s="66">
        <f t="shared" si="2010"/>
        <v>0</v>
      </c>
      <c r="AM184" s="57"/>
      <c r="AN184" s="67" t="s">
        <v>1258</v>
      </c>
      <c r="AO184" s="66">
        <f t="shared" si="2011"/>
        <v>0</v>
      </c>
      <c r="AP184" s="57"/>
      <c r="AQ184" s="67" t="s">
        <v>1317</v>
      </c>
      <c r="AR184" s="66">
        <f t="shared" si="2012"/>
        <v>0</v>
      </c>
      <c r="AS184" s="57"/>
      <c r="AT184" s="67" t="s">
        <v>1317</v>
      </c>
      <c r="AU184" s="66">
        <f t="shared" si="2013"/>
        <v>0</v>
      </c>
      <c r="AV184" s="57"/>
      <c r="AW184" s="67" t="s">
        <v>1258</v>
      </c>
      <c r="AX184" s="66">
        <f t="shared" si="2014"/>
        <v>0</v>
      </c>
      <c r="AY184" s="57"/>
      <c r="AZ184" s="67" t="s">
        <v>1258</v>
      </c>
      <c r="BA184" s="66">
        <f t="shared" si="2015"/>
        <v>0</v>
      </c>
      <c r="BB184" s="57"/>
      <c r="BC184" s="67" t="s">
        <v>1827</v>
      </c>
      <c r="BD184" s="66">
        <f t="shared" si="2016"/>
        <v>0</v>
      </c>
      <c r="BE184" s="57"/>
      <c r="BF184" s="67" t="s">
        <v>1258</v>
      </c>
      <c r="BG184" s="66">
        <f t="shared" si="2017"/>
        <v>0</v>
      </c>
      <c r="BH184" s="57"/>
      <c r="BI184" s="67" t="s">
        <v>1258</v>
      </c>
      <c r="BJ184" s="66">
        <f t="shared" si="2018"/>
        <v>0</v>
      </c>
      <c r="BK184" s="57"/>
      <c r="BL184" s="67" t="s">
        <v>1258</v>
      </c>
      <c r="BM184" s="66">
        <f t="shared" si="2019"/>
        <v>0</v>
      </c>
      <c r="BN184" s="57"/>
      <c r="BO184" s="67" t="s">
        <v>1258</v>
      </c>
      <c r="BP184" s="66">
        <f t="shared" si="2020"/>
        <v>0</v>
      </c>
      <c r="BQ184" s="57"/>
      <c r="BR184" s="67" t="s">
        <v>1258</v>
      </c>
      <c r="BS184" s="66">
        <f t="shared" si="2021"/>
        <v>0</v>
      </c>
      <c r="BT184" s="57"/>
      <c r="BU184" s="67"/>
      <c r="BV184" s="66">
        <f t="shared" si="2022"/>
        <v>0</v>
      </c>
      <c r="BW184" s="57"/>
      <c r="BX184" s="67"/>
      <c r="BY184" s="66">
        <f t="shared" si="2023"/>
        <v>0</v>
      </c>
      <c r="BZ184" s="57"/>
      <c r="CA184" s="67"/>
      <c r="CB184" s="66">
        <f t="shared" si="2024"/>
        <v>0</v>
      </c>
      <c r="CC184" s="57"/>
      <c r="CD184" s="67"/>
      <c r="CE184" s="66">
        <f t="shared" si="2025"/>
        <v>0</v>
      </c>
      <c r="CF184" s="57"/>
      <c r="CG184" s="67"/>
      <c r="CH184" s="66">
        <f t="shared" si="2026"/>
        <v>0</v>
      </c>
      <c r="CI184" s="57"/>
      <c r="CJ184" s="67"/>
      <c r="CK184" s="66">
        <f t="shared" si="2027"/>
        <v>0</v>
      </c>
      <c r="CL184" s="57"/>
      <c r="CM184" s="67"/>
      <c r="CN184" s="66">
        <f t="shared" si="2028"/>
        <v>0</v>
      </c>
      <c r="CO184" s="57"/>
      <c r="CP184" s="67"/>
      <c r="CQ184" s="66">
        <f t="shared" si="2029"/>
        <v>0</v>
      </c>
      <c r="CR184" s="57"/>
      <c r="CS184" s="67"/>
      <c r="CT184" s="66">
        <f t="shared" si="2030"/>
        <v>0</v>
      </c>
      <c r="CU184" s="57"/>
      <c r="CV184" s="67"/>
      <c r="CW184" s="66">
        <f t="shared" si="2031"/>
        <v>0</v>
      </c>
      <c r="CX184" s="57"/>
      <c r="CY184" s="67"/>
      <c r="CZ184" s="66">
        <f t="shared" si="2032"/>
        <v>0</v>
      </c>
      <c r="DA184" s="57"/>
      <c r="DB184" s="67"/>
      <c r="DC184" s="66">
        <f t="shared" si="2033"/>
        <v>0</v>
      </c>
      <c r="DD184" s="57"/>
      <c r="DE184" s="67"/>
      <c r="DF184" s="66">
        <f t="shared" si="2034"/>
        <v>0</v>
      </c>
      <c r="DG184" s="57"/>
      <c r="DH184" s="67"/>
      <c r="DI184" s="66">
        <f t="shared" si="2035"/>
        <v>0</v>
      </c>
      <c r="DJ184" s="57"/>
      <c r="DK184" s="67"/>
      <c r="DL184" s="66">
        <f t="shared" si="2036"/>
        <v>0</v>
      </c>
      <c r="DM184" s="57"/>
      <c r="DN184" s="67"/>
      <c r="DO184" s="66">
        <f t="shared" si="2037"/>
        <v>0</v>
      </c>
      <c r="DP184" s="57"/>
      <c r="DQ184" s="67"/>
      <c r="DR184" s="66">
        <f t="shared" si="2038"/>
        <v>0</v>
      </c>
      <c r="DS184" s="57"/>
      <c r="DT184" s="67"/>
      <c r="DU184" s="66">
        <f t="shared" si="2039"/>
        <v>0</v>
      </c>
      <c r="DV184" s="57"/>
      <c r="DW184" s="67"/>
      <c r="DX184" s="66">
        <f t="shared" si="2040"/>
        <v>0</v>
      </c>
      <c r="DY184" s="57"/>
      <c r="DZ184" s="67"/>
      <c r="EA184" s="66">
        <f t="shared" si="2041"/>
        <v>0</v>
      </c>
      <c r="EB184" s="57"/>
      <c r="EC184" s="67"/>
      <c r="ED184" s="66">
        <f t="shared" si="2042"/>
        <v>0</v>
      </c>
      <c r="EE184" s="57"/>
      <c r="EF184" s="67"/>
      <c r="EG184" s="66">
        <f t="shared" si="2043"/>
        <v>0</v>
      </c>
      <c r="EH184" s="57"/>
      <c r="EI184" s="57"/>
    </row>
    <row r="185" spans="1:139">
      <c r="A185" s="711"/>
      <c r="B185" s="711"/>
      <c r="C185" s="805"/>
      <c r="D185" s="805"/>
      <c r="E185" s="805"/>
      <c r="F185" s="806">
        <f t="shared" si="2044"/>
        <v>4</v>
      </c>
      <c r="G185" s="806">
        <f ca="1">VLOOKUP(H185,Equipos!$Q$1:$R$25,2,0)</f>
        <v>20</v>
      </c>
      <c r="H185" s="807" t="str">
        <f>Idiomas!$D$260</f>
        <v>Dieciseisavos de final</v>
      </c>
      <c r="I185" s="800"/>
      <c r="J185" s="859"/>
      <c r="K185" s="49" t="str">
        <f>Idiomas!$D$199&amp;"-"&amp;ROWS($L$182:L185)</f>
        <v>Octavofinalista-4</v>
      </c>
      <c r="L185" s="46"/>
      <c r="M185" s="48" t="str">
        <f>WORLDCUP!AA123</f>
        <v>W79</v>
      </c>
      <c r="N185" s="711"/>
      <c r="O185" s="711"/>
      <c r="P185" s="711"/>
      <c r="Q185" s="711"/>
      <c r="R185" s="102"/>
      <c r="S185" s="67" t="s">
        <v>1265</v>
      </c>
      <c r="T185" s="66">
        <f t="shared" si="2004"/>
        <v>0</v>
      </c>
      <c r="U185" s="57"/>
      <c r="V185" s="67" t="s">
        <v>1837</v>
      </c>
      <c r="W185" s="66">
        <f t="shared" si="2005"/>
        <v>0</v>
      </c>
      <c r="X185" s="57"/>
      <c r="Y185" s="67" t="s">
        <v>1265</v>
      </c>
      <c r="Z185" s="66">
        <f t="shared" si="2006"/>
        <v>0</v>
      </c>
      <c r="AA185" s="57"/>
      <c r="AB185" s="67" t="s">
        <v>1837</v>
      </c>
      <c r="AC185" s="66">
        <f t="shared" si="2007"/>
        <v>0</v>
      </c>
      <c r="AD185" s="57"/>
      <c r="AE185" s="67" t="s">
        <v>1260</v>
      </c>
      <c r="AF185" s="66">
        <f t="shared" si="2008"/>
        <v>0</v>
      </c>
      <c r="AG185" s="57"/>
      <c r="AH185" s="67" t="s">
        <v>1265</v>
      </c>
      <c r="AI185" s="66">
        <f t="shared" si="2009"/>
        <v>0</v>
      </c>
      <c r="AJ185" s="57"/>
      <c r="AK185" s="67" t="s">
        <v>1265</v>
      </c>
      <c r="AL185" s="66">
        <f t="shared" si="2010"/>
        <v>0</v>
      </c>
      <c r="AM185" s="57"/>
      <c r="AN185" s="67" t="s">
        <v>1265</v>
      </c>
      <c r="AO185" s="66">
        <f t="shared" si="2011"/>
        <v>0</v>
      </c>
      <c r="AP185" s="57"/>
      <c r="AQ185" s="67" t="s">
        <v>1260</v>
      </c>
      <c r="AR185" s="66">
        <f t="shared" si="2012"/>
        <v>0</v>
      </c>
      <c r="AS185" s="57"/>
      <c r="AT185" s="67" t="s">
        <v>1837</v>
      </c>
      <c r="AU185" s="66">
        <f t="shared" si="2013"/>
        <v>0</v>
      </c>
      <c r="AV185" s="57"/>
      <c r="AW185" s="67" t="s">
        <v>1261</v>
      </c>
      <c r="AX185" s="66">
        <f t="shared" si="2014"/>
        <v>0</v>
      </c>
      <c r="AY185" s="57"/>
      <c r="AZ185" s="67" t="s">
        <v>1265</v>
      </c>
      <c r="BA185" s="66">
        <f t="shared" si="2015"/>
        <v>0</v>
      </c>
      <c r="BB185" s="57"/>
      <c r="BC185" s="67" t="s">
        <v>1265</v>
      </c>
      <c r="BD185" s="66">
        <f t="shared" si="2016"/>
        <v>0</v>
      </c>
      <c r="BE185" s="57"/>
      <c r="BF185" s="67" t="s">
        <v>1265</v>
      </c>
      <c r="BG185" s="66">
        <f t="shared" si="2017"/>
        <v>0</v>
      </c>
      <c r="BH185" s="57"/>
      <c r="BI185" s="67" t="s">
        <v>1314</v>
      </c>
      <c r="BJ185" s="66">
        <f t="shared" si="2018"/>
        <v>0</v>
      </c>
      <c r="BK185" s="57"/>
      <c r="BL185" s="67" t="s">
        <v>1260</v>
      </c>
      <c r="BM185" s="66">
        <f t="shared" si="2019"/>
        <v>0</v>
      </c>
      <c r="BN185" s="57"/>
      <c r="BO185" s="67" t="s">
        <v>1265</v>
      </c>
      <c r="BP185" s="66">
        <f t="shared" si="2020"/>
        <v>0</v>
      </c>
      <c r="BQ185" s="57"/>
      <c r="BR185" s="67" t="s">
        <v>1265</v>
      </c>
      <c r="BS185" s="66">
        <f t="shared" si="2021"/>
        <v>0</v>
      </c>
      <c r="BT185" s="57"/>
      <c r="BU185" s="67"/>
      <c r="BV185" s="66">
        <f t="shared" si="2022"/>
        <v>0</v>
      </c>
      <c r="BW185" s="57"/>
      <c r="BX185" s="67"/>
      <c r="BY185" s="66">
        <f t="shared" si="2023"/>
        <v>0</v>
      </c>
      <c r="BZ185" s="57"/>
      <c r="CA185" s="67"/>
      <c r="CB185" s="66">
        <f t="shared" si="2024"/>
        <v>0</v>
      </c>
      <c r="CC185" s="57"/>
      <c r="CD185" s="67"/>
      <c r="CE185" s="66">
        <f t="shared" si="2025"/>
        <v>0</v>
      </c>
      <c r="CF185" s="57"/>
      <c r="CG185" s="67"/>
      <c r="CH185" s="66">
        <f t="shared" si="2026"/>
        <v>0</v>
      </c>
      <c r="CI185" s="57"/>
      <c r="CJ185" s="67"/>
      <c r="CK185" s="66">
        <f t="shared" si="2027"/>
        <v>0</v>
      </c>
      <c r="CL185" s="57"/>
      <c r="CM185" s="67"/>
      <c r="CN185" s="66">
        <f t="shared" si="2028"/>
        <v>0</v>
      </c>
      <c r="CO185" s="57"/>
      <c r="CP185" s="67"/>
      <c r="CQ185" s="66">
        <f t="shared" si="2029"/>
        <v>0</v>
      </c>
      <c r="CR185" s="57"/>
      <c r="CS185" s="67"/>
      <c r="CT185" s="66">
        <f t="shared" si="2030"/>
        <v>0</v>
      </c>
      <c r="CU185" s="57"/>
      <c r="CV185" s="67"/>
      <c r="CW185" s="66">
        <f t="shared" si="2031"/>
        <v>0</v>
      </c>
      <c r="CX185" s="57"/>
      <c r="CY185" s="67"/>
      <c r="CZ185" s="66">
        <f t="shared" si="2032"/>
        <v>0</v>
      </c>
      <c r="DA185" s="57"/>
      <c r="DB185" s="67"/>
      <c r="DC185" s="66">
        <f t="shared" si="2033"/>
        <v>0</v>
      </c>
      <c r="DD185" s="57"/>
      <c r="DE185" s="67"/>
      <c r="DF185" s="66">
        <f t="shared" si="2034"/>
        <v>0</v>
      </c>
      <c r="DG185" s="57"/>
      <c r="DH185" s="67"/>
      <c r="DI185" s="66">
        <f t="shared" si="2035"/>
        <v>0</v>
      </c>
      <c r="DJ185" s="57"/>
      <c r="DK185" s="67"/>
      <c r="DL185" s="66">
        <f t="shared" si="2036"/>
        <v>0</v>
      </c>
      <c r="DM185" s="57"/>
      <c r="DN185" s="67"/>
      <c r="DO185" s="66">
        <f t="shared" si="2037"/>
        <v>0</v>
      </c>
      <c r="DP185" s="57"/>
      <c r="DQ185" s="67"/>
      <c r="DR185" s="66">
        <f t="shared" si="2038"/>
        <v>0</v>
      </c>
      <c r="DS185" s="57"/>
      <c r="DT185" s="67"/>
      <c r="DU185" s="66">
        <f t="shared" si="2039"/>
        <v>0</v>
      </c>
      <c r="DV185" s="57"/>
      <c r="DW185" s="67"/>
      <c r="DX185" s="66">
        <f t="shared" si="2040"/>
        <v>0</v>
      </c>
      <c r="DY185" s="57"/>
      <c r="DZ185" s="67"/>
      <c r="EA185" s="66">
        <f t="shared" si="2041"/>
        <v>0</v>
      </c>
      <c r="EB185" s="57"/>
      <c r="EC185" s="67"/>
      <c r="ED185" s="66">
        <f t="shared" si="2042"/>
        <v>0</v>
      </c>
      <c r="EE185" s="57"/>
      <c r="EF185" s="67"/>
      <c r="EG185" s="66">
        <f t="shared" si="2043"/>
        <v>0</v>
      </c>
      <c r="EH185" s="57"/>
      <c r="EI185" s="57"/>
    </row>
    <row r="186" spans="1:139">
      <c r="A186" s="711"/>
      <c r="B186" s="711"/>
      <c r="C186" s="805"/>
      <c r="D186" s="805"/>
      <c r="E186" s="805"/>
      <c r="F186" s="806">
        <f t="shared" si="2044"/>
        <v>4</v>
      </c>
      <c r="G186" s="806">
        <f ca="1">VLOOKUP(H186,Equipos!$Q$1:$R$25,2,0)</f>
        <v>20</v>
      </c>
      <c r="H186" s="807" t="str">
        <f>Idiomas!$D$260</f>
        <v>Dieciseisavos de final</v>
      </c>
      <c r="I186" s="800"/>
      <c r="J186" s="859"/>
      <c r="K186" s="49" t="str">
        <f>Idiomas!$D$199&amp;"-"&amp;ROWS($L$182:L186)</f>
        <v>Octavofinalista-5</v>
      </c>
      <c r="L186" s="46"/>
      <c r="M186" s="48" t="str">
        <f>WORLDCUP!AA124</f>
        <v>W83</v>
      </c>
      <c r="N186" s="711"/>
      <c r="O186" s="711"/>
      <c r="P186" s="711"/>
      <c r="Q186" s="711"/>
      <c r="R186" s="102"/>
      <c r="S186" s="67" t="s">
        <v>78</v>
      </c>
      <c r="T186" s="66">
        <f t="shared" si="2004"/>
        <v>0</v>
      </c>
      <c r="U186" s="57"/>
      <c r="V186" s="67" t="s">
        <v>1316</v>
      </c>
      <c r="W186" s="66">
        <f t="shared" si="2005"/>
        <v>0</v>
      </c>
      <c r="X186" s="57"/>
      <c r="Y186" s="67" t="s">
        <v>1316</v>
      </c>
      <c r="Z186" s="66">
        <f t="shared" si="2006"/>
        <v>0</v>
      </c>
      <c r="AA186" s="57"/>
      <c r="AB186" s="67" t="s">
        <v>76</v>
      </c>
      <c r="AC186" s="66">
        <f t="shared" si="2007"/>
        <v>0</v>
      </c>
      <c r="AD186" s="57"/>
      <c r="AE186" s="67" t="s">
        <v>78</v>
      </c>
      <c r="AF186" s="66">
        <f t="shared" si="2008"/>
        <v>0</v>
      </c>
      <c r="AG186" s="57"/>
      <c r="AH186" s="67" t="s">
        <v>78</v>
      </c>
      <c r="AI186" s="66">
        <f t="shared" si="2009"/>
        <v>0</v>
      </c>
      <c r="AJ186" s="57"/>
      <c r="AK186" s="67" t="s">
        <v>1316</v>
      </c>
      <c r="AL186" s="66">
        <f t="shared" si="2010"/>
        <v>0</v>
      </c>
      <c r="AM186" s="57"/>
      <c r="AN186" s="67" t="s">
        <v>78</v>
      </c>
      <c r="AO186" s="66">
        <f t="shared" si="2011"/>
        <v>0</v>
      </c>
      <c r="AP186" s="57"/>
      <c r="AQ186" s="67" t="s">
        <v>1316</v>
      </c>
      <c r="AR186" s="66">
        <f t="shared" si="2012"/>
        <v>0</v>
      </c>
      <c r="AS186" s="57"/>
      <c r="AT186" s="67" t="s">
        <v>1316</v>
      </c>
      <c r="AU186" s="66">
        <f t="shared" si="2013"/>
        <v>0</v>
      </c>
      <c r="AV186" s="57"/>
      <c r="AW186" s="67" t="s">
        <v>78</v>
      </c>
      <c r="AX186" s="66">
        <f t="shared" si="2014"/>
        <v>0</v>
      </c>
      <c r="AY186" s="57"/>
      <c r="AZ186" s="67" t="s">
        <v>1316</v>
      </c>
      <c r="BA186" s="66">
        <f t="shared" si="2015"/>
        <v>0</v>
      </c>
      <c r="BB186" s="57"/>
      <c r="BC186" s="67" t="s">
        <v>1316</v>
      </c>
      <c r="BD186" s="66">
        <f t="shared" si="2016"/>
        <v>0</v>
      </c>
      <c r="BE186" s="57"/>
      <c r="BF186" s="67" t="s">
        <v>1316</v>
      </c>
      <c r="BG186" s="66">
        <f t="shared" si="2017"/>
        <v>0</v>
      </c>
      <c r="BH186" s="57"/>
      <c r="BI186" s="67" t="s">
        <v>78</v>
      </c>
      <c r="BJ186" s="66">
        <f t="shared" si="2018"/>
        <v>0</v>
      </c>
      <c r="BK186" s="57"/>
      <c r="BL186" s="67" t="s">
        <v>78</v>
      </c>
      <c r="BM186" s="66">
        <f t="shared" si="2019"/>
        <v>0</v>
      </c>
      <c r="BN186" s="57"/>
      <c r="BO186" s="67" t="s">
        <v>1316</v>
      </c>
      <c r="BP186" s="66">
        <f t="shared" si="2020"/>
        <v>0</v>
      </c>
      <c r="BQ186" s="57"/>
      <c r="BR186" s="67" t="s">
        <v>78</v>
      </c>
      <c r="BS186" s="66">
        <f t="shared" si="2021"/>
        <v>0</v>
      </c>
      <c r="BT186" s="57"/>
      <c r="BU186" s="67"/>
      <c r="BV186" s="66">
        <f t="shared" si="2022"/>
        <v>0</v>
      </c>
      <c r="BW186" s="57"/>
      <c r="BX186" s="67"/>
      <c r="BY186" s="66">
        <f t="shared" si="2023"/>
        <v>0</v>
      </c>
      <c r="BZ186" s="57"/>
      <c r="CA186" s="67"/>
      <c r="CB186" s="66">
        <f t="shared" si="2024"/>
        <v>0</v>
      </c>
      <c r="CC186" s="57"/>
      <c r="CD186" s="67"/>
      <c r="CE186" s="66">
        <f t="shared" si="2025"/>
        <v>0</v>
      </c>
      <c r="CF186" s="57"/>
      <c r="CG186" s="67"/>
      <c r="CH186" s="66">
        <f t="shared" si="2026"/>
        <v>0</v>
      </c>
      <c r="CI186" s="57"/>
      <c r="CJ186" s="67"/>
      <c r="CK186" s="66">
        <f t="shared" si="2027"/>
        <v>0</v>
      </c>
      <c r="CL186" s="57"/>
      <c r="CM186" s="67"/>
      <c r="CN186" s="66">
        <f t="shared" si="2028"/>
        <v>0</v>
      </c>
      <c r="CO186" s="57"/>
      <c r="CP186" s="67"/>
      <c r="CQ186" s="66">
        <f t="shared" si="2029"/>
        <v>0</v>
      </c>
      <c r="CR186" s="57"/>
      <c r="CS186" s="67"/>
      <c r="CT186" s="66">
        <f t="shared" si="2030"/>
        <v>0</v>
      </c>
      <c r="CU186" s="57"/>
      <c r="CV186" s="67"/>
      <c r="CW186" s="66">
        <f t="shared" si="2031"/>
        <v>0</v>
      </c>
      <c r="CX186" s="57"/>
      <c r="CY186" s="67"/>
      <c r="CZ186" s="66">
        <f t="shared" si="2032"/>
        <v>0</v>
      </c>
      <c r="DA186" s="57"/>
      <c r="DB186" s="67"/>
      <c r="DC186" s="66">
        <f t="shared" si="2033"/>
        <v>0</v>
      </c>
      <c r="DD186" s="57"/>
      <c r="DE186" s="67"/>
      <c r="DF186" s="66">
        <f t="shared" si="2034"/>
        <v>0</v>
      </c>
      <c r="DG186" s="57"/>
      <c r="DH186" s="67"/>
      <c r="DI186" s="66">
        <f t="shared" si="2035"/>
        <v>0</v>
      </c>
      <c r="DJ186" s="57"/>
      <c r="DK186" s="67"/>
      <c r="DL186" s="66">
        <f t="shared" si="2036"/>
        <v>0</v>
      </c>
      <c r="DM186" s="57"/>
      <c r="DN186" s="67"/>
      <c r="DO186" s="66">
        <f t="shared" si="2037"/>
        <v>0</v>
      </c>
      <c r="DP186" s="57"/>
      <c r="DQ186" s="67"/>
      <c r="DR186" s="66">
        <f t="shared" si="2038"/>
        <v>0</v>
      </c>
      <c r="DS186" s="57"/>
      <c r="DT186" s="67"/>
      <c r="DU186" s="66">
        <f t="shared" si="2039"/>
        <v>0</v>
      </c>
      <c r="DV186" s="57"/>
      <c r="DW186" s="67"/>
      <c r="DX186" s="66">
        <f t="shared" si="2040"/>
        <v>0</v>
      </c>
      <c r="DY186" s="57"/>
      <c r="DZ186" s="67"/>
      <c r="EA186" s="66">
        <f t="shared" si="2041"/>
        <v>0</v>
      </c>
      <c r="EB186" s="57"/>
      <c r="EC186" s="67"/>
      <c r="ED186" s="66">
        <f t="shared" si="2042"/>
        <v>0</v>
      </c>
      <c r="EE186" s="57"/>
      <c r="EF186" s="67"/>
      <c r="EG186" s="66">
        <f t="shared" si="2043"/>
        <v>0</v>
      </c>
      <c r="EH186" s="57"/>
      <c r="EI186" s="57"/>
    </row>
    <row r="187" spans="1:139">
      <c r="A187" s="711"/>
      <c r="B187" s="711"/>
      <c r="C187" s="805"/>
      <c r="D187" s="805"/>
      <c r="E187" s="805"/>
      <c r="F187" s="806">
        <f t="shared" si="2044"/>
        <v>4</v>
      </c>
      <c r="G187" s="806">
        <f ca="1">VLOOKUP(H187,Equipos!$Q$1:$R$25,2,0)</f>
        <v>20</v>
      </c>
      <c r="H187" s="807" t="str">
        <f>Idiomas!$D$260</f>
        <v>Dieciseisavos de final</v>
      </c>
      <c r="I187" s="800"/>
      <c r="J187" s="859"/>
      <c r="K187" s="49" t="str">
        <f>Idiomas!$D$199&amp;"-"&amp;ROWS($L$182:L187)</f>
        <v>Octavofinalista-6</v>
      </c>
      <c r="L187" s="46"/>
      <c r="M187" s="48" t="str">
        <f>WORLDCUP!AA125</f>
        <v>W81</v>
      </c>
      <c r="N187" s="711"/>
      <c r="O187" s="711"/>
      <c r="P187" s="711"/>
      <c r="Q187" s="711"/>
      <c r="R187" s="102"/>
      <c r="S187" s="67" t="s">
        <v>1829</v>
      </c>
      <c r="T187" s="66">
        <f t="shared" si="2004"/>
        <v>0</v>
      </c>
      <c r="U187" s="57"/>
      <c r="V187" s="67" t="s">
        <v>497</v>
      </c>
      <c r="W187" s="66">
        <f t="shared" si="2005"/>
        <v>0</v>
      </c>
      <c r="X187" s="57"/>
      <c r="Y187" s="67" t="s">
        <v>1829</v>
      </c>
      <c r="Z187" s="66">
        <f t="shared" si="2006"/>
        <v>0</v>
      </c>
      <c r="AA187" s="57"/>
      <c r="AB187" s="69" t="s">
        <v>1835</v>
      </c>
      <c r="AC187" s="66">
        <f t="shared" si="2007"/>
        <v>0</v>
      </c>
      <c r="AD187" s="57"/>
      <c r="AE187" s="67" t="s">
        <v>1829</v>
      </c>
      <c r="AF187" s="66">
        <f t="shared" si="2008"/>
        <v>0</v>
      </c>
      <c r="AG187" s="57"/>
      <c r="AH187" s="67" t="s">
        <v>1835</v>
      </c>
      <c r="AI187" s="66">
        <f t="shared" si="2009"/>
        <v>0</v>
      </c>
      <c r="AJ187" s="57"/>
      <c r="AK187" s="67" t="s">
        <v>497</v>
      </c>
      <c r="AL187" s="66">
        <f t="shared" si="2010"/>
        <v>0</v>
      </c>
      <c r="AM187" s="57"/>
      <c r="AN187" s="67" t="s">
        <v>497</v>
      </c>
      <c r="AO187" s="66">
        <f t="shared" si="2011"/>
        <v>0</v>
      </c>
      <c r="AP187" s="57"/>
      <c r="AQ187" s="69" t="s">
        <v>1829</v>
      </c>
      <c r="AR187" s="66">
        <f t="shared" si="2012"/>
        <v>0</v>
      </c>
      <c r="AS187" s="57"/>
      <c r="AT187" s="67" t="s">
        <v>1829</v>
      </c>
      <c r="AU187" s="66">
        <f t="shared" si="2013"/>
        <v>0</v>
      </c>
      <c r="AV187" s="57"/>
      <c r="AW187" s="67" t="s">
        <v>497</v>
      </c>
      <c r="AX187" s="66">
        <f t="shared" si="2014"/>
        <v>0</v>
      </c>
      <c r="AY187" s="57"/>
      <c r="AZ187" s="67" t="s">
        <v>1829</v>
      </c>
      <c r="BA187" s="66">
        <f t="shared" si="2015"/>
        <v>0</v>
      </c>
      <c r="BB187" s="57"/>
      <c r="BC187" s="67" t="s">
        <v>1829</v>
      </c>
      <c r="BD187" s="66">
        <f t="shared" si="2016"/>
        <v>0</v>
      </c>
      <c r="BE187" s="57"/>
      <c r="BF187" s="69" t="s">
        <v>1829</v>
      </c>
      <c r="BG187" s="66">
        <f t="shared" si="2017"/>
        <v>0</v>
      </c>
      <c r="BH187" s="57"/>
      <c r="BI187" s="67" t="s">
        <v>497</v>
      </c>
      <c r="BJ187" s="66">
        <f t="shared" si="2018"/>
        <v>0</v>
      </c>
      <c r="BK187" s="57"/>
      <c r="BL187" s="67" t="s">
        <v>497</v>
      </c>
      <c r="BM187" s="66">
        <f t="shared" si="2019"/>
        <v>0</v>
      </c>
      <c r="BN187" s="57"/>
      <c r="BO187" s="67" t="s">
        <v>497</v>
      </c>
      <c r="BP187" s="66">
        <f t="shared" si="2020"/>
        <v>0</v>
      </c>
      <c r="BQ187" s="57"/>
      <c r="BR187" s="67" t="s">
        <v>497</v>
      </c>
      <c r="BS187" s="66">
        <f t="shared" si="2021"/>
        <v>0</v>
      </c>
      <c r="BT187" s="57"/>
      <c r="BU187" s="69"/>
      <c r="BV187" s="66">
        <f t="shared" si="2022"/>
        <v>0</v>
      </c>
      <c r="BW187" s="57"/>
      <c r="BX187" s="67"/>
      <c r="BY187" s="66">
        <f t="shared" si="2023"/>
        <v>0</v>
      </c>
      <c r="BZ187" s="57"/>
      <c r="CA187" s="67"/>
      <c r="CB187" s="66">
        <f t="shared" si="2024"/>
        <v>0</v>
      </c>
      <c r="CC187" s="57"/>
      <c r="CD187" s="67"/>
      <c r="CE187" s="66">
        <f t="shared" si="2025"/>
        <v>0</v>
      </c>
      <c r="CF187" s="57"/>
      <c r="CG187" s="67"/>
      <c r="CH187" s="66">
        <f t="shared" si="2026"/>
        <v>0</v>
      </c>
      <c r="CI187" s="57"/>
      <c r="CJ187" s="69"/>
      <c r="CK187" s="66">
        <f t="shared" si="2027"/>
        <v>0</v>
      </c>
      <c r="CL187" s="57"/>
      <c r="CM187" s="67"/>
      <c r="CN187" s="66">
        <f t="shared" si="2028"/>
        <v>0</v>
      </c>
      <c r="CO187" s="57"/>
      <c r="CP187" s="67"/>
      <c r="CQ187" s="66">
        <f t="shared" si="2029"/>
        <v>0</v>
      </c>
      <c r="CR187" s="57"/>
      <c r="CS187" s="67"/>
      <c r="CT187" s="66">
        <f t="shared" si="2030"/>
        <v>0</v>
      </c>
      <c r="CU187" s="57"/>
      <c r="CV187" s="67"/>
      <c r="CW187" s="66">
        <f t="shared" si="2031"/>
        <v>0</v>
      </c>
      <c r="CX187" s="57"/>
      <c r="CY187" s="69"/>
      <c r="CZ187" s="66">
        <f t="shared" si="2032"/>
        <v>0</v>
      </c>
      <c r="DA187" s="57"/>
      <c r="DB187" s="67"/>
      <c r="DC187" s="66">
        <f t="shared" si="2033"/>
        <v>0</v>
      </c>
      <c r="DD187" s="57"/>
      <c r="DE187" s="67"/>
      <c r="DF187" s="66">
        <f t="shared" si="2034"/>
        <v>0</v>
      </c>
      <c r="DG187" s="57"/>
      <c r="DH187" s="67"/>
      <c r="DI187" s="66">
        <f t="shared" si="2035"/>
        <v>0</v>
      </c>
      <c r="DJ187" s="57"/>
      <c r="DK187" s="67"/>
      <c r="DL187" s="66">
        <f t="shared" si="2036"/>
        <v>0</v>
      </c>
      <c r="DM187" s="57"/>
      <c r="DN187" s="69"/>
      <c r="DO187" s="66">
        <f t="shared" si="2037"/>
        <v>0</v>
      </c>
      <c r="DP187" s="57"/>
      <c r="DQ187" s="67"/>
      <c r="DR187" s="66">
        <f t="shared" si="2038"/>
        <v>0</v>
      </c>
      <c r="DS187" s="57"/>
      <c r="DT187" s="67"/>
      <c r="DU187" s="66">
        <f t="shared" si="2039"/>
        <v>0</v>
      </c>
      <c r="DV187" s="57"/>
      <c r="DW187" s="67"/>
      <c r="DX187" s="66">
        <f t="shared" si="2040"/>
        <v>0</v>
      </c>
      <c r="DY187" s="57"/>
      <c r="DZ187" s="67"/>
      <c r="EA187" s="66">
        <f t="shared" si="2041"/>
        <v>0</v>
      </c>
      <c r="EB187" s="57"/>
      <c r="EC187" s="69"/>
      <c r="ED187" s="66">
        <f t="shared" si="2042"/>
        <v>0</v>
      </c>
      <c r="EE187" s="57"/>
      <c r="EF187" s="67"/>
      <c r="EG187" s="66">
        <f t="shared" si="2043"/>
        <v>0</v>
      </c>
      <c r="EH187" s="57"/>
      <c r="EI187" s="57"/>
    </row>
    <row r="188" spans="1:139">
      <c r="A188" s="711"/>
      <c r="B188" s="711"/>
      <c r="C188" s="805"/>
      <c r="D188" s="805"/>
      <c r="E188" s="805"/>
      <c r="F188" s="806">
        <f t="shared" si="2044"/>
        <v>4</v>
      </c>
      <c r="G188" s="806">
        <f ca="1">VLOOKUP(H188,Equipos!$Q$1:$R$25,2,0)</f>
        <v>20</v>
      </c>
      <c r="H188" s="807" t="str">
        <f>Idiomas!$D$260</f>
        <v>Dieciseisavos de final</v>
      </c>
      <c r="I188" s="800"/>
      <c r="J188" s="859"/>
      <c r="K188" s="49" t="str">
        <f>Idiomas!$D$199&amp;"-"&amp;ROWS($L$182:L188)</f>
        <v>Octavofinalista-7</v>
      </c>
      <c r="L188" s="46"/>
      <c r="M188" s="48" t="str">
        <f>WORLDCUP!AA126</f>
        <v>W86</v>
      </c>
      <c r="N188" s="711"/>
      <c r="O188" s="711"/>
      <c r="P188" s="711"/>
      <c r="Q188" s="711"/>
      <c r="R188" s="102"/>
      <c r="S188" s="67" t="s">
        <v>1314</v>
      </c>
      <c r="T188" s="66">
        <f t="shared" si="2004"/>
        <v>0</v>
      </c>
      <c r="U188" s="57"/>
      <c r="V188" s="67" t="s">
        <v>1256</v>
      </c>
      <c r="W188" s="66">
        <f t="shared" si="2005"/>
        <v>0</v>
      </c>
      <c r="X188" s="57"/>
      <c r="Y188" s="67" t="s">
        <v>1256</v>
      </c>
      <c r="Z188" s="66">
        <f t="shared" si="2006"/>
        <v>0</v>
      </c>
      <c r="AA188" s="57"/>
      <c r="AB188" s="67" t="s">
        <v>1256</v>
      </c>
      <c r="AC188" s="66">
        <f t="shared" si="2007"/>
        <v>0</v>
      </c>
      <c r="AD188" s="57"/>
      <c r="AE188" s="67" t="s">
        <v>1256</v>
      </c>
      <c r="AF188" s="66">
        <f t="shared" si="2008"/>
        <v>0</v>
      </c>
      <c r="AG188" s="57"/>
      <c r="AH188" s="67" t="s">
        <v>1256</v>
      </c>
      <c r="AI188" s="66">
        <f t="shared" si="2009"/>
        <v>0</v>
      </c>
      <c r="AJ188" s="57"/>
      <c r="AK188" s="67" t="s">
        <v>1256</v>
      </c>
      <c r="AL188" s="66">
        <f t="shared" si="2010"/>
        <v>0</v>
      </c>
      <c r="AM188" s="57"/>
      <c r="AN188" s="67" t="s">
        <v>1256</v>
      </c>
      <c r="AO188" s="66">
        <f t="shared" si="2011"/>
        <v>0</v>
      </c>
      <c r="AP188" s="57"/>
      <c r="AQ188" s="67" t="s">
        <v>80</v>
      </c>
      <c r="AR188" s="66">
        <f t="shared" si="2012"/>
        <v>0</v>
      </c>
      <c r="AS188" s="57"/>
      <c r="AT188" s="67" t="s">
        <v>1314</v>
      </c>
      <c r="AU188" s="66">
        <f t="shared" si="2013"/>
        <v>0</v>
      </c>
      <c r="AV188" s="57"/>
      <c r="AW188" s="67" t="s">
        <v>1256</v>
      </c>
      <c r="AX188" s="66">
        <f t="shared" si="2014"/>
        <v>0</v>
      </c>
      <c r="AY188" s="57"/>
      <c r="AZ188" s="67" t="s">
        <v>1256</v>
      </c>
      <c r="BA188" s="66">
        <f t="shared" si="2015"/>
        <v>0</v>
      </c>
      <c r="BB188" s="57"/>
      <c r="BC188" s="67" t="s">
        <v>1314</v>
      </c>
      <c r="BD188" s="66">
        <f t="shared" si="2016"/>
        <v>0</v>
      </c>
      <c r="BE188" s="57"/>
      <c r="BF188" s="67" t="s">
        <v>1256</v>
      </c>
      <c r="BG188" s="66">
        <f t="shared" si="2017"/>
        <v>0</v>
      </c>
      <c r="BH188" s="57"/>
      <c r="BI188" s="67" t="s">
        <v>1256</v>
      </c>
      <c r="BJ188" s="66">
        <f t="shared" si="2018"/>
        <v>0</v>
      </c>
      <c r="BK188" s="57"/>
      <c r="BL188" s="67" t="s">
        <v>1256</v>
      </c>
      <c r="BM188" s="66">
        <f t="shared" si="2019"/>
        <v>0</v>
      </c>
      <c r="BN188" s="57"/>
      <c r="BO188" s="67" t="s">
        <v>1256</v>
      </c>
      <c r="BP188" s="66">
        <f t="shared" si="2020"/>
        <v>0</v>
      </c>
      <c r="BQ188" s="57"/>
      <c r="BR188" s="67" t="s">
        <v>1256</v>
      </c>
      <c r="BS188" s="66">
        <f t="shared" si="2021"/>
        <v>0</v>
      </c>
      <c r="BT188" s="57"/>
      <c r="BU188" s="67"/>
      <c r="BV188" s="66">
        <f t="shared" si="2022"/>
        <v>0</v>
      </c>
      <c r="BW188" s="57"/>
      <c r="BX188" s="67"/>
      <c r="BY188" s="66">
        <f t="shared" si="2023"/>
        <v>0</v>
      </c>
      <c r="BZ188" s="57"/>
      <c r="CA188" s="67"/>
      <c r="CB188" s="66">
        <f t="shared" si="2024"/>
        <v>0</v>
      </c>
      <c r="CC188" s="57"/>
      <c r="CD188" s="67"/>
      <c r="CE188" s="66">
        <f t="shared" si="2025"/>
        <v>0</v>
      </c>
      <c r="CF188" s="57"/>
      <c r="CG188" s="67"/>
      <c r="CH188" s="66">
        <f t="shared" si="2026"/>
        <v>0</v>
      </c>
      <c r="CI188" s="57"/>
      <c r="CJ188" s="67"/>
      <c r="CK188" s="66">
        <f t="shared" si="2027"/>
        <v>0</v>
      </c>
      <c r="CL188" s="57"/>
      <c r="CM188" s="67"/>
      <c r="CN188" s="66">
        <f t="shared" si="2028"/>
        <v>0</v>
      </c>
      <c r="CO188" s="57"/>
      <c r="CP188" s="67"/>
      <c r="CQ188" s="66">
        <f t="shared" si="2029"/>
        <v>0</v>
      </c>
      <c r="CR188" s="57"/>
      <c r="CS188" s="67"/>
      <c r="CT188" s="66">
        <f t="shared" si="2030"/>
        <v>0</v>
      </c>
      <c r="CU188" s="57"/>
      <c r="CV188" s="67"/>
      <c r="CW188" s="66">
        <f t="shared" si="2031"/>
        <v>0</v>
      </c>
      <c r="CX188" s="57"/>
      <c r="CY188" s="67"/>
      <c r="CZ188" s="66">
        <f t="shared" si="2032"/>
        <v>0</v>
      </c>
      <c r="DA188" s="57"/>
      <c r="DB188" s="67"/>
      <c r="DC188" s="66">
        <f t="shared" si="2033"/>
        <v>0</v>
      </c>
      <c r="DD188" s="57"/>
      <c r="DE188" s="67"/>
      <c r="DF188" s="66">
        <f t="shared" si="2034"/>
        <v>0</v>
      </c>
      <c r="DG188" s="57"/>
      <c r="DH188" s="67"/>
      <c r="DI188" s="66">
        <f t="shared" si="2035"/>
        <v>0</v>
      </c>
      <c r="DJ188" s="57"/>
      <c r="DK188" s="67"/>
      <c r="DL188" s="66">
        <f t="shared" si="2036"/>
        <v>0</v>
      </c>
      <c r="DM188" s="57"/>
      <c r="DN188" s="67"/>
      <c r="DO188" s="66">
        <f t="shared" si="2037"/>
        <v>0</v>
      </c>
      <c r="DP188" s="57"/>
      <c r="DQ188" s="67"/>
      <c r="DR188" s="66">
        <f t="shared" si="2038"/>
        <v>0</v>
      </c>
      <c r="DS188" s="57"/>
      <c r="DT188" s="67"/>
      <c r="DU188" s="66">
        <f t="shared" si="2039"/>
        <v>0</v>
      </c>
      <c r="DV188" s="57"/>
      <c r="DW188" s="67"/>
      <c r="DX188" s="66">
        <f t="shared" si="2040"/>
        <v>0</v>
      </c>
      <c r="DY188" s="57"/>
      <c r="DZ188" s="67"/>
      <c r="EA188" s="66">
        <f t="shared" si="2041"/>
        <v>0</v>
      </c>
      <c r="EB188" s="57"/>
      <c r="EC188" s="67"/>
      <c r="ED188" s="66">
        <f t="shared" si="2042"/>
        <v>0</v>
      </c>
      <c r="EE188" s="57"/>
      <c r="EF188" s="67"/>
      <c r="EG188" s="66">
        <f t="shared" si="2043"/>
        <v>0</v>
      </c>
      <c r="EH188" s="57"/>
      <c r="EI188" s="57"/>
    </row>
    <row r="189" spans="1:139">
      <c r="A189" s="711"/>
      <c r="B189" s="711"/>
      <c r="C189" s="805"/>
      <c r="D189" s="805"/>
      <c r="E189" s="805"/>
      <c r="F189" s="806">
        <f t="shared" si="2044"/>
        <v>4</v>
      </c>
      <c r="G189" s="806">
        <f ca="1">VLOOKUP(H189,Equipos!$Q$1:$R$25,2,0)</f>
        <v>20</v>
      </c>
      <c r="H189" s="807" t="str">
        <f>Idiomas!$D$260</f>
        <v>Dieciseisavos de final</v>
      </c>
      <c r="I189" s="800"/>
      <c r="J189" s="859"/>
      <c r="K189" s="49" t="str">
        <f>Idiomas!$D$199&amp;"-"&amp;ROWS($L$182:L189)</f>
        <v>Octavofinalista-8</v>
      </c>
      <c r="L189" s="46"/>
      <c r="M189" s="48" t="str">
        <f>WORLDCUP!AA127</f>
        <v>W85</v>
      </c>
      <c r="N189" s="711"/>
      <c r="O189" s="711"/>
      <c r="P189" s="711"/>
      <c r="Q189" s="711"/>
      <c r="R189" s="102"/>
      <c r="S189" s="67" t="s">
        <v>1553</v>
      </c>
      <c r="T189" s="66">
        <f t="shared" si="2004"/>
        <v>0</v>
      </c>
      <c r="U189" s="57"/>
      <c r="V189" s="67" t="s">
        <v>75</v>
      </c>
      <c r="W189" s="66">
        <f t="shared" si="2005"/>
        <v>0</v>
      </c>
      <c r="X189" s="57"/>
      <c r="Y189" s="67" t="s">
        <v>75</v>
      </c>
      <c r="Z189" s="66">
        <f t="shared" si="2006"/>
        <v>0</v>
      </c>
      <c r="AA189" s="57"/>
      <c r="AB189" s="67" t="s">
        <v>1545</v>
      </c>
      <c r="AC189" s="66">
        <f t="shared" si="2007"/>
        <v>0</v>
      </c>
      <c r="AD189" s="57"/>
      <c r="AE189" s="67" t="s">
        <v>1259</v>
      </c>
      <c r="AF189" s="66">
        <f t="shared" si="2008"/>
        <v>0</v>
      </c>
      <c r="AG189" s="57"/>
      <c r="AH189" s="67" t="s">
        <v>1259</v>
      </c>
      <c r="AI189" s="66">
        <f t="shared" si="2009"/>
        <v>0</v>
      </c>
      <c r="AJ189" s="57"/>
      <c r="AK189" s="67" t="s">
        <v>1259</v>
      </c>
      <c r="AL189" s="66">
        <f t="shared" si="2010"/>
        <v>0</v>
      </c>
      <c r="AM189" s="57"/>
      <c r="AN189" s="67" t="s">
        <v>75</v>
      </c>
      <c r="AO189" s="66">
        <f t="shared" si="2011"/>
        <v>0</v>
      </c>
      <c r="AP189" s="57"/>
      <c r="AQ189" s="67" t="s">
        <v>75</v>
      </c>
      <c r="AR189" s="66">
        <f t="shared" si="2012"/>
        <v>0</v>
      </c>
      <c r="AS189" s="57"/>
      <c r="AT189" s="67" t="s">
        <v>1835</v>
      </c>
      <c r="AU189" s="66">
        <f t="shared" si="2013"/>
        <v>0</v>
      </c>
      <c r="AV189" s="57"/>
      <c r="AW189" s="67" t="s">
        <v>1259</v>
      </c>
      <c r="AX189" s="66">
        <f t="shared" si="2014"/>
        <v>0</v>
      </c>
      <c r="AY189" s="57"/>
      <c r="AZ189" s="67" t="s">
        <v>75</v>
      </c>
      <c r="BA189" s="66">
        <f t="shared" si="2015"/>
        <v>0</v>
      </c>
      <c r="BB189" s="57"/>
      <c r="BC189" s="67" t="s">
        <v>1553</v>
      </c>
      <c r="BD189" s="66">
        <f t="shared" si="2016"/>
        <v>0</v>
      </c>
      <c r="BE189" s="57"/>
      <c r="BF189" s="67" t="s">
        <v>75</v>
      </c>
      <c r="BG189" s="66">
        <f t="shared" si="2017"/>
        <v>0</v>
      </c>
      <c r="BH189" s="57"/>
      <c r="BI189" s="67" t="s">
        <v>1259</v>
      </c>
      <c r="BJ189" s="66">
        <f t="shared" si="2018"/>
        <v>0</v>
      </c>
      <c r="BK189" s="57"/>
      <c r="BL189" s="67" t="s">
        <v>75</v>
      </c>
      <c r="BM189" s="66">
        <f t="shared" si="2019"/>
        <v>0</v>
      </c>
      <c r="BN189" s="57"/>
      <c r="BO189" s="67" t="s">
        <v>75</v>
      </c>
      <c r="BP189" s="66">
        <f t="shared" si="2020"/>
        <v>0</v>
      </c>
      <c r="BQ189" s="57"/>
      <c r="BR189" s="67" t="s">
        <v>75</v>
      </c>
      <c r="BS189" s="66">
        <f t="shared" si="2021"/>
        <v>0</v>
      </c>
      <c r="BT189" s="57"/>
      <c r="BU189" s="67"/>
      <c r="BV189" s="66">
        <f t="shared" si="2022"/>
        <v>0</v>
      </c>
      <c r="BW189" s="57"/>
      <c r="BX189" s="67"/>
      <c r="BY189" s="66">
        <f t="shared" si="2023"/>
        <v>0</v>
      </c>
      <c r="BZ189" s="57"/>
      <c r="CA189" s="67"/>
      <c r="CB189" s="66">
        <f t="shared" si="2024"/>
        <v>0</v>
      </c>
      <c r="CC189" s="57"/>
      <c r="CD189" s="67"/>
      <c r="CE189" s="66">
        <f t="shared" si="2025"/>
        <v>0</v>
      </c>
      <c r="CF189" s="57"/>
      <c r="CG189" s="67"/>
      <c r="CH189" s="66">
        <f t="shared" si="2026"/>
        <v>0</v>
      </c>
      <c r="CI189" s="57"/>
      <c r="CJ189" s="67"/>
      <c r="CK189" s="66">
        <f t="shared" si="2027"/>
        <v>0</v>
      </c>
      <c r="CL189" s="57"/>
      <c r="CM189" s="67"/>
      <c r="CN189" s="66">
        <f t="shared" si="2028"/>
        <v>0</v>
      </c>
      <c r="CO189" s="57"/>
      <c r="CP189" s="67"/>
      <c r="CQ189" s="66">
        <f t="shared" si="2029"/>
        <v>0</v>
      </c>
      <c r="CR189" s="57"/>
      <c r="CS189" s="67"/>
      <c r="CT189" s="66">
        <f t="shared" si="2030"/>
        <v>0</v>
      </c>
      <c r="CU189" s="57"/>
      <c r="CV189" s="67"/>
      <c r="CW189" s="66">
        <f t="shared" si="2031"/>
        <v>0</v>
      </c>
      <c r="CX189" s="57"/>
      <c r="CY189" s="67"/>
      <c r="CZ189" s="66">
        <f t="shared" si="2032"/>
        <v>0</v>
      </c>
      <c r="DA189" s="57"/>
      <c r="DB189" s="67"/>
      <c r="DC189" s="66">
        <f t="shared" si="2033"/>
        <v>0</v>
      </c>
      <c r="DD189" s="57"/>
      <c r="DE189" s="67"/>
      <c r="DF189" s="66">
        <f t="shared" si="2034"/>
        <v>0</v>
      </c>
      <c r="DG189" s="57"/>
      <c r="DH189" s="67"/>
      <c r="DI189" s="66">
        <f t="shared" si="2035"/>
        <v>0</v>
      </c>
      <c r="DJ189" s="57"/>
      <c r="DK189" s="67"/>
      <c r="DL189" s="66">
        <f t="shared" si="2036"/>
        <v>0</v>
      </c>
      <c r="DM189" s="57"/>
      <c r="DN189" s="67"/>
      <c r="DO189" s="66">
        <f t="shared" si="2037"/>
        <v>0</v>
      </c>
      <c r="DP189" s="57"/>
      <c r="DQ189" s="67"/>
      <c r="DR189" s="66">
        <f t="shared" si="2038"/>
        <v>0</v>
      </c>
      <c r="DS189" s="57"/>
      <c r="DT189" s="67"/>
      <c r="DU189" s="66">
        <f t="shared" si="2039"/>
        <v>0</v>
      </c>
      <c r="DV189" s="57"/>
      <c r="DW189" s="67"/>
      <c r="DX189" s="66">
        <f t="shared" si="2040"/>
        <v>0</v>
      </c>
      <c r="DY189" s="57"/>
      <c r="DZ189" s="67"/>
      <c r="EA189" s="66">
        <f t="shared" si="2041"/>
        <v>0</v>
      </c>
      <c r="EB189" s="57"/>
      <c r="EC189" s="67"/>
      <c r="ED189" s="66">
        <f t="shared" si="2042"/>
        <v>0</v>
      </c>
      <c r="EE189" s="57"/>
      <c r="EF189" s="67"/>
      <c r="EG189" s="66">
        <f t="shared" si="2043"/>
        <v>0</v>
      </c>
      <c r="EH189" s="57"/>
      <c r="EI189" s="57"/>
    </row>
    <row r="190" spans="1:139">
      <c r="A190" s="711"/>
      <c r="B190" s="711"/>
      <c r="C190" s="805"/>
      <c r="D190" s="805"/>
      <c r="E190" s="805"/>
      <c r="F190" s="806">
        <f t="shared" si="2044"/>
        <v>4</v>
      </c>
      <c r="G190" s="806">
        <f ca="1">VLOOKUP(H190,Equipos!$Q$1:$R$25,2,0)</f>
        <v>20</v>
      </c>
      <c r="H190" s="807" t="str">
        <f>Idiomas!$D$260</f>
        <v>Dieciseisavos de final</v>
      </c>
      <c r="I190" s="800"/>
      <c r="J190" s="859"/>
      <c r="K190" s="49" t="str">
        <f>Idiomas!$D$199&amp;"-"&amp;ROWS($L$182:L190)</f>
        <v>Octavofinalista-9</v>
      </c>
      <c r="L190" s="46"/>
      <c r="M190" s="48" t="str">
        <f>WORLDCUP!AF120</f>
        <v>W75</v>
      </c>
      <c r="N190" s="711"/>
      <c r="O190" s="711"/>
      <c r="P190" s="711"/>
      <c r="Q190" s="711"/>
      <c r="R190" s="102"/>
      <c r="S190" s="67" t="s">
        <v>1317</v>
      </c>
      <c r="T190" s="66">
        <f t="shared" si="2004"/>
        <v>0</v>
      </c>
      <c r="U190" s="57"/>
      <c r="V190" s="67" t="s">
        <v>1317</v>
      </c>
      <c r="W190" s="66">
        <f t="shared" si="2005"/>
        <v>0</v>
      </c>
      <c r="X190" s="57"/>
      <c r="Y190" s="67" t="s">
        <v>111</v>
      </c>
      <c r="Z190" s="66">
        <f t="shared" si="2006"/>
        <v>0</v>
      </c>
      <c r="AA190" s="57"/>
      <c r="AB190" s="67" t="s">
        <v>1258</v>
      </c>
      <c r="AC190" s="66">
        <f t="shared" si="2007"/>
        <v>0</v>
      </c>
      <c r="AD190" s="57"/>
      <c r="AE190" s="67" t="s">
        <v>111</v>
      </c>
      <c r="AF190" s="66">
        <f t="shared" si="2008"/>
        <v>0</v>
      </c>
      <c r="AG190" s="57"/>
      <c r="AH190" s="67" t="s">
        <v>1317</v>
      </c>
      <c r="AI190" s="66">
        <f t="shared" si="2009"/>
        <v>0</v>
      </c>
      <c r="AJ190" s="57"/>
      <c r="AK190" s="67" t="s">
        <v>111</v>
      </c>
      <c r="AL190" s="66">
        <f t="shared" si="2010"/>
        <v>0</v>
      </c>
      <c r="AM190" s="57"/>
      <c r="AN190" s="67" t="s">
        <v>111</v>
      </c>
      <c r="AO190" s="66">
        <f t="shared" si="2011"/>
        <v>0</v>
      </c>
      <c r="AP190" s="57"/>
      <c r="AQ190" s="67" t="s">
        <v>1258</v>
      </c>
      <c r="AR190" s="66">
        <f t="shared" si="2012"/>
        <v>0</v>
      </c>
      <c r="AS190" s="57"/>
      <c r="AT190" s="67" t="s">
        <v>1258</v>
      </c>
      <c r="AU190" s="66">
        <f t="shared" si="2013"/>
        <v>0</v>
      </c>
      <c r="AV190" s="57"/>
      <c r="AW190" s="67" t="s">
        <v>111</v>
      </c>
      <c r="AX190" s="66">
        <f t="shared" si="2014"/>
        <v>0</v>
      </c>
      <c r="AY190" s="57"/>
      <c r="AZ190" s="67" t="s">
        <v>111</v>
      </c>
      <c r="BA190" s="66">
        <f t="shared" si="2015"/>
        <v>0</v>
      </c>
      <c r="BB190" s="57"/>
      <c r="BC190" s="67" t="s">
        <v>111</v>
      </c>
      <c r="BD190" s="66">
        <f t="shared" si="2016"/>
        <v>0</v>
      </c>
      <c r="BE190" s="57"/>
      <c r="BF190" s="67" t="s">
        <v>1317</v>
      </c>
      <c r="BG190" s="66">
        <f t="shared" si="2017"/>
        <v>0</v>
      </c>
      <c r="BH190" s="57"/>
      <c r="BI190" s="67" t="s">
        <v>111</v>
      </c>
      <c r="BJ190" s="66">
        <f t="shared" si="2018"/>
        <v>0</v>
      </c>
      <c r="BK190" s="57"/>
      <c r="BL190" s="67" t="s">
        <v>111</v>
      </c>
      <c r="BM190" s="66">
        <f t="shared" si="2019"/>
        <v>0</v>
      </c>
      <c r="BN190" s="57"/>
      <c r="BO190" s="67" t="s">
        <v>1317</v>
      </c>
      <c r="BP190" s="66">
        <f t="shared" si="2020"/>
        <v>0</v>
      </c>
      <c r="BQ190" s="57"/>
      <c r="BR190" s="67" t="s">
        <v>111</v>
      </c>
      <c r="BS190" s="66">
        <f t="shared" si="2021"/>
        <v>0</v>
      </c>
      <c r="BT190" s="57"/>
      <c r="BU190" s="67"/>
      <c r="BV190" s="66">
        <f t="shared" si="2022"/>
        <v>0</v>
      </c>
      <c r="BW190" s="57"/>
      <c r="BX190" s="67"/>
      <c r="BY190" s="66">
        <f t="shared" si="2023"/>
        <v>0</v>
      </c>
      <c r="BZ190" s="57"/>
      <c r="CA190" s="67"/>
      <c r="CB190" s="66">
        <f t="shared" si="2024"/>
        <v>0</v>
      </c>
      <c r="CC190" s="57"/>
      <c r="CD190" s="67"/>
      <c r="CE190" s="66">
        <f t="shared" si="2025"/>
        <v>0</v>
      </c>
      <c r="CF190" s="57"/>
      <c r="CG190" s="67"/>
      <c r="CH190" s="66">
        <f t="shared" si="2026"/>
        <v>0</v>
      </c>
      <c r="CI190" s="57"/>
      <c r="CJ190" s="67"/>
      <c r="CK190" s="66">
        <f t="shared" si="2027"/>
        <v>0</v>
      </c>
      <c r="CL190" s="57"/>
      <c r="CM190" s="67"/>
      <c r="CN190" s="66">
        <f t="shared" si="2028"/>
        <v>0</v>
      </c>
      <c r="CO190" s="57"/>
      <c r="CP190" s="67"/>
      <c r="CQ190" s="66">
        <f t="shared" si="2029"/>
        <v>0</v>
      </c>
      <c r="CR190" s="57"/>
      <c r="CS190" s="67"/>
      <c r="CT190" s="66">
        <f t="shared" si="2030"/>
        <v>0</v>
      </c>
      <c r="CU190" s="57"/>
      <c r="CV190" s="67"/>
      <c r="CW190" s="66">
        <f t="shared" si="2031"/>
        <v>0</v>
      </c>
      <c r="CX190" s="57"/>
      <c r="CY190" s="67"/>
      <c r="CZ190" s="66">
        <f t="shared" si="2032"/>
        <v>0</v>
      </c>
      <c r="DA190" s="57"/>
      <c r="DB190" s="67"/>
      <c r="DC190" s="66">
        <f t="shared" si="2033"/>
        <v>0</v>
      </c>
      <c r="DD190" s="57"/>
      <c r="DE190" s="67"/>
      <c r="DF190" s="66">
        <f t="shared" si="2034"/>
        <v>0</v>
      </c>
      <c r="DG190" s="57"/>
      <c r="DH190" s="67"/>
      <c r="DI190" s="66">
        <f t="shared" si="2035"/>
        <v>0</v>
      </c>
      <c r="DJ190" s="57"/>
      <c r="DK190" s="67"/>
      <c r="DL190" s="66">
        <f t="shared" si="2036"/>
        <v>0</v>
      </c>
      <c r="DM190" s="57"/>
      <c r="DN190" s="67"/>
      <c r="DO190" s="66">
        <f t="shared" si="2037"/>
        <v>0</v>
      </c>
      <c r="DP190" s="57"/>
      <c r="DQ190" s="67"/>
      <c r="DR190" s="66">
        <f t="shared" si="2038"/>
        <v>0</v>
      </c>
      <c r="DS190" s="57"/>
      <c r="DT190" s="67"/>
      <c r="DU190" s="66">
        <f t="shared" si="2039"/>
        <v>0</v>
      </c>
      <c r="DV190" s="57"/>
      <c r="DW190" s="67"/>
      <c r="DX190" s="66">
        <f t="shared" si="2040"/>
        <v>0</v>
      </c>
      <c r="DY190" s="57"/>
      <c r="DZ190" s="67"/>
      <c r="EA190" s="66">
        <f t="shared" si="2041"/>
        <v>0</v>
      </c>
      <c r="EB190" s="57"/>
      <c r="EC190" s="67"/>
      <c r="ED190" s="66">
        <f t="shared" si="2042"/>
        <v>0</v>
      </c>
      <c r="EE190" s="57"/>
      <c r="EF190" s="67"/>
      <c r="EG190" s="66">
        <f t="shared" si="2043"/>
        <v>0</v>
      </c>
      <c r="EH190" s="57"/>
      <c r="EI190" s="57"/>
    </row>
    <row r="191" spans="1:139">
      <c r="A191" s="711"/>
      <c r="B191" s="711"/>
      <c r="C191" s="805"/>
      <c r="D191" s="805"/>
      <c r="E191" s="805"/>
      <c r="F191" s="806">
        <f t="shared" si="2044"/>
        <v>4</v>
      </c>
      <c r="G191" s="806">
        <f ca="1">VLOOKUP(H191,Equipos!$Q$1:$R$25,2,0)</f>
        <v>20</v>
      </c>
      <c r="H191" s="807" t="str">
        <f>Idiomas!$D$260</f>
        <v>Dieciseisavos de final</v>
      </c>
      <c r="I191" s="800"/>
      <c r="J191" s="859"/>
      <c r="K191" s="49" t="str">
        <f>Idiomas!$D$199&amp;"-"&amp;ROWS($L$182:L191)</f>
        <v>Octavofinalista-10</v>
      </c>
      <c r="L191" s="46"/>
      <c r="M191" s="48" t="str">
        <f>WORLDCUP!AF121</f>
        <v>W77</v>
      </c>
      <c r="N191" s="711"/>
      <c r="O191" s="711"/>
      <c r="P191" s="711"/>
      <c r="Q191" s="711"/>
      <c r="R191" s="102"/>
      <c r="S191" s="67" t="s">
        <v>74</v>
      </c>
      <c r="T191" s="66">
        <f t="shared" si="2004"/>
        <v>0</v>
      </c>
      <c r="U191" s="57"/>
      <c r="V191" s="67" t="s">
        <v>74</v>
      </c>
      <c r="W191" s="66">
        <f t="shared" si="2005"/>
        <v>0</v>
      </c>
      <c r="X191" s="57"/>
      <c r="Y191" s="67" t="s">
        <v>74</v>
      </c>
      <c r="Z191" s="66">
        <f t="shared" si="2006"/>
        <v>0</v>
      </c>
      <c r="AA191" s="57"/>
      <c r="AB191" s="67" t="s">
        <v>74</v>
      </c>
      <c r="AC191" s="66">
        <f t="shared" si="2007"/>
        <v>0</v>
      </c>
      <c r="AD191" s="57"/>
      <c r="AE191" s="67" t="s">
        <v>74</v>
      </c>
      <c r="AF191" s="66">
        <f t="shared" si="2008"/>
        <v>0</v>
      </c>
      <c r="AG191" s="57"/>
      <c r="AH191" s="67" t="s">
        <v>74</v>
      </c>
      <c r="AI191" s="66">
        <f t="shared" si="2009"/>
        <v>0</v>
      </c>
      <c r="AJ191" s="57"/>
      <c r="AK191" s="67" t="s">
        <v>74</v>
      </c>
      <c r="AL191" s="66">
        <f t="shared" si="2010"/>
        <v>0</v>
      </c>
      <c r="AM191" s="57"/>
      <c r="AN191" s="67" t="s">
        <v>74</v>
      </c>
      <c r="AO191" s="66">
        <f t="shared" si="2011"/>
        <v>0</v>
      </c>
      <c r="AP191" s="57"/>
      <c r="AQ191" s="67" t="s">
        <v>1629</v>
      </c>
      <c r="AR191" s="66">
        <f t="shared" si="2012"/>
        <v>0</v>
      </c>
      <c r="AS191" s="57"/>
      <c r="AT191" s="67" t="s">
        <v>74</v>
      </c>
      <c r="AU191" s="66">
        <f t="shared" si="2013"/>
        <v>0</v>
      </c>
      <c r="AV191" s="57"/>
      <c r="AW191" s="67" t="s">
        <v>74</v>
      </c>
      <c r="AX191" s="66">
        <f t="shared" si="2014"/>
        <v>0</v>
      </c>
      <c r="AY191" s="57"/>
      <c r="AZ191" s="67" t="s">
        <v>74</v>
      </c>
      <c r="BA191" s="66">
        <f t="shared" si="2015"/>
        <v>0</v>
      </c>
      <c r="BB191" s="57"/>
      <c r="BC191" s="67" t="s">
        <v>74</v>
      </c>
      <c r="BD191" s="66">
        <f t="shared" si="2016"/>
        <v>0</v>
      </c>
      <c r="BE191" s="57"/>
      <c r="BF191" s="67" t="s">
        <v>74</v>
      </c>
      <c r="BG191" s="66">
        <f t="shared" si="2017"/>
        <v>0</v>
      </c>
      <c r="BH191" s="57"/>
      <c r="BI191" s="67" t="s">
        <v>74</v>
      </c>
      <c r="BJ191" s="66">
        <f t="shared" si="2018"/>
        <v>0</v>
      </c>
      <c r="BK191" s="57"/>
      <c r="BL191" s="67" t="s">
        <v>74</v>
      </c>
      <c r="BM191" s="66">
        <f t="shared" si="2019"/>
        <v>0</v>
      </c>
      <c r="BN191" s="57"/>
      <c r="BO191" s="67" t="s">
        <v>74</v>
      </c>
      <c r="BP191" s="66">
        <f t="shared" si="2020"/>
        <v>0</v>
      </c>
      <c r="BQ191" s="57"/>
      <c r="BR191" s="67" t="s">
        <v>74</v>
      </c>
      <c r="BS191" s="66">
        <f t="shared" si="2021"/>
        <v>0</v>
      </c>
      <c r="BT191" s="57"/>
      <c r="BU191" s="67"/>
      <c r="BV191" s="66">
        <f t="shared" si="2022"/>
        <v>0</v>
      </c>
      <c r="BW191" s="57"/>
      <c r="BX191" s="67"/>
      <c r="BY191" s="66">
        <f t="shared" si="2023"/>
        <v>0</v>
      </c>
      <c r="BZ191" s="57"/>
      <c r="CA191" s="67"/>
      <c r="CB191" s="66">
        <f t="shared" si="2024"/>
        <v>0</v>
      </c>
      <c r="CC191" s="57"/>
      <c r="CD191" s="67"/>
      <c r="CE191" s="66">
        <f t="shared" si="2025"/>
        <v>0</v>
      </c>
      <c r="CF191" s="57"/>
      <c r="CG191" s="67"/>
      <c r="CH191" s="66">
        <f t="shared" si="2026"/>
        <v>0</v>
      </c>
      <c r="CI191" s="57"/>
      <c r="CJ191" s="67"/>
      <c r="CK191" s="66">
        <f t="shared" si="2027"/>
        <v>0</v>
      </c>
      <c r="CL191" s="57"/>
      <c r="CM191" s="67"/>
      <c r="CN191" s="66">
        <f t="shared" si="2028"/>
        <v>0</v>
      </c>
      <c r="CO191" s="57"/>
      <c r="CP191" s="67"/>
      <c r="CQ191" s="66">
        <f t="shared" si="2029"/>
        <v>0</v>
      </c>
      <c r="CR191" s="57"/>
      <c r="CS191" s="67"/>
      <c r="CT191" s="66">
        <f t="shared" si="2030"/>
        <v>0</v>
      </c>
      <c r="CU191" s="57"/>
      <c r="CV191" s="67"/>
      <c r="CW191" s="66">
        <f t="shared" si="2031"/>
        <v>0</v>
      </c>
      <c r="CX191" s="57"/>
      <c r="CY191" s="67"/>
      <c r="CZ191" s="66">
        <f t="shared" si="2032"/>
        <v>0</v>
      </c>
      <c r="DA191" s="57"/>
      <c r="DB191" s="67"/>
      <c r="DC191" s="66">
        <f t="shared" si="2033"/>
        <v>0</v>
      </c>
      <c r="DD191" s="57"/>
      <c r="DE191" s="67"/>
      <c r="DF191" s="66">
        <f t="shared" si="2034"/>
        <v>0</v>
      </c>
      <c r="DG191" s="57"/>
      <c r="DH191" s="67"/>
      <c r="DI191" s="66">
        <f t="shared" si="2035"/>
        <v>0</v>
      </c>
      <c r="DJ191" s="57"/>
      <c r="DK191" s="67"/>
      <c r="DL191" s="66">
        <f t="shared" si="2036"/>
        <v>0</v>
      </c>
      <c r="DM191" s="57"/>
      <c r="DN191" s="67"/>
      <c r="DO191" s="66">
        <f t="shared" si="2037"/>
        <v>0</v>
      </c>
      <c r="DP191" s="57"/>
      <c r="DQ191" s="67"/>
      <c r="DR191" s="66">
        <f t="shared" si="2038"/>
        <v>0</v>
      </c>
      <c r="DS191" s="57"/>
      <c r="DT191" s="67"/>
      <c r="DU191" s="66">
        <f t="shared" si="2039"/>
        <v>0</v>
      </c>
      <c r="DV191" s="57"/>
      <c r="DW191" s="67"/>
      <c r="DX191" s="66">
        <f t="shared" si="2040"/>
        <v>0</v>
      </c>
      <c r="DY191" s="57"/>
      <c r="DZ191" s="67"/>
      <c r="EA191" s="66">
        <f t="shared" si="2041"/>
        <v>0</v>
      </c>
      <c r="EB191" s="57"/>
      <c r="EC191" s="67"/>
      <c r="ED191" s="66">
        <f t="shared" si="2042"/>
        <v>0</v>
      </c>
      <c r="EE191" s="57"/>
      <c r="EF191" s="67"/>
      <c r="EG191" s="66">
        <f t="shared" si="2043"/>
        <v>0</v>
      </c>
      <c r="EH191" s="57"/>
      <c r="EI191" s="57"/>
    </row>
    <row r="192" spans="1:139">
      <c r="A192" s="711"/>
      <c r="B192" s="711"/>
      <c r="C192" s="805"/>
      <c r="D192" s="805"/>
      <c r="E192" s="805"/>
      <c r="F192" s="806">
        <f t="shared" si="2044"/>
        <v>4</v>
      </c>
      <c r="G192" s="806">
        <f ca="1">VLOOKUP(H192,Equipos!$Q$1:$R$25,2,0)</f>
        <v>20</v>
      </c>
      <c r="H192" s="807" t="str">
        <f>Idiomas!$D$260</f>
        <v>Dieciseisavos de final</v>
      </c>
      <c r="I192" s="800"/>
      <c r="J192" s="859"/>
      <c r="K192" s="49" t="str">
        <f>Idiomas!$D$199&amp;"-"&amp;ROWS($L$182:L192)</f>
        <v>Octavofinalista-11</v>
      </c>
      <c r="L192" s="46"/>
      <c r="M192" s="48" t="str">
        <f>WORLDCUP!AF122</f>
        <v>W78</v>
      </c>
      <c r="N192" s="711"/>
      <c r="O192" s="711"/>
      <c r="P192" s="711"/>
      <c r="Q192" s="711"/>
      <c r="R192" s="102"/>
      <c r="S192" s="67" t="s">
        <v>1629</v>
      </c>
      <c r="T192" s="66">
        <f t="shared" si="2004"/>
        <v>0</v>
      </c>
      <c r="U192" s="57"/>
      <c r="V192" s="67" t="s">
        <v>1261</v>
      </c>
      <c r="W192" s="66">
        <f t="shared" si="2005"/>
        <v>0</v>
      </c>
      <c r="X192" s="57"/>
      <c r="Y192" s="67" t="s">
        <v>1629</v>
      </c>
      <c r="Z192" s="66">
        <f t="shared" si="2006"/>
        <v>0</v>
      </c>
      <c r="AA192" s="57"/>
      <c r="AB192" s="67" t="s">
        <v>135</v>
      </c>
      <c r="AC192" s="66">
        <f t="shared" si="2007"/>
        <v>0</v>
      </c>
      <c r="AD192" s="57"/>
      <c r="AE192" s="67" t="s">
        <v>135</v>
      </c>
      <c r="AF192" s="66">
        <f t="shared" si="2008"/>
        <v>0</v>
      </c>
      <c r="AG192" s="57"/>
      <c r="AH192" s="67" t="s">
        <v>135</v>
      </c>
      <c r="AI192" s="66">
        <f t="shared" si="2009"/>
        <v>0</v>
      </c>
      <c r="AJ192" s="57"/>
      <c r="AK192" s="67" t="s">
        <v>1629</v>
      </c>
      <c r="AL192" s="66">
        <f t="shared" si="2010"/>
        <v>0</v>
      </c>
      <c r="AM192" s="57"/>
      <c r="AN192" s="67" t="s">
        <v>135</v>
      </c>
      <c r="AO192" s="66">
        <f t="shared" si="2011"/>
        <v>0</v>
      </c>
      <c r="AP192" s="57"/>
      <c r="AQ192" s="67" t="s">
        <v>74</v>
      </c>
      <c r="AR192" s="66">
        <f t="shared" si="2012"/>
        <v>0</v>
      </c>
      <c r="AS192" s="57"/>
      <c r="AT192" s="67" t="s">
        <v>1261</v>
      </c>
      <c r="AU192" s="66">
        <f t="shared" si="2013"/>
        <v>0</v>
      </c>
      <c r="AV192" s="57"/>
      <c r="AW192" s="67" t="s">
        <v>135</v>
      </c>
      <c r="AX192" s="66">
        <f t="shared" si="2014"/>
        <v>0</v>
      </c>
      <c r="AY192" s="57"/>
      <c r="AZ192" s="67" t="s">
        <v>135</v>
      </c>
      <c r="BA192" s="66">
        <f t="shared" si="2015"/>
        <v>0</v>
      </c>
      <c r="BB192" s="57"/>
      <c r="BC192" s="67" t="s">
        <v>135</v>
      </c>
      <c r="BD192" s="66">
        <f t="shared" si="2016"/>
        <v>0</v>
      </c>
      <c r="BE192" s="57"/>
      <c r="BF192" s="67" t="s">
        <v>135</v>
      </c>
      <c r="BG192" s="66">
        <f t="shared" si="2017"/>
        <v>0</v>
      </c>
      <c r="BH192" s="57"/>
      <c r="BI192" s="67" t="s">
        <v>135</v>
      </c>
      <c r="BJ192" s="66">
        <f t="shared" si="2018"/>
        <v>0</v>
      </c>
      <c r="BK192" s="57"/>
      <c r="BL192" s="67" t="s">
        <v>135</v>
      </c>
      <c r="BM192" s="66">
        <f t="shared" si="2019"/>
        <v>0</v>
      </c>
      <c r="BN192" s="57"/>
      <c r="BO192" s="67" t="s">
        <v>1629</v>
      </c>
      <c r="BP192" s="66">
        <f t="shared" si="2020"/>
        <v>0</v>
      </c>
      <c r="BQ192" s="57"/>
      <c r="BR192" s="67" t="s">
        <v>1261</v>
      </c>
      <c r="BS192" s="66">
        <f t="shared" si="2021"/>
        <v>0</v>
      </c>
      <c r="BT192" s="57"/>
      <c r="BU192" s="67"/>
      <c r="BV192" s="66">
        <f t="shared" si="2022"/>
        <v>0</v>
      </c>
      <c r="BW192" s="57"/>
      <c r="BX192" s="67"/>
      <c r="BY192" s="66">
        <f t="shared" si="2023"/>
        <v>0</v>
      </c>
      <c r="BZ192" s="57"/>
      <c r="CA192" s="67"/>
      <c r="CB192" s="66">
        <f t="shared" si="2024"/>
        <v>0</v>
      </c>
      <c r="CC192" s="57"/>
      <c r="CD192" s="67"/>
      <c r="CE192" s="66">
        <f t="shared" si="2025"/>
        <v>0</v>
      </c>
      <c r="CF192" s="57"/>
      <c r="CG192" s="67"/>
      <c r="CH192" s="66">
        <f t="shared" si="2026"/>
        <v>0</v>
      </c>
      <c r="CI192" s="57"/>
      <c r="CJ192" s="67"/>
      <c r="CK192" s="66">
        <f t="shared" si="2027"/>
        <v>0</v>
      </c>
      <c r="CL192" s="57"/>
      <c r="CM192" s="67"/>
      <c r="CN192" s="66">
        <f t="shared" si="2028"/>
        <v>0</v>
      </c>
      <c r="CO192" s="57"/>
      <c r="CP192" s="67"/>
      <c r="CQ192" s="66">
        <f t="shared" si="2029"/>
        <v>0</v>
      </c>
      <c r="CR192" s="57"/>
      <c r="CS192" s="67"/>
      <c r="CT192" s="66">
        <f t="shared" si="2030"/>
        <v>0</v>
      </c>
      <c r="CU192" s="57"/>
      <c r="CV192" s="67"/>
      <c r="CW192" s="66">
        <f t="shared" si="2031"/>
        <v>0</v>
      </c>
      <c r="CX192" s="57"/>
      <c r="CY192" s="67"/>
      <c r="CZ192" s="66">
        <f t="shared" si="2032"/>
        <v>0</v>
      </c>
      <c r="DA192" s="57"/>
      <c r="DB192" s="67"/>
      <c r="DC192" s="66">
        <f t="shared" si="2033"/>
        <v>0</v>
      </c>
      <c r="DD192" s="57"/>
      <c r="DE192" s="67"/>
      <c r="DF192" s="66">
        <f t="shared" si="2034"/>
        <v>0</v>
      </c>
      <c r="DG192" s="57"/>
      <c r="DH192" s="67"/>
      <c r="DI192" s="66">
        <f t="shared" si="2035"/>
        <v>0</v>
      </c>
      <c r="DJ192" s="57"/>
      <c r="DK192" s="67"/>
      <c r="DL192" s="66">
        <f t="shared" si="2036"/>
        <v>0</v>
      </c>
      <c r="DM192" s="57"/>
      <c r="DN192" s="67"/>
      <c r="DO192" s="66">
        <f t="shared" si="2037"/>
        <v>0</v>
      </c>
      <c r="DP192" s="57"/>
      <c r="DQ192" s="67"/>
      <c r="DR192" s="66">
        <f t="shared" si="2038"/>
        <v>0</v>
      </c>
      <c r="DS192" s="57"/>
      <c r="DT192" s="67"/>
      <c r="DU192" s="66">
        <f t="shared" si="2039"/>
        <v>0</v>
      </c>
      <c r="DV192" s="57"/>
      <c r="DW192" s="67"/>
      <c r="DX192" s="66">
        <f t="shared" si="2040"/>
        <v>0</v>
      </c>
      <c r="DY192" s="57"/>
      <c r="DZ192" s="67"/>
      <c r="EA192" s="66">
        <f t="shared" si="2041"/>
        <v>0</v>
      </c>
      <c r="EB192" s="57"/>
      <c r="EC192" s="67"/>
      <c r="ED192" s="66">
        <f t="shared" si="2042"/>
        <v>0</v>
      </c>
      <c r="EE192" s="57"/>
      <c r="EF192" s="67"/>
      <c r="EG192" s="66">
        <f t="shared" si="2043"/>
        <v>0</v>
      </c>
      <c r="EH192" s="57"/>
      <c r="EI192" s="57"/>
    </row>
    <row r="193" spans="1:139">
      <c r="A193" s="711"/>
      <c r="B193" s="711"/>
      <c r="C193" s="805"/>
      <c r="D193" s="805"/>
      <c r="E193" s="805"/>
      <c r="F193" s="806">
        <f t="shared" si="2044"/>
        <v>4</v>
      </c>
      <c r="G193" s="806">
        <f ca="1">VLOOKUP(H193,Equipos!$Q$1:$R$25,2,0)</f>
        <v>20</v>
      </c>
      <c r="H193" s="807" t="str">
        <f>Idiomas!$D$260</f>
        <v>Dieciseisavos de final</v>
      </c>
      <c r="I193" s="800"/>
      <c r="J193" s="859"/>
      <c r="K193" s="49" t="str">
        <f>Idiomas!$D$199&amp;"-"&amp;ROWS($L$182:L193)</f>
        <v>Octavofinalista-12</v>
      </c>
      <c r="L193" s="46"/>
      <c r="M193" s="48" t="str">
        <f>WORLDCUP!AF123</f>
        <v>W80</v>
      </c>
      <c r="N193" s="711"/>
      <c r="O193" s="711"/>
      <c r="P193" s="711"/>
      <c r="Q193" s="711"/>
      <c r="R193" s="102"/>
      <c r="S193" s="67" t="s">
        <v>76</v>
      </c>
      <c r="T193" s="66">
        <f t="shared" si="2004"/>
        <v>0</v>
      </c>
      <c r="U193" s="57"/>
      <c r="V193" s="67" t="s">
        <v>76</v>
      </c>
      <c r="W193" s="66">
        <f t="shared" si="2005"/>
        <v>0</v>
      </c>
      <c r="X193" s="57"/>
      <c r="Y193" s="67" t="s">
        <v>76</v>
      </c>
      <c r="Z193" s="66">
        <f t="shared" si="2006"/>
        <v>0</v>
      </c>
      <c r="AA193" s="57"/>
      <c r="AB193" s="67" t="s">
        <v>78</v>
      </c>
      <c r="AC193" s="66">
        <f t="shared" si="2007"/>
        <v>0</v>
      </c>
      <c r="AD193" s="57"/>
      <c r="AE193" s="67" t="s">
        <v>76</v>
      </c>
      <c r="AF193" s="66">
        <f t="shared" si="2008"/>
        <v>0</v>
      </c>
      <c r="AG193" s="57"/>
      <c r="AH193" s="67" t="s">
        <v>76</v>
      </c>
      <c r="AI193" s="66">
        <f t="shared" si="2009"/>
        <v>0</v>
      </c>
      <c r="AJ193" s="57"/>
      <c r="AK193" s="67" t="s">
        <v>76</v>
      </c>
      <c r="AL193" s="66">
        <f t="shared" si="2010"/>
        <v>0</v>
      </c>
      <c r="AM193" s="57"/>
      <c r="AN193" s="67" t="s">
        <v>76</v>
      </c>
      <c r="AO193" s="66">
        <f t="shared" si="2011"/>
        <v>0</v>
      </c>
      <c r="AP193" s="57"/>
      <c r="AQ193" s="67" t="s">
        <v>76</v>
      </c>
      <c r="AR193" s="66">
        <f t="shared" si="2012"/>
        <v>0</v>
      </c>
      <c r="AS193" s="57"/>
      <c r="AT193" s="67" t="s">
        <v>76</v>
      </c>
      <c r="AU193" s="66">
        <f t="shared" si="2013"/>
        <v>0</v>
      </c>
      <c r="AV193" s="57"/>
      <c r="AW193" s="67" t="s">
        <v>76</v>
      </c>
      <c r="AX193" s="66">
        <f t="shared" si="2014"/>
        <v>0</v>
      </c>
      <c r="AY193" s="57"/>
      <c r="AZ193" s="67" t="s">
        <v>76</v>
      </c>
      <c r="BA193" s="66">
        <f t="shared" si="2015"/>
        <v>0</v>
      </c>
      <c r="BB193" s="57"/>
      <c r="BC193" s="67" t="s">
        <v>1546</v>
      </c>
      <c r="BD193" s="66">
        <f t="shared" si="2016"/>
        <v>0</v>
      </c>
      <c r="BE193" s="57"/>
      <c r="BF193" s="67" t="s">
        <v>76</v>
      </c>
      <c r="BG193" s="66">
        <f t="shared" si="2017"/>
        <v>0</v>
      </c>
      <c r="BH193" s="57"/>
      <c r="BI193" s="67" t="s">
        <v>76</v>
      </c>
      <c r="BJ193" s="66">
        <f t="shared" si="2018"/>
        <v>0</v>
      </c>
      <c r="BK193" s="57"/>
      <c r="BL193" s="67" t="s">
        <v>76</v>
      </c>
      <c r="BM193" s="66">
        <f t="shared" si="2019"/>
        <v>0</v>
      </c>
      <c r="BN193" s="57"/>
      <c r="BO193" s="67" t="s">
        <v>76</v>
      </c>
      <c r="BP193" s="66">
        <f t="shared" si="2020"/>
        <v>0</v>
      </c>
      <c r="BQ193" s="57"/>
      <c r="BR193" s="67" t="s">
        <v>76</v>
      </c>
      <c r="BS193" s="66">
        <f t="shared" si="2021"/>
        <v>0</v>
      </c>
      <c r="BT193" s="57"/>
      <c r="BU193" s="67"/>
      <c r="BV193" s="66">
        <f t="shared" si="2022"/>
        <v>0</v>
      </c>
      <c r="BW193" s="57"/>
      <c r="BX193" s="67"/>
      <c r="BY193" s="66">
        <f t="shared" si="2023"/>
        <v>0</v>
      </c>
      <c r="BZ193" s="57"/>
      <c r="CA193" s="67"/>
      <c r="CB193" s="66">
        <f t="shared" si="2024"/>
        <v>0</v>
      </c>
      <c r="CC193" s="57"/>
      <c r="CD193" s="67"/>
      <c r="CE193" s="66">
        <f t="shared" si="2025"/>
        <v>0</v>
      </c>
      <c r="CF193" s="57"/>
      <c r="CG193" s="67"/>
      <c r="CH193" s="66">
        <f t="shared" si="2026"/>
        <v>0</v>
      </c>
      <c r="CI193" s="57"/>
      <c r="CJ193" s="67"/>
      <c r="CK193" s="66">
        <f t="shared" si="2027"/>
        <v>0</v>
      </c>
      <c r="CL193" s="57"/>
      <c r="CM193" s="67"/>
      <c r="CN193" s="66">
        <f t="shared" si="2028"/>
        <v>0</v>
      </c>
      <c r="CO193" s="57"/>
      <c r="CP193" s="67"/>
      <c r="CQ193" s="66">
        <f t="shared" si="2029"/>
        <v>0</v>
      </c>
      <c r="CR193" s="57"/>
      <c r="CS193" s="67"/>
      <c r="CT193" s="66">
        <f t="shared" si="2030"/>
        <v>0</v>
      </c>
      <c r="CU193" s="57"/>
      <c r="CV193" s="67"/>
      <c r="CW193" s="66">
        <f t="shared" si="2031"/>
        <v>0</v>
      </c>
      <c r="CX193" s="57"/>
      <c r="CY193" s="67"/>
      <c r="CZ193" s="66">
        <f t="shared" si="2032"/>
        <v>0</v>
      </c>
      <c r="DA193" s="57"/>
      <c r="DB193" s="67"/>
      <c r="DC193" s="66">
        <f t="shared" si="2033"/>
        <v>0</v>
      </c>
      <c r="DD193" s="57"/>
      <c r="DE193" s="67"/>
      <c r="DF193" s="66">
        <f t="shared" si="2034"/>
        <v>0</v>
      </c>
      <c r="DG193" s="57"/>
      <c r="DH193" s="67"/>
      <c r="DI193" s="66">
        <f t="shared" si="2035"/>
        <v>0</v>
      </c>
      <c r="DJ193" s="57"/>
      <c r="DK193" s="67"/>
      <c r="DL193" s="66">
        <f t="shared" si="2036"/>
        <v>0</v>
      </c>
      <c r="DM193" s="57"/>
      <c r="DN193" s="67"/>
      <c r="DO193" s="66">
        <f t="shared" si="2037"/>
        <v>0</v>
      </c>
      <c r="DP193" s="57"/>
      <c r="DQ193" s="67"/>
      <c r="DR193" s="66">
        <f t="shared" si="2038"/>
        <v>0</v>
      </c>
      <c r="DS193" s="57"/>
      <c r="DT193" s="67"/>
      <c r="DU193" s="66">
        <f t="shared" si="2039"/>
        <v>0</v>
      </c>
      <c r="DV193" s="57"/>
      <c r="DW193" s="67"/>
      <c r="DX193" s="66">
        <f t="shared" si="2040"/>
        <v>0</v>
      </c>
      <c r="DY193" s="57"/>
      <c r="DZ193" s="67"/>
      <c r="EA193" s="66">
        <f t="shared" si="2041"/>
        <v>0</v>
      </c>
      <c r="EB193" s="57"/>
      <c r="EC193" s="67"/>
      <c r="ED193" s="66">
        <f t="shared" si="2042"/>
        <v>0</v>
      </c>
      <c r="EE193" s="57"/>
      <c r="EF193" s="67"/>
      <c r="EG193" s="66">
        <f t="shared" si="2043"/>
        <v>0</v>
      </c>
      <c r="EH193" s="57"/>
      <c r="EI193" s="57"/>
    </row>
    <row r="194" spans="1:139">
      <c r="A194" s="711"/>
      <c r="B194" s="711"/>
      <c r="C194" s="805"/>
      <c r="D194" s="805"/>
      <c r="E194" s="805"/>
      <c r="F194" s="806">
        <f t="shared" si="2044"/>
        <v>4</v>
      </c>
      <c r="G194" s="806">
        <f ca="1">VLOOKUP(H194,Equipos!$Q$1:$R$25,2,0)</f>
        <v>20</v>
      </c>
      <c r="H194" s="807" t="str">
        <f>Idiomas!$D$260</f>
        <v>Dieciseisavos de final</v>
      </c>
      <c r="I194" s="800"/>
      <c r="J194" s="859"/>
      <c r="K194" s="49" t="str">
        <f>Idiomas!$D$199&amp;"-"&amp;ROWS($L$182:L194)</f>
        <v>Octavofinalista-13</v>
      </c>
      <c r="L194" s="46"/>
      <c r="M194" s="48" t="str">
        <f>WORLDCUP!AF124</f>
        <v>W84</v>
      </c>
      <c r="N194" s="711"/>
      <c r="O194" s="711"/>
      <c r="P194" s="711"/>
      <c r="Q194" s="711"/>
      <c r="R194" s="102"/>
      <c r="S194" s="67" t="s">
        <v>38</v>
      </c>
      <c r="T194" s="66">
        <f t="shared" si="2004"/>
        <v>0</v>
      </c>
      <c r="U194" s="57"/>
      <c r="V194" s="67" t="s">
        <v>38</v>
      </c>
      <c r="W194" s="66">
        <f t="shared" si="2005"/>
        <v>0</v>
      </c>
      <c r="X194" s="57"/>
      <c r="Y194" s="67" t="s">
        <v>38</v>
      </c>
      <c r="Z194" s="66">
        <f t="shared" si="2006"/>
        <v>0</v>
      </c>
      <c r="AA194" s="57"/>
      <c r="AB194" s="67" t="s">
        <v>38</v>
      </c>
      <c r="AC194" s="66">
        <f t="shared" si="2007"/>
        <v>0</v>
      </c>
      <c r="AD194" s="57"/>
      <c r="AE194" s="67" t="s">
        <v>38</v>
      </c>
      <c r="AF194" s="66">
        <f t="shared" si="2008"/>
        <v>0</v>
      </c>
      <c r="AG194" s="57"/>
      <c r="AH194" s="67" t="s">
        <v>38</v>
      </c>
      <c r="AI194" s="66">
        <f t="shared" si="2009"/>
        <v>0</v>
      </c>
      <c r="AJ194" s="57"/>
      <c r="AK194" s="67" t="s">
        <v>38</v>
      </c>
      <c r="AL194" s="66">
        <f t="shared" si="2010"/>
        <v>0</v>
      </c>
      <c r="AM194" s="57"/>
      <c r="AN194" s="67" t="s">
        <v>38</v>
      </c>
      <c r="AO194" s="66">
        <f t="shared" si="2011"/>
        <v>0</v>
      </c>
      <c r="AP194" s="57"/>
      <c r="AQ194" s="67" t="s">
        <v>38</v>
      </c>
      <c r="AR194" s="66">
        <f t="shared" si="2012"/>
        <v>0</v>
      </c>
      <c r="AS194" s="57"/>
      <c r="AT194" s="67" t="s">
        <v>38</v>
      </c>
      <c r="AU194" s="66">
        <f t="shared" si="2013"/>
        <v>0</v>
      </c>
      <c r="AV194" s="57"/>
      <c r="AW194" s="67" t="s">
        <v>38</v>
      </c>
      <c r="AX194" s="66">
        <f t="shared" si="2014"/>
        <v>0</v>
      </c>
      <c r="AY194" s="57"/>
      <c r="AZ194" s="67" t="s">
        <v>38</v>
      </c>
      <c r="BA194" s="66">
        <f t="shared" si="2015"/>
        <v>0</v>
      </c>
      <c r="BB194" s="57"/>
      <c r="BC194" s="67" t="s">
        <v>38</v>
      </c>
      <c r="BD194" s="66">
        <f t="shared" si="2016"/>
        <v>0</v>
      </c>
      <c r="BE194" s="57"/>
      <c r="BF194" s="67" t="s">
        <v>38</v>
      </c>
      <c r="BG194" s="66">
        <f t="shared" si="2017"/>
        <v>0</v>
      </c>
      <c r="BH194" s="57"/>
      <c r="BI194" s="67" t="s">
        <v>38</v>
      </c>
      <c r="BJ194" s="66">
        <f t="shared" si="2018"/>
        <v>0</v>
      </c>
      <c r="BK194" s="57"/>
      <c r="BL194" s="67" t="s">
        <v>38</v>
      </c>
      <c r="BM194" s="66">
        <f t="shared" si="2019"/>
        <v>0</v>
      </c>
      <c r="BN194" s="57"/>
      <c r="BO194" s="67" t="s">
        <v>38</v>
      </c>
      <c r="BP194" s="66">
        <f t="shared" si="2020"/>
        <v>0</v>
      </c>
      <c r="BQ194" s="57"/>
      <c r="BR194" s="67" t="s">
        <v>38</v>
      </c>
      <c r="BS194" s="66">
        <f t="shared" si="2021"/>
        <v>0</v>
      </c>
      <c r="BT194" s="57"/>
      <c r="BU194" s="67"/>
      <c r="BV194" s="66">
        <f t="shared" si="2022"/>
        <v>0</v>
      </c>
      <c r="BW194" s="57"/>
      <c r="BX194" s="67"/>
      <c r="BY194" s="66">
        <f t="shared" si="2023"/>
        <v>0</v>
      </c>
      <c r="BZ194" s="57"/>
      <c r="CA194" s="67"/>
      <c r="CB194" s="66">
        <f t="shared" si="2024"/>
        <v>0</v>
      </c>
      <c r="CC194" s="57"/>
      <c r="CD194" s="67"/>
      <c r="CE194" s="66">
        <f t="shared" si="2025"/>
        <v>0</v>
      </c>
      <c r="CF194" s="57"/>
      <c r="CG194" s="67"/>
      <c r="CH194" s="66">
        <f t="shared" si="2026"/>
        <v>0</v>
      </c>
      <c r="CI194" s="57"/>
      <c r="CJ194" s="67"/>
      <c r="CK194" s="66">
        <f t="shared" si="2027"/>
        <v>0</v>
      </c>
      <c r="CL194" s="57"/>
      <c r="CM194" s="67"/>
      <c r="CN194" s="66">
        <f t="shared" si="2028"/>
        <v>0</v>
      </c>
      <c r="CO194" s="57"/>
      <c r="CP194" s="67"/>
      <c r="CQ194" s="66">
        <f t="shared" si="2029"/>
        <v>0</v>
      </c>
      <c r="CR194" s="57"/>
      <c r="CS194" s="67"/>
      <c r="CT194" s="66">
        <f t="shared" si="2030"/>
        <v>0</v>
      </c>
      <c r="CU194" s="57"/>
      <c r="CV194" s="67"/>
      <c r="CW194" s="66">
        <f t="shared" si="2031"/>
        <v>0</v>
      </c>
      <c r="CX194" s="57"/>
      <c r="CY194" s="67"/>
      <c r="CZ194" s="66">
        <f t="shared" si="2032"/>
        <v>0</v>
      </c>
      <c r="DA194" s="57"/>
      <c r="DB194" s="67"/>
      <c r="DC194" s="66">
        <f t="shared" si="2033"/>
        <v>0</v>
      </c>
      <c r="DD194" s="57"/>
      <c r="DE194" s="67"/>
      <c r="DF194" s="66">
        <f t="shared" si="2034"/>
        <v>0</v>
      </c>
      <c r="DG194" s="57"/>
      <c r="DH194" s="67"/>
      <c r="DI194" s="66">
        <f t="shared" si="2035"/>
        <v>0</v>
      </c>
      <c r="DJ194" s="57"/>
      <c r="DK194" s="67"/>
      <c r="DL194" s="66">
        <f t="shared" si="2036"/>
        <v>0</v>
      </c>
      <c r="DM194" s="57"/>
      <c r="DN194" s="67"/>
      <c r="DO194" s="66">
        <f t="shared" si="2037"/>
        <v>0</v>
      </c>
      <c r="DP194" s="57"/>
      <c r="DQ194" s="67"/>
      <c r="DR194" s="66">
        <f t="shared" si="2038"/>
        <v>0</v>
      </c>
      <c r="DS194" s="57"/>
      <c r="DT194" s="67"/>
      <c r="DU194" s="66">
        <f t="shared" si="2039"/>
        <v>0</v>
      </c>
      <c r="DV194" s="57"/>
      <c r="DW194" s="67"/>
      <c r="DX194" s="66">
        <f t="shared" si="2040"/>
        <v>0</v>
      </c>
      <c r="DY194" s="57"/>
      <c r="DZ194" s="67"/>
      <c r="EA194" s="66">
        <f t="shared" si="2041"/>
        <v>0</v>
      </c>
      <c r="EB194" s="57"/>
      <c r="EC194" s="67"/>
      <c r="ED194" s="66">
        <f t="shared" si="2042"/>
        <v>0</v>
      </c>
      <c r="EE194" s="57"/>
      <c r="EF194" s="67"/>
      <c r="EG194" s="66">
        <f t="shared" si="2043"/>
        <v>0</v>
      </c>
      <c r="EH194" s="57"/>
      <c r="EI194" s="57"/>
    </row>
    <row r="195" spans="1:139">
      <c r="A195" s="711"/>
      <c r="B195" s="711"/>
      <c r="C195" s="805"/>
      <c r="D195" s="805"/>
      <c r="E195" s="805"/>
      <c r="F195" s="806">
        <f t="shared" si="2044"/>
        <v>4</v>
      </c>
      <c r="G195" s="806">
        <f ca="1">VLOOKUP(H195,Equipos!$Q$1:$R$25,2,0)</f>
        <v>20</v>
      </c>
      <c r="H195" s="807" t="str">
        <f>Idiomas!$D$260</f>
        <v>Dieciseisavos de final</v>
      </c>
      <c r="I195" s="800"/>
      <c r="J195" s="859"/>
      <c r="K195" s="49" t="str">
        <f>Idiomas!$D$199&amp;"-"&amp;ROWS($L$182:L195)</f>
        <v>Octavofinalista-14</v>
      </c>
      <c r="L195" s="46"/>
      <c r="M195" s="48" t="str">
        <f>WORLDCUP!AF125</f>
        <v>W82</v>
      </c>
      <c r="N195" s="711"/>
      <c r="O195" s="711"/>
      <c r="P195" s="711"/>
      <c r="Q195" s="711"/>
      <c r="R195" s="102"/>
      <c r="S195" s="67" t="s">
        <v>110</v>
      </c>
      <c r="T195" s="66">
        <f t="shared" si="2004"/>
        <v>0</v>
      </c>
      <c r="U195" s="57"/>
      <c r="V195" s="67" t="s">
        <v>110</v>
      </c>
      <c r="W195" s="66">
        <f t="shared" si="2005"/>
        <v>0</v>
      </c>
      <c r="X195" s="57"/>
      <c r="Y195" s="67" t="s">
        <v>110</v>
      </c>
      <c r="Z195" s="66">
        <f t="shared" si="2006"/>
        <v>0</v>
      </c>
      <c r="AA195" s="57"/>
      <c r="AB195" s="67" t="s">
        <v>110</v>
      </c>
      <c r="AC195" s="66">
        <f t="shared" si="2007"/>
        <v>0</v>
      </c>
      <c r="AD195" s="57"/>
      <c r="AE195" s="67" t="s">
        <v>110</v>
      </c>
      <c r="AF195" s="66">
        <f t="shared" si="2008"/>
        <v>0</v>
      </c>
      <c r="AG195" s="57"/>
      <c r="AH195" s="67" t="s">
        <v>110</v>
      </c>
      <c r="AI195" s="66">
        <f t="shared" si="2009"/>
        <v>0</v>
      </c>
      <c r="AJ195" s="57"/>
      <c r="AK195" s="67" t="s">
        <v>110</v>
      </c>
      <c r="AL195" s="66">
        <f t="shared" si="2010"/>
        <v>0</v>
      </c>
      <c r="AM195" s="57"/>
      <c r="AN195" s="67" t="s">
        <v>110</v>
      </c>
      <c r="AO195" s="66">
        <f t="shared" si="2011"/>
        <v>0</v>
      </c>
      <c r="AP195" s="57"/>
      <c r="AQ195" s="67" t="s">
        <v>110</v>
      </c>
      <c r="AR195" s="66">
        <f t="shared" si="2012"/>
        <v>0</v>
      </c>
      <c r="AS195" s="57"/>
      <c r="AT195" s="67" t="s">
        <v>110</v>
      </c>
      <c r="AU195" s="66">
        <f t="shared" si="2013"/>
        <v>0</v>
      </c>
      <c r="AV195" s="57"/>
      <c r="AW195" s="67" t="s">
        <v>110</v>
      </c>
      <c r="AX195" s="66">
        <f t="shared" si="2014"/>
        <v>0</v>
      </c>
      <c r="AY195" s="57"/>
      <c r="AZ195" s="67" t="s">
        <v>110</v>
      </c>
      <c r="BA195" s="66">
        <f t="shared" si="2015"/>
        <v>0</v>
      </c>
      <c r="BB195" s="57"/>
      <c r="BC195" s="67" t="s">
        <v>110</v>
      </c>
      <c r="BD195" s="66">
        <f t="shared" si="2016"/>
        <v>0</v>
      </c>
      <c r="BE195" s="57"/>
      <c r="BF195" s="67" t="s">
        <v>110</v>
      </c>
      <c r="BG195" s="66">
        <f t="shared" si="2017"/>
        <v>0</v>
      </c>
      <c r="BH195" s="57"/>
      <c r="BI195" s="67" t="s">
        <v>110</v>
      </c>
      <c r="BJ195" s="66">
        <f t="shared" si="2018"/>
        <v>0</v>
      </c>
      <c r="BK195" s="57"/>
      <c r="BL195" s="67" t="s">
        <v>110</v>
      </c>
      <c r="BM195" s="66">
        <f t="shared" si="2019"/>
        <v>0</v>
      </c>
      <c r="BN195" s="57"/>
      <c r="BO195" s="67" t="s">
        <v>110</v>
      </c>
      <c r="BP195" s="66">
        <f t="shared" si="2020"/>
        <v>0</v>
      </c>
      <c r="BQ195" s="57"/>
      <c r="BR195" s="67" t="s">
        <v>110</v>
      </c>
      <c r="BS195" s="66">
        <f t="shared" si="2021"/>
        <v>0</v>
      </c>
      <c r="BT195" s="57"/>
      <c r="BU195" s="67"/>
      <c r="BV195" s="66">
        <f t="shared" si="2022"/>
        <v>0</v>
      </c>
      <c r="BW195" s="57"/>
      <c r="BX195" s="67"/>
      <c r="BY195" s="66">
        <f t="shared" si="2023"/>
        <v>0</v>
      </c>
      <c r="BZ195" s="57"/>
      <c r="CA195" s="67"/>
      <c r="CB195" s="66">
        <f t="shared" si="2024"/>
        <v>0</v>
      </c>
      <c r="CC195" s="57"/>
      <c r="CD195" s="67"/>
      <c r="CE195" s="66">
        <f t="shared" si="2025"/>
        <v>0</v>
      </c>
      <c r="CF195" s="57"/>
      <c r="CG195" s="67"/>
      <c r="CH195" s="66">
        <f t="shared" si="2026"/>
        <v>0</v>
      </c>
      <c r="CI195" s="57"/>
      <c r="CJ195" s="67"/>
      <c r="CK195" s="66">
        <f t="shared" si="2027"/>
        <v>0</v>
      </c>
      <c r="CL195" s="57"/>
      <c r="CM195" s="67"/>
      <c r="CN195" s="66">
        <f t="shared" si="2028"/>
        <v>0</v>
      </c>
      <c r="CO195" s="57"/>
      <c r="CP195" s="67"/>
      <c r="CQ195" s="66">
        <f t="shared" si="2029"/>
        <v>0</v>
      </c>
      <c r="CR195" s="57"/>
      <c r="CS195" s="67"/>
      <c r="CT195" s="66">
        <f t="shared" si="2030"/>
        <v>0</v>
      </c>
      <c r="CU195" s="57"/>
      <c r="CV195" s="67"/>
      <c r="CW195" s="66">
        <f t="shared" si="2031"/>
        <v>0</v>
      </c>
      <c r="CX195" s="57"/>
      <c r="CY195" s="67"/>
      <c r="CZ195" s="66">
        <f t="shared" si="2032"/>
        <v>0</v>
      </c>
      <c r="DA195" s="57"/>
      <c r="DB195" s="67"/>
      <c r="DC195" s="66">
        <f t="shared" si="2033"/>
        <v>0</v>
      </c>
      <c r="DD195" s="57"/>
      <c r="DE195" s="67"/>
      <c r="DF195" s="66">
        <f t="shared" si="2034"/>
        <v>0</v>
      </c>
      <c r="DG195" s="57"/>
      <c r="DH195" s="67"/>
      <c r="DI195" s="66">
        <f t="shared" si="2035"/>
        <v>0</v>
      </c>
      <c r="DJ195" s="57"/>
      <c r="DK195" s="67"/>
      <c r="DL195" s="66">
        <f t="shared" si="2036"/>
        <v>0</v>
      </c>
      <c r="DM195" s="57"/>
      <c r="DN195" s="67"/>
      <c r="DO195" s="66">
        <f t="shared" si="2037"/>
        <v>0</v>
      </c>
      <c r="DP195" s="57"/>
      <c r="DQ195" s="67"/>
      <c r="DR195" s="66">
        <f t="shared" si="2038"/>
        <v>0</v>
      </c>
      <c r="DS195" s="57"/>
      <c r="DT195" s="67"/>
      <c r="DU195" s="66">
        <f t="shared" si="2039"/>
        <v>0</v>
      </c>
      <c r="DV195" s="57"/>
      <c r="DW195" s="67"/>
      <c r="DX195" s="66">
        <f t="shared" si="2040"/>
        <v>0</v>
      </c>
      <c r="DY195" s="57"/>
      <c r="DZ195" s="67"/>
      <c r="EA195" s="66">
        <f t="shared" si="2041"/>
        <v>0</v>
      </c>
      <c r="EB195" s="57"/>
      <c r="EC195" s="67"/>
      <c r="ED195" s="66">
        <f t="shared" si="2042"/>
        <v>0</v>
      </c>
      <c r="EE195" s="57"/>
      <c r="EF195" s="67"/>
      <c r="EG195" s="66">
        <f t="shared" si="2043"/>
        <v>0</v>
      </c>
      <c r="EH195" s="57"/>
      <c r="EI195" s="57"/>
    </row>
    <row r="196" spans="1:139">
      <c r="A196" s="711"/>
      <c r="B196" s="711"/>
      <c r="C196" s="805"/>
      <c r="D196" s="805"/>
      <c r="E196" s="805"/>
      <c r="F196" s="806">
        <f t="shared" si="2044"/>
        <v>4</v>
      </c>
      <c r="G196" s="806">
        <f ca="1">VLOOKUP(H196,Equipos!$Q$1:$R$25,2,0)</f>
        <v>20</v>
      </c>
      <c r="H196" s="807" t="str">
        <f>Idiomas!$D$260</f>
        <v>Dieciseisavos de final</v>
      </c>
      <c r="I196" s="800"/>
      <c r="J196" s="859"/>
      <c r="K196" s="49" t="str">
        <f>Idiomas!$D$199&amp;"-"&amp;ROWS($L$182:L196)</f>
        <v>Octavofinalista-15</v>
      </c>
      <c r="L196" s="46"/>
      <c r="M196" s="48" t="str">
        <f>WORLDCUP!AF126</f>
        <v>W88</v>
      </c>
      <c r="N196" s="711"/>
      <c r="O196" s="711"/>
      <c r="P196" s="711"/>
      <c r="Q196" s="711"/>
      <c r="R196" s="102"/>
      <c r="S196" s="67" t="s">
        <v>497</v>
      </c>
      <c r="T196" s="66">
        <f t="shared" si="2004"/>
        <v>0</v>
      </c>
      <c r="U196" s="57"/>
      <c r="V196" s="67" t="s">
        <v>1829</v>
      </c>
      <c r="W196" s="66">
        <f t="shared" si="2005"/>
        <v>0</v>
      </c>
      <c r="X196" s="57"/>
      <c r="Y196" s="67" t="s">
        <v>1545</v>
      </c>
      <c r="Z196" s="66">
        <f t="shared" si="2006"/>
        <v>0</v>
      </c>
      <c r="AA196" s="57"/>
      <c r="AB196" s="67" t="s">
        <v>497</v>
      </c>
      <c r="AC196" s="66">
        <f t="shared" si="2007"/>
        <v>0</v>
      </c>
      <c r="AD196" s="57"/>
      <c r="AE196" s="67" t="s">
        <v>1545</v>
      </c>
      <c r="AF196" s="66">
        <f t="shared" si="2008"/>
        <v>0</v>
      </c>
      <c r="AG196" s="57"/>
      <c r="AH196" s="67" t="s">
        <v>1829</v>
      </c>
      <c r="AI196" s="66">
        <f t="shared" si="2009"/>
        <v>0</v>
      </c>
      <c r="AJ196" s="57"/>
      <c r="AK196" s="67" t="s">
        <v>1829</v>
      </c>
      <c r="AL196" s="66">
        <f t="shared" si="2010"/>
        <v>0</v>
      </c>
      <c r="AM196" s="57"/>
      <c r="AN196" s="67" t="s">
        <v>1829</v>
      </c>
      <c r="AO196" s="66">
        <f t="shared" si="2011"/>
        <v>0</v>
      </c>
      <c r="AP196" s="57"/>
      <c r="AQ196" s="67" t="s">
        <v>497</v>
      </c>
      <c r="AR196" s="66">
        <f t="shared" si="2012"/>
        <v>0</v>
      </c>
      <c r="AS196" s="57"/>
      <c r="AT196" s="67" t="s">
        <v>1315</v>
      </c>
      <c r="AU196" s="66">
        <f t="shared" si="2013"/>
        <v>0</v>
      </c>
      <c r="AV196" s="57"/>
      <c r="AW196" s="67" t="s">
        <v>1829</v>
      </c>
      <c r="AX196" s="66">
        <f t="shared" si="2014"/>
        <v>0</v>
      </c>
      <c r="AY196" s="57"/>
      <c r="AZ196" s="67" t="s">
        <v>1545</v>
      </c>
      <c r="BA196" s="66">
        <f t="shared" si="2015"/>
        <v>0</v>
      </c>
      <c r="BB196" s="57"/>
      <c r="BC196" s="67" t="s">
        <v>497</v>
      </c>
      <c r="BD196" s="66">
        <f t="shared" si="2016"/>
        <v>0</v>
      </c>
      <c r="BE196" s="57"/>
      <c r="BF196" s="67" t="s">
        <v>1545</v>
      </c>
      <c r="BG196" s="66">
        <f t="shared" si="2017"/>
        <v>0</v>
      </c>
      <c r="BH196" s="57"/>
      <c r="BI196" s="67" t="s">
        <v>1829</v>
      </c>
      <c r="BJ196" s="66">
        <f t="shared" si="2018"/>
        <v>0</v>
      </c>
      <c r="BK196" s="57"/>
      <c r="BL196" s="67" t="s">
        <v>1829</v>
      </c>
      <c r="BM196" s="66">
        <f t="shared" si="2019"/>
        <v>0</v>
      </c>
      <c r="BN196" s="57"/>
      <c r="BO196" s="67" t="s">
        <v>1829</v>
      </c>
      <c r="BP196" s="66">
        <f t="shared" si="2020"/>
        <v>0</v>
      </c>
      <c r="BQ196" s="57"/>
      <c r="BR196" s="67" t="s">
        <v>1829</v>
      </c>
      <c r="BS196" s="66">
        <f t="shared" si="2021"/>
        <v>0</v>
      </c>
      <c r="BT196" s="57"/>
      <c r="BU196" s="67"/>
      <c r="BV196" s="66">
        <f t="shared" si="2022"/>
        <v>0</v>
      </c>
      <c r="BW196" s="57"/>
      <c r="BX196" s="67"/>
      <c r="BY196" s="66">
        <f t="shared" si="2023"/>
        <v>0</v>
      </c>
      <c r="BZ196" s="57"/>
      <c r="CA196" s="67"/>
      <c r="CB196" s="66">
        <f t="shared" si="2024"/>
        <v>0</v>
      </c>
      <c r="CC196" s="57"/>
      <c r="CD196" s="67"/>
      <c r="CE196" s="66">
        <f t="shared" si="2025"/>
        <v>0</v>
      </c>
      <c r="CF196" s="57"/>
      <c r="CG196" s="67"/>
      <c r="CH196" s="66">
        <f t="shared" si="2026"/>
        <v>0</v>
      </c>
      <c r="CI196" s="57"/>
      <c r="CJ196" s="67"/>
      <c r="CK196" s="66">
        <f t="shared" si="2027"/>
        <v>0</v>
      </c>
      <c r="CL196" s="57"/>
      <c r="CM196" s="67"/>
      <c r="CN196" s="66">
        <f t="shared" si="2028"/>
        <v>0</v>
      </c>
      <c r="CO196" s="57"/>
      <c r="CP196" s="67"/>
      <c r="CQ196" s="66">
        <f t="shared" si="2029"/>
        <v>0</v>
      </c>
      <c r="CR196" s="57"/>
      <c r="CS196" s="67"/>
      <c r="CT196" s="66">
        <f t="shared" si="2030"/>
        <v>0</v>
      </c>
      <c r="CU196" s="57"/>
      <c r="CV196" s="67"/>
      <c r="CW196" s="66">
        <f t="shared" si="2031"/>
        <v>0</v>
      </c>
      <c r="CX196" s="57"/>
      <c r="CY196" s="67"/>
      <c r="CZ196" s="66">
        <f t="shared" si="2032"/>
        <v>0</v>
      </c>
      <c r="DA196" s="57"/>
      <c r="DB196" s="67"/>
      <c r="DC196" s="66">
        <f t="shared" si="2033"/>
        <v>0</v>
      </c>
      <c r="DD196" s="57"/>
      <c r="DE196" s="67"/>
      <c r="DF196" s="66">
        <f t="shared" si="2034"/>
        <v>0</v>
      </c>
      <c r="DG196" s="57"/>
      <c r="DH196" s="67"/>
      <c r="DI196" s="66">
        <f t="shared" si="2035"/>
        <v>0</v>
      </c>
      <c r="DJ196" s="57"/>
      <c r="DK196" s="67"/>
      <c r="DL196" s="66">
        <f t="shared" si="2036"/>
        <v>0</v>
      </c>
      <c r="DM196" s="57"/>
      <c r="DN196" s="67"/>
      <c r="DO196" s="66">
        <f t="shared" si="2037"/>
        <v>0</v>
      </c>
      <c r="DP196" s="57"/>
      <c r="DQ196" s="67"/>
      <c r="DR196" s="66">
        <f t="shared" si="2038"/>
        <v>0</v>
      </c>
      <c r="DS196" s="57"/>
      <c r="DT196" s="67"/>
      <c r="DU196" s="66">
        <f t="shared" si="2039"/>
        <v>0</v>
      </c>
      <c r="DV196" s="57"/>
      <c r="DW196" s="67"/>
      <c r="DX196" s="66">
        <f t="shared" si="2040"/>
        <v>0</v>
      </c>
      <c r="DY196" s="57"/>
      <c r="DZ196" s="67"/>
      <c r="EA196" s="66">
        <f t="shared" si="2041"/>
        <v>0</v>
      </c>
      <c r="EB196" s="57"/>
      <c r="EC196" s="67"/>
      <c r="ED196" s="66">
        <f t="shared" si="2042"/>
        <v>0</v>
      </c>
      <c r="EE196" s="57"/>
      <c r="EF196" s="67"/>
      <c r="EG196" s="66">
        <f t="shared" si="2043"/>
        <v>0</v>
      </c>
      <c r="EH196" s="57"/>
      <c r="EI196" s="57"/>
    </row>
    <row r="197" spans="1:139">
      <c r="A197" s="711"/>
      <c r="B197" s="711"/>
      <c r="C197" s="805"/>
      <c r="D197" s="805"/>
      <c r="E197" s="805"/>
      <c r="F197" s="806">
        <f t="shared" si="2044"/>
        <v>4</v>
      </c>
      <c r="G197" s="806">
        <f ca="1">VLOOKUP(H197,Equipos!$Q$1:$R$25,2,0)</f>
        <v>20</v>
      </c>
      <c r="H197" s="807" t="str">
        <f>Idiomas!$D$260</f>
        <v>Dieciseisavos de final</v>
      </c>
      <c r="I197" s="800"/>
      <c r="J197" s="859"/>
      <c r="K197" s="107" t="str">
        <f>Idiomas!$D$199&amp;"-"&amp;ROWS($L$182:L197)</f>
        <v>Octavofinalista-16</v>
      </c>
      <c r="L197" s="107"/>
      <c r="M197" s="108" t="str">
        <f>WORLDCUP!AF127</f>
        <v>W87</v>
      </c>
      <c r="N197" s="711"/>
      <c r="O197" s="711"/>
      <c r="P197" s="711"/>
      <c r="Q197" s="711"/>
      <c r="R197" s="102"/>
      <c r="S197" s="73" t="s">
        <v>79</v>
      </c>
      <c r="T197" s="74">
        <f t="shared" si="2004"/>
        <v>0</v>
      </c>
      <c r="U197" s="57"/>
      <c r="V197" s="73" t="s">
        <v>79</v>
      </c>
      <c r="W197" s="74">
        <f t="shared" si="2005"/>
        <v>0</v>
      </c>
      <c r="X197" s="57"/>
      <c r="Y197" s="73" t="s">
        <v>79</v>
      </c>
      <c r="Z197" s="74">
        <f t="shared" si="2006"/>
        <v>0</v>
      </c>
      <c r="AA197" s="57"/>
      <c r="AB197" s="73" t="s">
        <v>79</v>
      </c>
      <c r="AC197" s="74">
        <f t="shared" si="2007"/>
        <v>0</v>
      </c>
      <c r="AD197" s="57"/>
      <c r="AE197" s="73" t="s">
        <v>79</v>
      </c>
      <c r="AF197" s="74">
        <f t="shared" si="2008"/>
        <v>0</v>
      </c>
      <c r="AG197" s="57"/>
      <c r="AH197" s="73" t="s">
        <v>79</v>
      </c>
      <c r="AI197" s="74">
        <f t="shared" si="2009"/>
        <v>0</v>
      </c>
      <c r="AJ197" s="57"/>
      <c r="AK197" s="73" t="s">
        <v>79</v>
      </c>
      <c r="AL197" s="74">
        <f t="shared" si="2010"/>
        <v>0</v>
      </c>
      <c r="AM197" s="57"/>
      <c r="AN197" s="73" t="s">
        <v>79</v>
      </c>
      <c r="AO197" s="74">
        <f t="shared" si="2011"/>
        <v>0</v>
      </c>
      <c r="AP197" s="57"/>
      <c r="AQ197" s="73" t="s">
        <v>79</v>
      </c>
      <c r="AR197" s="74">
        <f t="shared" si="2012"/>
        <v>0</v>
      </c>
      <c r="AS197" s="57"/>
      <c r="AT197" s="73" t="s">
        <v>79</v>
      </c>
      <c r="AU197" s="74">
        <f t="shared" si="2013"/>
        <v>0</v>
      </c>
      <c r="AV197" s="57"/>
      <c r="AW197" s="73" t="s">
        <v>79</v>
      </c>
      <c r="AX197" s="74">
        <f t="shared" si="2014"/>
        <v>0</v>
      </c>
      <c r="AY197" s="57"/>
      <c r="AZ197" s="73" t="s">
        <v>79</v>
      </c>
      <c r="BA197" s="74">
        <f t="shared" si="2015"/>
        <v>0</v>
      </c>
      <c r="BB197" s="57"/>
      <c r="BC197" s="73" t="s">
        <v>78</v>
      </c>
      <c r="BD197" s="74">
        <f t="shared" si="2016"/>
        <v>0</v>
      </c>
      <c r="BE197" s="57"/>
      <c r="BF197" s="73" t="s">
        <v>79</v>
      </c>
      <c r="BG197" s="74">
        <f t="shared" si="2017"/>
        <v>0</v>
      </c>
      <c r="BH197" s="57"/>
      <c r="BI197" s="73" t="s">
        <v>79</v>
      </c>
      <c r="BJ197" s="74">
        <f t="shared" si="2018"/>
        <v>0</v>
      </c>
      <c r="BK197" s="57"/>
      <c r="BL197" s="73" t="s">
        <v>79</v>
      </c>
      <c r="BM197" s="74">
        <f t="shared" si="2019"/>
        <v>0</v>
      </c>
      <c r="BN197" s="57"/>
      <c r="BO197" s="73" t="s">
        <v>79</v>
      </c>
      <c r="BP197" s="74">
        <f t="shared" si="2020"/>
        <v>0</v>
      </c>
      <c r="BQ197" s="57"/>
      <c r="BR197" s="73" t="s">
        <v>79</v>
      </c>
      <c r="BS197" s="74">
        <f t="shared" si="2021"/>
        <v>0</v>
      </c>
      <c r="BT197" s="57"/>
      <c r="BU197" s="73"/>
      <c r="BV197" s="74">
        <f t="shared" si="2022"/>
        <v>0</v>
      </c>
      <c r="BW197" s="57"/>
      <c r="BX197" s="73"/>
      <c r="BY197" s="74">
        <f t="shared" si="2023"/>
        <v>0</v>
      </c>
      <c r="BZ197" s="57"/>
      <c r="CA197" s="73"/>
      <c r="CB197" s="74">
        <f t="shared" si="2024"/>
        <v>0</v>
      </c>
      <c r="CC197" s="57"/>
      <c r="CD197" s="73"/>
      <c r="CE197" s="74">
        <f t="shared" si="2025"/>
        <v>0</v>
      </c>
      <c r="CF197" s="57"/>
      <c r="CG197" s="73"/>
      <c r="CH197" s="74">
        <f t="shared" si="2026"/>
        <v>0</v>
      </c>
      <c r="CI197" s="57"/>
      <c r="CJ197" s="73"/>
      <c r="CK197" s="74">
        <f t="shared" si="2027"/>
        <v>0</v>
      </c>
      <c r="CL197" s="57"/>
      <c r="CM197" s="73"/>
      <c r="CN197" s="74">
        <f t="shared" si="2028"/>
        <v>0</v>
      </c>
      <c r="CO197" s="57"/>
      <c r="CP197" s="73"/>
      <c r="CQ197" s="74">
        <f t="shared" si="2029"/>
        <v>0</v>
      </c>
      <c r="CR197" s="57"/>
      <c r="CS197" s="73"/>
      <c r="CT197" s="74">
        <f t="shared" si="2030"/>
        <v>0</v>
      </c>
      <c r="CU197" s="57"/>
      <c r="CV197" s="73"/>
      <c r="CW197" s="74">
        <f t="shared" si="2031"/>
        <v>0</v>
      </c>
      <c r="CX197" s="57"/>
      <c r="CY197" s="73"/>
      <c r="CZ197" s="74">
        <f t="shared" si="2032"/>
        <v>0</v>
      </c>
      <c r="DA197" s="57"/>
      <c r="DB197" s="73"/>
      <c r="DC197" s="74">
        <f t="shared" si="2033"/>
        <v>0</v>
      </c>
      <c r="DD197" s="57"/>
      <c r="DE197" s="73"/>
      <c r="DF197" s="74">
        <f t="shared" si="2034"/>
        <v>0</v>
      </c>
      <c r="DG197" s="57"/>
      <c r="DH197" s="73"/>
      <c r="DI197" s="74">
        <f t="shared" si="2035"/>
        <v>0</v>
      </c>
      <c r="DJ197" s="57"/>
      <c r="DK197" s="73"/>
      <c r="DL197" s="74">
        <f t="shared" si="2036"/>
        <v>0</v>
      </c>
      <c r="DM197" s="57"/>
      <c r="DN197" s="73"/>
      <c r="DO197" s="74">
        <f t="shared" si="2037"/>
        <v>0</v>
      </c>
      <c r="DP197" s="57"/>
      <c r="DQ197" s="73"/>
      <c r="DR197" s="74">
        <f t="shared" si="2038"/>
        <v>0</v>
      </c>
      <c r="DS197" s="57"/>
      <c r="DT197" s="73"/>
      <c r="DU197" s="74">
        <f t="shared" si="2039"/>
        <v>0</v>
      </c>
      <c r="DV197" s="57"/>
      <c r="DW197" s="73"/>
      <c r="DX197" s="74">
        <f t="shared" si="2040"/>
        <v>0</v>
      </c>
      <c r="DY197" s="57"/>
      <c r="DZ197" s="73"/>
      <c r="EA197" s="74">
        <f t="shared" si="2041"/>
        <v>0</v>
      </c>
      <c r="EB197" s="57"/>
      <c r="EC197" s="73"/>
      <c r="ED197" s="74">
        <f t="shared" si="2042"/>
        <v>0</v>
      </c>
      <c r="EE197" s="57"/>
      <c r="EF197" s="73"/>
      <c r="EG197" s="74">
        <f t="shared" si="2043"/>
        <v>0</v>
      </c>
      <c r="EH197" s="57"/>
      <c r="EI197" s="57"/>
    </row>
    <row r="198" spans="1:139">
      <c r="A198" s="711"/>
      <c r="B198" s="711"/>
      <c r="C198" s="805"/>
      <c r="D198" s="805"/>
      <c r="E198" s="805"/>
      <c r="F198" s="806"/>
      <c r="G198" s="806"/>
      <c r="H198" s="800"/>
      <c r="I198" s="800"/>
      <c r="J198" s="86"/>
      <c r="K198" s="416" t="str">
        <f>Idiomas!D459</f>
        <v>Equipos 1/8</v>
      </c>
      <c r="L198" s="417"/>
      <c r="M198" s="416" t="str">
        <f>"Max: "&amp;$D$19*COUNT(T182:T197)</f>
        <v>Max: 64</v>
      </c>
      <c r="N198" s="711"/>
      <c r="O198" s="711"/>
      <c r="P198" s="711"/>
      <c r="Q198" s="711"/>
      <c r="R198" s="43"/>
      <c r="S198" s="77"/>
      <c r="T198" s="64">
        <f>SUM(T182:T197)</f>
        <v>0</v>
      </c>
      <c r="U198" s="58"/>
      <c r="V198" s="77"/>
      <c r="W198" s="64">
        <f>SUM(W182:W197)</f>
        <v>0</v>
      </c>
      <c r="X198" s="58"/>
      <c r="Y198" s="77"/>
      <c r="Z198" s="64">
        <f>SUM(Z182:Z197)</f>
        <v>0</v>
      </c>
      <c r="AA198" s="58"/>
      <c r="AB198" s="77"/>
      <c r="AC198" s="64">
        <f>SUM(AC182:AC197)</f>
        <v>0</v>
      </c>
      <c r="AD198" s="58"/>
      <c r="AE198" s="77"/>
      <c r="AF198" s="64">
        <f>SUM(AF182:AF197)</f>
        <v>0</v>
      </c>
      <c r="AG198" s="58"/>
      <c r="AH198" s="77"/>
      <c r="AI198" s="64">
        <f>SUM(AI182:AI197)</f>
        <v>0</v>
      </c>
      <c r="AJ198" s="58"/>
      <c r="AK198" s="77"/>
      <c r="AL198" s="64">
        <f>SUM(AL182:AL197)</f>
        <v>0</v>
      </c>
      <c r="AM198" s="58"/>
      <c r="AN198" s="77"/>
      <c r="AO198" s="64">
        <f>SUM(AO182:AO197)</f>
        <v>0</v>
      </c>
      <c r="AP198" s="58"/>
      <c r="AQ198" s="77"/>
      <c r="AR198" s="64">
        <f>SUM(AR182:AR197)</f>
        <v>0</v>
      </c>
      <c r="AS198" s="58"/>
      <c r="AT198" s="77"/>
      <c r="AU198" s="64">
        <f>SUM(AU182:AU197)</f>
        <v>0</v>
      </c>
      <c r="AV198" s="58"/>
      <c r="AW198" s="77"/>
      <c r="AX198" s="64">
        <f>SUM(AX182:AX197)</f>
        <v>0</v>
      </c>
      <c r="AY198" s="58"/>
      <c r="AZ198" s="77"/>
      <c r="BA198" s="64">
        <f>SUM(BA182:BA197)</f>
        <v>0</v>
      </c>
      <c r="BB198" s="58"/>
      <c r="BC198" s="77"/>
      <c r="BD198" s="64">
        <f>SUM(BD182:BD197)</f>
        <v>0</v>
      </c>
      <c r="BE198" s="58"/>
      <c r="BF198" s="77"/>
      <c r="BG198" s="64">
        <f>SUM(BG182:BG197)</f>
        <v>0</v>
      </c>
      <c r="BH198" s="58"/>
      <c r="BI198" s="77"/>
      <c r="BJ198" s="64">
        <f>SUM(BJ182:BJ197)</f>
        <v>0</v>
      </c>
      <c r="BK198" s="58"/>
      <c r="BL198" s="77"/>
      <c r="BM198" s="64">
        <f>SUM(BM182:BM197)</f>
        <v>0</v>
      </c>
      <c r="BN198" s="58"/>
      <c r="BO198" s="77"/>
      <c r="BP198" s="64">
        <f>SUM(BP182:BP197)</f>
        <v>0</v>
      </c>
      <c r="BQ198" s="58"/>
      <c r="BR198" s="77"/>
      <c r="BS198" s="64">
        <f>SUM(BS182:BS197)</f>
        <v>0</v>
      </c>
      <c r="BT198" s="58"/>
      <c r="BU198" s="77"/>
      <c r="BV198" s="64">
        <f>SUM(BV182:BV197)</f>
        <v>0</v>
      </c>
      <c r="BW198" s="58"/>
      <c r="BX198" s="77"/>
      <c r="BY198" s="64">
        <f>SUM(BY182:BY197)</f>
        <v>0</v>
      </c>
      <c r="BZ198" s="58"/>
      <c r="CA198" s="77"/>
      <c r="CB198" s="64">
        <f>SUM(CB182:CB197)</f>
        <v>0</v>
      </c>
      <c r="CC198" s="58"/>
      <c r="CD198" s="77"/>
      <c r="CE198" s="64">
        <f>SUM(CE182:CE197)</f>
        <v>0</v>
      </c>
      <c r="CF198" s="58"/>
      <c r="CG198" s="77"/>
      <c r="CH198" s="64">
        <f>SUM(CH182:CH197)</f>
        <v>0</v>
      </c>
      <c r="CI198" s="58"/>
      <c r="CJ198" s="77"/>
      <c r="CK198" s="64">
        <f>SUM(CK182:CK197)</f>
        <v>0</v>
      </c>
      <c r="CL198" s="58"/>
      <c r="CM198" s="77"/>
      <c r="CN198" s="64">
        <f>SUM(CN182:CN197)</f>
        <v>0</v>
      </c>
      <c r="CO198" s="58"/>
      <c r="CP198" s="77"/>
      <c r="CQ198" s="64">
        <f>SUM(CQ182:CQ197)</f>
        <v>0</v>
      </c>
      <c r="CR198" s="58"/>
      <c r="CS198" s="77"/>
      <c r="CT198" s="64">
        <f>SUM(CT182:CT197)</f>
        <v>0</v>
      </c>
      <c r="CU198" s="58"/>
      <c r="CV198" s="77"/>
      <c r="CW198" s="64">
        <f>SUM(CW182:CW197)</f>
        <v>0</v>
      </c>
      <c r="CX198" s="58"/>
      <c r="CY198" s="77"/>
      <c r="CZ198" s="64">
        <f>SUM(CZ182:CZ197)</f>
        <v>0</v>
      </c>
      <c r="DA198" s="58"/>
      <c r="DB198" s="77"/>
      <c r="DC198" s="64">
        <f>SUM(DC182:DC197)</f>
        <v>0</v>
      </c>
      <c r="DD198" s="58"/>
      <c r="DE198" s="77"/>
      <c r="DF198" s="64">
        <f>SUM(DF182:DF197)</f>
        <v>0</v>
      </c>
      <c r="DG198" s="58"/>
      <c r="DH198" s="77"/>
      <c r="DI198" s="64">
        <f>SUM(DI182:DI197)</f>
        <v>0</v>
      </c>
      <c r="DJ198" s="58"/>
      <c r="DK198" s="77"/>
      <c r="DL198" s="64">
        <f>SUM(DL182:DL197)</f>
        <v>0</v>
      </c>
      <c r="DM198" s="58"/>
      <c r="DN198" s="77"/>
      <c r="DO198" s="64">
        <f>SUM(DO182:DO197)</f>
        <v>0</v>
      </c>
      <c r="DP198" s="58"/>
      <c r="DQ198" s="77"/>
      <c r="DR198" s="64">
        <f>SUM(DR182:DR197)</f>
        <v>0</v>
      </c>
      <c r="DS198" s="58"/>
      <c r="DT198" s="77"/>
      <c r="DU198" s="64">
        <f>SUM(DU182:DU197)</f>
        <v>0</v>
      </c>
      <c r="DV198" s="58"/>
      <c r="DW198" s="77"/>
      <c r="DX198" s="64">
        <f>SUM(DX182:DX197)</f>
        <v>0</v>
      </c>
      <c r="DY198" s="58"/>
      <c r="DZ198" s="77"/>
      <c r="EA198" s="64">
        <f>SUM(EA182:EA197)</f>
        <v>0</v>
      </c>
      <c r="EB198" s="58"/>
      <c r="EC198" s="77"/>
      <c r="ED198" s="64">
        <f>SUM(ED182:ED197)</f>
        <v>0</v>
      </c>
      <c r="EE198" s="58"/>
      <c r="EF198" s="77"/>
      <c r="EG198" s="64">
        <f>SUM(EG182:EG197)</f>
        <v>0</v>
      </c>
      <c r="EH198" s="58"/>
      <c r="EI198" s="58"/>
    </row>
    <row r="199" spans="1:139">
      <c r="A199" s="711"/>
      <c r="B199" s="711"/>
      <c r="C199" s="805"/>
      <c r="D199" s="805"/>
      <c r="E199" s="805"/>
      <c r="F199" s="806"/>
      <c r="G199" s="806"/>
      <c r="H199" s="800"/>
      <c r="I199" s="804" t="s">
        <v>1573</v>
      </c>
      <c r="J199" s="86"/>
      <c r="K199" s="105" t="str">
        <f>Idiomas!D140</f>
        <v>ENFRENTAMIENTOS OCTAVOS</v>
      </c>
      <c r="L199" s="44"/>
      <c r="M199" s="64"/>
      <c r="N199" s="711"/>
      <c r="O199" s="711"/>
      <c r="P199" s="711"/>
      <c r="Q199" s="711"/>
      <c r="R199" s="43"/>
      <c r="S199" s="77"/>
      <c r="T199" s="64"/>
      <c r="U199" s="58"/>
      <c r="V199" s="77"/>
      <c r="W199" s="64"/>
      <c r="X199" s="58"/>
      <c r="Y199" s="77"/>
      <c r="Z199" s="64"/>
      <c r="AA199" s="58"/>
      <c r="AB199" s="77"/>
      <c r="AC199" s="64"/>
      <c r="AD199" s="58"/>
      <c r="AE199" s="77"/>
      <c r="AF199" s="64"/>
      <c r="AG199" s="58"/>
      <c r="AH199" s="77"/>
      <c r="AI199" s="64"/>
      <c r="AJ199" s="58"/>
      <c r="AK199" s="77"/>
      <c r="AL199" s="64"/>
      <c r="AM199" s="58"/>
      <c r="AN199" s="77"/>
      <c r="AO199" s="64"/>
      <c r="AP199" s="58"/>
      <c r="AQ199" s="77"/>
      <c r="AR199" s="64"/>
      <c r="AS199" s="58"/>
      <c r="AT199" s="77"/>
      <c r="AU199" s="64"/>
      <c r="AV199" s="58"/>
      <c r="AW199" s="77"/>
      <c r="AX199" s="64"/>
      <c r="AY199" s="58"/>
      <c r="AZ199" s="77"/>
      <c r="BA199" s="64"/>
      <c r="BB199" s="58"/>
      <c r="BC199" s="77"/>
      <c r="BD199" s="64"/>
      <c r="BE199" s="58"/>
      <c r="BF199" s="77"/>
      <c r="BG199" s="64"/>
      <c r="BH199" s="58"/>
      <c r="BI199" s="77"/>
      <c r="BJ199" s="64"/>
      <c r="BK199" s="58"/>
      <c r="BL199" s="77"/>
      <c r="BM199" s="64"/>
      <c r="BN199" s="58"/>
      <c r="BO199" s="77"/>
      <c r="BP199" s="64"/>
      <c r="BQ199" s="58"/>
      <c r="BR199" s="77"/>
      <c r="BS199" s="64"/>
      <c r="BT199" s="58"/>
      <c r="BU199" s="77"/>
      <c r="BV199" s="64"/>
      <c r="BW199" s="58"/>
      <c r="BX199" s="77"/>
      <c r="BY199" s="64"/>
      <c r="BZ199" s="58"/>
      <c r="CA199" s="77"/>
      <c r="CB199" s="64"/>
      <c r="CC199" s="58"/>
      <c r="CD199" s="77"/>
      <c r="CE199" s="64"/>
      <c r="CF199" s="58"/>
      <c r="CG199" s="77"/>
      <c r="CH199" s="64"/>
      <c r="CI199" s="58"/>
      <c r="CJ199" s="77"/>
      <c r="CK199" s="64"/>
      <c r="CL199" s="58"/>
      <c r="CM199" s="77"/>
      <c r="CN199" s="64"/>
      <c r="CO199" s="58"/>
      <c r="CP199" s="77"/>
      <c r="CQ199" s="64"/>
      <c r="CR199" s="58"/>
      <c r="CS199" s="77"/>
      <c r="CT199" s="64"/>
      <c r="CU199" s="58"/>
      <c r="CV199" s="77"/>
      <c r="CW199" s="64"/>
      <c r="CX199" s="58"/>
      <c r="CY199" s="77"/>
      <c r="CZ199" s="64"/>
      <c r="DA199" s="58"/>
      <c r="DB199" s="77"/>
      <c r="DC199" s="64"/>
      <c r="DD199" s="58"/>
      <c r="DE199" s="77"/>
      <c r="DF199" s="64"/>
      <c r="DG199" s="58"/>
      <c r="DH199" s="77"/>
      <c r="DI199" s="64"/>
      <c r="DJ199" s="58"/>
      <c r="DK199" s="77"/>
      <c r="DL199" s="64"/>
      <c r="DM199" s="58"/>
      <c r="DN199" s="77"/>
      <c r="DO199" s="64"/>
      <c r="DP199" s="58"/>
      <c r="DQ199" s="77"/>
      <c r="DR199" s="64"/>
      <c r="DS199" s="58"/>
      <c r="DT199" s="77"/>
      <c r="DU199" s="64"/>
      <c r="DV199" s="58"/>
      <c r="DW199" s="77"/>
      <c r="DX199" s="64"/>
      <c r="DY199" s="58"/>
      <c r="DZ199" s="77"/>
      <c r="EA199" s="64"/>
      <c r="EB199" s="58"/>
      <c r="EC199" s="77"/>
      <c r="ED199" s="64"/>
      <c r="EE199" s="58"/>
      <c r="EF199" s="77"/>
      <c r="EG199" s="64"/>
      <c r="EH199" s="58"/>
      <c r="EI199" s="58"/>
    </row>
    <row r="200" spans="1:139">
      <c r="A200" s="711">
        <f>WORLDCUP!AD120</f>
        <v>0</v>
      </c>
      <c r="B200" s="711">
        <f>WORLDCUP!AC120</f>
        <v>0</v>
      </c>
      <c r="C200" s="805" t="str">
        <f>CONCATENATE(WORLDCUP!AF120,"-",WORLDCUP!AA120)</f>
        <v>W75-W73</v>
      </c>
      <c r="D200" s="805" t="str">
        <f>IF(WORLDCUP!AC120&gt;WORLDCUP!AD120,2,IF(WORLDCUP!AC120&lt;WORLDCUP!AD120,1,IF(AND(WORLDCUP!AC120=WORLDCUP!AD120,WORLDCUP!AC120&lt;&gt;"",WORLDCUP!AD120&lt;&gt;""),0,"PD")))</f>
        <v>PD</v>
      </c>
      <c r="E200" s="805" t="str">
        <f>IF(OR(WORLDCUP!AD120="",WORLDCUP!AC120=""),"-",A200&amp;"-"&amp;B200)</f>
        <v>-</v>
      </c>
      <c r="F200" s="806">
        <f>SUM($D$20:$D$22)*I200</f>
        <v>17</v>
      </c>
      <c r="G200" s="806">
        <f ca="1">VLOOKUP(H200,Equipos!$Q$1:$R$25,2,0)</f>
        <v>21</v>
      </c>
      <c r="H200" s="800" t="str">
        <f>Idiomas!$D$261</f>
        <v>Octavos de final</v>
      </c>
      <c r="I200" s="808">
        <v>1</v>
      </c>
      <c r="J200" s="859" t="s">
        <v>88</v>
      </c>
      <c r="K200" s="46" t="str">
        <f>CONCATENATE(WORLDCUP!AA120,"-",WORLDCUP!AF120)</f>
        <v>W73-W75</v>
      </c>
      <c r="L200" s="46" t="str">
        <f>IF(OR(WORLDCUP!AC120="",WORLDCUP!AD120=""),"PD",IF(WORLDCUP!AC120&gt;WORLDCUP!AD120,1,IF(WORLDCUP!AC120&lt;WORLDCUP!AD120,2,0)))</f>
        <v>PD</v>
      </c>
      <c r="M200" s="48" t="str">
        <f>IF(OR(WORLDCUP!AC120="",WORLDCUP!AD120=""),"-",N200&amp;"|"&amp;O200&amp;"-"&amp;P200)</f>
        <v>-</v>
      </c>
      <c r="N200" s="711" t="str">
        <f>IF(OR(WORLDCUP!AC120="",WORLDCUP!AD120=""),"",IF(WORLDCUP!AC120&gt;WORLDCUP!AD120,"1",IF(WORLDCUP!AC120&lt;WORLDCUP!AD120,"2","X")))</f>
        <v/>
      </c>
      <c r="O200" s="711">
        <f>WORLDCUP!AC120</f>
        <v>0</v>
      </c>
      <c r="P200" s="711">
        <f>WORLDCUP!AD120</f>
        <v>0</v>
      </c>
      <c r="Q200" s="711">
        <f>ABS(O200-P200)</f>
        <v>0</v>
      </c>
      <c r="R200" s="102"/>
      <c r="S200" s="59" t="s">
        <v>1955</v>
      </c>
      <c r="T200" s="66">
        <f>IFERROR(IF($M200=S200,($D$8+$D$9+$D$10)*$I200,IF($N200=LEFT(S200,1),($D$8+MAX(0,IF($D$50=1,$D$9*(1-(ABS($Q200-ABS(VALUE(MID(S200,FIND("|",S200)+1,FIND("-",S200)-FIND("|",S200)-1))-VALUE(MID(S200,FIND("-",S200)+1,10)))))*$D$50),$D$9*(1-(IF($N200="X",ABS($O200-VALUE(MID(S200,FIND("|",S200)+1,FIND("-",S200)-FIND("|",S200)-1))),ABS($Q200-ABS(VALUE(MID(S200,FIND("|",S200)+1,FIND("-",S200)-FIND("|",S200)-1))-VALUE(MID(S200,FIND("-",S200)+1,10)))))*$D$50)))))*$I200,0)),0)</f>
        <v>0</v>
      </c>
      <c r="U200" s="102"/>
      <c r="V200" s="59" t="s">
        <v>1955</v>
      </c>
      <c r="W200" s="66">
        <f>IFERROR(IF($M200=V200,($D$8+$D$9+$D$10)*$I200,IF($N200=LEFT(V200,1),($D$8+MAX(0,IF($D$50=1,$D$9*(1-(ABS($Q200-ABS(VALUE(MID(V200,FIND("|",V200)+1,FIND("-",V200)-FIND("|",V200)-1))-VALUE(MID(V200,FIND("-",V200)+1,10)))))*$D$50),$D$9*(1-(IF($N200="X",ABS($O200-VALUE(MID(V200,FIND("|",V200)+1,FIND("-",V200)-FIND("|",V200)-1))),ABS($Q200-ABS(VALUE(MID(V200,FIND("|",V200)+1,FIND("-",V200)-FIND("|",V200)-1))-VALUE(MID(V200,FIND("-",V200)+1,10)))))*$D$50)))))*$I200,0)),0)</f>
        <v>0</v>
      </c>
      <c r="X200" s="102"/>
      <c r="Y200" s="59" t="s">
        <v>1955</v>
      </c>
      <c r="Z200" s="66">
        <f>IFERROR(IF($M200=Y200,($D$8+$D$9+$D$10)*$I200,IF($N200=LEFT(Y200,1),($D$8+MAX(0,IF($D$50=1,$D$9*(1-(ABS($Q200-ABS(VALUE(MID(Y200,FIND("|",Y200)+1,FIND("-",Y200)-FIND("|",Y200)-1))-VALUE(MID(Y200,FIND("-",Y200)+1,10)))))*$D$50),$D$9*(1-(IF($N200="X",ABS($O200-VALUE(MID(Y200,FIND("|",Y200)+1,FIND("-",Y200)-FIND("|",Y200)-1))),ABS($Q200-ABS(VALUE(MID(Y200,FIND("|",Y200)+1,FIND("-",Y200)-FIND("|",Y200)-1))-VALUE(MID(Y200,FIND("-",Y200)+1,10)))))*$D$50)))))*$I200,0)),0)</f>
        <v>0</v>
      </c>
      <c r="AA200" s="102"/>
      <c r="AB200" s="59" t="s">
        <v>1960</v>
      </c>
      <c r="AC200" s="66">
        <f>IFERROR(IF($M200=AB200,($D$8+$D$9+$D$10)*$I200,IF($N200=LEFT(AB200,1),($D$8+MAX(0,IF($D$50=1,$D$9*(1-(ABS($Q200-ABS(VALUE(MID(AB200,FIND("|",AB200)+1,FIND("-",AB200)-FIND("|",AB200)-1))-VALUE(MID(AB200,FIND("-",AB200)+1,10)))))*$D$50),$D$9*(1-(IF($N200="X",ABS($O200-VALUE(MID(AB200,FIND("|",AB200)+1,FIND("-",AB200)-FIND("|",AB200)-1))),ABS($Q200-ABS(VALUE(MID(AB200,FIND("|",AB200)+1,FIND("-",AB200)-FIND("|",AB200)-1))-VALUE(MID(AB200,FIND("-",AB200)+1,10)))))*$D$50)))))*$I200,0)),0)</f>
        <v>0</v>
      </c>
      <c r="AD200" s="102"/>
      <c r="AE200" s="59" t="s">
        <v>1950</v>
      </c>
      <c r="AF200" s="66">
        <f>IFERROR(IF($M200=AE200,($D$8+$D$9+$D$10)*$I200,IF($N200=LEFT(AE200,1),($D$8+MAX(0,IF($D$50=1,$D$9*(1-(ABS($Q200-ABS(VALUE(MID(AE200,FIND("|",AE200)+1,FIND("-",AE200)-FIND("|",AE200)-1))-VALUE(MID(AE200,FIND("-",AE200)+1,10)))))*$D$50),$D$9*(1-(IF($N200="X",ABS($O200-VALUE(MID(AE200,FIND("|",AE200)+1,FIND("-",AE200)-FIND("|",AE200)-1))),ABS($Q200-ABS(VALUE(MID(AE200,FIND("|",AE200)+1,FIND("-",AE200)-FIND("|",AE200)-1))-VALUE(MID(AE200,FIND("-",AE200)+1,10)))))*$D$50)))))*$I200,0)),0)</f>
        <v>0</v>
      </c>
      <c r="AG200" s="102"/>
      <c r="AH200" s="59" t="s">
        <v>1950</v>
      </c>
      <c r="AI200" s="66">
        <f>IFERROR(IF($M200=AH200,($D$8+$D$9+$D$10)*$I200,IF($N200=LEFT(AH200,1),($D$8+MAX(0,IF($D$50=1,$D$9*(1-(ABS($Q200-ABS(VALUE(MID(AH200,FIND("|",AH200)+1,FIND("-",AH200)-FIND("|",AH200)-1))-VALUE(MID(AH200,FIND("-",AH200)+1,10)))))*$D$50),$D$9*(1-(IF($N200="X",ABS($O200-VALUE(MID(AH200,FIND("|",AH200)+1,FIND("-",AH200)-FIND("|",AH200)-1))),ABS($Q200-ABS(VALUE(MID(AH200,FIND("|",AH200)+1,FIND("-",AH200)-FIND("|",AH200)-1))-VALUE(MID(AH200,FIND("-",AH200)+1,10)))))*$D$50)))))*$I200,0)),0)</f>
        <v>0</v>
      </c>
      <c r="AJ200" s="102"/>
      <c r="AK200" s="59" t="s">
        <v>1951</v>
      </c>
      <c r="AL200" s="66">
        <f>IFERROR(IF($M200=AK200,($D$8+$D$9+$D$10)*$I200,IF($N200=LEFT(AK200,1),($D$8+MAX(0,IF($D$50=1,$D$9*(1-(ABS($Q200-ABS(VALUE(MID(AK200,FIND("|",AK200)+1,FIND("-",AK200)-FIND("|",AK200)-1))-VALUE(MID(AK200,FIND("-",AK200)+1,10)))))*$D$50),$D$9*(1-(IF($N200="X",ABS($O200-VALUE(MID(AK200,FIND("|",AK200)+1,FIND("-",AK200)-FIND("|",AK200)-1))),ABS($Q200-ABS(VALUE(MID(AK200,FIND("|",AK200)+1,FIND("-",AK200)-FIND("|",AK200)-1))-VALUE(MID(AK200,FIND("-",AK200)+1,10)))))*$D$50)))))*$I200,0)),0)</f>
        <v>0</v>
      </c>
      <c r="AM200" s="102"/>
      <c r="AN200" s="59" t="s">
        <v>1955</v>
      </c>
      <c r="AO200" s="66">
        <f>IFERROR(IF($M200=AN200,($D$8+$D$9+$D$10)*$I200,IF($N200=LEFT(AN200,1),($D$8+MAX(0,IF($D$50=1,$D$9*(1-(ABS($Q200-ABS(VALUE(MID(AN200,FIND("|",AN200)+1,FIND("-",AN200)-FIND("|",AN200)-1))-VALUE(MID(AN200,FIND("-",AN200)+1,10)))))*$D$50),$D$9*(1-(IF($N200="X",ABS($O200-VALUE(MID(AN200,FIND("|",AN200)+1,FIND("-",AN200)-FIND("|",AN200)-1))),ABS($Q200-ABS(VALUE(MID(AN200,FIND("|",AN200)+1,FIND("-",AN200)-FIND("|",AN200)-1))-VALUE(MID(AN200,FIND("-",AN200)+1,10)))))*$D$50)))))*$I200,0)),0)</f>
        <v>0</v>
      </c>
      <c r="AP200" s="102"/>
      <c r="AQ200" s="59" t="s">
        <v>1960</v>
      </c>
      <c r="AR200" s="66">
        <f>IFERROR(IF($M200=AQ200,($D$8+$D$9+$D$10)*$I200,IF($N200=LEFT(AQ200,1),($D$8+MAX(0,IF($D$50=1,$D$9*(1-(ABS($Q200-ABS(VALUE(MID(AQ200,FIND("|",AQ200)+1,FIND("-",AQ200)-FIND("|",AQ200)-1))-VALUE(MID(AQ200,FIND("-",AQ200)+1,10)))))*$D$50),$D$9*(1-(IF($N200="X",ABS($O200-VALUE(MID(AQ200,FIND("|",AQ200)+1,FIND("-",AQ200)-FIND("|",AQ200)-1))),ABS($Q200-ABS(VALUE(MID(AQ200,FIND("|",AQ200)+1,FIND("-",AQ200)-FIND("|",AQ200)-1))-VALUE(MID(AQ200,FIND("-",AQ200)+1,10)))))*$D$50)))))*$I200,0)),0)</f>
        <v>0</v>
      </c>
      <c r="AS200" s="102"/>
      <c r="AT200" s="59" t="s">
        <v>1955</v>
      </c>
      <c r="AU200" s="66">
        <f>IFERROR(IF($M200=AT200,($D$8+$D$9+$D$10)*$I200,IF($N200=LEFT(AT200,1),($D$8+MAX(0,IF($D$50=1,$D$9*(1-(ABS($Q200-ABS(VALUE(MID(AT200,FIND("|",AT200)+1,FIND("-",AT200)-FIND("|",AT200)-1))-VALUE(MID(AT200,FIND("-",AT200)+1,10)))))*$D$50),$D$9*(1-(IF($N200="X",ABS($O200-VALUE(MID(AT200,FIND("|",AT200)+1,FIND("-",AT200)-FIND("|",AT200)-1))),ABS($Q200-ABS(VALUE(MID(AT200,FIND("|",AT200)+1,FIND("-",AT200)-FIND("|",AT200)-1))-VALUE(MID(AT200,FIND("-",AT200)+1,10)))))*$D$50)))))*$I200,0)),0)</f>
        <v>0</v>
      </c>
      <c r="AV200" s="102"/>
      <c r="AW200" s="59" t="s">
        <v>1955</v>
      </c>
      <c r="AX200" s="66">
        <f>IFERROR(IF($M200=AW200,($D$8+$D$9+$D$10)*$I200,IF($N200=LEFT(AW200,1),($D$8+MAX(0,IF($D$50=1,$D$9*(1-(ABS($Q200-ABS(VALUE(MID(AW200,FIND("|",AW200)+1,FIND("-",AW200)-FIND("|",AW200)-1))-VALUE(MID(AW200,FIND("-",AW200)+1,10)))))*$D$50),$D$9*(1-(IF($N200="X",ABS($O200-VALUE(MID(AW200,FIND("|",AW200)+1,FIND("-",AW200)-FIND("|",AW200)-1))),ABS($Q200-ABS(VALUE(MID(AW200,FIND("|",AW200)+1,FIND("-",AW200)-FIND("|",AW200)-1))-VALUE(MID(AW200,FIND("-",AW200)+1,10)))))*$D$50)))))*$I200,0)),0)</f>
        <v>0</v>
      </c>
      <c r="AY200" s="102"/>
      <c r="AZ200" s="59" t="s">
        <v>1955</v>
      </c>
      <c r="BA200" s="66">
        <f>IFERROR(IF($M200=AZ200,($D$8+$D$9+$D$10)*$I200,IF($N200=LEFT(AZ200,1),($D$8+MAX(0,IF($D$50=1,$D$9*(1-(ABS($Q200-ABS(VALUE(MID(AZ200,FIND("|",AZ200)+1,FIND("-",AZ200)-FIND("|",AZ200)-1))-VALUE(MID(AZ200,FIND("-",AZ200)+1,10)))))*$D$50),$D$9*(1-(IF($N200="X",ABS($O200-VALUE(MID(AZ200,FIND("|",AZ200)+1,FIND("-",AZ200)-FIND("|",AZ200)-1))),ABS($Q200-ABS(VALUE(MID(AZ200,FIND("|",AZ200)+1,FIND("-",AZ200)-FIND("|",AZ200)-1))-VALUE(MID(AZ200,FIND("-",AZ200)+1,10)))))*$D$50)))))*$I200,0)),0)</f>
        <v>0</v>
      </c>
      <c r="BB200" s="102"/>
      <c r="BC200" s="59" t="s">
        <v>1960</v>
      </c>
      <c r="BD200" s="66">
        <f>IFERROR(IF($M200=BC200,($D$8+$D$9+$D$10)*$I200,IF($N200=LEFT(BC200,1),($D$8+MAX(0,IF($D$50=1,$D$9*(1-(ABS($Q200-ABS(VALUE(MID(BC200,FIND("|",BC200)+1,FIND("-",BC200)-FIND("|",BC200)-1))-VALUE(MID(BC200,FIND("-",BC200)+1,10)))))*$D$50),$D$9*(1-(IF($N200="X",ABS($O200-VALUE(MID(BC200,FIND("|",BC200)+1,FIND("-",BC200)-FIND("|",BC200)-1))),ABS($Q200-ABS(VALUE(MID(BC200,FIND("|",BC200)+1,FIND("-",BC200)-FIND("|",BC200)-1))-VALUE(MID(BC200,FIND("-",BC200)+1,10)))))*$D$50)))))*$I200,0)),0)</f>
        <v>0</v>
      </c>
      <c r="BE200" s="102"/>
      <c r="BF200" s="59" t="s">
        <v>1950</v>
      </c>
      <c r="BG200" s="66">
        <f>IFERROR(IF($M200=BF200,($D$8+$D$9+$D$10)*$I200,IF($N200=LEFT(BF200,1),($D$8+MAX(0,IF($D$50=1,$D$9*(1-(ABS($Q200-ABS(VALUE(MID(BF200,FIND("|",BF200)+1,FIND("-",BF200)-FIND("|",BF200)-1))-VALUE(MID(BF200,FIND("-",BF200)+1,10)))))*$D$50),$D$9*(1-(IF($N200="X",ABS($O200-VALUE(MID(BF200,FIND("|",BF200)+1,FIND("-",BF200)-FIND("|",BF200)-1))),ABS($Q200-ABS(VALUE(MID(BF200,FIND("|",BF200)+1,FIND("-",BF200)-FIND("|",BF200)-1))-VALUE(MID(BF200,FIND("-",BF200)+1,10)))))*$D$50)))))*$I200,0)),0)</f>
        <v>0</v>
      </c>
      <c r="BH200" s="102"/>
      <c r="BI200" s="59" t="s">
        <v>1950</v>
      </c>
      <c r="BJ200" s="66">
        <f>IFERROR(IF($M200=BI200,($D$8+$D$9+$D$10)*$I200,IF($N200=LEFT(BI200,1),($D$8+MAX(0,IF($D$50=1,$D$9*(1-(ABS($Q200-ABS(VALUE(MID(BI200,FIND("|",BI200)+1,FIND("-",BI200)-FIND("|",BI200)-1))-VALUE(MID(BI200,FIND("-",BI200)+1,10)))))*$D$50),$D$9*(1-(IF($N200="X",ABS($O200-VALUE(MID(BI200,FIND("|",BI200)+1,FIND("-",BI200)-FIND("|",BI200)-1))),ABS($Q200-ABS(VALUE(MID(BI200,FIND("|",BI200)+1,FIND("-",BI200)-FIND("|",BI200)-1))-VALUE(MID(BI200,FIND("-",BI200)+1,10)))))*$D$50)))))*$I200,0)),0)</f>
        <v>0</v>
      </c>
      <c r="BK200" s="102"/>
      <c r="BL200" s="59" t="s">
        <v>1955</v>
      </c>
      <c r="BM200" s="66">
        <f>IFERROR(IF($M200=BL200,($D$8+$D$9+$D$10)*$I200,IF($N200=LEFT(BL200,1),($D$8+MAX(0,IF($D$50=1,$D$9*(1-(ABS($Q200-ABS(VALUE(MID(BL200,FIND("|",BL200)+1,FIND("-",BL200)-FIND("|",BL200)-1))-VALUE(MID(BL200,FIND("-",BL200)+1,10)))))*$D$50),$D$9*(1-(IF($N200="X",ABS($O200-VALUE(MID(BL200,FIND("|",BL200)+1,FIND("-",BL200)-FIND("|",BL200)-1))),ABS($Q200-ABS(VALUE(MID(BL200,FIND("|",BL200)+1,FIND("-",BL200)-FIND("|",BL200)-1))-VALUE(MID(BL200,FIND("-",BL200)+1,10)))))*$D$50)))))*$I200,0)),0)</f>
        <v>0</v>
      </c>
      <c r="BN200" s="102"/>
      <c r="BO200" s="59" t="s">
        <v>1955</v>
      </c>
      <c r="BP200" s="66">
        <f>IFERROR(IF($M200=BO200,($D$8+$D$9+$D$10)*$I200,IF($N200=LEFT(BO200,1),($D$8+MAX(0,IF($D$50=1,$D$9*(1-(ABS($Q200-ABS(VALUE(MID(BO200,FIND("|",BO200)+1,FIND("-",BO200)-FIND("|",BO200)-1))-VALUE(MID(BO200,FIND("-",BO200)+1,10)))))*$D$50),$D$9*(1-(IF($N200="X",ABS($O200-VALUE(MID(BO200,FIND("|",BO200)+1,FIND("-",BO200)-FIND("|",BO200)-1))),ABS($Q200-ABS(VALUE(MID(BO200,FIND("|",BO200)+1,FIND("-",BO200)-FIND("|",BO200)-1))-VALUE(MID(BO200,FIND("-",BO200)+1,10)))))*$D$50)))))*$I200,0)),0)</f>
        <v>0</v>
      </c>
      <c r="BQ200" s="102"/>
      <c r="BR200" s="59" t="s">
        <v>1955</v>
      </c>
      <c r="BS200" s="66">
        <f>IFERROR(IF($M200=BR200,($D$8+$D$9+$D$10)*$I200,IF($N200=LEFT(BR200,1),($D$8+MAX(0,IF($D$50=1,$D$9*(1-(ABS($Q200-ABS(VALUE(MID(BR200,FIND("|",BR200)+1,FIND("-",BR200)-FIND("|",BR200)-1))-VALUE(MID(BR200,FIND("-",BR200)+1,10)))))*$D$50),$D$9*(1-(IF($N200="X",ABS($O200-VALUE(MID(BR200,FIND("|",BR200)+1,FIND("-",BR200)-FIND("|",BR200)-1))),ABS($Q200-ABS(VALUE(MID(BR200,FIND("|",BR200)+1,FIND("-",BR200)-FIND("|",BR200)-1))-VALUE(MID(BR200,FIND("-",BR200)+1,10)))))*$D$50)))))*$I200,0)),0)</f>
        <v>0</v>
      </c>
      <c r="BT200" s="102"/>
      <c r="BU200" s="59" t="str">
        <f>Idiomas!$D$368</f>
        <v>Pegar Valores Octavos</v>
      </c>
      <c r="BV200" s="66">
        <f>IFERROR(IF($M200=BU200,($D$8+$D$9+$D$10)*$I200,IF($N200=LEFT(BU200,1),($D$8+MAX(0,IF($D$50=1,$D$9*(1-(ABS($Q200-ABS(VALUE(MID(BU200,FIND("|",BU200)+1,FIND("-",BU200)-FIND("|",BU200)-1))-VALUE(MID(BU200,FIND("-",BU200)+1,10)))))*$D$50),$D$9*(1-(IF($N200="X",ABS($O200-VALUE(MID(BU200,FIND("|",BU200)+1,FIND("-",BU200)-FIND("|",BU200)-1))),ABS($Q200-ABS(VALUE(MID(BU200,FIND("|",BU200)+1,FIND("-",BU200)-FIND("|",BU200)-1))-VALUE(MID(BU200,FIND("-",BU200)+1,10)))))*$D$50)))))*$I200,0)),0)</f>
        <v>0</v>
      </c>
      <c r="BW200" s="102"/>
      <c r="BX200" s="59" t="str">
        <f>Idiomas!$D$368</f>
        <v>Pegar Valores Octavos</v>
      </c>
      <c r="BY200" s="66">
        <f>IFERROR(IF($M200=BX200,($D$8+$D$9+$D$10)*$I200,IF($N200=LEFT(BX200,1),($D$8+MAX(0,IF($D$50=1,$D$9*(1-(ABS($Q200-ABS(VALUE(MID(BX200,FIND("|",BX200)+1,FIND("-",BX200)-FIND("|",BX200)-1))-VALUE(MID(BX200,FIND("-",BX200)+1,10)))))*$D$50),$D$9*(1-(IF($N200="X",ABS($O200-VALUE(MID(BX200,FIND("|",BX200)+1,FIND("-",BX200)-FIND("|",BX200)-1))),ABS($Q200-ABS(VALUE(MID(BX200,FIND("|",BX200)+1,FIND("-",BX200)-FIND("|",BX200)-1))-VALUE(MID(BX200,FIND("-",BX200)+1,10)))))*$D$50)))))*$I200,0)),0)</f>
        <v>0</v>
      </c>
      <c r="BZ200" s="102"/>
      <c r="CA200" s="59" t="str">
        <f>Idiomas!$D$368</f>
        <v>Pegar Valores Octavos</v>
      </c>
      <c r="CB200" s="66">
        <f>IFERROR(IF($M200=CA200,($D$8+$D$9+$D$10)*$I200,IF($N200=LEFT(CA200,1),($D$8+MAX(0,IF($D$50=1,$D$9*(1-(ABS($Q200-ABS(VALUE(MID(CA200,FIND("|",CA200)+1,FIND("-",CA200)-FIND("|",CA200)-1))-VALUE(MID(CA200,FIND("-",CA200)+1,10)))))*$D$50),$D$9*(1-(IF($N200="X",ABS($O200-VALUE(MID(CA200,FIND("|",CA200)+1,FIND("-",CA200)-FIND("|",CA200)-1))),ABS($Q200-ABS(VALUE(MID(CA200,FIND("|",CA200)+1,FIND("-",CA200)-FIND("|",CA200)-1))-VALUE(MID(CA200,FIND("-",CA200)+1,10)))))*$D$50)))))*$I200,0)),0)</f>
        <v>0</v>
      </c>
      <c r="CC200" s="102"/>
      <c r="CD200" s="59" t="str">
        <f>Idiomas!$D$368</f>
        <v>Pegar Valores Octavos</v>
      </c>
      <c r="CE200" s="66">
        <f>IFERROR(IF($M200=CD200,($D$8+$D$9+$D$10)*$I200,IF($N200=LEFT(CD200,1),($D$8+MAX(0,IF($D$50=1,$D$9*(1-(ABS($Q200-ABS(VALUE(MID(CD200,FIND("|",CD200)+1,FIND("-",CD200)-FIND("|",CD200)-1))-VALUE(MID(CD200,FIND("-",CD200)+1,10)))))*$D$50),$D$9*(1-(IF($N200="X",ABS($O200-VALUE(MID(CD200,FIND("|",CD200)+1,FIND("-",CD200)-FIND("|",CD200)-1))),ABS($Q200-ABS(VALUE(MID(CD200,FIND("|",CD200)+1,FIND("-",CD200)-FIND("|",CD200)-1))-VALUE(MID(CD200,FIND("-",CD200)+1,10)))))*$D$50)))))*$I200,0)),0)</f>
        <v>0</v>
      </c>
      <c r="CF200" s="102"/>
      <c r="CG200" s="59" t="str">
        <f>Idiomas!$D$368</f>
        <v>Pegar Valores Octavos</v>
      </c>
      <c r="CH200" s="66">
        <f>IFERROR(IF($M200=CG200,($D$8+$D$9+$D$10)*$I200,IF($N200=LEFT(CG200,1),($D$8+MAX(0,IF($D$50=1,$D$9*(1-(ABS($Q200-ABS(VALUE(MID(CG200,FIND("|",CG200)+1,FIND("-",CG200)-FIND("|",CG200)-1))-VALUE(MID(CG200,FIND("-",CG200)+1,10)))))*$D$50),$D$9*(1-(IF($N200="X",ABS($O200-VALUE(MID(CG200,FIND("|",CG200)+1,FIND("-",CG200)-FIND("|",CG200)-1))),ABS($Q200-ABS(VALUE(MID(CG200,FIND("|",CG200)+1,FIND("-",CG200)-FIND("|",CG200)-1))-VALUE(MID(CG200,FIND("-",CG200)+1,10)))))*$D$50)))))*$I200,0)),0)</f>
        <v>0</v>
      </c>
      <c r="CI200" s="102"/>
      <c r="CJ200" s="59" t="str">
        <f>Idiomas!$D$368</f>
        <v>Pegar Valores Octavos</v>
      </c>
      <c r="CK200" s="66">
        <f>IFERROR(IF($M200=CJ200,($D$8+$D$9+$D$10)*$I200,IF($N200=LEFT(CJ200,1),($D$8+MAX(0,IF($D$50=1,$D$9*(1-(ABS($Q200-ABS(VALUE(MID(CJ200,FIND("|",CJ200)+1,FIND("-",CJ200)-FIND("|",CJ200)-1))-VALUE(MID(CJ200,FIND("-",CJ200)+1,10)))))*$D$50),$D$9*(1-(IF($N200="X",ABS($O200-VALUE(MID(CJ200,FIND("|",CJ200)+1,FIND("-",CJ200)-FIND("|",CJ200)-1))),ABS($Q200-ABS(VALUE(MID(CJ200,FIND("|",CJ200)+1,FIND("-",CJ200)-FIND("|",CJ200)-1))-VALUE(MID(CJ200,FIND("-",CJ200)+1,10)))))*$D$50)))))*$I200,0)),0)</f>
        <v>0</v>
      </c>
      <c r="CL200" s="102"/>
      <c r="CM200" s="59" t="str">
        <f>Idiomas!$D$368</f>
        <v>Pegar Valores Octavos</v>
      </c>
      <c r="CN200" s="66">
        <f>IFERROR(IF($M200=CM200,($D$8+$D$9+$D$10)*$I200,IF($N200=LEFT(CM200,1),($D$8+MAX(0,IF($D$50=1,$D$9*(1-(ABS($Q200-ABS(VALUE(MID(CM200,FIND("|",CM200)+1,FIND("-",CM200)-FIND("|",CM200)-1))-VALUE(MID(CM200,FIND("-",CM200)+1,10)))))*$D$50),$D$9*(1-(IF($N200="X",ABS($O200-VALUE(MID(CM200,FIND("|",CM200)+1,FIND("-",CM200)-FIND("|",CM200)-1))),ABS($Q200-ABS(VALUE(MID(CM200,FIND("|",CM200)+1,FIND("-",CM200)-FIND("|",CM200)-1))-VALUE(MID(CM200,FIND("-",CM200)+1,10)))))*$D$50)))))*$I200,0)),0)</f>
        <v>0</v>
      </c>
      <c r="CO200" s="102"/>
      <c r="CP200" s="59" t="str">
        <f>Idiomas!$D$368</f>
        <v>Pegar Valores Octavos</v>
      </c>
      <c r="CQ200" s="66">
        <f>IFERROR(IF($M200=CP200,($D$8+$D$9+$D$10)*$I200,IF($N200=LEFT(CP200,1),($D$8+MAX(0,IF($D$50=1,$D$9*(1-(ABS($Q200-ABS(VALUE(MID(CP200,FIND("|",CP200)+1,FIND("-",CP200)-FIND("|",CP200)-1))-VALUE(MID(CP200,FIND("-",CP200)+1,10)))))*$D$50),$D$9*(1-(IF($N200="X",ABS($O200-VALUE(MID(CP200,FIND("|",CP200)+1,FIND("-",CP200)-FIND("|",CP200)-1))),ABS($Q200-ABS(VALUE(MID(CP200,FIND("|",CP200)+1,FIND("-",CP200)-FIND("|",CP200)-1))-VALUE(MID(CP200,FIND("-",CP200)+1,10)))))*$D$50)))))*$I200,0)),0)</f>
        <v>0</v>
      </c>
      <c r="CR200" s="102"/>
      <c r="CS200" s="59" t="str">
        <f>Idiomas!$D$368</f>
        <v>Pegar Valores Octavos</v>
      </c>
      <c r="CT200" s="66">
        <f>IFERROR(IF($M200=CS200,($D$8+$D$9+$D$10)*$I200,IF($N200=LEFT(CS200,1),($D$8+MAX(0,IF($D$50=1,$D$9*(1-(ABS($Q200-ABS(VALUE(MID(CS200,FIND("|",CS200)+1,FIND("-",CS200)-FIND("|",CS200)-1))-VALUE(MID(CS200,FIND("-",CS200)+1,10)))))*$D$50),$D$9*(1-(IF($N200="X",ABS($O200-VALUE(MID(CS200,FIND("|",CS200)+1,FIND("-",CS200)-FIND("|",CS200)-1))),ABS($Q200-ABS(VALUE(MID(CS200,FIND("|",CS200)+1,FIND("-",CS200)-FIND("|",CS200)-1))-VALUE(MID(CS200,FIND("-",CS200)+1,10)))))*$D$50)))))*$I200,0)),0)</f>
        <v>0</v>
      </c>
      <c r="CU200" s="102"/>
      <c r="CV200" s="59" t="str">
        <f>Idiomas!$D$368</f>
        <v>Pegar Valores Octavos</v>
      </c>
      <c r="CW200" s="66">
        <f>IFERROR(IF($M200=CV200,($D$8+$D$9+$D$10)*$I200,IF($N200=LEFT(CV200,1),($D$8+MAX(0,IF($D$50=1,$D$9*(1-(ABS($Q200-ABS(VALUE(MID(CV200,FIND("|",CV200)+1,FIND("-",CV200)-FIND("|",CV200)-1))-VALUE(MID(CV200,FIND("-",CV200)+1,10)))))*$D$50),$D$9*(1-(IF($N200="X",ABS($O200-VALUE(MID(CV200,FIND("|",CV200)+1,FIND("-",CV200)-FIND("|",CV200)-1))),ABS($Q200-ABS(VALUE(MID(CV200,FIND("|",CV200)+1,FIND("-",CV200)-FIND("|",CV200)-1))-VALUE(MID(CV200,FIND("-",CV200)+1,10)))))*$D$50)))))*$I200,0)),0)</f>
        <v>0</v>
      </c>
      <c r="CX200" s="102"/>
      <c r="CY200" s="59" t="str">
        <f>Idiomas!$D$368</f>
        <v>Pegar Valores Octavos</v>
      </c>
      <c r="CZ200" s="66">
        <f>IFERROR(IF($M200=CY200,($D$8+$D$9+$D$10)*$I200,IF($N200=LEFT(CY200,1),($D$8+MAX(0,IF($D$50=1,$D$9*(1-(ABS($Q200-ABS(VALUE(MID(CY200,FIND("|",CY200)+1,FIND("-",CY200)-FIND("|",CY200)-1))-VALUE(MID(CY200,FIND("-",CY200)+1,10)))))*$D$50),$D$9*(1-(IF($N200="X",ABS($O200-VALUE(MID(CY200,FIND("|",CY200)+1,FIND("-",CY200)-FIND("|",CY200)-1))),ABS($Q200-ABS(VALUE(MID(CY200,FIND("|",CY200)+1,FIND("-",CY200)-FIND("|",CY200)-1))-VALUE(MID(CY200,FIND("-",CY200)+1,10)))))*$D$50)))))*$I200,0)),0)</f>
        <v>0</v>
      </c>
      <c r="DA200" s="102"/>
      <c r="DB200" s="59" t="str">
        <f>Idiomas!$D$368</f>
        <v>Pegar Valores Octavos</v>
      </c>
      <c r="DC200" s="66">
        <f>IFERROR(IF($M200=DB200,($D$8+$D$9+$D$10)*$I200,IF($N200=LEFT(DB200,1),($D$8+MAX(0,IF($D$50=1,$D$9*(1-(ABS($Q200-ABS(VALUE(MID(DB200,FIND("|",DB200)+1,FIND("-",DB200)-FIND("|",DB200)-1))-VALUE(MID(DB200,FIND("-",DB200)+1,10)))))*$D$50),$D$9*(1-(IF($N200="X",ABS($O200-VALUE(MID(DB200,FIND("|",DB200)+1,FIND("-",DB200)-FIND("|",DB200)-1))),ABS($Q200-ABS(VALUE(MID(DB200,FIND("|",DB200)+1,FIND("-",DB200)-FIND("|",DB200)-1))-VALUE(MID(DB200,FIND("-",DB200)+1,10)))))*$D$50)))))*$I200,0)),0)</f>
        <v>0</v>
      </c>
      <c r="DD200" s="102"/>
      <c r="DE200" s="59" t="str">
        <f>Idiomas!$D$368</f>
        <v>Pegar Valores Octavos</v>
      </c>
      <c r="DF200" s="66">
        <f>IFERROR(IF($M200=DE200,($D$8+$D$9+$D$10)*$I200,IF($N200=LEFT(DE200,1),($D$8+MAX(0,IF($D$50=1,$D$9*(1-(ABS($Q200-ABS(VALUE(MID(DE200,FIND("|",DE200)+1,FIND("-",DE200)-FIND("|",DE200)-1))-VALUE(MID(DE200,FIND("-",DE200)+1,10)))))*$D$50),$D$9*(1-(IF($N200="X",ABS($O200-VALUE(MID(DE200,FIND("|",DE200)+1,FIND("-",DE200)-FIND("|",DE200)-1))),ABS($Q200-ABS(VALUE(MID(DE200,FIND("|",DE200)+1,FIND("-",DE200)-FIND("|",DE200)-1))-VALUE(MID(DE200,FIND("-",DE200)+1,10)))))*$D$50)))))*$I200,0)),0)</f>
        <v>0</v>
      </c>
      <c r="DG200" s="102"/>
      <c r="DH200" s="59" t="str">
        <f>Idiomas!$D$368</f>
        <v>Pegar Valores Octavos</v>
      </c>
      <c r="DI200" s="66">
        <f>IFERROR(IF($M200=DH200,($D$8+$D$9+$D$10)*$I200,IF($N200=LEFT(DH200,1),($D$8+MAX(0,IF($D$50=1,$D$9*(1-(ABS($Q200-ABS(VALUE(MID(DH200,FIND("|",DH200)+1,FIND("-",DH200)-FIND("|",DH200)-1))-VALUE(MID(DH200,FIND("-",DH200)+1,10)))))*$D$50),$D$9*(1-(IF($N200="X",ABS($O200-VALUE(MID(DH200,FIND("|",DH200)+1,FIND("-",DH200)-FIND("|",DH200)-1))),ABS($Q200-ABS(VALUE(MID(DH200,FIND("|",DH200)+1,FIND("-",DH200)-FIND("|",DH200)-1))-VALUE(MID(DH200,FIND("-",DH200)+1,10)))))*$D$50)))))*$I200,0)),0)</f>
        <v>0</v>
      </c>
      <c r="DJ200" s="102"/>
      <c r="DK200" s="59" t="str">
        <f>Idiomas!$D$368</f>
        <v>Pegar Valores Octavos</v>
      </c>
      <c r="DL200" s="66">
        <f>IFERROR(IF($M200=DK200,($D$8+$D$9+$D$10)*$I200,IF($N200=LEFT(DK200,1),($D$8+MAX(0,IF($D$50=1,$D$9*(1-(ABS($Q200-ABS(VALUE(MID(DK200,FIND("|",DK200)+1,FIND("-",DK200)-FIND("|",DK200)-1))-VALUE(MID(DK200,FIND("-",DK200)+1,10)))))*$D$50),$D$9*(1-(IF($N200="X",ABS($O200-VALUE(MID(DK200,FIND("|",DK200)+1,FIND("-",DK200)-FIND("|",DK200)-1))),ABS($Q200-ABS(VALUE(MID(DK200,FIND("|",DK200)+1,FIND("-",DK200)-FIND("|",DK200)-1))-VALUE(MID(DK200,FIND("-",DK200)+1,10)))))*$D$50)))))*$I200,0)),0)</f>
        <v>0</v>
      </c>
      <c r="DM200" s="102"/>
      <c r="DN200" s="59" t="str">
        <f>Idiomas!$D$368</f>
        <v>Pegar Valores Octavos</v>
      </c>
      <c r="DO200" s="66">
        <f>IFERROR(IF($M200=DN200,($D$8+$D$9+$D$10)*$I200,IF($N200=LEFT(DN200,1),($D$8+MAX(0,IF($D$50=1,$D$9*(1-(ABS($Q200-ABS(VALUE(MID(DN200,FIND("|",DN200)+1,FIND("-",DN200)-FIND("|",DN200)-1))-VALUE(MID(DN200,FIND("-",DN200)+1,10)))))*$D$50),$D$9*(1-(IF($N200="X",ABS($O200-VALUE(MID(DN200,FIND("|",DN200)+1,FIND("-",DN200)-FIND("|",DN200)-1))),ABS($Q200-ABS(VALUE(MID(DN200,FIND("|",DN200)+1,FIND("-",DN200)-FIND("|",DN200)-1))-VALUE(MID(DN200,FIND("-",DN200)+1,10)))))*$D$50)))))*$I200,0)),0)</f>
        <v>0</v>
      </c>
      <c r="DP200" s="102"/>
      <c r="DQ200" s="59" t="str">
        <f>Idiomas!$D$368</f>
        <v>Pegar Valores Octavos</v>
      </c>
      <c r="DR200" s="66">
        <f>IFERROR(IF($M200=DQ200,($D$8+$D$9+$D$10)*$I200,IF($N200=LEFT(DQ200,1),($D$8+MAX(0,IF($D$50=1,$D$9*(1-(ABS($Q200-ABS(VALUE(MID(DQ200,FIND("|",DQ200)+1,FIND("-",DQ200)-FIND("|",DQ200)-1))-VALUE(MID(DQ200,FIND("-",DQ200)+1,10)))))*$D$50),$D$9*(1-(IF($N200="X",ABS($O200-VALUE(MID(DQ200,FIND("|",DQ200)+1,FIND("-",DQ200)-FIND("|",DQ200)-1))),ABS($Q200-ABS(VALUE(MID(DQ200,FIND("|",DQ200)+1,FIND("-",DQ200)-FIND("|",DQ200)-1))-VALUE(MID(DQ200,FIND("-",DQ200)+1,10)))))*$D$50)))))*$I200,0)),0)</f>
        <v>0</v>
      </c>
      <c r="DS200" s="102"/>
      <c r="DT200" s="59" t="str">
        <f>Idiomas!$D$368</f>
        <v>Pegar Valores Octavos</v>
      </c>
      <c r="DU200" s="66">
        <f>IFERROR(IF($M200=DT200,($D$8+$D$9+$D$10)*$I200,IF($N200=LEFT(DT200,1),($D$8+MAX(0,IF($D$50=1,$D$9*(1-(ABS($Q200-ABS(VALUE(MID(DT200,FIND("|",DT200)+1,FIND("-",DT200)-FIND("|",DT200)-1))-VALUE(MID(DT200,FIND("-",DT200)+1,10)))))*$D$50),$D$9*(1-(IF($N200="X",ABS($O200-VALUE(MID(DT200,FIND("|",DT200)+1,FIND("-",DT200)-FIND("|",DT200)-1))),ABS($Q200-ABS(VALUE(MID(DT200,FIND("|",DT200)+1,FIND("-",DT200)-FIND("|",DT200)-1))-VALUE(MID(DT200,FIND("-",DT200)+1,10)))))*$D$50)))))*$I200,0)),0)</f>
        <v>0</v>
      </c>
      <c r="DV200" s="102"/>
      <c r="DW200" s="59" t="str">
        <f>Idiomas!$D$368</f>
        <v>Pegar Valores Octavos</v>
      </c>
      <c r="DX200" s="66">
        <f>IFERROR(IF($M200=DW200,($D$8+$D$9+$D$10)*$I200,IF($N200=LEFT(DW200,1),($D$8+MAX(0,IF($D$50=1,$D$9*(1-(ABS($Q200-ABS(VALUE(MID(DW200,FIND("|",DW200)+1,FIND("-",DW200)-FIND("|",DW200)-1))-VALUE(MID(DW200,FIND("-",DW200)+1,10)))))*$D$50),$D$9*(1-(IF($N200="X",ABS($O200-VALUE(MID(DW200,FIND("|",DW200)+1,FIND("-",DW200)-FIND("|",DW200)-1))),ABS($Q200-ABS(VALUE(MID(DW200,FIND("|",DW200)+1,FIND("-",DW200)-FIND("|",DW200)-1))-VALUE(MID(DW200,FIND("-",DW200)+1,10)))))*$D$50)))))*$I200,0)),0)</f>
        <v>0</v>
      </c>
      <c r="DY200" s="102"/>
      <c r="DZ200" s="59" t="str">
        <f>Idiomas!$D$368</f>
        <v>Pegar Valores Octavos</v>
      </c>
      <c r="EA200" s="66">
        <f>IFERROR(IF($M200=DZ200,($D$8+$D$9+$D$10)*$I200,IF($N200=LEFT(DZ200,1),($D$8+MAX(0,IF($D$50=1,$D$9*(1-(ABS($Q200-ABS(VALUE(MID(DZ200,FIND("|",DZ200)+1,FIND("-",DZ200)-FIND("|",DZ200)-1))-VALUE(MID(DZ200,FIND("-",DZ200)+1,10)))))*$D$50),$D$9*(1-(IF($N200="X",ABS($O200-VALUE(MID(DZ200,FIND("|",DZ200)+1,FIND("-",DZ200)-FIND("|",DZ200)-1))),ABS($Q200-ABS(VALUE(MID(DZ200,FIND("|",DZ200)+1,FIND("-",DZ200)-FIND("|",DZ200)-1))-VALUE(MID(DZ200,FIND("-",DZ200)+1,10)))))*$D$50)))))*$I200,0)),0)</f>
        <v>0</v>
      </c>
      <c r="EB200" s="102"/>
      <c r="EC200" s="59" t="str">
        <f>Idiomas!$D$368</f>
        <v>Pegar Valores Octavos</v>
      </c>
      <c r="ED200" s="66">
        <f>IFERROR(IF($M200=EC200,($D$8+$D$9+$D$10)*$I200,IF($N200=LEFT(EC200,1),($D$8+MAX(0,IF($D$50=1,$D$9*(1-(ABS($Q200-ABS(VALUE(MID(EC200,FIND("|",EC200)+1,FIND("-",EC200)-FIND("|",EC200)-1))-VALUE(MID(EC200,FIND("-",EC200)+1,10)))))*$D$50),$D$9*(1-(IF($N200="X",ABS($O200-VALUE(MID(EC200,FIND("|",EC200)+1,FIND("-",EC200)-FIND("|",EC200)-1))),ABS($Q200-ABS(VALUE(MID(EC200,FIND("|",EC200)+1,FIND("-",EC200)-FIND("|",EC200)-1))-VALUE(MID(EC200,FIND("-",EC200)+1,10)))))*$D$50)))))*$I200,0)),0)</f>
        <v>0</v>
      </c>
      <c r="EE200" s="102"/>
      <c r="EF200" s="59" t="str">
        <f>Idiomas!$D$368</f>
        <v>Pegar Valores Octavos</v>
      </c>
      <c r="EG200" s="66">
        <f>IFERROR(IF($M200=EF200,($D$8+$D$9+$D$10)*$I200,IF($N200=LEFT(EF200,1),($D$8+MAX(0,IF($D$50=1,$D$9*(1-(ABS($Q200-ABS(VALUE(MID(EF200,FIND("|",EF200)+1,FIND("-",EF200)-FIND("|",EF200)-1))-VALUE(MID(EF200,FIND("-",EF200)+1,10)))))*$D$50),$D$9*(1-(IF($N200="X",ABS($O200-VALUE(MID(EF200,FIND("|",EF200)+1,FIND("-",EF200)-FIND("|",EF200)-1))),ABS($Q200-ABS(VALUE(MID(EF200,FIND("|",EF200)+1,FIND("-",EF200)-FIND("|",EF200)-1))-VALUE(MID(EF200,FIND("-",EF200)+1,10)))))*$D$50)))))*$I200,0)),0)</f>
        <v>0</v>
      </c>
      <c r="EH200" s="102"/>
      <c r="EI200" s="102"/>
    </row>
    <row r="201" spans="1:139">
      <c r="A201" s="711">
        <f>WORLDCUP!AD121</f>
        <v>0</v>
      </c>
      <c r="B201" s="711">
        <f>WORLDCUP!AC121</f>
        <v>0</v>
      </c>
      <c r="C201" s="805" t="str">
        <f>CONCATENATE(WORLDCUP!AF121,"-",WORLDCUP!AA121)</f>
        <v>W77-W74</v>
      </c>
      <c r="D201" s="805" t="str">
        <f>IF(WORLDCUP!AC121&gt;WORLDCUP!AD121,2,IF(WORLDCUP!AC121&lt;WORLDCUP!AD121,1,IF(AND(WORLDCUP!AC121=WORLDCUP!AD121,WORLDCUP!AC121&lt;&gt;"",WORLDCUP!AD121&lt;&gt;""),0,"PD")))</f>
        <v>PD</v>
      </c>
      <c r="E201" s="805" t="str">
        <f>IF(OR(WORLDCUP!AD121="",WORLDCUP!AC121=""),"-",A201&amp;"-"&amp;B201)</f>
        <v>-</v>
      </c>
      <c r="F201" s="806">
        <f t="shared" ref="F201:F207" si="2045">SUM($D$20:$D$22)*I201</f>
        <v>17</v>
      </c>
      <c r="G201" s="806">
        <f ca="1">VLOOKUP(H201,Equipos!$Q$1:$R$25,2,0)</f>
        <v>21</v>
      </c>
      <c r="H201" s="800" t="str">
        <f>Idiomas!$D$261</f>
        <v>Octavos de final</v>
      </c>
      <c r="I201" s="808">
        <v>1</v>
      </c>
      <c r="J201" s="859"/>
      <c r="K201" s="49" t="str">
        <f>CONCATENATE(WORLDCUP!AA121,"-",WORLDCUP!AF121)</f>
        <v>W74-W77</v>
      </c>
      <c r="L201" s="46" t="str">
        <f>IF(OR(WORLDCUP!AC121="",WORLDCUP!AD121=""),"PD",IF(WORLDCUP!AC121&gt;WORLDCUP!AD121,1,IF(WORLDCUP!AC121&lt;WORLDCUP!AD121,2,0)))</f>
        <v>PD</v>
      </c>
      <c r="M201" s="48" t="str">
        <f>IF(OR(WORLDCUP!AC121="",WORLDCUP!AD121=""),"-",N201&amp;"|"&amp;O201&amp;"-"&amp;P201)</f>
        <v>-</v>
      </c>
      <c r="N201" s="711" t="str">
        <f>IF(OR(WORLDCUP!AC121="",WORLDCUP!AD121=""),"",IF(WORLDCUP!AC121&gt;WORLDCUP!AD121,"1",IF(WORLDCUP!AC121&lt;WORLDCUP!AD121,"2","X")))</f>
        <v/>
      </c>
      <c r="O201" s="711">
        <f>WORLDCUP!AC121</f>
        <v>0</v>
      </c>
      <c r="P201" s="711">
        <f>WORLDCUP!AD121</f>
        <v>0</v>
      </c>
      <c r="Q201" s="711">
        <f t="shared" ref="Q201:Q207" si="2046">ABS(O201-P201)</f>
        <v>0</v>
      </c>
      <c r="R201" s="102"/>
      <c r="S201" s="67" t="s">
        <v>1954</v>
      </c>
      <c r="T201" s="66">
        <f t="shared" ref="T201:T207" si="2047">IFERROR(IF($M201=S201,($D$8+$D$9+$D$10)*$I201,IF($N201=LEFT(S201,1),($D$8+MAX(0,IF($D$50=1,$D$9*(1-(ABS($Q201-ABS(VALUE(MID(S201,FIND("|",S201)+1,FIND("-",S201)-FIND("|",S201)-1))-VALUE(MID(S201,FIND("-",S201)+1,10)))))*$D$50),$D$9*(1-(IF($N201="X",ABS($O201-VALUE(MID(S201,FIND("|",S201)+1,FIND("-",S201)-FIND("|",S201)-1))),ABS($Q201-ABS(VALUE(MID(S201,FIND("|",S201)+1,FIND("-",S201)-FIND("|",S201)-1))-VALUE(MID(S201,FIND("-",S201)+1,10)))))*$D$50)))))*$I201,0)),0)</f>
        <v>0</v>
      </c>
      <c r="U201" s="102"/>
      <c r="V201" s="73" t="s">
        <v>1951</v>
      </c>
      <c r="W201" s="66">
        <f t="shared" ref="W201:W207" si="2048">IFERROR(IF($M201=V201,($D$8+$D$9+$D$10)*$I201,IF($N201=LEFT(V201,1),($D$8+MAX(0,IF($D$50=1,$D$9*(1-(ABS($Q201-ABS(VALUE(MID(V201,FIND("|",V201)+1,FIND("-",V201)-FIND("|",V201)-1))-VALUE(MID(V201,FIND("-",V201)+1,10)))))*$D$50),$D$9*(1-(IF($N201="X",ABS($O201-VALUE(MID(V201,FIND("|",V201)+1,FIND("-",V201)-FIND("|",V201)-1))),ABS($Q201-ABS(VALUE(MID(V201,FIND("|",V201)+1,FIND("-",V201)-FIND("|",V201)-1))-VALUE(MID(V201,FIND("-",V201)+1,10)))))*$D$50)))))*$I201,0)),0)</f>
        <v>0</v>
      </c>
      <c r="X201" s="102"/>
      <c r="Y201" s="73" t="s">
        <v>1947</v>
      </c>
      <c r="Z201" s="66">
        <f t="shared" ref="Z201:Z207" si="2049">IFERROR(IF($M201=Y201,($D$8+$D$9+$D$10)*$I201,IF($N201=LEFT(Y201,1),($D$8+MAX(0,IF($D$50=1,$D$9*(1-(ABS($Q201-ABS(VALUE(MID(Y201,FIND("|",Y201)+1,FIND("-",Y201)-FIND("|",Y201)-1))-VALUE(MID(Y201,FIND("-",Y201)+1,10)))))*$D$50),$D$9*(1-(IF($N201="X",ABS($O201-VALUE(MID(Y201,FIND("|",Y201)+1,FIND("-",Y201)-FIND("|",Y201)-1))),ABS($Q201-ABS(VALUE(MID(Y201,FIND("|",Y201)+1,FIND("-",Y201)-FIND("|",Y201)-1))-VALUE(MID(Y201,FIND("-",Y201)+1,10)))))*$D$50)))))*$I201,0)),0)</f>
        <v>0</v>
      </c>
      <c r="AA201" s="102"/>
      <c r="AB201" s="73" t="s">
        <v>1955</v>
      </c>
      <c r="AC201" s="66">
        <f t="shared" ref="AC201:AC207" si="2050">IFERROR(IF($M201=AB201,($D$8+$D$9+$D$10)*$I201,IF($N201=LEFT(AB201,1),($D$8+MAX(0,IF($D$50=1,$D$9*(1-(ABS($Q201-ABS(VALUE(MID(AB201,FIND("|",AB201)+1,FIND("-",AB201)-FIND("|",AB201)-1))-VALUE(MID(AB201,FIND("-",AB201)+1,10)))))*$D$50),$D$9*(1-(IF($N201="X",ABS($O201-VALUE(MID(AB201,FIND("|",AB201)+1,FIND("-",AB201)-FIND("|",AB201)-1))),ABS($Q201-ABS(VALUE(MID(AB201,FIND("|",AB201)+1,FIND("-",AB201)-FIND("|",AB201)-1))-VALUE(MID(AB201,FIND("-",AB201)+1,10)))))*$D$50)))))*$I201,0)),0)</f>
        <v>0</v>
      </c>
      <c r="AD201" s="102"/>
      <c r="AE201" s="73" t="s">
        <v>1951</v>
      </c>
      <c r="AF201" s="66">
        <f t="shared" ref="AF201:AF207" si="2051">IFERROR(IF($M201=AE201,($D$8+$D$9+$D$10)*$I201,IF($N201=LEFT(AE201,1),($D$8+MAX(0,IF($D$50=1,$D$9*(1-(ABS($Q201-ABS(VALUE(MID(AE201,FIND("|",AE201)+1,FIND("-",AE201)-FIND("|",AE201)-1))-VALUE(MID(AE201,FIND("-",AE201)+1,10)))))*$D$50),$D$9*(1-(IF($N201="X",ABS($O201-VALUE(MID(AE201,FIND("|",AE201)+1,FIND("-",AE201)-FIND("|",AE201)-1))),ABS($Q201-ABS(VALUE(MID(AE201,FIND("|",AE201)+1,FIND("-",AE201)-FIND("|",AE201)-1))-VALUE(MID(AE201,FIND("-",AE201)+1,10)))))*$D$50)))))*$I201,0)),0)</f>
        <v>0</v>
      </c>
      <c r="AG201" s="102"/>
      <c r="AH201" s="67" t="s">
        <v>1948</v>
      </c>
      <c r="AI201" s="66">
        <f t="shared" ref="AI201:AI207" si="2052">IFERROR(IF($M201=AH201,($D$8+$D$9+$D$10)*$I201,IF($N201=LEFT(AH201,1),($D$8+MAX(0,IF($D$50=1,$D$9*(1-(ABS($Q201-ABS(VALUE(MID(AH201,FIND("|",AH201)+1,FIND("-",AH201)-FIND("|",AH201)-1))-VALUE(MID(AH201,FIND("-",AH201)+1,10)))))*$D$50),$D$9*(1-(IF($N201="X",ABS($O201-VALUE(MID(AH201,FIND("|",AH201)+1,FIND("-",AH201)-FIND("|",AH201)-1))),ABS($Q201-ABS(VALUE(MID(AH201,FIND("|",AH201)+1,FIND("-",AH201)-FIND("|",AH201)-1))-VALUE(MID(AH201,FIND("-",AH201)+1,10)))))*$D$50)))))*$I201,0)),0)</f>
        <v>0</v>
      </c>
      <c r="AJ201" s="102"/>
      <c r="AK201" s="73" t="s">
        <v>1955</v>
      </c>
      <c r="AL201" s="66">
        <f t="shared" ref="AL201:AL207" si="2053">IFERROR(IF($M201=AK201,($D$8+$D$9+$D$10)*$I201,IF($N201=LEFT(AK201,1),($D$8+MAX(0,IF($D$50=1,$D$9*(1-(ABS($Q201-ABS(VALUE(MID(AK201,FIND("|",AK201)+1,FIND("-",AK201)-FIND("|",AK201)-1))-VALUE(MID(AK201,FIND("-",AK201)+1,10)))))*$D$50),$D$9*(1-(IF($N201="X",ABS($O201-VALUE(MID(AK201,FIND("|",AK201)+1,FIND("-",AK201)-FIND("|",AK201)-1))),ABS($Q201-ABS(VALUE(MID(AK201,FIND("|",AK201)+1,FIND("-",AK201)-FIND("|",AK201)-1))-VALUE(MID(AK201,FIND("-",AK201)+1,10)))))*$D$50)))))*$I201,0)),0)</f>
        <v>0</v>
      </c>
      <c r="AM201" s="102"/>
      <c r="AN201" s="73" t="s">
        <v>1948</v>
      </c>
      <c r="AO201" s="66">
        <f t="shared" ref="AO201:AO207" si="2054">IFERROR(IF($M201=AN201,($D$8+$D$9+$D$10)*$I201,IF($N201=LEFT(AN201,1),($D$8+MAX(0,IF($D$50=1,$D$9*(1-(ABS($Q201-ABS(VALUE(MID(AN201,FIND("|",AN201)+1,FIND("-",AN201)-FIND("|",AN201)-1))-VALUE(MID(AN201,FIND("-",AN201)+1,10)))))*$D$50),$D$9*(1-(IF($N201="X",ABS($O201-VALUE(MID(AN201,FIND("|",AN201)+1,FIND("-",AN201)-FIND("|",AN201)-1))),ABS($Q201-ABS(VALUE(MID(AN201,FIND("|",AN201)+1,FIND("-",AN201)-FIND("|",AN201)-1))-VALUE(MID(AN201,FIND("-",AN201)+1,10)))))*$D$50)))))*$I201,0)),0)</f>
        <v>0</v>
      </c>
      <c r="AP201" s="102"/>
      <c r="AQ201" s="73" t="s">
        <v>1947</v>
      </c>
      <c r="AR201" s="66">
        <f t="shared" ref="AR201:AR207" si="2055">IFERROR(IF($M201=AQ201,($D$8+$D$9+$D$10)*$I201,IF($N201=LEFT(AQ201,1),($D$8+MAX(0,IF($D$50=1,$D$9*(1-(ABS($Q201-ABS(VALUE(MID(AQ201,FIND("|",AQ201)+1,FIND("-",AQ201)-FIND("|",AQ201)-1))-VALUE(MID(AQ201,FIND("-",AQ201)+1,10)))))*$D$50),$D$9*(1-(IF($N201="X",ABS($O201-VALUE(MID(AQ201,FIND("|",AQ201)+1,FIND("-",AQ201)-FIND("|",AQ201)-1))),ABS($Q201-ABS(VALUE(MID(AQ201,FIND("|",AQ201)+1,FIND("-",AQ201)-FIND("|",AQ201)-1))-VALUE(MID(AQ201,FIND("-",AQ201)+1,10)))))*$D$50)))))*$I201,0)),0)</f>
        <v>0</v>
      </c>
      <c r="AS201" s="102"/>
      <c r="AT201" s="73" t="s">
        <v>1963</v>
      </c>
      <c r="AU201" s="66">
        <f t="shared" ref="AU201:AU207" si="2056">IFERROR(IF($M201=AT201,($D$8+$D$9+$D$10)*$I201,IF($N201=LEFT(AT201,1),($D$8+MAX(0,IF($D$50=1,$D$9*(1-(ABS($Q201-ABS(VALUE(MID(AT201,FIND("|",AT201)+1,FIND("-",AT201)-FIND("|",AT201)-1))-VALUE(MID(AT201,FIND("-",AT201)+1,10)))))*$D$50),$D$9*(1-(IF($N201="X",ABS($O201-VALUE(MID(AT201,FIND("|",AT201)+1,FIND("-",AT201)-FIND("|",AT201)-1))),ABS($Q201-ABS(VALUE(MID(AT201,FIND("|",AT201)+1,FIND("-",AT201)-FIND("|",AT201)-1))-VALUE(MID(AT201,FIND("-",AT201)+1,10)))))*$D$50)))))*$I201,0)),0)</f>
        <v>0</v>
      </c>
      <c r="AV201" s="102"/>
      <c r="AW201" s="67" t="s">
        <v>1960</v>
      </c>
      <c r="AX201" s="66">
        <f t="shared" ref="AX201:AX207" si="2057">IFERROR(IF($M201=AW201,($D$8+$D$9+$D$10)*$I201,IF($N201=LEFT(AW201,1),($D$8+MAX(0,IF($D$50=1,$D$9*(1-(ABS($Q201-ABS(VALUE(MID(AW201,FIND("|",AW201)+1,FIND("-",AW201)-FIND("|",AW201)-1))-VALUE(MID(AW201,FIND("-",AW201)+1,10)))))*$D$50),$D$9*(1-(IF($N201="X",ABS($O201-VALUE(MID(AW201,FIND("|",AW201)+1,FIND("-",AW201)-FIND("|",AW201)-1))),ABS($Q201-ABS(VALUE(MID(AW201,FIND("|",AW201)+1,FIND("-",AW201)-FIND("|",AW201)-1))-VALUE(MID(AW201,FIND("-",AW201)+1,10)))))*$D$50)))))*$I201,0)),0)</f>
        <v>0</v>
      </c>
      <c r="AY201" s="102"/>
      <c r="AZ201" s="73" t="s">
        <v>1955</v>
      </c>
      <c r="BA201" s="66">
        <f t="shared" ref="BA201:BA207" si="2058">IFERROR(IF($M201=AZ201,($D$8+$D$9+$D$10)*$I201,IF($N201=LEFT(AZ201,1),($D$8+MAX(0,IF($D$50=1,$D$9*(1-(ABS($Q201-ABS(VALUE(MID(AZ201,FIND("|",AZ201)+1,FIND("-",AZ201)-FIND("|",AZ201)-1))-VALUE(MID(AZ201,FIND("-",AZ201)+1,10)))))*$D$50),$D$9*(1-(IF($N201="X",ABS($O201-VALUE(MID(AZ201,FIND("|",AZ201)+1,FIND("-",AZ201)-FIND("|",AZ201)-1))),ABS($Q201-ABS(VALUE(MID(AZ201,FIND("|",AZ201)+1,FIND("-",AZ201)-FIND("|",AZ201)-1))-VALUE(MID(AZ201,FIND("-",AZ201)+1,10)))))*$D$50)))))*$I201,0)),0)</f>
        <v>0</v>
      </c>
      <c r="BB201" s="102"/>
      <c r="BC201" s="73" t="s">
        <v>1954</v>
      </c>
      <c r="BD201" s="66">
        <f t="shared" ref="BD201:BD207" si="2059">IFERROR(IF($M201=BC201,($D$8+$D$9+$D$10)*$I201,IF($N201=LEFT(BC201,1),($D$8+MAX(0,IF($D$50=1,$D$9*(1-(ABS($Q201-ABS(VALUE(MID(BC201,FIND("|",BC201)+1,FIND("-",BC201)-FIND("|",BC201)-1))-VALUE(MID(BC201,FIND("-",BC201)+1,10)))))*$D$50),$D$9*(1-(IF($N201="X",ABS($O201-VALUE(MID(BC201,FIND("|",BC201)+1,FIND("-",BC201)-FIND("|",BC201)-1))),ABS($Q201-ABS(VALUE(MID(BC201,FIND("|",BC201)+1,FIND("-",BC201)-FIND("|",BC201)-1))-VALUE(MID(BC201,FIND("-",BC201)+1,10)))))*$D$50)))))*$I201,0)),0)</f>
        <v>0</v>
      </c>
      <c r="BE201" s="102"/>
      <c r="BF201" s="73" t="s">
        <v>1964</v>
      </c>
      <c r="BG201" s="66">
        <f t="shared" ref="BG201:BG207" si="2060">IFERROR(IF($M201=BF201,($D$8+$D$9+$D$10)*$I201,IF($N201=LEFT(BF201,1),($D$8+MAX(0,IF($D$50=1,$D$9*(1-(ABS($Q201-ABS(VALUE(MID(BF201,FIND("|",BF201)+1,FIND("-",BF201)-FIND("|",BF201)-1))-VALUE(MID(BF201,FIND("-",BF201)+1,10)))))*$D$50),$D$9*(1-(IF($N201="X",ABS($O201-VALUE(MID(BF201,FIND("|",BF201)+1,FIND("-",BF201)-FIND("|",BF201)-1))),ABS($Q201-ABS(VALUE(MID(BF201,FIND("|",BF201)+1,FIND("-",BF201)-FIND("|",BF201)-1))-VALUE(MID(BF201,FIND("-",BF201)+1,10)))))*$D$50)))))*$I201,0)),0)</f>
        <v>0</v>
      </c>
      <c r="BH201" s="102"/>
      <c r="BI201" s="73" t="s">
        <v>1964</v>
      </c>
      <c r="BJ201" s="66">
        <f t="shared" ref="BJ201:BJ207" si="2061">IFERROR(IF($M201=BI201,($D$8+$D$9+$D$10)*$I201,IF($N201=LEFT(BI201,1),($D$8+MAX(0,IF($D$50=1,$D$9*(1-(ABS($Q201-ABS(VALUE(MID(BI201,FIND("|",BI201)+1,FIND("-",BI201)-FIND("|",BI201)-1))-VALUE(MID(BI201,FIND("-",BI201)+1,10)))))*$D$50),$D$9*(1-(IF($N201="X",ABS($O201-VALUE(MID(BI201,FIND("|",BI201)+1,FIND("-",BI201)-FIND("|",BI201)-1))),ABS($Q201-ABS(VALUE(MID(BI201,FIND("|",BI201)+1,FIND("-",BI201)-FIND("|",BI201)-1))-VALUE(MID(BI201,FIND("-",BI201)+1,10)))))*$D$50)))))*$I201,0)),0)</f>
        <v>0</v>
      </c>
      <c r="BK201" s="102"/>
      <c r="BL201" s="67" t="s">
        <v>1951</v>
      </c>
      <c r="BM201" s="66">
        <f t="shared" ref="BM201:BM207" si="2062">IFERROR(IF($M201=BL201,($D$8+$D$9+$D$10)*$I201,IF($N201=LEFT(BL201,1),($D$8+MAX(0,IF($D$50=1,$D$9*(1-(ABS($Q201-ABS(VALUE(MID(BL201,FIND("|",BL201)+1,FIND("-",BL201)-FIND("|",BL201)-1))-VALUE(MID(BL201,FIND("-",BL201)+1,10)))))*$D$50),$D$9*(1-(IF($N201="X",ABS($O201-VALUE(MID(BL201,FIND("|",BL201)+1,FIND("-",BL201)-FIND("|",BL201)-1))),ABS($Q201-ABS(VALUE(MID(BL201,FIND("|",BL201)+1,FIND("-",BL201)-FIND("|",BL201)-1))-VALUE(MID(BL201,FIND("-",BL201)+1,10)))))*$D$50)))))*$I201,0)),0)</f>
        <v>0</v>
      </c>
      <c r="BN201" s="102"/>
      <c r="BO201" s="73" t="s">
        <v>1955</v>
      </c>
      <c r="BP201" s="66">
        <f t="shared" ref="BP201:BP207" si="2063">IFERROR(IF($M201=BO201,($D$8+$D$9+$D$10)*$I201,IF($N201=LEFT(BO201,1),($D$8+MAX(0,IF($D$50=1,$D$9*(1-(ABS($Q201-ABS(VALUE(MID(BO201,FIND("|",BO201)+1,FIND("-",BO201)-FIND("|",BO201)-1))-VALUE(MID(BO201,FIND("-",BO201)+1,10)))))*$D$50),$D$9*(1-(IF($N201="X",ABS($O201-VALUE(MID(BO201,FIND("|",BO201)+1,FIND("-",BO201)-FIND("|",BO201)-1))),ABS($Q201-ABS(VALUE(MID(BO201,FIND("|",BO201)+1,FIND("-",BO201)-FIND("|",BO201)-1))-VALUE(MID(BO201,FIND("-",BO201)+1,10)))))*$D$50)))))*$I201,0)),0)</f>
        <v>0</v>
      </c>
      <c r="BQ201" s="102"/>
      <c r="BR201" s="73" t="s">
        <v>1955</v>
      </c>
      <c r="BS201" s="66">
        <f t="shared" ref="BS201:BS207" si="2064">IFERROR(IF($M201=BR201,($D$8+$D$9+$D$10)*$I201,IF($N201=LEFT(BR201,1),($D$8+MAX(0,IF($D$50=1,$D$9*(1-(ABS($Q201-ABS(VALUE(MID(BR201,FIND("|",BR201)+1,FIND("-",BR201)-FIND("|",BR201)-1))-VALUE(MID(BR201,FIND("-",BR201)+1,10)))))*$D$50),$D$9*(1-(IF($N201="X",ABS($O201-VALUE(MID(BR201,FIND("|",BR201)+1,FIND("-",BR201)-FIND("|",BR201)-1))),ABS($Q201-ABS(VALUE(MID(BR201,FIND("|",BR201)+1,FIND("-",BR201)-FIND("|",BR201)-1))-VALUE(MID(BR201,FIND("-",BR201)+1,10)))))*$D$50)))))*$I201,0)),0)</f>
        <v>0</v>
      </c>
      <c r="BT201" s="102"/>
      <c r="BU201" s="73"/>
      <c r="BV201" s="66">
        <f t="shared" ref="BV201:BV207" si="2065">IFERROR(IF($M201=BU201,($D$8+$D$9+$D$10)*$I201,IF($N201=LEFT(BU201,1),($D$8+MAX(0,IF($D$50=1,$D$9*(1-(ABS($Q201-ABS(VALUE(MID(BU201,FIND("|",BU201)+1,FIND("-",BU201)-FIND("|",BU201)-1))-VALUE(MID(BU201,FIND("-",BU201)+1,10)))))*$D$50),$D$9*(1-(IF($N201="X",ABS($O201-VALUE(MID(BU201,FIND("|",BU201)+1,FIND("-",BU201)-FIND("|",BU201)-1))),ABS($Q201-ABS(VALUE(MID(BU201,FIND("|",BU201)+1,FIND("-",BU201)-FIND("|",BU201)-1))-VALUE(MID(BU201,FIND("-",BU201)+1,10)))))*$D$50)))))*$I201,0)),0)</f>
        <v>0</v>
      </c>
      <c r="BW201" s="102"/>
      <c r="BX201" s="73"/>
      <c r="BY201" s="66">
        <f t="shared" ref="BY201:BY207" si="2066">IFERROR(IF($M201=BX201,($D$8+$D$9+$D$10)*$I201,IF($N201=LEFT(BX201,1),($D$8+MAX(0,IF($D$50=1,$D$9*(1-(ABS($Q201-ABS(VALUE(MID(BX201,FIND("|",BX201)+1,FIND("-",BX201)-FIND("|",BX201)-1))-VALUE(MID(BX201,FIND("-",BX201)+1,10)))))*$D$50),$D$9*(1-(IF($N201="X",ABS($O201-VALUE(MID(BX201,FIND("|",BX201)+1,FIND("-",BX201)-FIND("|",BX201)-1))),ABS($Q201-ABS(VALUE(MID(BX201,FIND("|",BX201)+1,FIND("-",BX201)-FIND("|",BX201)-1))-VALUE(MID(BX201,FIND("-",BX201)+1,10)))))*$D$50)))))*$I201,0)),0)</f>
        <v>0</v>
      </c>
      <c r="BZ201" s="102"/>
      <c r="CA201" s="67"/>
      <c r="CB201" s="66">
        <f t="shared" ref="CB201:CB207" si="2067">IFERROR(IF($M201=CA201,($D$8+$D$9+$D$10)*$I201,IF($N201=LEFT(CA201,1),($D$8+MAX(0,IF($D$50=1,$D$9*(1-(ABS($Q201-ABS(VALUE(MID(CA201,FIND("|",CA201)+1,FIND("-",CA201)-FIND("|",CA201)-1))-VALUE(MID(CA201,FIND("-",CA201)+1,10)))))*$D$50),$D$9*(1-(IF($N201="X",ABS($O201-VALUE(MID(CA201,FIND("|",CA201)+1,FIND("-",CA201)-FIND("|",CA201)-1))),ABS($Q201-ABS(VALUE(MID(CA201,FIND("|",CA201)+1,FIND("-",CA201)-FIND("|",CA201)-1))-VALUE(MID(CA201,FIND("-",CA201)+1,10)))))*$D$50)))))*$I201,0)),0)</f>
        <v>0</v>
      </c>
      <c r="CC201" s="102"/>
      <c r="CD201" s="73"/>
      <c r="CE201" s="66">
        <f t="shared" ref="CE201:CE207" si="2068">IFERROR(IF($M201=CD201,($D$8+$D$9+$D$10)*$I201,IF($N201=LEFT(CD201,1),($D$8+MAX(0,IF($D$50=1,$D$9*(1-(ABS($Q201-ABS(VALUE(MID(CD201,FIND("|",CD201)+1,FIND("-",CD201)-FIND("|",CD201)-1))-VALUE(MID(CD201,FIND("-",CD201)+1,10)))))*$D$50),$D$9*(1-(IF($N201="X",ABS($O201-VALUE(MID(CD201,FIND("|",CD201)+1,FIND("-",CD201)-FIND("|",CD201)-1))),ABS($Q201-ABS(VALUE(MID(CD201,FIND("|",CD201)+1,FIND("-",CD201)-FIND("|",CD201)-1))-VALUE(MID(CD201,FIND("-",CD201)+1,10)))))*$D$50)))))*$I201,0)),0)</f>
        <v>0</v>
      </c>
      <c r="CF201" s="102"/>
      <c r="CG201" s="73"/>
      <c r="CH201" s="66">
        <f t="shared" ref="CH201:CH207" si="2069">IFERROR(IF($M201=CG201,($D$8+$D$9+$D$10)*$I201,IF($N201=LEFT(CG201,1),($D$8+MAX(0,IF($D$50=1,$D$9*(1-(ABS($Q201-ABS(VALUE(MID(CG201,FIND("|",CG201)+1,FIND("-",CG201)-FIND("|",CG201)-1))-VALUE(MID(CG201,FIND("-",CG201)+1,10)))))*$D$50),$D$9*(1-(IF($N201="X",ABS($O201-VALUE(MID(CG201,FIND("|",CG201)+1,FIND("-",CG201)-FIND("|",CG201)-1))),ABS($Q201-ABS(VALUE(MID(CG201,FIND("|",CG201)+1,FIND("-",CG201)-FIND("|",CG201)-1))-VALUE(MID(CG201,FIND("-",CG201)+1,10)))))*$D$50)))))*$I201,0)),0)</f>
        <v>0</v>
      </c>
      <c r="CI201" s="102"/>
      <c r="CJ201" s="73"/>
      <c r="CK201" s="66">
        <f t="shared" ref="CK201:CK207" si="2070">IFERROR(IF($M201=CJ201,($D$8+$D$9+$D$10)*$I201,IF($N201=LEFT(CJ201,1),($D$8+MAX(0,IF($D$50=1,$D$9*(1-(ABS($Q201-ABS(VALUE(MID(CJ201,FIND("|",CJ201)+1,FIND("-",CJ201)-FIND("|",CJ201)-1))-VALUE(MID(CJ201,FIND("-",CJ201)+1,10)))))*$D$50),$D$9*(1-(IF($N201="X",ABS($O201-VALUE(MID(CJ201,FIND("|",CJ201)+1,FIND("-",CJ201)-FIND("|",CJ201)-1))),ABS($Q201-ABS(VALUE(MID(CJ201,FIND("|",CJ201)+1,FIND("-",CJ201)-FIND("|",CJ201)-1))-VALUE(MID(CJ201,FIND("-",CJ201)+1,10)))))*$D$50)))))*$I201,0)),0)</f>
        <v>0</v>
      </c>
      <c r="CL201" s="102"/>
      <c r="CM201" s="73"/>
      <c r="CN201" s="66">
        <f t="shared" ref="CN201:CN207" si="2071">IFERROR(IF($M201=CM201,($D$8+$D$9+$D$10)*$I201,IF($N201=LEFT(CM201,1),($D$8+MAX(0,IF($D$50=1,$D$9*(1-(ABS($Q201-ABS(VALUE(MID(CM201,FIND("|",CM201)+1,FIND("-",CM201)-FIND("|",CM201)-1))-VALUE(MID(CM201,FIND("-",CM201)+1,10)))))*$D$50),$D$9*(1-(IF($N201="X",ABS($O201-VALUE(MID(CM201,FIND("|",CM201)+1,FIND("-",CM201)-FIND("|",CM201)-1))),ABS($Q201-ABS(VALUE(MID(CM201,FIND("|",CM201)+1,FIND("-",CM201)-FIND("|",CM201)-1))-VALUE(MID(CM201,FIND("-",CM201)+1,10)))))*$D$50)))))*$I201,0)),0)</f>
        <v>0</v>
      </c>
      <c r="CO201" s="102"/>
      <c r="CP201" s="67"/>
      <c r="CQ201" s="66">
        <f t="shared" ref="CQ201:CQ207" si="2072">IFERROR(IF($M201=CP201,($D$8+$D$9+$D$10)*$I201,IF($N201=LEFT(CP201,1),($D$8+MAX(0,IF($D$50=1,$D$9*(1-(ABS($Q201-ABS(VALUE(MID(CP201,FIND("|",CP201)+1,FIND("-",CP201)-FIND("|",CP201)-1))-VALUE(MID(CP201,FIND("-",CP201)+1,10)))))*$D$50),$D$9*(1-(IF($N201="X",ABS($O201-VALUE(MID(CP201,FIND("|",CP201)+1,FIND("-",CP201)-FIND("|",CP201)-1))),ABS($Q201-ABS(VALUE(MID(CP201,FIND("|",CP201)+1,FIND("-",CP201)-FIND("|",CP201)-1))-VALUE(MID(CP201,FIND("-",CP201)+1,10)))))*$D$50)))))*$I201,0)),0)</f>
        <v>0</v>
      </c>
      <c r="CR201" s="102"/>
      <c r="CS201" s="73"/>
      <c r="CT201" s="66">
        <f t="shared" ref="CT201:CT207" si="2073">IFERROR(IF($M201=CS201,($D$8+$D$9+$D$10)*$I201,IF($N201=LEFT(CS201,1),($D$8+MAX(0,IF($D$50=1,$D$9*(1-(ABS($Q201-ABS(VALUE(MID(CS201,FIND("|",CS201)+1,FIND("-",CS201)-FIND("|",CS201)-1))-VALUE(MID(CS201,FIND("-",CS201)+1,10)))))*$D$50),$D$9*(1-(IF($N201="X",ABS($O201-VALUE(MID(CS201,FIND("|",CS201)+1,FIND("-",CS201)-FIND("|",CS201)-1))),ABS($Q201-ABS(VALUE(MID(CS201,FIND("|",CS201)+1,FIND("-",CS201)-FIND("|",CS201)-1))-VALUE(MID(CS201,FIND("-",CS201)+1,10)))))*$D$50)))))*$I201,0)),0)</f>
        <v>0</v>
      </c>
      <c r="CU201" s="102"/>
      <c r="CV201" s="73"/>
      <c r="CW201" s="66">
        <f t="shared" ref="CW201:CW207" si="2074">IFERROR(IF($M201=CV201,($D$8+$D$9+$D$10)*$I201,IF($N201=LEFT(CV201,1),($D$8+MAX(0,IF($D$50=1,$D$9*(1-(ABS($Q201-ABS(VALUE(MID(CV201,FIND("|",CV201)+1,FIND("-",CV201)-FIND("|",CV201)-1))-VALUE(MID(CV201,FIND("-",CV201)+1,10)))))*$D$50),$D$9*(1-(IF($N201="X",ABS($O201-VALUE(MID(CV201,FIND("|",CV201)+1,FIND("-",CV201)-FIND("|",CV201)-1))),ABS($Q201-ABS(VALUE(MID(CV201,FIND("|",CV201)+1,FIND("-",CV201)-FIND("|",CV201)-1))-VALUE(MID(CV201,FIND("-",CV201)+1,10)))))*$D$50)))))*$I201,0)),0)</f>
        <v>0</v>
      </c>
      <c r="CX201" s="102"/>
      <c r="CY201" s="73"/>
      <c r="CZ201" s="66">
        <f t="shared" ref="CZ201:CZ207" si="2075">IFERROR(IF($M201=CY201,($D$8+$D$9+$D$10)*$I201,IF($N201=LEFT(CY201,1),($D$8+MAX(0,IF($D$50=1,$D$9*(1-(ABS($Q201-ABS(VALUE(MID(CY201,FIND("|",CY201)+1,FIND("-",CY201)-FIND("|",CY201)-1))-VALUE(MID(CY201,FIND("-",CY201)+1,10)))))*$D$50),$D$9*(1-(IF($N201="X",ABS($O201-VALUE(MID(CY201,FIND("|",CY201)+1,FIND("-",CY201)-FIND("|",CY201)-1))),ABS($Q201-ABS(VALUE(MID(CY201,FIND("|",CY201)+1,FIND("-",CY201)-FIND("|",CY201)-1))-VALUE(MID(CY201,FIND("-",CY201)+1,10)))))*$D$50)))))*$I201,0)),0)</f>
        <v>0</v>
      </c>
      <c r="DA201" s="102"/>
      <c r="DB201" s="73"/>
      <c r="DC201" s="66">
        <f t="shared" ref="DC201:DC207" si="2076">IFERROR(IF($M201=DB201,($D$8+$D$9+$D$10)*$I201,IF($N201=LEFT(DB201,1),($D$8+MAX(0,IF($D$50=1,$D$9*(1-(ABS($Q201-ABS(VALUE(MID(DB201,FIND("|",DB201)+1,FIND("-",DB201)-FIND("|",DB201)-1))-VALUE(MID(DB201,FIND("-",DB201)+1,10)))))*$D$50),$D$9*(1-(IF($N201="X",ABS($O201-VALUE(MID(DB201,FIND("|",DB201)+1,FIND("-",DB201)-FIND("|",DB201)-1))),ABS($Q201-ABS(VALUE(MID(DB201,FIND("|",DB201)+1,FIND("-",DB201)-FIND("|",DB201)-1))-VALUE(MID(DB201,FIND("-",DB201)+1,10)))))*$D$50)))))*$I201,0)),0)</f>
        <v>0</v>
      </c>
      <c r="DD201" s="102"/>
      <c r="DE201" s="67"/>
      <c r="DF201" s="66">
        <f t="shared" ref="DF201:DF207" si="2077">IFERROR(IF($M201=DE201,($D$8+$D$9+$D$10)*$I201,IF($N201=LEFT(DE201,1),($D$8+MAX(0,IF($D$50=1,$D$9*(1-(ABS($Q201-ABS(VALUE(MID(DE201,FIND("|",DE201)+1,FIND("-",DE201)-FIND("|",DE201)-1))-VALUE(MID(DE201,FIND("-",DE201)+1,10)))))*$D$50),$D$9*(1-(IF($N201="X",ABS($O201-VALUE(MID(DE201,FIND("|",DE201)+1,FIND("-",DE201)-FIND("|",DE201)-1))),ABS($Q201-ABS(VALUE(MID(DE201,FIND("|",DE201)+1,FIND("-",DE201)-FIND("|",DE201)-1))-VALUE(MID(DE201,FIND("-",DE201)+1,10)))))*$D$50)))))*$I201,0)),0)</f>
        <v>0</v>
      </c>
      <c r="DG201" s="102"/>
      <c r="DH201" s="73"/>
      <c r="DI201" s="66">
        <f t="shared" ref="DI201:DI207" si="2078">IFERROR(IF($M201=DH201,($D$8+$D$9+$D$10)*$I201,IF($N201=LEFT(DH201,1),($D$8+MAX(0,IF($D$50=1,$D$9*(1-(ABS($Q201-ABS(VALUE(MID(DH201,FIND("|",DH201)+1,FIND("-",DH201)-FIND("|",DH201)-1))-VALUE(MID(DH201,FIND("-",DH201)+1,10)))))*$D$50),$D$9*(1-(IF($N201="X",ABS($O201-VALUE(MID(DH201,FIND("|",DH201)+1,FIND("-",DH201)-FIND("|",DH201)-1))),ABS($Q201-ABS(VALUE(MID(DH201,FIND("|",DH201)+1,FIND("-",DH201)-FIND("|",DH201)-1))-VALUE(MID(DH201,FIND("-",DH201)+1,10)))))*$D$50)))))*$I201,0)),0)</f>
        <v>0</v>
      </c>
      <c r="DJ201" s="102"/>
      <c r="DK201" s="73"/>
      <c r="DL201" s="66">
        <f t="shared" ref="DL201:DL207" si="2079">IFERROR(IF($M201=DK201,($D$8+$D$9+$D$10)*$I201,IF($N201=LEFT(DK201,1),($D$8+MAX(0,IF($D$50=1,$D$9*(1-(ABS($Q201-ABS(VALUE(MID(DK201,FIND("|",DK201)+1,FIND("-",DK201)-FIND("|",DK201)-1))-VALUE(MID(DK201,FIND("-",DK201)+1,10)))))*$D$50),$D$9*(1-(IF($N201="X",ABS($O201-VALUE(MID(DK201,FIND("|",DK201)+1,FIND("-",DK201)-FIND("|",DK201)-1))),ABS($Q201-ABS(VALUE(MID(DK201,FIND("|",DK201)+1,FIND("-",DK201)-FIND("|",DK201)-1))-VALUE(MID(DK201,FIND("-",DK201)+1,10)))))*$D$50)))))*$I201,0)),0)</f>
        <v>0</v>
      </c>
      <c r="DM201" s="102"/>
      <c r="DN201" s="73"/>
      <c r="DO201" s="66">
        <f t="shared" ref="DO201:DO207" si="2080">IFERROR(IF($M201=DN201,($D$8+$D$9+$D$10)*$I201,IF($N201=LEFT(DN201,1),($D$8+MAX(0,IF($D$50=1,$D$9*(1-(ABS($Q201-ABS(VALUE(MID(DN201,FIND("|",DN201)+1,FIND("-",DN201)-FIND("|",DN201)-1))-VALUE(MID(DN201,FIND("-",DN201)+1,10)))))*$D$50),$D$9*(1-(IF($N201="X",ABS($O201-VALUE(MID(DN201,FIND("|",DN201)+1,FIND("-",DN201)-FIND("|",DN201)-1))),ABS($Q201-ABS(VALUE(MID(DN201,FIND("|",DN201)+1,FIND("-",DN201)-FIND("|",DN201)-1))-VALUE(MID(DN201,FIND("-",DN201)+1,10)))))*$D$50)))))*$I201,0)),0)</f>
        <v>0</v>
      </c>
      <c r="DP201" s="102"/>
      <c r="DQ201" s="73"/>
      <c r="DR201" s="66">
        <f t="shared" ref="DR201:DR207" si="2081">IFERROR(IF($M201=DQ201,($D$8+$D$9+$D$10)*$I201,IF($N201=LEFT(DQ201,1),($D$8+MAX(0,IF($D$50=1,$D$9*(1-(ABS($Q201-ABS(VALUE(MID(DQ201,FIND("|",DQ201)+1,FIND("-",DQ201)-FIND("|",DQ201)-1))-VALUE(MID(DQ201,FIND("-",DQ201)+1,10)))))*$D$50),$D$9*(1-(IF($N201="X",ABS($O201-VALUE(MID(DQ201,FIND("|",DQ201)+1,FIND("-",DQ201)-FIND("|",DQ201)-1))),ABS($Q201-ABS(VALUE(MID(DQ201,FIND("|",DQ201)+1,FIND("-",DQ201)-FIND("|",DQ201)-1))-VALUE(MID(DQ201,FIND("-",DQ201)+1,10)))))*$D$50)))))*$I201,0)),0)</f>
        <v>0</v>
      </c>
      <c r="DS201" s="102"/>
      <c r="DT201" s="67"/>
      <c r="DU201" s="66">
        <f t="shared" ref="DU201:DU207" si="2082">IFERROR(IF($M201=DT201,($D$8+$D$9+$D$10)*$I201,IF($N201=LEFT(DT201,1),($D$8+MAX(0,IF($D$50=1,$D$9*(1-(ABS($Q201-ABS(VALUE(MID(DT201,FIND("|",DT201)+1,FIND("-",DT201)-FIND("|",DT201)-1))-VALUE(MID(DT201,FIND("-",DT201)+1,10)))))*$D$50),$D$9*(1-(IF($N201="X",ABS($O201-VALUE(MID(DT201,FIND("|",DT201)+1,FIND("-",DT201)-FIND("|",DT201)-1))),ABS($Q201-ABS(VALUE(MID(DT201,FIND("|",DT201)+1,FIND("-",DT201)-FIND("|",DT201)-1))-VALUE(MID(DT201,FIND("-",DT201)+1,10)))))*$D$50)))))*$I201,0)),0)</f>
        <v>0</v>
      </c>
      <c r="DV201" s="102"/>
      <c r="DW201" s="73"/>
      <c r="DX201" s="66">
        <f t="shared" ref="DX201:DX207" si="2083">IFERROR(IF($M201=DW201,($D$8+$D$9+$D$10)*$I201,IF($N201=LEFT(DW201,1),($D$8+MAX(0,IF($D$50=1,$D$9*(1-(ABS($Q201-ABS(VALUE(MID(DW201,FIND("|",DW201)+1,FIND("-",DW201)-FIND("|",DW201)-1))-VALUE(MID(DW201,FIND("-",DW201)+1,10)))))*$D$50),$D$9*(1-(IF($N201="X",ABS($O201-VALUE(MID(DW201,FIND("|",DW201)+1,FIND("-",DW201)-FIND("|",DW201)-1))),ABS($Q201-ABS(VALUE(MID(DW201,FIND("|",DW201)+1,FIND("-",DW201)-FIND("|",DW201)-1))-VALUE(MID(DW201,FIND("-",DW201)+1,10)))))*$D$50)))))*$I201,0)),0)</f>
        <v>0</v>
      </c>
      <c r="DY201" s="102"/>
      <c r="DZ201" s="73"/>
      <c r="EA201" s="66">
        <f t="shared" ref="EA201:EA207" si="2084">IFERROR(IF($M201=DZ201,($D$8+$D$9+$D$10)*$I201,IF($N201=LEFT(DZ201,1),($D$8+MAX(0,IF($D$50=1,$D$9*(1-(ABS($Q201-ABS(VALUE(MID(DZ201,FIND("|",DZ201)+1,FIND("-",DZ201)-FIND("|",DZ201)-1))-VALUE(MID(DZ201,FIND("-",DZ201)+1,10)))))*$D$50),$D$9*(1-(IF($N201="X",ABS($O201-VALUE(MID(DZ201,FIND("|",DZ201)+1,FIND("-",DZ201)-FIND("|",DZ201)-1))),ABS($Q201-ABS(VALUE(MID(DZ201,FIND("|",DZ201)+1,FIND("-",DZ201)-FIND("|",DZ201)-1))-VALUE(MID(DZ201,FIND("-",DZ201)+1,10)))))*$D$50)))))*$I201,0)),0)</f>
        <v>0</v>
      </c>
      <c r="EB201" s="102"/>
      <c r="EC201" s="73"/>
      <c r="ED201" s="66">
        <f t="shared" ref="ED201:ED207" si="2085">IFERROR(IF($M201=EC201,($D$8+$D$9+$D$10)*$I201,IF($N201=LEFT(EC201,1),($D$8+MAX(0,IF($D$50=1,$D$9*(1-(ABS($Q201-ABS(VALUE(MID(EC201,FIND("|",EC201)+1,FIND("-",EC201)-FIND("|",EC201)-1))-VALUE(MID(EC201,FIND("-",EC201)+1,10)))))*$D$50),$D$9*(1-(IF($N201="X",ABS($O201-VALUE(MID(EC201,FIND("|",EC201)+1,FIND("-",EC201)-FIND("|",EC201)-1))),ABS($Q201-ABS(VALUE(MID(EC201,FIND("|",EC201)+1,FIND("-",EC201)-FIND("|",EC201)-1))-VALUE(MID(EC201,FIND("-",EC201)+1,10)))))*$D$50)))))*$I201,0)),0)</f>
        <v>0</v>
      </c>
      <c r="EE201" s="102"/>
      <c r="EF201" s="73"/>
      <c r="EG201" s="66">
        <f t="shared" ref="EG201:EG207" si="2086">IFERROR(IF($M201=EF201,($D$8+$D$9+$D$10)*$I201,IF($N201=LEFT(EF201,1),($D$8+MAX(0,IF($D$50=1,$D$9*(1-(ABS($Q201-ABS(VALUE(MID(EF201,FIND("|",EF201)+1,FIND("-",EF201)-FIND("|",EF201)-1))-VALUE(MID(EF201,FIND("-",EF201)+1,10)))))*$D$50),$D$9*(1-(IF($N201="X",ABS($O201-VALUE(MID(EF201,FIND("|",EF201)+1,FIND("-",EF201)-FIND("|",EF201)-1))),ABS($Q201-ABS(VALUE(MID(EF201,FIND("|",EF201)+1,FIND("-",EF201)-FIND("|",EF201)-1))-VALUE(MID(EF201,FIND("-",EF201)+1,10)))))*$D$50)))))*$I201,0)),0)</f>
        <v>0</v>
      </c>
      <c r="EH201" s="102"/>
      <c r="EI201" s="102"/>
    </row>
    <row r="202" spans="1:139">
      <c r="A202" s="711">
        <f>WORLDCUP!AD122</f>
        <v>0</v>
      </c>
      <c r="B202" s="711">
        <f>WORLDCUP!AC122</f>
        <v>0</v>
      </c>
      <c r="C202" s="805" t="str">
        <f>CONCATENATE(WORLDCUP!AF122,"-",WORLDCUP!AA122)</f>
        <v>W78-W76</v>
      </c>
      <c r="D202" s="805" t="str">
        <f>IF(WORLDCUP!AC122&gt;WORLDCUP!AD122,2,IF(WORLDCUP!AC122&lt;WORLDCUP!AD122,1,IF(AND(WORLDCUP!AC122=WORLDCUP!AD122,WORLDCUP!AC122&lt;&gt;"",WORLDCUP!AD122&lt;&gt;""),0,"PD")))</f>
        <v>PD</v>
      </c>
      <c r="E202" s="805" t="str">
        <f>IF(OR(WORLDCUP!AD122="",WORLDCUP!AC122=""),"-",A202&amp;"-"&amp;B202)</f>
        <v>-</v>
      </c>
      <c r="F202" s="806">
        <f t="shared" si="2045"/>
        <v>17</v>
      </c>
      <c r="G202" s="806">
        <f ca="1">VLOOKUP(H202,Equipos!$Q$1:$R$25,2,0)</f>
        <v>21</v>
      </c>
      <c r="H202" s="800" t="str">
        <f>Idiomas!$D$261</f>
        <v>Octavos de final</v>
      </c>
      <c r="I202" s="808">
        <v>1</v>
      </c>
      <c r="J202" s="859"/>
      <c r="K202" s="49" t="str">
        <f>CONCATENATE(WORLDCUP!AA122,"-",WORLDCUP!AF122)</f>
        <v>W76-W78</v>
      </c>
      <c r="L202" s="46" t="str">
        <f>IF(OR(WORLDCUP!AC122="",WORLDCUP!AD122=""),"PD",IF(WORLDCUP!AC122&gt;WORLDCUP!AD122,1,IF(WORLDCUP!AC122&lt;WORLDCUP!AD122,2,0)))</f>
        <v>PD</v>
      </c>
      <c r="M202" s="48" t="str">
        <f>IF(OR(WORLDCUP!AC122="",WORLDCUP!AD122=""),"-",N202&amp;"|"&amp;O202&amp;"-"&amp;P202)</f>
        <v>-</v>
      </c>
      <c r="N202" s="711" t="str">
        <f>IF(OR(WORLDCUP!AC122="",WORLDCUP!AD122=""),"",IF(WORLDCUP!AC122&gt;WORLDCUP!AD122,"1",IF(WORLDCUP!AC122&lt;WORLDCUP!AD122,"2","X")))</f>
        <v/>
      </c>
      <c r="O202" s="711">
        <f>WORLDCUP!AC122</f>
        <v>0</v>
      </c>
      <c r="P202" s="711">
        <f>WORLDCUP!AD122</f>
        <v>0</v>
      </c>
      <c r="Q202" s="711">
        <f t="shared" si="2046"/>
        <v>0</v>
      </c>
      <c r="R202" s="102"/>
      <c r="S202" s="67" t="s">
        <v>1953</v>
      </c>
      <c r="T202" s="66">
        <f t="shared" si="2047"/>
        <v>0</v>
      </c>
      <c r="U202" s="102"/>
      <c r="V202" s="67" t="s">
        <v>1953</v>
      </c>
      <c r="W202" s="66">
        <f t="shared" si="2048"/>
        <v>0</v>
      </c>
      <c r="X202" s="102"/>
      <c r="Y202" s="73" t="s">
        <v>1953</v>
      </c>
      <c r="Z202" s="66">
        <f t="shared" si="2049"/>
        <v>0</v>
      </c>
      <c r="AA202" s="102"/>
      <c r="AB202" s="73" t="s">
        <v>1947</v>
      </c>
      <c r="AC202" s="66">
        <f t="shared" si="2050"/>
        <v>0</v>
      </c>
      <c r="AD202" s="102"/>
      <c r="AE202" s="73" t="s">
        <v>1953</v>
      </c>
      <c r="AF202" s="66">
        <f t="shared" si="2051"/>
        <v>0</v>
      </c>
      <c r="AG202" s="102"/>
      <c r="AH202" s="67" t="s">
        <v>1956</v>
      </c>
      <c r="AI202" s="66">
        <f t="shared" si="2052"/>
        <v>0</v>
      </c>
      <c r="AJ202" s="102"/>
      <c r="AK202" s="67" t="s">
        <v>1953</v>
      </c>
      <c r="AL202" s="66">
        <f t="shared" si="2053"/>
        <v>0</v>
      </c>
      <c r="AM202" s="102"/>
      <c r="AN202" s="73" t="s">
        <v>1947</v>
      </c>
      <c r="AO202" s="66">
        <f t="shared" si="2054"/>
        <v>0</v>
      </c>
      <c r="AP202" s="102"/>
      <c r="AQ202" s="73" t="s">
        <v>1963</v>
      </c>
      <c r="AR202" s="66">
        <f t="shared" si="2055"/>
        <v>0</v>
      </c>
      <c r="AS202" s="102"/>
      <c r="AT202" s="73" t="s">
        <v>1947</v>
      </c>
      <c r="AU202" s="66">
        <f t="shared" si="2056"/>
        <v>0</v>
      </c>
      <c r="AV202" s="102"/>
      <c r="AW202" s="67" t="s">
        <v>1947</v>
      </c>
      <c r="AX202" s="66">
        <f t="shared" si="2057"/>
        <v>0</v>
      </c>
      <c r="AY202" s="102"/>
      <c r="AZ202" s="67" t="s">
        <v>1947</v>
      </c>
      <c r="BA202" s="66">
        <f t="shared" si="2058"/>
        <v>0</v>
      </c>
      <c r="BB202" s="102"/>
      <c r="BC202" s="73" t="s">
        <v>1951</v>
      </c>
      <c r="BD202" s="66">
        <f t="shared" si="2059"/>
        <v>0</v>
      </c>
      <c r="BE202" s="102"/>
      <c r="BF202" s="73" t="s">
        <v>1956</v>
      </c>
      <c r="BG202" s="66">
        <f t="shared" si="2060"/>
        <v>0</v>
      </c>
      <c r="BH202" s="102"/>
      <c r="BI202" s="73" t="s">
        <v>1953</v>
      </c>
      <c r="BJ202" s="66">
        <f t="shared" si="2061"/>
        <v>0</v>
      </c>
      <c r="BK202" s="102"/>
      <c r="BL202" s="67" t="s">
        <v>1947</v>
      </c>
      <c r="BM202" s="66">
        <f t="shared" si="2062"/>
        <v>0</v>
      </c>
      <c r="BN202" s="102"/>
      <c r="BO202" s="67" t="s">
        <v>1947</v>
      </c>
      <c r="BP202" s="66">
        <f t="shared" si="2063"/>
        <v>0</v>
      </c>
      <c r="BQ202" s="102"/>
      <c r="BR202" s="73" t="s">
        <v>1953</v>
      </c>
      <c r="BS202" s="66">
        <f t="shared" si="2064"/>
        <v>0</v>
      </c>
      <c r="BT202" s="102"/>
      <c r="BU202" s="73"/>
      <c r="BV202" s="66">
        <f t="shared" si="2065"/>
        <v>0</v>
      </c>
      <c r="BW202" s="102"/>
      <c r="BX202" s="73"/>
      <c r="BY202" s="66">
        <f t="shared" si="2066"/>
        <v>0</v>
      </c>
      <c r="BZ202" s="102"/>
      <c r="CA202" s="67"/>
      <c r="CB202" s="66">
        <f t="shared" si="2067"/>
        <v>0</v>
      </c>
      <c r="CC202" s="102"/>
      <c r="CD202" s="67"/>
      <c r="CE202" s="66">
        <f t="shared" si="2068"/>
        <v>0</v>
      </c>
      <c r="CF202" s="102"/>
      <c r="CG202" s="73"/>
      <c r="CH202" s="66">
        <f t="shared" si="2069"/>
        <v>0</v>
      </c>
      <c r="CI202" s="102"/>
      <c r="CJ202" s="73"/>
      <c r="CK202" s="66">
        <f t="shared" si="2070"/>
        <v>0</v>
      </c>
      <c r="CL202" s="102"/>
      <c r="CM202" s="73"/>
      <c r="CN202" s="66">
        <f t="shared" si="2071"/>
        <v>0</v>
      </c>
      <c r="CO202" s="102"/>
      <c r="CP202" s="67"/>
      <c r="CQ202" s="66">
        <f t="shared" si="2072"/>
        <v>0</v>
      </c>
      <c r="CR202" s="102"/>
      <c r="CS202" s="67"/>
      <c r="CT202" s="66">
        <f t="shared" si="2073"/>
        <v>0</v>
      </c>
      <c r="CU202" s="102"/>
      <c r="CV202" s="73"/>
      <c r="CW202" s="66">
        <f t="shared" si="2074"/>
        <v>0</v>
      </c>
      <c r="CX202" s="102"/>
      <c r="CY202" s="73"/>
      <c r="CZ202" s="66">
        <f t="shared" si="2075"/>
        <v>0</v>
      </c>
      <c r="DA202" s="102"/>
      <c r="DB202" s="73"/>
      <c r="DC202" s="66">
        <f t="shared" si="2076"/>
        <v>0</v>
      </c>
      <c r="DD202" s="102"/>
      <c r="DE202" s="67"/>
      <c r="DF202" s="66">
        <f t="shared" si="2077"/>
        <v>0</v>
      </c>
      <c r="DG202" s="102"/>
      <c r="DH202" s="67"/>
      <c r="DI202" s="66">
        <f t="shared" si="2078"/>
        <v>0</v>
      </c>
      <c r="DJ202" s="102"/>
      <c r="DK202" s="73"/>
      <c r="DL202" s="66">
        <f t="shared" si="2079"/>
        <v>0</v>
      </c>
      <c r="DM202" s="102"/>
      <c r="DN202" s="73"/>
      <c r="DO202" s="66">
        <f t="shared" si="2080"/>
        <v>0</v>
      </c>
      <c r="DP202" s="102"/>
      <c r="DQ202" s="73"/>
      <c r="DR202" s="66">
        <f t="shared" si="2081"/>
        <v>0</v>
      </c>
      <c r="DS202" s="102"/>
      <c r="DT202" s="67"/>
      <c r="DU202" s="66">
        <f t="shared" si="2082"/>
        <v>0</v>
      </c>
      <c r="DV202" s="102"/>
      <c r="DW202" s="67"/>
      <c r="DX202" s="66">
        <f t="shared" si="2083"/>
        <v>0</v>
      </c>
      <c r="DY202" s="102"/>
      <c r="DZ202" s="73"/>
      <c r="EA202" s="66">
        <f t="shared" si="2084"/>
        <v>0</v>
      </c>
      <c r="EB202" s="102"/>
      <c r="EC202" s="73"/>
      <c r="ED202" s="66">
        <f t="shared" si="2085"/>
        <v>0</v>
      </c>
      <c r="EE202" s="102"/>
      <c r="EF202" s="73"/>
      <c r="EG202" s="66">
        <f t="shared" si="2086"/>
        <v>0</v>
      </c>
      <c r="EH202" s="102"/>
      <c r="EI202" s="102"/>
    </row>
    <row r="203" spans="1:139">
      <c r="A203" s="711">
        <f>WORLDCUP!AD123</f>
        <v>0</v>
      </c>
      <c r="B203" s="711">
        <f>WORLDCUP!AC123</f>
        <v>0</v>
      </c>
      <c r="C203" s="805" t="str">
        <f>CONCATENATE(WORLDCUP!AF123,"-",WORLDCUP!AA123)</f>
        <v>W80-W79</v>
      </c>
      <c r="D203" s="805" t="str">
        <f>IF(WORLDCUP!AC123&gt;WORLDCUP!AD123,2,IF(WORLDCUP!AC123&lt;WORLDCUP!AD123,1,IF(AND(WORLDCUP!AC123=WORLDCUP!AD123,WORLDCUP!AC123&lt;&gt;"",WORLDCUP!AD123&lt;&gt;""),0,"PD")))</f>
        <v>PD</v>
      </c>
      <c r="E203" s="805" t="str">
        <f>IF(OR(WORLDCUP!AD123="",WORLDCUP!AC123=""),"-",A203&amp;"-"&amp;B203)</f>
        <v>-</v>
      </c>
      <c r="F203" s="806">
        <f t="shared" si="2045"/>
        <v>17</v>
      </c>
      <c r="G203" s="806">
        <f ca="1">VLOOKUP(H203,Equipos!$Q$1:$R$25,2,0)</f>
        <v>21</v>
      </c>
      <c r="H203" s="800" t="str">
        <f>Idiomas!$D$261</f>
        <v>Octavos de final</v>
      </c>
      <c r="I203" s="808">
        <v>1</v>
      </c>
      <c r="J203" s="859"/>
      <c r="K203" s="49" t="str">
        <f>CONCATENATE(WORLDCUP!AA123,"-",WORLDCUP!AF123)</f>
        <v>W79-W80</v>
      </c>
      <c r="L203" s="46" t="str">
        <f>IF(OR(WORLDCUP!AC123="",WORLDCUP!AD123=""),"PD",IF(WORLDCUP!AC123&gt;WORLDCUP!AD123,1,IF(WORLDCUP!AC123&lt;WORLDCUP!AD123,2,0)))</f>
        <v>PD</v>
      </c>
      <c r="M203" s="48" t="str">
        <f>IF(OR(WORLDCUP!AC123="",WORLDCUP!AD123=""),"-",N203&amp;"|"&amp;O203&amp;"-"&amp;P203)</f>
        <v>-</v>
      </c>
      <c r="N203" s="711" t="str">
        <f>IF(OR(WORLDCUP!AC123="",WORLDCUP!AD123=""),"",IF(WORLDCUP!AC123&gt;WORLDCUP!AD123,"1",IF(WORLDCUP!AC123&lt;WORLDCUP!AD123,"2","X")))</f>
        <v/>
      </c>
      <c r="O203" s="711">
        <f>WORLDCUP!AC123</f>
        <v>0</v>
      </c>
      <c r="P203" s="711">
        <f>WORLDCUP!AD123</f>
        <v>0</v>
      </c>
      <c r="Q203" s="711">
        <f t="shared" si="2046"/>
        <v>0</v>
      </c>
      <c r="R203" s="102"/>
      <c r="S203" s="67" t="s">
        <v>1949</v>
      </c>
      <c r="T203" s="66">
        <f t="shared" si="2047"/>
        <v>0</v>
      </c>
      <c r="U203" s="102"/>
      <c r="V203" s="67" t="s">
        <v>1948</v>
      </c>
      <c r="W203" s="66">
        <f t="shared" si="2048"/>
        <v>0</v>
      </c>
      <c r="X203" s="102"/>
      <c r="Y203" s="73" t="s">
        <v>1947</v>
      </c>
      <c r="Z203" s="66">
        <f t="shared" si="2049"/>
        <v>0</v>
      </c>
      <c r="AA203" s="102"/>
      <c r="AB203" s="73" t="s">
        <v>1956</v>
      </c>
      <c r="AC203" s="66">
        <f t="shared" si="2050"/>
        <v>0</v>
      </c>
      <c r="AD203" s="102"/>
      <c r="AE203" s="73" t="s">
        <v>1960</v>
      </c>
      <c r="AF203" s="66">
        <f t="shared" si="2051"/>
        <v>0</v>
      </c>
      <c r="AG203" s="102"/>
      <c r="AH203" s="67" t="s">
        <v>1960</v>
      </c>
      <c r="AI203" s="66">
        <f t="shared" si="2052"/>
        <v>0</v>
      </c>
      <c r="AJ203" s="102"/>
      <c r="AK203" s="67" t="s">
        <v>1955</v>
      </c>
      <c r="AL203" s="66">
        <f t="shared" si="2053"/>
        <v>0</v>
      </c>
      <c r="AM203" s="102"/>
      <c r="AN203" s="73" t="s">
        <v>1955</v>
      </c>
      <c r="AO203" s="66">
        <f t="shared" si="2054"/>
        <v>0</v>
      </c>
      <c r="AP203" s="102"/>
      <c r="AQ203" s="73" t="s">
        <v>1955</v>
      </c>
      <c r="AR203" s="66">
        <f t="shared" si="2055"/>
        <v>0</v>
      </c>
      <c r="AS203" s="102"/>
      <c r="AT203" s="73" t="s">
        <v>1955</v>
      </c>
      <c r="AU203" s="66">
        <f t="shared" si="2056"/>
        <v>0</v>
      </c>
      <c r="AV203" s="102"/>
      <c r="AW203" s="67" t="s">
        <v>1950</v>
      </c>
      <c r="AX203" s="66">
        <f t="shared" si="2057"/>
        <v>0</v>
      </c>
      <c r="AY203" s="102"/>
      <c r="AZ203" s="67" t="s">
        <v>1955</v>
      </c>
      <c r="BA203" s="66">
        <f t="shared" si="2058"/>
        <v>0</v>
      </c>
      <c r="BB203" s="102"/>
      <c r="BC203" s="73" t="s">
        <v>1963</v>
      </c>
      <c r="BD203" s="66">
        <f t="shared" si="2059"/>
        <v>0</v>
      </c>
      <c r="BE203" s="102"/>
      <c r="BF203" s="73" t="s">
        <v>1960</v>
      </c>
      <c r="BG203" s="66">
        <f t="shared" si="2060"/>
        <v>0</v>
      </c>
      <c r="BH203" s="102"/>
      <c r="BI203" s="73" t="s">
        <v>1948</v>
      </c>
      <c r="BJ203" s="66">
        <f t="shared" si="2061"/>
        <v>0</v>
      </c>
      <c r="BK203" s="102"/>
      <c r="BL203" s="67" t="s">
        <v>1960</v>
      </c>
      <c r="BM203" s="66">
        <f t="shared" si="2062"/>
        <v>0</v>
      </c>
      <c r="BN203" s="102"/>
      <c r="BO203" s="67" t="s">
        <v>1948</v>
      </c>
      <c r="BP203" s="66">
        <f t="shared" si="2063"/>
        <v>0</v>
      </c>
      <c r="BQ203" s="102"/>
      <c r="BR203" s="73" t="s">
        <v>1960</v>
      </c>
      <c r="BS203" s="66">
        <f t="shared" si="2064"/>
        <v>0</v>
      </c>
      <c r="BT203" s="102"/>
      <c r="BU203" s="73"/>
      <c r="BV203" s="66">
        <f t="shared" si="2065"/>
        <v>0</v>
      </c>
      <c r="BW203" s="102"/>
      <c r="BX203" s="73"/>
      <c r="BY203" s="66">
        <f t="shared" si="2066"/>
        <v>0</v>
      </c>
      <c r="BZ203" s="102"/>
      <c r="CA203" s="67"/>
      <c r="CB203" s="66">
        <f t="shared" si="2067"/>
        <v>0</v>
      </c>
      <c r="CC203" s="102"/>
      <c r="CD203" s="67"/>
      <c r="CE203" s="66">
        <f t="shared" si="2068"/>
        <v>0</v>
      </c>
      <c r="CF203" s="102"/>
      <c r="CG203" s="73"/>
      <c r="CH203" s="66">
        <f t="shared" si="2069"/>
        <v>0</v>
      </c>
      <c r="CI203" s="102"/>
      <c r="CJ203" s="73"/>
      <c r="CK203" s="66">
        <f t="shared" si="2070"/>
        <v>0</v>
      </c>
      <c r="CL203" s="102"/>
      <c r="CM203" s="73"/>
      <c r="CN203" s="66">
        <f t="shared" si="2071"/>
        <v>0</v>
      </c>
      <c r="CO203" s="102"/>
      <c r="CP203" s="67"/>
      <c r="CQ203" s="66">
        <f t="shared" si="2072"/>
        <v>0</v>
      </c>
      <c r="CR203" s="102"/>
      <c r="CS203" s="67"/>
      <c r="CT203" s="66">
        <f t="shared" si="2073"/>
        <v>0</v>
      </c>
      <c r="CU203" s="102"/>
      <c r="CV203" s="73"/>
      <c r="CW203" s="66">
        <f t="shared" si="2074"/>
        <v>0</v>
      </c>
      <c r="CX203" s="102"/>
      <c r="CY203" s="73"/>
      <c r="CZ203" s="66">
        <f t="shared" si="2075"/>
        <v>0</v>
      </c>
      <c r="DA203" s="102"/>
      <c r="DB203" s="73"/>
      <c r="DC203" s="66">
        <f t="shared" si="2076"/>
        <v>0</v>
      </c>
      <c r="DD203" s="102"/>
      <c r="DE203" s="67"/>
      <c r="DF203" s="66">
        <f t="shared" si="2077"/>
        <v>0</v>
      </c>
      <c r="DG203" s="102"/>
      <c r="DH203" s="67"/>
      <c r="DI203" s="66">
        <f t="shared" si="2078"/>
        <v>0</v>
      </c>
      <c r="DJ203" s="102"/>
      <c r="DK203" s="73"/>
      <c r="DL203" s="66">
        <f t="shared" si="2079"/>
        <v>0</v>
      </c>
      <c r="DM203" s="102"/>
      <c r="DN203" s="73"/>
      <c r="DO203" s="66">
        <f t="shared" si="2080"/>
        <v>0</v>
      </c>
      <c r="DP203" s="102"/>
      <c r="DQ203" s="73"/>
      <c r="DR203" s="66">
        <f t="shared" si="2081"/>
        <v>0</v>
      </c>
      <c r="DS203" s="102"/>
      <c r="DT203" s="67"/>
      <c r="DU203" s="66">
        <f t="shared" si="2082"/>
        <v>0</v>
      </c>
      <c r="DV203" s="102"/>
      <c r="DW203" s="67"/>
      <c r="DX203" s="66">
        <f t="shared" si="2083"/>
        <v>0</v>
      </c>
      <c r="DY203" s="102"/>
      <c r="DZ203" s="73"/>
      <c r="EA203" s="66">
        <f t="shared" si="2084"/>
        <v>0</v>
      </c>
      <c r="EB203" s="102"/>
      <c r="EC203" s="73"/>
      <c r="ED203" s="66">
        <f t="shared" si="2085"/>
        <v>0</v>
      </c>
      <c r="EE203" s="102"/>
      <c r="EF203" s="73"/>
      <c r="EG203" s="66">
        <f t="shared" si="2086"/>
        <v>0</v>
      </c>
      <c r="EH203" s="102"/>
      <c r="EI203" s="102"/>
    </row>
    <row r="204" spans="1:139">
      <c r="A204" s="711">
        <f>WORLDCUP!AD124</f>
        <v>0</v>
      </c>
      <c r="B204" s="711">
        <f>WORLDCUP!AC124</f>
        <v>0</v>
      </c>
      <c r="C204" s="805" t="str">
        <f>CONCATENATE(WORLDCUP!AF124,"-",WORLDCUP!AA124)</f>
        <v>W84-W83</v>
      </c>
      <c r="D204" s="805" t="str">
        <f>IF(WORLDCUP!AC124&gt;WORLDCUP!AD124,2,IF(WORLDCUP!AC124&lt;WORLDCUP!AD124,1,IF(AND(WORLDCUP!AC124=WORLDCUP!AD124,WORLDCUP!AC124&lt;&gt;"",WORLDCUP!AD124&lt;&gt;""),0,"PD")))</f>
        <v>PD</v>
      </c>
      <c r="E204" s="805" t="str">
        <f>IF(OR(WORLDCUP!AD124="",WORLDCUP!AC124=""),"-",A204&amp;"-"&amp;B204)</f>
        <v>-</v>
      </c>
      <c r="F204" s="806">
        <f t="shared" si="2045"/>
        <v>17</v>
      </c>
      <c r="G204" s="806">
        <f ca="1">VLOOKUP(H204,Equipos!$Q$1:$R$25,2,0)</f>
        <v>21</v>
      </c>
      <c r="H204" s="800" t="str">
        <f>Idiomas!$D$261</f>
        <v>Octavos de final</v>
      </c>
      <c r="I204" s="808">
        <v>1</v>
      </c>
      <c r="J204" s="859"/>
      <c r="K204" s="49" t="str">
        <f>CONCATENATE(WORLDCUP!AA124,"-",WORLDCUP!AF124)</f>
        <v>W83-W84</v>
      </c>
      <c r="L204" s="46" t="str">
        <f>IF(OR(WORLDCUP!AC124="",WORLDCUP!AD124=""),"PD",IF(WORLDCUP!AC124&gt;WORLDCUP!AD124,1,IF(WORLDCUP!AC124&lt;WORLDCUP!AD124,2,0)))</f>
        <v>PD</v>
      </c>
      <c r="M204" s="48" t="str">
        <f>IF(OR(WORLDCUP!AC124="",WORLDCUP!AD124=""),"-",N204&amp;"|"&amp;O204&amp;"-"&amp;P204)</f>
        <v>-</v>
      </c>
      <c r="N204" s="711" t="str">
        <f>IF(OR(WORLDCUP!AC124="",WORLDCUP!AD124=""),"",IF(WORLDCUP!AC124&gt;WORLDCUP!AD124,"1",IF(WORLDCUP!AC124&lt;WORLDCUP!AD124,"2","X")))</f>
        <v/>
      </c>
      <c r="O204" s="711">
        <f>WORLDCUP!AC124</f>
        <v>0</v>
      </c>
      <c r="P204" s="711">
        <f>WORLDCUP!AD124</f>
        <v>0</v>
      </c>
      <c r="Q204" s="711">
        <f t="shared" si="2046"/>
        <v>0</v>
      </c>
      <c r="R204" s="102"/>
      <c r="S204" s="67" t="s">
        <v>1951</v>
      </c>
      <c r="T204" s="66">
        <f t="shared" si="2047"/>
        <v>0</v>
      </c>
      <c r="U204" s="102"/>
      <c r="V204" s="67" t="s">
        <v>1955</v>
      </c>
      <c r="W204" s="66">
        <f t="shared" si="2048"/>
        <v>0</v>
      </c>
      <c r="X204" s="102"/>
      <c r="Y204" s="73" t="s">
        <v>1951</v>
      </c>
      <c r="Z204" s="66">
        <f t="shared" si="2049"/>
        <v>0</v>
      </c>
      <c r="AA204" s="102"/>
      <c r="AB204" s="73" t="s">
        <v>1956</v>
      </c>
      <c r="AC204" s="66">
        <f t="shared" si="2050"/>
        <v>0</v>
      </c>
      <c r="AD204" s="102"/>
      <c r="AE204" s="73" t="s">
        <v>1955</v>
      </c>
      <c r="AF204" s="66">
        <f t="shared" si="2051"/>
        <v>0</v>
      </c>
      <c r="AG204" s="102"/>
      <c r="AH204" s="67" t="s">
        <v>1949</v>
      </c>
      <c r="AI204" s="66">
        <f t="shared" si="2052"/>
        <v>0</v>
      </c>
      <c r="AJ204" s="102"/>
      <c r="AK204" s="67" t="s">
        <v>1955</v>
      </c>
      <c r="AL204" s="66">
        <f t="shared" si="2053"/>
        <v>0</v>
      </c>
      <c r="AM204" s="102"/>
      <c r="AN204" s="73" t="s">
        <v>1955</v>
      </c>
      <c r="AO204" s="66">
        <f t="shared" si="2054"/>
        <v>0</v>
      </c>
      <c r="AP204" s="102"/>
      <c r="AQ204" s="73" t="s">
        <v>1955</v>
      </c>
      <c r="AR204" s="66">
        <f t="shared" si="2055"/>
        <v>0</v>
      </c>
      <c r="AS204" s="102"/>
      <c r="AT204" s="73" t="s">
        <v>1955</v>
      </c>
      <c r="AU204" s="66">
        <f t="shared" si="2056"/>
        <v>0</v>
      </c>
      <c r="AV204" s="102"/>
      <c r="AW204" s="67" t="s">
        <v>1955</v>
      </c>
      <c r="AX204" s="66">
        <f t="shared" si="2057"/>
        <v>0</v>
      </c>
      <c r="AY204" s="102"/>
      <c r="AZ204" s="67" t="s">
        <v>1951</v>
      </c>
      <c r="BA204" s="66">
        <f t="shared" si="2058"/>
        <v>0</v>
      </c>
      <c r="BB204" s="102"/>
      <c r="BC204" s="73" t="s">
        <v>1949</v>
      </c>
      <c r="BD204" s="66">
        <f t="shared" si="2059"/>
        <v>0</v>
      </c>
      <c r="BE204" s="102"/>
      <c r="BF204" s="73" t="s">
        <v>1960</v>
      </c>
      <c r="BG204" s="66">
        <f t="shared" si="2060"/>
        <v>0</v>
      </c>
      <c r="BH204" s="102"/>
      <c r="BI204" s="73" t="s">
        <v>1955</v>
      </c>
      <c r="BJ204" s="66">
        <f t="shared" si="2061"/>
        <v>0</v>
      </c>
      <c r="BK204" s="102"/>
      <c r="BL204" s="67" t="s">
        <v>1951</v>
      </c>
      <c r="BM204" s="66">
        <f t="shared" si="2062"/>
        <v>0</v>
      </c>
      <c r="BN204" s="102"/>
      <c r="BO204" s="67" t="s">
        <v>1951</v>
      </c>
      <c r="BP204" s="66">
        <f t="shared" si="2063"/>
        <v>0</v>
      </c>
      <c r="BQ204" s="102"/>
      <c r="BR204" s="73" t="s">
        <v>1955</v>
      </c>
      <c r="BS204" s="66">
        <f t="shared" si="2064"/>
        <v>0</v>
      </c>
      <c r="BT204" s="102"/>
      <c r="BU204" s="73"/>
      <c r="BV204" s="66">
        <f t="shared" si="2065"/>
        <v>0</v>
      </c>
      <c r="BW204" s="102"/>
      <c r="BX204" s="73"/>
      <c r="BY204" s="66">
        <f t="shared" si="2066"/>
        <v>0</v>
      </c>
      <c r="BZ204" s="102"/>
      <c r="CA204" s="67"/>
      <c r="CB204" s="66">
        <f t="shared" si="2067"/>
        <v>0</v>
      </c>
      <c r="CC204" s="102"/>
      <c r="CD204" s="67"/>
      <c r="CE204" s="66">
        <f t="shared" si="2068"/>
        <v>0</v>
      </c>
      <c r="CF204" s="102"/>
      <c r="CG204" s="73"/>
      <c r="CH204" s="66">
        <f t="shared" si="2069"/>
        <v>0</v>
      </c>
      <c r="CI204" s="102"/>
      <c r="CJ204" s="73"/>
      <c r="CK204" s="66">
        <f t="shared" si="2070"/>
        <v>0</v>
      </c>
      <c r="CL204" s="102"/>
      <c r="CM204" s="73"/>
      <c r="CN204" s="66">
        <f t="shared" si="2071"/>
        <v>0</v>
      </c>
      <c r="CO204" s="102"/>
      <c r="CP204" s="67"/>
      <c r="CQ204" s="66">
        <f t="shared" si="2072"/>
        <v>0</v>
      </c>
      <c r="CR204" s="102"/>
      <c r="CS204" s="67"/>
      <c r="CT204" s="66">
        <f t="shared" si="2073"/>
        <v>0</v>
      </c>
      <c r="CU204" s="102"/>
      <c r="CV204" s="73"/>
      <c r="CW204" s="66">
        <f t="shared" si="2074"/>
        <v>0</v>
      </c>
      <c r="CX204" s="102"/>
      <c r="CY204" s="73"/>
      <c r="CZ204" s="66">
        <f t="shared" si="2075"/>
        <v>0</v>
      </c>
      <c r="DA204" s="102"/>
      <c r="DB204" s="73"/>
      <c r="DC204" s="66">
        <f t="shared" si="2076"/>
        <v>0</v>
      </c>
      <c r="DD204" s="102"/>
      <c r="DE204" s="67"/>
      <c r="DF204" s="66">
        <f t="shared" si="2077"/>
        <v>0</v>
      </c>
      <c r="DG204" s="102"/>
      <c r="DH204" s="67"/>
      <c r="DI204" s="66">
        <f t="shared" si="2078"/>
        <v>0</v>
      </c>
      <c r="DJ204" s="102"/>
      <c r="DK204" s="73"/>
      <c r="DL204" s="66">
        <f t="shared" si="2079"/>
        <v>0</v>
      </c>
      <c r="DM204" s="102"/>
      <c r="DN204" s="73"/>
      <c r="DO204" s="66">
        <f t="shared" si="2080"/>
        <v>0</v>
      </c>
      <c r="DP204" s="102"/>
      <c r="DQ204" s="73"/>
      <c r="DR204" s="66">
        <f t="shared" si="2081"/>
        <v>0</v>
      </c>
      <c r="DS204" s="102"/>
      <c r="DT204" s="67"/>
      <c r="DU204" s="66">
        <f t="shared" si="2082"/>
        <v>0</v>
      </c>
      <c r="DV204" s="102"/>
      <c r="DW204" s="67"/>
      <c r="DX204" s="66">
        <f t="shared" si="2083"/>
        <v>0</v>
      </c>
      <c r="DY204" s="102"/>
      <c r="DZ204" s="73"/>
      <c r="EA204" s="66">
        <f t="shared" si="2084"/>
        <v>0</v>
      </c>
      <c r="EB204" s="102"/>
      <c r="EC204" s="73"/>
      <c r="ED204" s="66">
        <f t="shared" si="2085"/>
        <v>0</v>
      </c>
      <c r="EE204" s="102"/>
      <c r="EF204" s="73"/>
      <c r="EG204" s="66">
        <f t="shared" si="2086"/>
        <v>0</v>
      </c>
      <c r="EH204" s="102"/>
      <c r="EI204" s="102"/>
    </row>
    <row r="205" spans="1:139">
      <c r="A205" s="711">
        <f>WORLDCUP!AD125</f>
        <v>0</v>
      </c>
      <c r="B205" s="711">
        <f>WORLDCUP!AC125</f>
        <v>0</v>
      </c>
      <c r="C205" s="805" t="str">
        <f>CONCATENATE(WORLDCUP!AF125,"-",WORLDCUP!AA125)</f>
        <v>W82-W81</v>
      </c>
      <c r="D205" s="805" t="str">
        <f>IF(WORLDCUP!AC125&gt;WORLDCUP!AD125,2,IF(WORLDCUP!AC125&lt;WORLDCUP!AD125,1,IF(AND(WORLDCUP!AC125=WORLDCUP!AD125,WORLDCUP!AC125&lt;&gt;"",WORLDCUP!AD125&lt;&gt;""),0,"PD")))</f>
        <v>PD</v>
      </c>
      <c r="E205" s="805" t="str">
        <f>IF(OR(WORLDCUP!AD125="",WORLDCUP!AC125=""),"-",A205&amp;"-"&amp;B205)</f>
        <v>-</v>
      </c>
      <c r="F205" s="806">
        <f t="shared" si="2045"/>
        <v>17</v>
      </c>
      <c r="G205" s="806">
        <f ca="1">VLOOKUP(H205,Equipos!$Q$1:$R$25,2,0)</f>
        <v>21</v>
      </c>
      <c r="H205" s="800" t="str">
        <f>Idiomas!$D$261</f>
        <v>Octavos de final</v>
      </c>
      <c r="I205" s="808">
        <v>1</v>
      </c>
      <c r="J205" s="859"/>
      <c r="K205" s="49" t="str">
        <f>CONCATENATE(WORLDCUP!AA125,"-",WORLDCUP!AF125)</f>
        <v>W81-W82</v>
      </c>
      <c r="L205" s="46" t="str">
        <f>IF(OR(WORLDCUP!AC125="",WORLDCUP!AD125=""),"PD",IF(WORLDCUP!AC125&gt;WORLDCUP!AD125,1,IF(WORLDCUP!AC125&lt;WORLDCUP!AD125,2,0)))</f>
        <v>PD</v>
      </c>
      <c r="M205" s="48" t="str">
        <f>IF(OR(WORLDCUP!AC125="",WORLDCUP!AD125=""),"-",N205&amp;"|"&amp;O205&amp;"-"&amp;P205)</f>
        <v>-</v>
      </c>
      <c r="N205" s="711" t="str">
        <f>IF(OR(WORLDCUP!AC125="",WORLDCUP!AD125=""),"",IF(WORLDCUP!AC125&gt;WORLDCUP!AD125,"1",IF(WORLDCUP!AC125&lt;WORLDCUP!AD125,"2","X")))</f>
        <v/>
      </c>
      <c r="O205" s="711">
        <f>WORLDCUP!AC125</f>
        <v>0</v>
      </c>
      <c r="P205" s="711">
        <f>WORLDCUP!AD125</f>
        <v>0</v>
      </c>
      <c r="Q205" s="711">
        <f t="shared" si="2046"/>
        <v>0</v>
      </c>
      <c r="R205" s="102"/>
      <c r="S205" s="67" t="s">
        <v>1953</v>
      </c>
      <c r="T205" s="66">
        <f t="shared" si="2047"/>
        <v>0</v>
      </c>
      <c r="U205" s="102"/>
      <c r="V205" s="67" t="s">
        <v>1963</v>
      </c>
      <c r="W205" s="66">
        <f t="shared" si="2048"/>
        <v>0</v>
      </c>
      <c r="X205" s="102"/>
      <c r="Y205" s="73" t="s">
        <v>1960</v>
      </c>
      <c r="Z205" s="66">
        <f t="shared" si="2049"/>
        <v>0</v>
      </c>
      <c r="AA205" s="102"/>
      <c r="AB205" s="73" t="s">
        <v>1963</v>
      </c>
      <c r="AC205" s="66">
        <f t="shared" si="2050"/>
        <v>0</v>
      </c>
      <c r="AD205" s="102"/>
      <c r="AE205" s="73" t="s">
        <v>1955</v>
      </c>
      <c r="AF205" s="66">
        <f t="shared" si="2051"/>
        <v>0</v>
      </c>
      <c r="AG205" s="102"/>
      <c r="AH205" s="67" t="s">
        <v>1955</v>
      </c>
      <c r="AI205" s="66">
        <f t="shared" si="2052"/>
        <v>0</v>
      </c>
      <c r="AJ205" s="102"/>
      <c r="AK205" s="67" t="s">
        <v>1955</v>
      </c>
      <c r="AL205" s="66">
        <f t="shared" si="2053"/>
        <v>0</v>
      </c>
      <c r="AM205" s="102"/>
      <c r="AN205" s="73" t="s">
        <v>1948</v>
      </c>
      <c r="AO205" s="66">
        <f t="shared" si="2054"/>
        <v>0</v>
      </c>
      <c r="AP205" s="102"/>
      <c r="AQ205" s="73" t="s">
        <v>1951</v>
      </c>
      <c r="AR205" s="66">
        <f t="shared" si="2055"/>
        <v>0</v>
      </c>
      <c r="AS205" s="102"/>
      <c r="AT205" s="73" t="s">
        <v>1948</v>
      </c>
      <c r="AU205" s="66">
        <f t="shared" si="2056"/>
        <v>0</v>
      </c>
      <c r="AV205" s="102"/>
      <c r="AW205" s="67" t="s">
        <v>1955</v>
      </c>
      <c r="AX205" s="66">
        <f t="shared" si="2057"/>
        <v>0</v>
      </c>
      <c r="AY205" s="102"/>
      <c r="AZ205" s="67" t="s">
        <v>1955</v>
      </c>
      <c r="BA205" s="66">
        <f t="shared" si="2058"/>
        <v>0</v>
      </c>
      <c r="BB205" s="102"/>
      <c r="BC205" s="73" t="s">
        <v>1948</v>
      </c>
      <c r="BD205" s="66">
        <f t="shared" si="2059"/>
        <v>0</v>
      </c>
      <c r="BE205" s="102"/>
      <c r="BF205" s="73" t="s">
        <v>1949</v>
      </c>
      <c r="BG205" s="66">
        <f t="shared" si="2060"/>
        <v>0</v>
      </c>
      <c r="BH205" s="102"/>
      <c r="BI205" s="73" t="s">
        <v>1948</v>
      </c>
      <c r="BJ205" s="66">
        <f t="shared" si="2061"/>
        <v>0</v>
      </c>
      <c r="BK205" s="102"/>
      <c r="BL205" s="67" t="s">
        <v>1955</v>
      </c>
      <c r="BM205" s="66">
        <f t="shared" si="2062"/>
        <v>0</v>
      </c>
      <c r="BN205" s="102"/>
      <c r="BO205" s="67" t="s">
        <v>1955</v>
      </c>
      <c r="BP205" s="66">
        <f t="shared" si="2063"/>
        <v>0</v>
      </c>
      <c r="BQ205" s="102"/>
      <c r="BR205" s="73" t="s">
        <v>1955</v>
      </c>
      <c r="BS205" s="66">
        <f t="shared" si="2064"/>
        <v>0</v>
      </c>
      <c r="BT205" s="102"/>
      <c r="BU205" s="73"/>
      <c r="BV205" s="66">
        <f t="shared" si="2065"/>
        <v>0</v>
      </c>
      <c r="BW205" s="102"/>
      <c r="BX205" s="73"/>
      <c r="BY205" s="66">
        <f t="shared" si="2066"/>
        <v>0</v>
      </c>
      <c r="BZ205" s="102"/>
      <c r="CA205" s="67"/>
      <c r="CB205" s="66">
        <f t="shared" si="2067"/>
        <v>0</v>
      </c>
      <c r="CC205" s="102"/>
      <c r="CD205" s="67"/>
      <c r="CE205" s="66">
        <f t="shared" si="2068"/>
        <v>0</v>
      </c>
      <c r="CF205" s="102"/>
      <c r="CG205" s="73"/>
      <c r="CH205" s="66">
        <f t="shared" si="2069"/>
        <v>0</v>
      </c>
      <c r="CI205" s="102"/>
      <c r="CJ205" s="73"/>
      <c r="CK205" s="66">
        <f t="shared" si="2070"/>
        <v>0</v>
      </c>
      <c r="CL205" s="102"/>
      <c r="CM205" s="73"/>
      <c r="CN205" s="66">
        <f t="shared" si="2071"/>
        <v>0</v>
      </c>
      <c r="CO205" s="102"/>
      <c r="CP205" s="67"/>
      <c r="CQ205" s="66">
        <f t="shared" si="2072"/>
        <v>0</v>
      </c>
      <c r="CR205" s="102"/>
      <c r="CS205" s="67"/>
      <c r="CT205" s="66">
        <f t="shared" si="2073"/>
        <v>0</v>
      </c>
      <c r="CU205" s="102"/>
      <c r="CV205" s="73"/>
      <c r="CW205" s="66">
        <f t="shared" si="2074"/>
        <v>0</v>
      </c>
      <c r="CX205" s="102"/>
      <c r="CY205" s="73"/>
      <c r="CZ205" s="66">
        <f t="shared" si="2075"/>
        <v>0</v>
      </c>
      <c r="DA205" s="102"/>
      <c r="DB205" s="73"/>
      <c r="DC205" s="66">
        <f t="shared" si="2076"/>
        <v>0</v>
      </c>
      <c r="DD205" s="102"/>
      <c r="DE205" s="67"/>
      <c r="DF205" s="66">
        <f t="shared" si="2077"/>
        <v>0</v>
      </c>
      <c r="DG205" s="102"/>
      <c r="DH205" s="67"/>
      <c r="DI205" s="66">
        <f t="shared" si="2078"/>
        <v>0</v>
      </c>
      <c r="DJ205" s="102"/>
      <c r="DK205" s="73"/>
      <c r="DL205" s="66">
        <f t="shared" si="2079"/>
        <v>0</v>
      </c>
      <c r="DM205" s="102"/>
      <c r="DN205" s="73"/>
      <c r="DO205" s="66">
        <f t="shared" si="2080"/>
        <v>0</v>
      </c>
      <c r="DP205" s="102"/>
      <c r="DQ205" s="73"/>
      <c r="DR205" s="66">
        <f t="shared" si="2081"/>
        <v>0</v>
      </c>
      <c r="DS205" s="102"/>
      <c r="DT205" s="67"/>
      <c r="DU205" s="66">
        <f t="shared" si="2082"/>
        <v>0</v>
      </c>
      <c r="DV205" s="102"/>
      <c r="DW205" s="67"/>
      <c r="DX205" s="66">
        <f t="shared" si="2083"/>
        <v>0</v>
      </c>
      <c r="DY205" s="102"/>
      <c r="DZ205" s="73"/>
      <c r="EA205" s="66">
        <f t="shared" si="2084"/>
        <v>0</v>
      </c>
      <c r="EB205" s="102"/>
      <c r="EC205" s="73"/>
      <c r="ED205" s="66">
        <f t="shared" si="2085"/>
        <v>0</v>
      </c>
      <c r="EE205" s="102"/>
      <c r="EF205" s="73"/>
      <c r="EG205" s="66">
        <f t="shared" si="2086"/>
        <v>0</v>
      </c>
      <c r="EH205" s="102"/>
      <c r="EI205" s="102"/>
    </row>
    <row r="206" spans="1:139">
      <c r="A206" s="711">
        <f>WORLDCUP!AD126</f>
        <v>0</v>
      </c>
      <c r="B206" s="711">
        <f>WORLDCUP!AC126</f>
        <v>0</v>
      </c>
      <c r="C206" s="805" t="str">
        <f>CONCATENATE(WORLDCUP!AF126,"-",WORLDCUP!AA126)</f>
        <v>W88-W86</v>
      </c>
      <c r="D206" s="805" t="str">
        <f>IF(WORLDCUP!AC126&gt;WORLDCUP!AD126,2,IF(WORLDCUP!AC126&lt;WORLDCUP!AD126,1,IF(AND(WORLDCUP!AC126=WORLDCUP!AD126,WORLDCUP!AC126&lt;&gt;"",WORLDCUP!AD126&lt;&gt;""),0,"PD")))</f>
        <v>PD</v>
      </c>
      <c r="E206" s="805" t="str">
        <f>IF(OR(WORLDCUP!AD126="",WORLDCUP!AC126=""),"-",A206&amp;"-"&amp;B206)</f>
        <v>-</v>
      </c>
      <c r="F206" s="806">
        <f t="shared" si="2045"/>
        <v>17</v>
      </c>
      <c r="G206" s="806">
        <f ca="1">VLOOKUP(H206,Equipos!$Q$1:$R$25,2,0)</f>
        <v>21</v>
      </c>
      <c r="H206" s="800" t="str">
        <f>Idiomas!$D$261</f>
        <v>Octavos de final</v>
      </c>
      <c r="I206" s="808">
        <v>1</v>
      </c>
      <c r="J206" s="859"/>
      <c r="K206" s="49" t="str">
        <f>CONCATENATE(WORLDCUP!AA126,"-",WORLDCUP!AF126)</f>
        <v>W86-W88</v>
      </c>
      <c r="L206" s="46" t="str">
        <f>IF(OR(WORLDCUP!AC126="",WORLDCUP!AD126=""),"PD",IF(WORLDCUP!AC126&gt;WORLDCUP!AD126,1,IF(WORLDCUP!AC126&lt;WORLDCUP!AD126,2,0)))</f>
        <v>PD</v>
      </c>
      <c r="M206" s="48" t="str">
        <f>IF(OR(WORLDCUP!AC126="",WORLDCUP!AD126=""),"-",N206&amp;"|"&amp;O206&amp;"-"&amp;P206)</f>
        <v>-</v>
      </c>
      <c r="N206" s="711" t="str">
        <f>IF(OR(WORLDCUP!AC126="",WORLDCUP!AD126=""),"",IF(WORLDCUP!AC126&gt;WORLDCUP!AD126,"1",IF(WORLDCUP!AC126&lt;WORLDCUP!AD126,"2","X")))</f>
        <v/>
      </c>
      <c r="O206" s="711">
        <f>WORLDCUP!AC126</f>
        <v>0</v>
      </c>
      <c r="P206" s="711">
        <f>WORLDCUP!AD126</f>
        <v>0</v>
      </c>
      <c r="Q206" s="711">
        <f t="shared" si="2046"/>
        <v>0</v>
      </c>
      <c r="R206" s="102"/>
      <c r="S206" s="67" t="s">
        <v>1955</v>
      </c>
      <c r="T206" s="66">
        <f t="shared" si="2047"/>
        <v>0</v>
      </c>
      <c r="U206" s="102"/>
      <c r="V206" s="67" t="s">
        <v>1947</v>
      </c>
      <c r="W206" s="66">
        <f t="shared" si="2048"/>
        <v>0</v>
      </c>
      <c r="X206" s="102"/>
      <c r="Y206" s="73" t="s">
        <v>1954</v>
      </c>
      <c r="Z206" s="66">
        <f t="shared" si="2049"/>
        <v>0</v>
      </c>
      <c r="AA206" s="102"/>
      <c r="AB206" s="73" t="s">
        <v>1954</v>
      </c>
      <c r="AC206" s="66">
        <f t="shared" si="2050"/>
        <v>0</v>
      </c>
      <c r="AD206" s="102"/>
      <c r="AE206" s="73" t="s">
        <v>1952</v>
      </c>
      <c r="AF206" s="66">
        <f t="shared" si="2051"/>
        <v>0</v>
      </c>
      <c r="AG206" s="102"/>
      <c r="AH206" s="67" t="s">
        <v>1956</v>
      </c>
      <c r="AI206" s="66">
        <f t="shared" si="2052"/>
        <v>0</v>
      </c>
      <c r="AJ206" s="102"/>
      <c r="AK206" s="67" t="s">
        <v>1953</v>
      </c>
      <c r="AL206" s="66">
        <f t="shared" si="2053"/>
        <v>0</v>
      </c>
      <c r="AM206" s="102"/>
      <c r="AN206" s="73" t="s">
        <v>1953</v>
      </c>
      <c r="AO206" s="66">
        <f t="shared" si="2054"/>
        <v>0</v>
      </c>
      <c r="AP206" s="102"/>
      <c r="AQ206" s="73" t="s">
        <v>1948</v>
      </c>
      <c r="AR206" s="66">
        <f t="shared" si="2055"/>
        <v>0</v>
      </c>
      <c r="AS206" s="102"/>
      <c r="AT206" s="73" t="s">
        <v>1962</v>
      </c>
      <c r="AU206" s="66">
        <f t="shared" si="2056"/>
        <v>0</v>
      </c>
      <c r="AV206" s="102"/>
      <c r="AW206" s="67" t="s">
        <v>1956</v>
      </c>
      <c r="AX206" s="66">
        <f t="shared" si="2057"/>
        <v>0</v>
      </c>
      <c r="AY206" s="102"/>
      <c r="AZ206" s="67" t="s">
        <v>1953</v>
      </c>
      <c r="BA206" s="66">
        <f t="shared" si="2058"/>
        <v>0</v>
      </c>
      <c r="BB206" s="102"/>
      <c r="BC206" s="73" t="s">
        <v>1951</v>
      </c>
      <c r="BD206" s="66">
        <f t="shared" si="2059"/>
        <v>0</v>
      </c>
      <c r="BE206" s="102"/>
      <c r="BF206" s="73" t="s">
        <v>1953</v>
      </c>
      <c r="BG206" s="66">
        <f t="shared" si="2060"/>
        <v>0</v>
      </c>
      <c r="BH206" s="102"/>
      <c r="BI206" s="73" t="s">
        <v>1953</v>
      </c>
      <c r="BJ206" s="66">
        <f t="shared" si="2061"/>
        <v>0</v>
      </c>
      <c r="BK206" s="102"/>
      <c r="BL206" s="67" t="s">
        <v>1954</v>
      </c>
      <c r="BM206" s="66">
        <f t="shared" si="2062"/>
        <v>0</v>
      </c>
      <c r="BN206" s="102"/>
      <c r="BO206" s="67" t="s">
        <v>1947</v>
      </c>
      <c r="BP206" s="66">
        <f t="shared" si="2063"/>
        <v>0</v>
      </c>
      <c r="BQ206" s="102"/>
      <c r="BR206" s="73" t="s">
        <v>1953</v>
      </c>
      <c r="BS206" s="66">
        <f t="shared" si="2064"/>
        <v>0</v>
      </c>
      <c r="BT206" s="102"/>
      <c r="BU206" s="73"/>
      <c r="BV206" s="66">
        <f t="shared" si="2065"/>
        <v>0</v>
      </c>
      <c r="BW206" s="102"/>
      <c r="BX206" s="73"/>
      <c r="BY206" s="66">
        <f t="shared" si="2066"/>
        <v>0</v>
      </c>
      <c r="BZ206" s="102"/>
      <c r="CA206" s="67"/>
      <c r="CB206" s="66">
        <f t="shared" si="2067"/>
        <v>0</v>
      </c>
      <c r="CC206" s="102"/>
      <c r="CD206" s="67"/>
      <c r="CE206" s="66">
        <f t="shared" si="2068"/>
        <v>0</v>
      </c>
      <c r="CF206" s="102"/>
      <c r="CG206" s="73"/>
      <c r="CH206" s="66">
        <f t="shared" si="2069"/>
        <v>0</v>
      </c>
      <c r="CI206" s="102"/>
      <c r="CJ206" s="73"/>
      <c r="CK206" s="66">
        <f t="shared" si="2070"/>
        <v>0</v>
      </c>
      <c r="CL206" s="102"/>
      <c r="CM206" s="73"/>
      <c r="CN206" s="66">
        <f t="shared" si="2071"/>
        <v>0</v>
      </c>
      <c r="CO206" s="102"/>
      <c r="CP206" s="67"/>
      <c r="CQ206" s="66">
        <f t="shared" si="2072"/>
        <v>0</v>
      </c>
      <c r="CR206" s="102"/>
      <c r="CS206" s="67"/>
      <c r="CT206" s="66">
        <f t="shared" si="2073"/>
        <v>0</v>
      </c>
      <c r="CU206" s="102"/>
      <c r="CV206" s="73"/>
      <c r="CW206" s="66">
        <f t="shared" si="2074"/>
        <v>0</v>
      </c>
      <c r="CX206" s="102"/>
      <c r="CY206" s="73"/>
      <c r="CZ206" s="66">
        <f t="shared" si="2075"/>
        <v>0</v>
      </c>
      <c r="DA206" s="102"/>
      <c r="DB206" s="73"/>
      <c r="DC206" s="66">
        <f t="shared" si="2076"/>
        <v>0</v>
      </c>
      <c r="DD206" s="102"/>
      <c r="DE206" s="67"/>
      <c r="DF206" s="66">
        <f t="shared" si="2077"/>
        <v>0</v>
      </c>
      <c r="DG206" s="102"/>
      <c r="DH206" s="67"/>
      <c r="DI206" s="66">
        <f t="shared" si="2078"/>
        <v>0</v>
      </c>
      <c r="DJ206" s="102"/>
      <c r="DK206" s="73"/>
      <c r="DL206" s="66">
        <f t="shared" si="2079"/>
        <v>0</v>
      </c>
      <c r="DM206" s="102"/>
      <c r="DN206" s="73"/>
      <c r="DO206" s="66">
        <f t="shared" si="2080"/>
        <v>0</v>
      </c>
      <c r="DP206" s="102"/>
      <c r="DQ206" s="73"/>
      <c r="DR206" s="66">
        <f t="shared" si="2081"/>
        <v>0</v>
      </c>
      <c r="DS206" s="102"/>
      <c r="DT206" s="67"/>
      <c r="DU206" s="66">
        <f t="shared" si="2082"/>
        <v>0</v>
      </c>
      <c r="DV206" s="102"/>
      <c r="DW206" s="67"/>
      <c r="DX206" s="66">
        <f t="shared" si="2083"/>
        <v>0</v>
      </c>
      <c r="DY206" s="102"/>
      <c r="DZ206" s="73"/>
      <c r="EA206" s="66">
        <f t="shared" si="2084"/>
        <v>0</v>
      </c>
      <c r="EB206" s="102"/>
      <c r="EC206" s="73"/>
      <c r="ED206" s="66">
        <f t="shared" si="2085"/>
        <v>0</v>
      </c>
      <c r="EE206" s="102"/>
      <c r="EF206" s="73"/>
      <c r="EG206" s="66">
        <f t="shared" si="2086"/>
        <v>0</v>
      </c>
      <c r="EH206" s="102"/>
      <c r="EI206" s="102"/>
    </row>
    <row r="207" spans="1:139">
      <c r="A207" s="711">
        <f>WORLDCUP!AD127</f>
        <v>0</v>
      </c>
      <c r="B207" s="711">
        <f>WORLDCUP!AC127</f>
        <v>0</v>
      </c>
      <c r="C207" s="805" t="str">
        <f>CONCATENATE(WORLDCUP!AF127,"-",WORLDCUP!AA127)</f>
        <v>W87-W85</v>
      </c>
      <c r="D207" s="805" t="str">
        <f>IF(WORLDCUP!AC127&gt;WORLDCUP!AD127,2,IF(WORLDCUP!AC127&lt;WORLDCUP!AD127,1,IF(AND(WORLDCUP!AC127=WORLDCUP!AD127,WORLDCUP!AC127&lt;&gt;"",WORLDCUP!AD127&lt;&gt;""),0,"PD")))</f>
        <v>PD</v>
      </c>
      <c r="E207" s="805" t="str">
        <f>IF(OR(WORLDCUP!AD127="",WORLDCUP!AC127=""),"-",A207&amp;"-"&amp;B207)</f>
        <v>-</v>
      </c>
      <c r="F207" s="806">
        <f t="shared" si="2045"/>
        <v>17</v>
      </c>
      <c r="G207" s="806">
        <f ca="1">VLOOKUP(H207,Equipos!$Q$1:$R$25,2,0)</f>
        <v>21</v>
      </c>
      <c r="H207" s="800" t="str">
        <f>Idiomas!$D$261</f>
        <v>Octavos de final</v>
      </c>
      <c r="I207" s="808">
        <v>1</v>
      </c>
      <c r="J207" s="859"/>
      <c r="K207" s="107" t="str">
        <f>CONCATENATE(WORLDCUP!AA127,"-",WORLDCUP!AF127)</f>
        <v>W85-W87</v>
      </c>
      <c r="L207" s="107" t="str">
        <f>IF(OR(WORLDCUP!AC127="",WORLDCUP!AD127=""),"PD",IF(WORLDCUP!AC127&gt;WORLDCUP!AD127,1,IF(WORLDCUP!AC127&lt;WORLDCUP!AD127,2,0)))</f>
        <v>PD</v>
      </c>
      <c r="M207" s="48" t="str">
        <f>IF(OR(WORLDCUP!AC127="",WORLDCUP!AD127=""),"-",N207&amp;"|"&amp;O207&amp;"-"&amp;P207)</f>
        <v>-</v>
      </c>
      <c r="N207" s="711" t="str">
        <f>IF(OR(WORLDCUP!AC127="",WORLDCUP!AD127=""),"",IF(WORLDCUP!AC127&gt;WORLDCUP!AD127,"1",IF(WORLDCUP!AC127&lt;WORLDCUP!AD127,"2","X")))</f>
        <v/>
      </c>
      <c r="O207" s="711">
        <f>WORLDCUP!AC127</f>
        <v>0</v>
      </c>
      <c r="P207" s="711">
        <f>WORLDCUP!AD127</f>
        <v>0</v>
      </c>
      <c r="Q207" s="711">
        <f t="shared" si="2046"/>
        <v>0</v>
      </c>
      <c r="R207" s="102"/>
      <c r="S207" s="73" t="s">
        <v>1965</v>
      </c>
      <c r="T207" s="66">
        <f t="shared" si="2047"/>
        <v>0</v>
      </c>
      <c r="U207" s="102"/>
      <c r="V207" s="67" t="s">
        <v>1955</v>
      </c>
      <c r="W207" s="66">
        <f t="shared" si="2048"/>
        <v>0</v>
      </c>
      <c r="X207" s="102"/>
      <c r="Y207" s="73" t="s">
        <v>1960</v>
      </c>
      <c r="Z207" s="66">
        <f t="shared" si="2049"/>
        <v>0</v>
      </c>
      <c r="AA207" s="102"/>
      <c r="AB207" s="73" t="s">
        <v>1960</v>
      </c>
      <c r="AC207" s="66">
        <f t="shared" si="2050"/>
        <v>0</v>
      </c>
      <c r="AD207" s="102"/>
      <c r="AE207" s="73" t="s">
        <v>1960</v>
      </c>
      <c r="AF207" s="66">
        <f t="shared" si="2051"/>
        <v>0</v>
      </c>
      <c r="AG207" s="102"/>
      <c r="AH207" s="73" t="s">
        <v>1960</v>
      </c>
      <c r="AI207" s="66">
        <f t="shared" si="2052"/>
        <v>0</v>
      </c>
      <c r="AJ207" s="102"/>
      <c r="AK207" s="67" t="s">
        <v>1955</v>
      </c>
      <c r="AL207" s="66">
        <f t="shared" si="2053"/>
        <v>0</v>
      </c>
      <c r="AM207" s="102"/>
      <c r="AN207" s="73" t="s">
        <v>1955</v>
      </c>
      <c r="AO207" s="66">
        <f t="shared" si="2054"/>
        <v>0</v>
      </c>
      <c r="AP207" s="102"/>
      <c r="AQ207" s="73" t="s">
        <v>1951</v>
      </c>
      <c r="AR207" s="66">
        <f t="shared" si="2055"/>
        <v>0</v>
      </c>
      <c r="AS207" s="102"/>
      <c r="AT207" s="73" t="s">
        <v>1965</v>
      </c>
      <c r="AU207" s="66">
        <f t="shared" si="2056"/>
        <v>0</v>
      </c>
      <c r="AV207" s="102"/>
      <c r="AW207" s="73" t="s">
        <v>1950</v>
      </c>
      <c r="AX207" s="66">
        <f t="shared" si="2057"/>
        <v>0</v>
      </c>
      <c r="AY207" s="102"/>
      <c r="AZ207" s="67" t="s">
        <v>1955</v>
      </c>
      <c r="BA207" s="66">
        <f t="shared" si="2058"/>
        <v>0</v>
      </c>
      <c r="BB207" s="102"/>
      <c r="BC207" s="73" t="s">
        <v>1955</v>
      </c>
      <c r="BD207" s="66">
        <f t="shared" si="2059"/>
        <v>0</v>
      </c>
      <c r="BE207" s="102"/>
      <c r="BF207" s="73" t="s">
        <v>1964</v>
      </c>
      <c r="BG207" s="66">
        <f t="shared" si="2060"/>
        <v>0</v>
      </c>
      <c r="BH207" s="102"/>
      <c r="BI207" s="73" t="s">
        <v>1960</v>
      </c>
      <c r="BJ207" s="66">
        <f t="shared" si="2061"/>
        <v>0</v>
      </c>
      <c r="BK207" s="102"/>
      <c r="BL207" s="73" t="s">
        <v>1950</v>
      </c>
      <c r="BM207" s="66">
        <f t="shared" si="2062"/>
        <v>0</v>
      </c>
      <c r="BN207" s="102"/>
      <c r="BO207" s="67" t="s">
        <v>1948</v>
      </c>
      <c r="BP207" s="66">
        <f t="shared" si="2063"/>
        <v>0</v>
      </c>
      <c r="BQ207" s="102"/>
      <c r="BR207" s="73" t="s">
        <v>1955</v>
      </c>
      <c r="BS207" s="66">
        <f t="shared" si="2064"/>
        <v>0</v>
      </c>
      <c r="BT207" s="102"/>
      <c r="BU207" s="73"/>
      <c r="BV207" s="66">
        <f t="shared" si="2065"/>
        <v>0</v>
      </c>
      <c r="BW207" s="102"/>
      <c r="BX207" s="73"/>
      <c r="BY207" s="66">
        <f t="shared" si="2066"/>
        <v>0</v>
      </c>
      <c r="BZ207" s="102"/>
      <c r="CA207" s="73"/>
      <c r="CB207" s="66">
        <f t="shared" si="2067"/>
        <v>0</v>
      </c>
      <c r="CC207" s="102"/>
      <c r="CD207" s="67"/>
      <c r="CE207" s="66">
        <f t="shared" si="2068"/>
        <v>0</v>
      </c>
      <c r="CF207" s="102"/>
      <c r="CG207" s="73"/>
      <c r="CH207" s="66">
        <f t="shared" si="2069"/>
        <v>0</v>
      </c>
      <c r="CI207" s="102"/>
      <c r="CJ207" s="73"/>
      <c r="CK207" s="66">
        <f t="shared" si="2070"/>
        <v>0</v>
      </c>
      <c r="CL207" s="102"/>
      <c r="CM207" s="73"/>
      <c r="CN207" s="66">
        <f t="shared" si="2071"/>
        <v>0</v>
      </c>
      <c r="CO207" s="102"/>
      <c r="CP207" s="73"/>
      <c r="CQ207" s="66">
        <f t="shared" si="2072"/>
        <v>0</v>
      </c>
      <c r="CR207" s="102"/>
      <c r="CS207" s="67"/>
      <c r="CT207" s="66">
        <f t="shared" si="2073"/>
        <v>0</v>
      </c>
      <c r="CU207" s="102"/>
      <c r="CV207" s="73"/>
      <c r="CW207" s="66">
        <f t="shared" si="2074"/>
        <v>0</v>
      </c>
      <c r="CX207" s="102"/>
      <c r="CY207" s="73"/>
      <c r="CZ207" s="66">
        <f t="shared" si="2075"/>
        <v>0</v>
      </c>
      <c r="DA207" s="102"/>
      <c r="DB207" s="73"/>
      <c r="DC207" s="66">
        <f t="shared" si="2076"/>
        <v>0</v>
      </c>
      <c r="DD207" s="102"/>
      <c r="DE207" s="73"/>
      <c r="DF207" s="66">
        <f t="shared" si="2077"/>
        <v>0</v>
      </c>
      <c r="DG207" s="102"/>
      <c r="DH207" s="67"/>
      <c r="DI207" s="66">
        <f t="shared" si="2078"/>
        <v>0</v>
      </c>
      <c r="DJ207" s="102"/>
      <c r="DK207" s="73"/>
      <c r="DL207" s="66">
        <f t="shared" si="2079"/>
        <v>0</v>
      </c>
      <c r="DM207" s="102"/>
      <c r="DN207" s="73"/>
      <c r="DO207" s="66">
        <f t="shared" si="2080"/>
        <v>0</v>
      </c>
      <c r="DP207" s="102"/>
      <c r="DQ207" s="73"/>
      <c r="DR207" s="66">
        <f t="shared" si="2081"/>
        <v>0</v>
      </c>
      <c r="DS207" s="102"/>
      <c r="DT207" s="73"/>
      <c r="DU207" s="66">
        <f t="shared" si="2082"/>
        <v>0</v>
      </c>
      <c r="DV207" s="102"/>
      <c r="DW207" s="67"/>
      <c r="DX207" s="66">
        <f t="shared" si="2083"/>
        <v>0</v>
      </c>
      <c r="DY207" s="102"/>
      <c r="DZ207" s="73"/>
      <c r="EA207" s="66">
        <f t="shared" si="2084"/>
        <v>0</v>
      </c>
      <c r="EB207" s="102"/>
      <c r="EC207" s="73"/>
      <c r="ED207" s="66">
        <f t="shared" si="2085"/>
        <v>0</v>
      </c>
      <c r="EE207" s="102"/>
      <c r="EF207" s="73"/>
      <c r="EG207" s="66">
        <f t="shared" si="2086"/>
        <v>0</v>
      </c>
      <c r="EH207" s="102"/>
      <c r="EI207" s="102"/>
    </row>
    <row r="208" spans="1:139">
      <c r="A208" s="711"/>
      <c r="B208" s="711"/>
      <c r="C208" s="805"/>
      <c r="D208" s="805"/>
      <c r="E208" s="805"/>
      <c r="F208" s="806"/>
      <c r="G208" s="806"/>
      <c r="H208" s="800"/>
      <c r="I208" s="800"/>
      <c r="J208" s="86"/>
      <c r="K208" s="416" t="str">
        <f>Idiomas!D460</f>
        <v>Partidos 1/8</v>
      </c>
      <c r="L208" s="417"/>
      <c r="M208" s="416" t="str">
        <f>"Max: "&amp;SUM($D$20:$D$22)*SUM($I$200:$I$207)</f>
        <v>Max: 136</v>
      </c>
      <c r="N208" s="711"/>
      <c r="O208" s="711"/>
      <c r="P208" s="711"/>
      <c r="Q208" s="711"/>
      <c r="R208" s="43"/>
      <c r="S208" s="77"/>
      <c r="T208" s="64">
        <f>SUM(T200:T207)</f>
        <v>0</v>
      </c>
      <c r="U208" s="43"/>
      <c r="V208" s="77"/>
      <c r="W208" s="64">
        <f>SUM(W200:W207)</f>
        <v>0</v>
      </c>
      <c r="X208" s="43"/>
      <c r="Y208" s="77"/>
      <c r="Z208" s="64">
        <f>SUM(Z200:Z207)</f>
        <v>0</v>
      </c>
      <c r="AA208" s="43"/>
      <c r="AB208" s="77"/>
      <c r="AC208" s="64">
        <f>SUM(AC200:AC207)</f>
        <v>0</v>
      </c>
      <c r="AD208" s="43"/>
      <c r="AE208" s="77"/>
      <c r="AF208" s="64">
        <f>SUM(AF200:AF207)</f>
        <v>0</v>
      </c>
      <c r="AG208" s="43"/>
      <c r="AH208" s="77"/>
      <c r="AI208" s="64">
        <f>SUM(AI200:AI207)</f>
        <v>0</v>
      </c>
      <c r="AJ208" s="43"/>
      <c r="AK208" s="77"/>
      <c r="AL208" s="64">
        <f>SUM(AL200:AL207)</f>
        <v>0</v>
      </c>
      <c r="AM208" s="43"/>
      <c r="AN208" s="77"/>
      <c r="AO208" s="64">
        <f>SUM(AO200:AO207)</f>
        <v>0</v>
      </c>
      <c r="AP208" s="43"/>
      <c r="AQ208" s="77"/>
      <c r="AR208" s="64">
        <f>SUM(AR200:AR207)</f>
        <v>0</v>
      </c>
      <c r="AS208" s="43"/>
      <c r="AT208" s="77"/>
      <c r="AU208" s="64">
        <f>SUM(AU200:AU207)</f>
        <v>0</v>
      </c>
      <c r="AV208" s="43"/>
      <c r="AW208" s="77"/>
      <c r="AX208" s="64">
        <f>SUM(AX200:AX207)</f>
        <v>0</v>
      </c>
      <c r="AY208" s="43"/>
      <c r="AZ208" s="77"/>
      <c r="BA208" s="64">
        <f>SUM(BA200:BA207)</f>
        <v>0</v>
      </c>
      <c r="BB208" s="43"/>
      <c r="BC208" s="77"/>
      <c r="BD208" s="64">
        <f>SUM(BD200:BD207)</f>
        <v>0</v>
      </c>
      <c r="BE208" s="43"/>
      <c r="BF208" s="77"/>
      <c r="BG208" s="64">
        <f>SUM(BG200:BG207)</f>
        <v>0</v>
      </c>
      <c r="BH208" s="43"/>
      <c r="BI208" s="77"/>
      <c r="BJ208" s="64">
        <f>SUM(BJ200:BJ207)</f>
        <v>0</v>
      </c>
      <c r="BK208" s="43"/>
      <c r="BL208" s="77"/>
      <c r="BM208" s="64">
        <f>SUM(BM200:BM207)</f>
        <v>0</v>
      </c>
      <c r="BN208" s="43"/>
      <c r="BO208" s="77"/>
      <c r="BP208" s="64">
        <f>SUM(BP200:BP207)</f>
        <v>0</v>
      </c>
      <c r="BQ208" s="43"/>
      <c r="BR208" s="77"/>
      <c r="BS208" s="64">
        <f>SUM(BS200:BS207)</f>
        <v>0</v>
      </c>
      <c r="BT208" s="43"/>
      <c r="BU208" s="77"/>
      <c r="BV208" s="64">
        <f>SUM(BV200:BV207)</f>
        <v>0</v>
      </c>
      <c r="BW208" s="43"/>
      <c r="BX208" s="77"/>
      <c r="BY208" s="64">
        <f>SUM(BY200:BY207)</f>
        <v>0</v>
      </c>
      <c r="BZ208" s="43"/>
      <c r="CA208" s="77"/>
      <c r="CB208" s="64">
        <f>SUM(CB200:CB207)</f>
        <v>0</v>
      </c>
      <c r="CC208" s="43"/>
      <c r="CD208" s="77"/>
      <c r="CE208" s="64">
        <f>SUM(CE200:CE207)</f>
        <v>0</v>
      </c>
      <c r="CF208" s="43"/>
      <c r="CG208" s="77"/>
      <c r="CH208" s="64">
        <f>SUM(CH200:CH207)</f>
        <v>0</v>
      </c>
      <c r="CI208" s="43"/>
      <c r="CJ208" s="77"/>
      <c r="CK208" s="64">
        <f>SUM(CK200:CK207)</f>
        <v>0</v>
      </c>
      <c r="CL208" s="43"/>
      <c r="CM208" s="77"/>
      <c r="CN208" s="64">
        <f>SUM(CN200:CN207)</f>
        <v>0</v>
      </c>
      <c r="CO208" s="43"/>
      <c r="CP208" s="77"/>
      <c r="CQ208" s="64">
        <f>SUM(CQ200:CQ207)</f>
        <v>0</v>
      </c>
      <c r="CR208" s="43"/>
      <c r="CS208" s="77"/>
      <c r="CT208" s="64">
        <f>SUM(CT200:CT207)</f>
        <v>0</v>
      </c>
      <c r="CU208" s="43"/>
      <c r="CV208" s="77"/>
      <c r="CW208" s="64">
        <f>SUM(CW200:CW207)</f>
        <v>0</v>
      </c>
      <c r="CX208" s="43"/>
      <c r="CY208" s="77"/>
      <c r="CZ208" s="64">
        <f>SUM(CZ200:CZ207)</f>
        <v>0</v>
      </c>
      <c r="DA208" s="43"/>
      <c r="DB208" s="77"/>
      <c r="DC208" s="64">
        <f>SUM(DC200:DC207)</f>
        <v>0</v>
      </c>
      <c r="DD208" s="43"/>
      <c r="DE208" s="77"/>
      <c r="DF208" s="64">
        <f>SUM(DF200:DF207)</f>
        <v>0</v>
      </c>
      <c r="DG208" s="43"/>
      <c r="DH208" s="77"/>
      <c r="DI208" s="64">
        <f>SUM(DI200:DI207)</f>
        <v>0</v>
      </c>
      <c r="DJ208" s="43"/>
      <c r="DK208" s="77"/>
      <c r="DL208" s="64">
        <f>SUM(DL200:DL207)</f>
        <v>0</v>
      </c>
      <c r="DM208" s="43"/>
      <c r="DN208" s="77"/>
      <c r="DO208" s="64">
        <f>SUM(DO200:DO207)</f>
        <v>0</v>
      </c>
      <c r="DP208" s="43"/>
      <c r="DQ208" s="77"/>
      <c r="DR208" s="64">
        <f>SUM(DR200:DR207)</f>
        <v>0</v>
      </c>
      <c r="DS208" s="43"/>
      <c r="DT208" s="77"/>
      <c r="DU208" s="64">
        <f>SUM(DU200:DU207)</f>
        <v>0</v>
      </c>
      <c r="DV208" s="43"/>
      <c r="DW208" s="77"/>
      <c r="DX208" s="64">
        <f>SUM(DX200:DX207)</f>
        <v>0</v>
      </c>
      <c r="DY208" s="43"/>
      <c r="DZ208" s="77"/>
      <c r="EA208" s="64">
        <f>SUM(EA200:EA207)</f>
        <v>0</v>
      </c>
      <c r="EB208" s="43"/>
      <c r="EC208" s="77"/>
      <c r="ED208" s="64">
        <f>SUM(ED200:ED207)</f>
        <v>0</v>
      </c>
      <c r="EE208" s="43"/>
      <c r="EF208" s="77"/>
      <c r="EG208" s="64">
        <f>SUM(EG200:EG207)</f>
        <v>0</v>
      </c>
      <c r="EH208" s="43"/>
      <c r="EI208" s="43"/>
    </row>
    <row r="209" spans="1:139">
      <c r="A209" s="711"/>
      <c r="B209" s="711"/>
      <c r="C209" s="805"/>
      <c r="D209" s="805"/>
      <c r="E209" s="805"/>
      <c r="F209" s="806"/>
      <c r="G209" s="806"/>
      <c r="H209" s="800"/>
      <c r="I209" s="800"/>
      <c r="J209" s="86"/>
      <c r="K209" s="105" t="str">
        <f>Idiomas!D141</f>
        <v>CLASIFICADOS PARA CUARTOS</v>
      </c>
      <c r="L209" s="44"/>
      <c r="M209" s="64"/>
      <c r="N209" s="711"/>
      <c r="O209" s="711"/>
      <c r="P209" s="711"/>
      <c r="Q209" s="711"/>
      <c r="R209" s="43"/>
      <c r="S209" s="77"/>
      <c r="T209" s="64"/>
      <c r="U209" s="43"/>
      <c r="V209" s="77"/>
      <c r="W209" s="64"/>
      <c r="X209" s="43"/>
      <c r="Y209" s="77"/>
      <c r="Z209" s="64"/>
      <c r="AA209" s="43"/>
      <c r="AB209" s="77"/>
      <c r="AC209" s="64"/>
      <c r="AD209" s="43"/>
      <c r="AE209" s="77"/>
      <c r="AF209" s="64"/>
      <c r="AG209" s="43"/>
      <c r="AH209" s="77"/>
      <c r="AI209" s="64"/>
      <c r="AJ209" s="43"/>
      <c r="AK209" s="77"/>
      <c r="AL209" s="64"/>
      <c r="AM209" s="43"/>
      <c r="AN209" s="77"/>
      <c r="AO209" s="64"/>
      <c r="AP209" s="43"/>
      <c r="AQ209" s="77"/>
      <c r="AR209" s="64"/>
      <c r="AS209" s="43"/>
      <c r="AT209" s="77"/>
      <c r="AU209" s="64"/>
      <c r="AV209" s="43"/>
      <c r="AW209" s="77"/>
      <c r="AX209" s="64"/>
      <c r="AY209" s="43"/>
      <c r="AZ209" s="77"/>
      <c r="BA209" s="64"/>
      <c r="BB209" s="43"/>
      <c r="BC209" s="77"/>
      <c r="BD209" s="64"/>
      <c r="BE209" s="43"/>
      <c r="BF209" s="77"/>
      <c r="BG209" s="64"/>
      <c r="BH209" s="43"/>
      <c r="BI209" s="77"/>
      <c r="BJ209" s="64"/>
      <c r="BK209" s="43"/>
      <c r="BL209" s="77"/>
      <c r="BM209" s="64"/>
      <c r="BN209" s="43"/>
      <c r="BO209" s="77"/>
      <c r="BP209" s="64"/>
      <c r="BQ209" s="43"/>
      <c r="BR209" s="77"/>
      <c r="BS209" s="64"/>
      <c r="BT209" s="43"/>
      <c r="BU209" s="77"/>
      <c r="BV209" s="64"/>
      <c r="BW209" s="43"/>
      <c r="BX209" s="77"/>
      <c r="BY209" s="64"/>
      <c r="BZ209" s="43"/>
      <c r="CA209" s="77"/>
      <c r="CB209" s="64"/>
      <c r="CC209" s="43"/>
      <c r="CD209" s="77"/>
      <c r="CE209" s="64"/>
      <c r="CF209" s="43"/>
      <c r="CG209" s="77"/>
      <c r="CH209" s="64"/>
      <c r="CI209" s="43"/>
      <c r="CJ209" s="77"/>
      <c r="CK209" s="64"/>
      <c r="CL209" s="43"/>
      <c r="CM209" s="77"/>
      <c r="CN209" s="64"/>
      <c r="CO209" s="43"/>
      <c r="CP209" s="77"/>
      <c r="CQ209" s="64"/>
      <c r="CR209" s="43"/>
      <c r="CS209" s="77"/>
      <c r="CT209" s="64"/>
      <c r="CU209" s="43"/>
      <c r="CV209" s="77"/>
      <c r="CW209" s="64"/>
      <c r="CX209" s="43"/>
      <c r="CY209" s="77"/>
      <c r="CZ209" s="64"/>
      <c r="DA209" s="43"/>
      <c r="DB209" s="77"/>
      <c r="DC209" s="64"/>
      <c r="DD209" s="43"/>
      <c r="DE209" s="77"/>
      <c r="DF209" s="64"/>
      <c r="DG209" s="43"/>
      <c r="DH209" s="77"/>
      <c r="DI209" s="64"/>
      <c r="DJ209" s="43"/>
      <c r="DK209" s="77"/>
      <c r="DL209" s="64"/>
      <c r="DM209" s="43"/>
      <c r="DN209" s="77"/>
      <c r="DO209" s="64"/>
      <c r="DP209" s="43"/>
      <c r="DQ209" s="77"/>
      <c r="DR209" s="64"/>
      <c r="DS209" s="43"/>
      <c r="DT209" s="77"/>
      <c r="DU209" s="64"/>
      <c r="DV209" s="43"/>
      <c r="DW209" s="77"/>
      <c r="DX209" s="64"/>
      <c r="DY209" s="43"/>
      <c r="DZ209" s="77"/>
      <c r="EA209" s="64"/>
      <c r="EB209" s="43"/>
      <c r="EC209" s="77"/>
      <c r="ED209" s="64"/>
      <c r="EE209" s="43"/>
      <c r="EF209" s="77"/>
      <c r="EG209" s="64"/>
      <c r="EH209" s="43"/>
      <c r="EI209" s="43"/>
    </row>
    <row r="210" spans="1:139">
      <c r="A210" s="711"/>
      <c r="B210" s="711"/>
      <c r="C210" s="805"/>
      <c r="D210" s="805"/>
      <c r="E210" s="805"/>
      <c r="F210" s="806">
        <f>+$D$23</f>
        <v>5</v>
      </c>
      <c r="G210" s="806">
        <f ca="1">VLOOKUP(H210,Equipos!$Q$1:$R$25,2,0)</f>
        <v>21</v>
      </c>
      <c r="H210" s="800" t="str">
        <f>Idiomas!$D$261</f>
        <v>Octavos de final</v>
      </c>
      <c r="I210" s="800"/>
      <c r="J210" s="859" t="s">
        <v>34</v>
      </c>
      <c r="K210" s="46" t="str">
        <f>Idiomas!$D$200&amp;"-"&amp;ROWS($L$210:L210)</f>
        <v>Cuartofinalista-1</v>
      </c>
      <c r="L210" s="46"/>
      <c r="M210" s="48" t="str">
        <f>WORLDCUP!AA131</f>
        <v>W89</v>
      </c>
      <c r="N210" s="711"/>
      <c r="O210" s="711"/>
      <c r="P210" s="711"/>
      <c r="Q210" s="711"/>
      <c r="R210" s="102"/>
      <c r="S210" s="69" t="s">
        <v>77</v>
      </c>
      <c r="T210" s="70">
        <f>COUNTIF($M$210:$M$217,S210)*$D$23</f>
        <v>0</v>
      </c>
      <c r="U210" s="102"/>
      <c r="V210" s="69" t="s">
        <v>74</v>
      </c>
      <c r="W210" s="70">
        <f>COUNTIF($M$210:$M$217,V210)*$D$23</f>
        <v>0</v>
      </c>
      <c r="X210" s="102"/>
      <c r="Y210" s="69" t="s">
        <v>77</v>
      </c>
      <c r="Z210" s="70">
        <f>COUNTIF($M$210:$M$217,Y210)*$D$23</f>
        <v>0</v>
      </c>
      <c r="AA210" s="102"/>
      <c r="AB210" s="69" t="s">
        <v>74</v>
      </c>
      <c r="AC210" s="70">
        <f>COUNTIF($M$210:$M$217,AB210)*$D$23</f>
        <v>0</v>
      </c>
      <c r="AD210" s="102"/>
      <c r="AE210" s="69" t="s">
        <v>74</v>
      </c>
      <c r="AF210" s="70">
        <f>COUNTIF($M$210:$M$217,AE210)*$D$23</f>
        <v>0</v>
      </c>
      <c r="AG210" s="102"/>
      <c r="AH210" s="69" t="s">
        <v>74</v>
      </c>
      <c r="AI210" s="70">
        <f>COUNTIF($M$210:$M$217,AH210)*$D$23</f>
        <v>0</v>
      </c>
      <c r="AJ210" s="102"/>
      <c r="AK210" s="69" t="s">
        <v>74</v>
      </c>
      <c r="AL210" s="70">
        <f>COUNTIF($M$210:$M$217,AK210)*$D$23</f>
        <v>0</v>
      </c>
      <c r="AM210" s="102"/>
      <c r="AN210" s="69" t="s">
        <v>77</v>
      </c>
      <c r="AO210" s="70">
        <f>COUNTIF($M$210:$M$217,AN210)*$D$23</f>
        <v>0</v>
      </c>
      <c r="AP210" s="102"/>
      <c r="AQ210" s="69" t="s">
        <v>77</v>
      </c>
      <c r="AR210" s="70">
        <f>COUNTIF($M$210:$M$217,AQ210)*$D$23</f>
        <v>0</v>
      </c>
      <c r="AS210" s="102"/>
      <c r="AT210" s="69" t="s">
        <v>74</v>
      </c>
      <c r="AU210" s="70">
        <f>COUNTIF($M$210:$M$217,AT210)*$D$23</f>
        <v>0</v>
      </c>
      <c r="AV210" s="102"/>
      <c r="AW210" s="69" t="s">
        <v>74</v>
      </c>
      <c r="AX210" s="70">
        <f>COUNTIF($M$210:$M$217,AW210)*$D$23</f>
        <v>0</v>
      </c>
      <c r="AY210" s="102"/>
      <c r="AZ210" s="69" t="s">
        <v>74</v>
      </c>
      <c r="BA210" s="70">
        <f>COUNTIF($M$210:$M$217,AZ210)*$D$23</f>
        <v>0</v>
      </c>
      <c r="BB210" s="102"/>
      <c r="BC210" s="69" t="s">
        <v>77</v>
      </c>
      <c r="BD210" s="70">
        <f>COUNTIF($M$210:$M$217,BC210)*$D$23</f>
        <v>0</v>
      </c>
      <c r="BE210" s="102"/>
      <c r="BF210" s="69" t="s">
        <v>74</v>
      </c>
      <c r="BG210" s="70">
        <f>COUNTIF($M$210:$M$217,BF210)*$D$23</f>
        <v>0</v>
      </c>
      <c r="BH210" s="102"/>
      <c r="BI210" s="69" t="s">
        <v>74</v>
      </c>
      <c r="BJ210" s="70">
        <f>COUNTIF($M$210:$M$217,BI210)*$D$23</f>
        <v>0</v>
      </c>
      <c r="BK210" s="102"/>
      <c r="BL210" s="69" t="s">
        <v>74</v>
      </c>
      <c r="BM210" s="70">
        <f>COUNTIF($M$210:$M$217,BL210)*$D$23</f>
        <v>0</v>
      </c>
      <c r="BN210" s="102"/>
      <c r="BO210" s="69" t="s">
        <v>74</v>
      </c>
      <c r="BP210" s="70">
        <f>COUNTIF($M$210:$M$217,BO210)*$D$23</f>
        <v>0</v>
      </c>
      <c r="BQ210" s="102"/>
      <c r="BR210" s="69" t="s">
        <v>74</v>
      </c>
      <c r="BS210" s="70">
        <f>COUNTIF($M$210:$M$217,BR210)*$D$23</f>
        <v>0</v>
      </c>
      <c r="BT210" s="102"/>
      <c r="BU210" s="69"/>
      <c r="BV210" s="70">
        <f>COUNTIF($M$210:$M$217,BU210)*$D$23</f>
        <v>0</v>
      </c>
      <c r="BW210" s="102"/>
      <c r="BX210" s="69"/>
      <c r="BY210" s="70">
        <f>COUNTIF($M$210:$M$217,BX210)*$D$23</f>
        <v>0</v>
      </c>
      <c r="BZ210" s="102"/>
      <c r="CA210" s="69"/>
      <c r="CB210" s="70">
        <f>COUNTIF($M$210:$M$217,CA210)*$D$23</f>
        <v>0</v>
      </c>
      <c r="CC210" s="102"/>
      <c r="CD210" s="69"/>
      <c r="CE210" s="70">
        <f>COUNTIF($M$210:$M$217,CD210)*$D$23</f>
        <v>0</v>
      </c>
      <c r="CF210" s="102"/>
      <c r="CG210" s="69"/>
      <c r="CH210" s="70">
        <f>COUNTIF($M$210:$M$217,CG210)*$D$23</f>
        <v>0</v>
      </c>
      <c r="CI210" s="102"/>
      <c r="CJ210" s="69"/>
      <c r="CK210" s="70">
        <f>COUNTIF($M$210:$M$217,CJ210)*$D$23</f>
        <v>0</v>
      </c>
      <c r="CL210" s="102"/>
      <c r="CM210" s="69"/>
      <c r="CN210" s="70">
        <f>COUNTIF($M$210:$M$217,CM210)*$D$23</f>
        <v>0</v>
      </c>
      <c r="CO210" s="102"/>
      <c r="CP210" s="69"/>
      <c r="CQ210" s="70">
        <f>COUNTIF($M$210:$M$217,CP210)*$D$23</f>
        <v>0</v>
      </c>
      <c r="CR210" s="102"/>
      <c r="CS210" s="69"/>
      <c r="CT210" s="70">
        <f>COUNTIF($M$210:$M$217,CS210)*$D$23</f>
        <v>0</v>
      </c>
      <c r="CU210" s="102"/>
      <c r="CV210" s="69"/>
      <c r="CW210" s="70">
        <f>COUNTIF($M$210:$M$217,CV210)*$D$23</f>
        <v>0</v>
      </c>
      <c r="CX210" s="102"/>
      <c r="CY210" s="69"/>
      <c r="CZ210" s="70">
        <f>COUNTIF($M$210:$M$217,CY210)*$D$23</f>
        <v>0</v>
      </c>
      <c r="DA210" s="102"/>
      <c r="DB210" s="69"/>
      <c r="DC210" s="70">
        <f>COUNTIF($M$210:$M$217,DB210)*$D$23</f>
        <v>0</v>
      </c>
      <c r="DD210" s="102"/>
      <c r="DE210" s="69"/>
      <c r="DF210" s="70">
        <f>COUNTIF($M$210:$M$217,DE210)*$D$23</f>
        <v>0</v>
      </c>
      <c r="DG210" s="102"/>
      <c r="DH210" s="69"/>
      <c r="DI210" s="70">
        <f>COUNTIF($M$210:$M$217,DH210)*$D$23</f>
        <v>0</v>
      </c>
      <c r="DJ210" s="102"/>
      <c r="DK210" s="69"/>
      <c r="DL210" s="70">
        <f>COUNTIF($M$210:$M$217,DK210)*$D$23</f>
        <v>0</v>
      </c>
      <c r="DM210" s="102"/>
      <c r="DN210" s="69"/>
      <c r="DO210" s="70">
        <f>COUNTIF($M$210:$M$217,DN210)*$D$23</f>
        <v>0</v>
      </c>
      <c r="DP210" s="102"/>
      <c r="DQ210" s="69"/>
      <c r="DR210" s="70">
        <f>COUNTIF($M$210:$M$217,DQ210)*$D$23</f>
        <v>0</v>
      </c>
      <c r="DS210" s="102"/>
      <c r="DT210" s="69"/>
      <c r="DU210" s="70">
        <f>COUNTIF($M$210:$M$217,DT210)*$D$23</f>
        <v>0</v>
      </c>
      <c r="DV210" s="102"/>
      <c r="DW210" s="69"/>
      <c r="DX210" s="70">
        <f>COUNTIF($M$210:$M$217,DW210)*$D$23</f>
        <v>0</v>
      </c>
      <c r="DY210" s="102"/>
      <c r="DZ210" s="69"/>
      <c r="EA210" s="70">
        <f>COUNTIF($M$210:$M$217,DZ210)*$D$23</f>
        <v>0</v>
      </c>
      <c r="EB210" s="102"/>
      <c r="EC210" s="69"/>
      <c r="ED210" s="70">
        <f>COUNTIF($M$210:$M$217,EC210)*$D$23</f>
        <v>0</v>
      </c>
      <c r="EE210" s="102"/>
      <c r="EF210" s="69"/>
      <c r="EG210" s="70">
        <f>COUNTIF($M$210:$M$217,EF210)*$D$23</f>
        <v>0</v>
      </c>
      <c r="EH210" s="102"/>
      <c r="EI210" s="102"/>
    </row>
    <row r="211" spans="1:139">
      <c r="A211" s="711"/>
      <c r="B211" s="711"/>
      <c r="C211" s="805"/>
      <c r="D211" s="805"/>
      <c r="E211" s="805"/>
      <c r="F211" s="806">
        <f t="shared" ref="F211:F217" si="2087">+$D$23</f>
        <v>5</v>
      </c>
      <c r="G211" s="806">
        <f ca="1">VLOOKUP(H211,Equipos!$Q$1:$R$25,2,0)</f>
        <v>21</v>
      </c>
      <c r="H211" s="800" t="str">
        <f>Idiomas!$D$261</f>
        <v>Octavos de final</v>
      </c>
      <c r="I211" s="800"/>
      <c r="J211" s="859"/>
      <c r="K211" s="49" t="str">
        <f>Idiomas!$D$200&amp;"-"&amp;ROWS($L$210:L211)</f>
        <v>Cuartofinalista-2</v>
      </c>
      <c r="L211" s="46"/>
      <c r="M211" s="48" t="str">
        <f>WORLDCUP!AA132</f>
        <v>W93</v>
      </c>
      <c r="N211" s="711"/>
      <c r="O211" s="711"/>
      <c r="P211" s="711"/>
      <c r="Q211" s="711"/>
      <c r="R211" s="102"/>
      <c r="S211" s="67" t="s">
        <v>38</v>
      </c>
      <c r="T211" s="70">
        <f t="shared" ref="T211:T217" si="2088">COUNTIF($M$210:$M$217,S211)*$D$23</f>
        <v>0</v>
      </c>
      <c r="U211" s="102"/>
      <c r="V211" s="67" t="s">
        <v>38</v>
      </c>
      <c r="W211" s="70">
        <f t="shared" ref="W211:W217" si="2089">COUNTIF($M$210:$M$217,V211)*$D$23</f>
        <v>0</v>
      </c>
      <c r="X211" s="102"/>
      <c r="Y211" s="67" t="s">
        <v>38</v>
      </c>
      <c r="Z211" s="70">
        <f t="shared" ref="Z211:Z217" si="2090">COUNTIF($M$210:$M$217,Y211)*$D$23</f>
        <v>0</v>
      </c>
      <c r="AA211" s="102"/>
      <c r="AB211" s="67" t="s">
        <v>76</v>
      </c>
      <c r="AC211" s="70">
        <f t="shared" ref="AC211:AC217" si="2091">COUNTIF($M$210:$M$217,AB211)*$D$23</f>
        <v>0</v>
      </c>
      <c r="AD211" s="102"/>
      <c r="AE211" s="67" t="s">
        <v>38</v>
      </c>
      <c r="AF211" s="70">
        <f t="shared" ref="AF211:AF217" si="2092">COUNTIF($M$210:$M$217,AE211)*$D$23</f>
        <v>0</v>
      </c>
      <c r="AG211" s="102"/>
      <c r="AH211" s="67" t="s">
        <v>38</v>
      </c>
      <c r="AI211" s="70">
        <f t="shared" ref="AI211:AI217" si="2093">COUNTIF($M$210:$M$217,AH211)*$D$23</f>
        <v>0</v>
      </c>
      <c r="AJ211" s="102"/>
      <c r="AK211" s="67" t="s">
        <v>38</v>
      </c>
      <c r="AL211" s="70">
        <f t="shared" ref="AL211:AL217" si="2094">COUNTIF($M$210:$M$217,AK211)*$D$23</f>
        <v>0</v>
      </c>
      <c r="AM211" s="102"/>
      <c r="AN211" s="67" t="s">
        <v>38</v>
      </c>
      <c r="AO211" s="70">
        <f t="shared" ref="AO211:AO217" si="2095">COUNTIF($M$210:$M$217,AN211)*$D$23</f>
        <v>0</v>
      </c>
      <c r="AP211" s="102"/>
      <c r="AQ211" s="67" t="s">
        <v>38</v>
      </c>
      <c r="AR211" s="70">
        <f t="shared" ref="AR211:AR217" si="2096">COUNTIF($M$210:$M$217,AQ211)*$D$23</f>
        <v>0</v>
      </c>
      <c r="AS211" s="102"/>
      <c r="AT211" s="67" t="s">
        <v>38</v>
      </c>
      <c r="AU211" s="70">
        <f t="shared" ref="AU211:AU217" si="2097">COUNTIF($M$210:$M$217,AT211)*$D$23</f>
        <v>0</v>
      </c>
      <c r="AV211" s="102"/>
      <c r="AW211" s="67" t="s">
        <v>38</v>
      </c>
      <c r="AX211" s="70">
        <f t="shared" ref="AX211:AX217" si="2098">COUNTIF($M$210:$M$217,AW211)*$D$23</f>
        <v>0</v>
      </c>
      <c r="AY211" s="102"/>
      <c r="AZ211" s="67" t="s">
        <v>38</v>
      </c>
      <c r="BA211" s="70">
        <f t="shared" ref="BA211:BA217" si="2099">COUNTIF($M$210:$M$217,AZ211)*$D$23</f>
        <v>0</v>
      </c>
      <c r="BB211" s="102"/>
      <c r="BC211" s="67" t="s">
        <v>38</v>
      </c>
      <c r="BD211" s="70">
        <f t="shared" ref="BD211:BD217" si="2100">COUNTIF($M$210:$M$217,BC211)*$D$23</f>
        <v>0</v>
      </c>
      <c r="BE211" s="102"/>
      <c r="BF211" s="67" t="s">
        <v>38</v>
      </c>
      <c r="BG211" s="70">
        <f t="shared" ref="BG211:BG217" si="2101">COUNTIF($M$210:$M$217,BF211)*$D$23</f>
        <v>0</v>
      </c>
      <c r="BH211" s="102"/>
      <c r="BI211" s="67" t="s">
        <v>38</v>
      </c>
      <c r="BJ211" s="70">
        <f t="shared" ref="BJ211:BJ217" si="2102">COUNTIF($M$210:$M$217,BI211)*$D$23</f>
        <v>0</v>
      </c>
      <c r="BK211" s="102"/>
      <c r="BL211" s="67" t="s">
        <v>38</v>
      </c>
      <c r="BM211" s="70">
        <f t="shared" ref="BM211:BM217" si="2103">COUNTIF($M$210:$M$217,BL211)*$D$23</f>
        <v>0</v>
      </c>
      <c r="BN211" s="102"/>
      <c r="BO211" s="67" t="s">
        <v>38</v>
      </c>
      <c r="BP211" s="70">
        <f t="shared" ref="BP211:BP217" si="2104">COUNTIF($M$210:$M$217,BO211)*$D$23</f>
        <v>0</v>
      </c>
      <c r="BQ211" s="102"/>
      <c r="BR211" s="67" t="s">
        <v>38</v>
      </c>
      <c r="BS211" s="70">
        <f t="shared" ref="BS211:BS217" si="2105">COUNTIF($M$210:$M$217,BR211)*$D$23</f>
        <v>0</v>
      </c>
      <c r="BT211" s="102"/>
      <c r="BU211" s="67"/>
      <c r="BV211" s="70">
        <f t="shared" ref="BV211:BV217" si="2106">COUNTIF($M$210:$M$217,BU211)*$D$23</f>
        <v>0</v>
      </c>
      <c r="BW211" s="102"/>
      <c r="BX211" s="67"/>
      <c r="BY211" s="70">
        <f t="shared" ref="BY211:BY217" si="2107">COUNTIF($M$210:$M$217,BX211)*$D$23</f>
        <v>0</v>
      </c>
      <c r="BZ211" s="102"/>
      <c r="CA211" s="67"/>
      <c r="CB211" s="70">
        <f t="shared" ref="CB211:CB217" si="2108">COUNTIF($M$210:$M$217,CA211)*$D$23</f>
        <v>0</v>
      </c>
      <c r="CC211" s="102"/>
      <c r="CD211" s="67"/>
      <c r="CE211" s="70">
        <f t="shared" ref="CE211:CE217" si="2109">COUNTIF($M$210:$M$217,CD211)*$D$23</f>
        <v>0</v>
      </c>
      <c r="CF211" s="102"/>
      <c r="CG211" s="67"/>
      <c r="CH211" s="70">
        <f t="shared" ref="CH211:CH217" si="2110">COUNTIF($M$210:$M$217,CG211)*$D$23</f>
        <v>0</v>
      </c>
      <c r="CI211" s="102"/>
      <c r="CJ211" s="67"/>
      <c r="CK211" s="70">
        <f t="shared" ref="CK211:CK217" si="2111">COUNTIF($M$210:$M$217,CJ211)*$D$23</f>
        <v>0</v>
      </c>
      <c r="CL211" s="102"/>
      <c r="CM211" s="67"/>
      <c r="CN211" s="70">
        <f t="shared" ref="CN211:CN217" si="2112">COUNTIF($M$210:$M$217,CM211)*$D$23</f>
        <v>0</v>
      </c>
      <c r="CO211" s="102"/>
      <c r="CP211" s="67"/>
      <c r="CQ211" s="70">
        <f t="shared" ref="CQ211:CQ217" si="2113">COUNTIF($M$210:$M$217,CP211)*$D$23</f>
        <v>0</v>
      </c>
      <c r="CR211" s="102"/>
      <c r="CS211" s="67"/>
      <c r="CT211" s="70">
        <f t="shared" ref="CT211:CT217" si="2114">COUNTIF($M$210:$M$217,CS211)*$D$23</f>
        <v>0</v>
      </c>
      <c r="CU211" s="102"/>
      <c r="CV211" s="67"/>
      <c r="CW211" s="70">
        <f t="shared" ref="CW211:CW217" si="2115">COUNTIF($M$210:$M$217,CV211)*$D$23</f>
        <v>0</v>
      </c>
      <c r="CX211" s="102"/>
      <c r="CY211" s="67"/>
      <c r="CZ211" s="70">
        <f t="shared" ref="CZ211:CZ217" si="2116">COUNTIF($M$210:$M$217,CY211)*$D$23</f>
        <v>0</v>
      </c>
      <c r="DA211" s="102"/>
      <c r="DB211" s="67"/>
      <c r="DC211" s="70">
        <f t="shared" ref="DC211:DC217" si="2117">COUNTIF($M$210:$M$217,DB211)*$D$23</f>
        <v>0</v>
      </c>
      <c r="DD211" s="102"/>
      <c r="DE211" s="67"/>
      <c r="DF211" s="70">
        <f t="shared" ref="DF211:DF217" si="2118">COUNTIF($M$210:$M$217,DE211)*$D$23</f>
        <v>0</v>
      </c>
      <c r="DG211" s="102"/>
      <c r="DH211" s="67"/>
      <c r="DI211" s="70">
        <f t="shared" ref="DI211:DI217" si="2119">COUNTIF($M$210:$M$217,DH211)*$D$23</f>
        <v>0</v>
      </c>
      <c r="DJ211" s="102"/>
      <c r="DK211" s="67"/>
      <c r="DL211" s="70">
        <f t="shared" ref="DL211:DL217" si="2120">COUNTIF($M$210:$M$217,DK211)*$D$23</f>
        <v>0</v>
      </c>
      <c r="DM211" s="102"/>
      <c r="DN211" s="67"/>
      <c r="DO211" s="70">
        <f t="shared" ref="DO211:DO217" si="2121">COUNTIF($M$210:$M$217,DN211)*$D$23</f>
        <v>0</v>
      </c>
      <c r="DP211" s="102"/>
      <c r="DQ211" s="67"/>
      <c r="DR211" s="70">
        <f t="shared" ref="DR211:DR217" si="2122">COUNTIF($M$210:$M$217,DQ211)*$D$23</f>
        <v>0</v>
      </c>
      <c r="DS211" s="102"/>
      <c r="DT211" s="67"/>
      <c r="DU211" s="70">
        <f t="shared" ref="DU211:DU217" si="2123">COUNTIF($M$210:$M$217,DT211)*$D$23</f>
        <v>0</v>
      </c>
      <c r="DV211" s="102"/>
      <c r="DW211" s="67"/>
      <c r="DX211" s="70">
        <f t="shared" ref="DX211:DX217" si="2124">COUNTIF($M$210:$M$217,DW211)*$D$23</f>
        <v>0</v>
      </c>
      <c r="DY211" s="102"/>
      <c r="DZ211" s="67"/>
      <c r="EA211" s="70">
        <f t="shared" ref="EA211:EA217" si="2125">COUNTIF($M$210:$M$217,DZ211)*$D$23</f>
        <v>0</v>
      </c>
      <c r="EB211" s="102"/>
      <c r="EC211" s="67"/>
      <c r="ED211" s="70">
        <f t="shared" ref="ED211:ED217" si="2126">COUNTIF($M$210:$M$217,EC211)*$D$23</f>
        <v>0</v>
      </c>
      <c r="EE211" s="102"/>
      <c r="EF211" s="67"/>
      <c r="EG211" s="70">
        <f t="shared" ref="EG211:EG217" si="2127">COUNTIF($M$210:$M$217,EF211)*$D$23</f>
        <v>0</v>
      </c>
      <c r="EH211" s="102"/>
      <c r="EI211" s="102"/>
    </row>
    <row r="212" spans="1:139">
      <c r="A212" s="711"/>
      <c r="B212" s="711"/>
      <c r="C212" s="805"/>
      <c r="D212" s="805"/>
      <c r="E212" s="805"/>
      <c r="F212" s="806">
        <f t="shared" si="2087"/>
        <v>5</v>
      </c>
      <c r="G212" s="806">
        <f ca="1">VLOOKUP(H212,Equipos!$Q$1:$R$25,2,0)</f>
        <v>21</v>
      </c>
      <c r="H212" s="800" t="str">
        <f>Idiomas!$D$261</f>
        <v>Octavos de final</v>
      </c>
      <c r="I212" s="800"/>
      <c r="J212" s="859"/>
      <c r="K212" s="49" t="str">
        <f>Idiomas!$D$200&amp;"-"&amp;ROWS($L$210:L212)</f>
        <v>Cuartofinalista-3</v>
      </c>
      <c r="L212" s="46"/>
      <c r="M212" s="48" t="str">
        <f>WORLDCUP!AA133</f>
        <v>W91</v>
      </c>
      <c r="N212" s="711"/>
      <c r="O212" s="711"/>
      <c r="P212" s="711"/>
      <c r="Q212" s="711"/>
      <c r="R212" s="102"/>
      <c r="S212" s="67" t="s">
        <v>1258</v>
      </c>
      <c r="T212" s="70">
        <f t="shared" si="2088"/>
        <v>0</v>
      </c>
      <c r="U212" s="102"/>
      <c r="V212" s="67" t="s">
        <v>1258</v>
      </c>
      <c r="W212" s="70">
        <f t="shared" si="2089"/>
        <v>0</v>
      </c>
      <c r="X212" s="102"/>
      <c r="Y212" s="67" t="s">
        <v>1258</v>
      </c>
      <c r="Z212" s="70">
        <f t="shared" si="2090"/>
        <v>0</v>
      </c>
      <c r="AA212" s="102"/>
      <c r="AB212" s="67" t="s">
        <v>1317</v>
      </c>
      <c r="AC212" s="70">
        <f t="shared" si="2091"/>
        <v>0</v>
      </c>
      <c r="AD212" s="102"/>
      <c r="AE212" s="67" t="s">
        <v>1317</v>
      </c>
      <c r="AF212" s="70">
        <f t="shared" si="2092"/>
        <v>0</v>
      </c>
      <c r="AG212" s="102"/>
      <c r="AH212" s="67" t="s">
        <v>1258</v>
      </c>
      <c r="AI212" s="70">
        <f t="shared" si="2093"/>
        <v>0</v>
      </c>
      <c r="AJ212" s="102"/>
      <c r="AK212" s="67" t="s">
        <v>1258</v>
      </c>
      <c r="AL212" s="70">
        <f t="shared" si="2094"/>
        <v>0</v>
      </c>
      <c r="AM212" s="102"/>
      <c r="AN212" s="67" t="s">
        <v>1258</v>
      </c>
      <c r="AO212" s="70">
        <f t="shared" si="2095"/>
        <v>0</v>
      </c>
      <c r="AP212" s="102"/>
      <c r="AQ212" s="67" t="s">
        <v>1317</v>
      </c>
      <c r="AR212" s="70">
        <f t="shared" si="2096"/>
        <v>0</v>
      </c>
      <c r="AS212" s="102"/>
      <c r="AT212" s="67" t="s">
        <v>1317</v>
      </c>
      <c r="AU212" s="70">
        <f t="shared" si="2097"/>
        <v>0</v>
      </c>
      <c r="AV212" s="102"/>
      <c r="AW212" s="67" t="s">
        <v>1258</v>
      </c>
      <c r="AX212" s="70">
        <f t="shared" si="2098"/>
        <v>0</v>
      </c>
      <c r="AY212" s="102"/>
      <c r="AZ212" s="67" t="s">
        <v>1258</v>
      </c>
      <c r="BA212" s="70">
        <f t="shared" si="2099"/>
        <v>0</v>
      </c>
      <c r="BB212" s="102"/>
      <c r="BC212" s="67" t="s">
        <v>135</v>
      </c>
      <c r="BD212" s="70">
        <f t="shared" si="2100"/>
        <v>0</v>
      </c>
      <c r="BE212" s="102"/>
      <c r="BF212" s="67" t="s">
        <v>1258</v>
      </c>
      <c r="BG212" s="70">
        <f t="shared" si="2101"/>
        <v>0</v>
      </c>
      <c r="BH212" s="102"/>
      <c r="BI212" s="67" t="s">
        <v>1258</v>
      </c>
      <c r="BJ212" s="70">
        <f t="shared" si="2102"/>
        <v>0</v>
      </c>
      <c r="BK212" s="102"/>
      <c r="BL212" s="67" t="s">
        <v>1258</v>
      </c>
      <c r="BM212" s="70">
        <f t="shared" si="2103"/>
        <v>0</v>
      </c>
      <c r="BN212" s="102"/>
      <c r="BO212" s="67" t="s">
        <v>1258</v>
      </c>
      <c r="BP212" s="70">
        <f t="shared" si="2104"/>
        <v>0</v>
      </c>
      <c r="BQ212" s="102"/>
      <c r="BR212" s="67" t="s">
        <v>1258</v>
      </c>
      <c r="BS212" s="70">
        <f t="shared" si="2105"/>
        <v>0</v>
      </c>
      <c r="BT212" s="102"/>
      <c r="BU212" s="67"/>
      <c r="BV212" s="70">
        <f t="shared" si="2106"/>
        <v>0</v>
      </c>
      <c r="BW212" s="102"/>
      <c r="BX212" s="67"/>
      <c r="BY212" s="70">
        <f t="shared" si="2107"/>
        <v>0</v>
      </c>
      <c r="BZ212" s="102"/>
      <c r="CA212" s="67"/>
      <c r="CB212" s="70">
        <f t="shared" si="2108"/>
        <v>0</v>
      </c>
      <c r="CC212" s="102"/>
      <c r="CD212" s="67"/>
      <c r="CE212" s="70">
        <f t="shared" si="2109"/>
        <v>0</v>
      </c>
      <c r="CF212" s="102"/>
      <c r="CG212" s="67"/>
      <c r="CH212" s="70">
        <f t="shared" si="2110"/>
        <v>0</v>
      </c>
      <c r="CI212" s="102"/>
      <c r="CJ212" s="67"/>
      <c r="CK212" s="70">
        <f t="shared" si="2111"/>
        <v>0</v>
      </c>
      <c r="CL212" s="102"/>
      <c r="CM212" s="67"/>
      <c r="CN212" s="70">
        <f t="shared" si="2112"/>
        <v>0</v>
      </c>
      <c r="CO212" s="102"/>
      <c r="CP212" s="67"/>
      <c r="CQ212" s="70">
        <f t="shared" si="2113"/>
        <v>0</v>
      </c>
      <c r="CR212" s="102"/>
      <c r="CS212" s="67"/>
      <c r="CT212" s="70">
        <f t="shared" si="2114"/>
        <v>0</v>
      </c>
      <c r="CU212" s="102"/>
      <c r="CV212" s="67"/>
      <c r="CW212" s="70">
        <f t="shared" si="2115"/>
        <v>0</v>
      </c>
      <c r="CX212" s="102"/>
      <c r="CY212" s="67"/>
      <c r="CZ212" s="70">
        <f t="shared" si="2116"/>
        <v>0</v>
      </c>
      <c r="DA212" s="102"/>
      <c r="DB212" s="67"/>
      <c r="DC212" s="70">
        <f t="shared" si="2117"/>
        <v>0</v>
      </c>
      <c r="DD212" s="102"/>
      <c r="DE212" s="67"/>
      <c r="DF212" s="70">
        <f t="shared" si="2118"/>
        <v>0</v>
      </c>
      <c r="DG212" s="102"/>
      <c r="DH212" s="67"/>
      <c r="DI212" s="70">
        <f t="shared" si="2119"/>
        <v>0</v>
      </c>
      <c r="DJ212" s="102"/>
      <c r="DK212" s="67"/>
      <c r="DL212" s="70">
        <f t="shared" si="2120"/>
        <v>0</v>
      </c>
      <c r="DM212" s="102"/>
      <c r="DN212" s="67"/>
      <c r="DO212" s="70">
        <f t="shared" si="2121"/>
        <v>0</v>
      </c>
      <c r="DP212" s="102"/>
      <c r="DQ212" s="67"/>
      <c r="DR212" s="70">
        <f t="shared" si="2122"/>
        <v>0</v>
      </c>
      <c r="DS212" s="102"/>
      <c r="DT212" s="67"/>
      <c r="DU212" s="70">
        <f t="shared" si="2123"/>
        <v>0</v>
      </c>
      <c r="DV212" s="102"/>
      <c r="DW212" s="67"/>
      <c r="DX212" s="70">
        <f t="shared" si="2124"/>
        <v>0</v>
      </c>
      <c r="DY212" s="102"/>
      <c r="DZ212" s="67"/>
      <c r="EA212" s="70">
        <f t="shared" si="2125"/>
        <v>0</v>
      </c>
      <c r="EB212" s="102"/>
      <c r="EC212" s="67"/>
      <c r="ED212" s="70">
        <f t="shared" si="2126"/>
        <v>0</v>
      </c>
      <c r="EE212" s="102"/>
      <c r="EF212" s="67"/>
      <c r="EG212" s="70">
        <f t="shared" si="2127"/>
        <v>0</v>
      </c>
      <c r="EH212" s="102"/>
      <c r="EI212" s="102"/>
    </row>
    <row r="213" spans="1:139">
      <c r="A213" s="711"/>
      <c r="B213" s="711"/>
      <c r="C213" s="805"/>
      <c r="D213" s="805"/>
      <c r="E213" s="805"/>
      <c r="F213" s="806">
        <f t="shared" si="2087"/>
        <v>5</v>
      </c>
      <c r="G213" s="806">
        <f ca="1">VLOOKUP(H213,Equipos!$Q$1:$R$25,2,0)</f>
        <v>21</v>
      </c>
      <c r="H213" s="800" t="str">
        <f>Idiomas!$D$261</f>
        <v>Octavos de final</v>
      </c>
      <c r="I213" s="800"/>
      <c r="J213" s="859"/>
      <c r="K213" s="49" t="str">
        <f>Idiomas!$D$200&amp;"-"&amp;ROWS($L$210:L213)</f>
        <v>Cuartofinalista-4</v>
      </c>
      <c r="L213" s="46"/>
      <c r="M213" s="48" t="str">
        <f>WORLDCUP!AA134</f>
        <v>W95</v>
      </c>
      <c r="N213" s="711"/>
      <c r="O213" s="711"/>
      <c r="P213" s="711"/>
      <c r="Q213" s="711"/>
      <c r="R213" s="102"/>
      <c r="S213" s="67" t="s">
        <v>497</v>
      </c>
      <c r="T213" s="70">
        <f t="shared" si="2088"/>
        <v>0</v>
      </c>
      <c r="U213" s="102"/>
      <c r="V213" s="67" t="s">
        <v>1256</v>
      </c>
      <c r="W213" s="70">
        <f t="shared" si="2089"/>
        <v>0</v>
      </c>
      <c r="X213" s="102"/>
      <c r="Y213" s="67" t="s">
        <v>1256</v>
      </c>
      <c r="Z213" s="70">
        <f t="shared" si="2090"/>
        <v>0</v>
      </c>
      <c r="AA213" s="102"/>
      <c r="AB213" s="67" t="s">
        <v>1256</v>
      </c>
      <c r="AC213" s="70">
        <f t="shared" si="2091"/>
        <v>0</v>
      </c>
      <c r="AD213" s="102"/>
      <c r="AE213" s="67" t="s">
        <v>1256</v>
      </c>
      <c r="AF213" s="70">
        <f t="shared" si="2092"/>
        <v>0</v>
      </c>
      <c r="AG213" s="102"/>
      <c r="AH213" s="67" t="s">
        <v>1256</v>
      </c>
      <c r="AI213" s="70">
        <f t="shared" si="2093"/>
        <v>0</v>
      </c>
      <c r="AJ213" s="102"/>
      <c r="AK213" s="67" t="s">
        <v>1256</v>
      </c>
      <c r="AL213" s="70">
        <f t="shared" si="2094"/>
        <v>0</v>
      </c>
      <c r="AM213" s="102"/>
      <c r="AN213" s="67" t="s">
        <v>1256</v>
      </c>
      <c r="AO213" s="70">
        <f t="shared" si="2095"/>
        <v>0</v>
      </c>
      <c r="AP213" s="102"/>
      <c r="AQ213" s="67" t="s">
        <v>80</v>
      </c>
      <c r="AR213" s="70">
        <f t="shared" si="2096"/>
        <v>0</v>
      </c>
      <c r="AS213" s="102"/>
      <c r="AT213" s="67" t="s">
        <v>1314</v>
      </c>
      <c r="AU213" s="70">
        <f t="shared" si="2097"/>
        <v>0</v>
      </c>
      <c r="AV213" s="102"/>
      <c r="AW213" s="67" t="s">
        <v>1256</v>
      </c>
      <c r="AX213" s="70">
        <f t="shared" si="2098"/>
        <v>0</v>
      </c>
      <c r="AY213" s="102"/>
      <c r="AZ213" s="67" t="s">
        <v>1256</v>
      </c>
      <c r="BA213" s="70">
        <f t="shared" si="2099"/>
        <v>0</v>
      </c>
      <c r="BB213" s="102"/>
      <c r="BC213" s="67" t="s">
        <v>497</v>
      </c>
      <c r="BD213" s="70">
        <f t="shared" si="2100"/>
        <v>0</v>
      </c>
      <c r="BE213" s="102"/>
      <c r="BF213" s="67" t="s">
        <v>1256</v>
      </c>
      <c r="BG213" s="70">
        <f t="shared" si="2101"/>
        <v>0</v>
      </c>
      <c r="BH213" s="102"/>
      <c r="BI213" s="67" t="s">
        <v>1256</v>
      </c>
      <c r="BJ213" s="70">
        <f t="shared" si="2102"/>
        <v>0</v>
      </c>
      <c r="BK213" s="102"/>
      <c r="BL213" s="67" t="s">
        <v>1256</v>
      </c>
      <c r="BM213" s="70">
        <f t="shared" si="2103"/>
        <v>0</v>
      </c>
      <c r="BN213" s="102"/>
      <c r="BO213" s="67" t="s">
        <v>1256</v>
      </c>
      <c r="BP213" s="70">
        <f t="shared" si="2104"/>
        <v>0</v>
      </c>
      <c r="BQ213" s="102"/>
      <c r="BR213" s="67" t="s">
        <v>1256</v>
      </c>
      <c r="BS213" s="70">
        <f t="shared" si="2105"/>
        <v>0</v>
      </c>
      <c r="BT213" s="102"/>
      <c r="BU213" s="67"/>
      <c r="BV213" s="70">
        <f t="shared" si="2106"/>
        <v>0</v>
      </c>
      <c r="BW213" s="102"/>
      <c r="BX213" s="67"/>
      <c r="BY213" s="70">
        <f t="shared" si="2107"/>
        <v>0</v>
      </c>
      <c r="BZ213" s="102"/>
      <c r="CA213" s="67"/>
      <c r="CB213" s="70">
        <f t="shared" si="2108"/>
        <v>0</v>
      </c>
      <c r="CC213" s="102"/>
      <c r="CD213" s="67"/>
      <c r="CE213" s="70">
        <f t="shared" si="2109"/>
        <v>0</v>
      </c>
      <c r="CF213" s="102"/>
      <c r="CG213" s="67"/>
      <c r="CH213" s="70">
        <f t="shared" si="2110"/>
        <v>0</v>
      </c>
      <c r="CI213" s="102"/>
      <c r="CJ213" s="67"/>
      <c r="CK213" s="70">
        <f t="shared" si="2111"/>
        <v>0</v>
      </c>
      <c r="CL213" s="102"/>
      <c r="CM213" s="67"/>
      <c r="CN213" s="70">
        <f t="shared" si="2112"/>
        <v>0</v>
      </c>
      <c r="CO213" s="102"/>
      <c r="CP213" s="67"/>
      <c r="CQ213" s="70">
        <f t="shared" si="2113"/>
        <v>0</v>
      </c>
      <c r="CR213" s="102"/>
      <c r="CS213" s="67"/>
      <c r="CT213" s="70">
        <f t="shared" si="2114"/>
        <v>0</v>
      </c>
      <c r="CU213" s="102"/>
      <c r="CV213" s="67"/>
      <c r="CW213" s="70">
        <f t="shared" si="2115"/>
        <v>0</v>
      </c>
      <c r="CX213" s="102"/>
      <c r="CY213" s="67"/>
      <c r="CZ213" s="70">
        <f t="shared" si="2116"/>
        <v>0</v>
      </c>
      <c r="DA213" s="102"/>
      <c r="DB213" s="67"/>
      <c r="DC213" s="70">
        <f t="shared" si="2117"/>
        <v>0</v>
      </c>
      <c r="DD213" s="102"/>
      <c r="DE213" s="67"/>
      <c r="DF213" s="70">
        <f t="shared" si="2118"/>
        <v>0</v>
      </c>
      <c r="DG213" s="102"/>
      <c r="DH213" s="67"/>
      <c r="DI213" s="70">
        <f t="shared" si="2119"/>
        <v>0</v>
      </c>
      <c r="DJ213" s="102"/>
      <c r="DK213" s="67"/>
      <c r="DL213" s="70">
        <f t="shared" si="2120"/>
        <v>0</v>
      </c>
      <c r="DM213" s="102"/>
      <c r="DN213" s="67"/>
      <c r="DO213" s="70">
        <f t="shared" si="2121"/>
        <v>0</v>
      </c>
      <c r="DP213" s="102"/>
      <c r="DQ213" s="67"/>
      <c r="DR213" s="70">
        <f t="shared" si="2122"/>
        <v>0</v>
      </c>
      <c r="DS213" s="102"/>
      <c r="DT213" s="67"/>
      <c r="DU213" s="70">
        <f t="shared" si="2123"/>
        <v>0</v>
      </c>
      <c r="DV213" s="102"/>
      <c r="DW213" s="67"/>
      <c r="DX213" s="70">
        <f t="shared" si="2124"/>
        <v>0</v>
      </c>
      <c r="DY213" s="102"/>
      <c r="DZ213" s="67"/>
      <c r="EA213" s="70">
        <f t="shared" si="2125"/>
        <v>0</v>
      </c>
      <c r="EB213" s="102"/>
      <c r="EC213" s="67"/>
      <c r="ED213" s="70">
        <f t="shared" si="2126"/>
        <v>0</v>
      </c>
      <c r="EE213" s="102"/>
      <c r="EF213" s="67"/>
      <c r="EG213" s="70">
        <f t="shared" si="2127"/>
        <v>0</v>
      </c>
      <c r="EH213" s="102"/>
      <c r="EI213" s="102"/>
    </row>
    <row r="214" spans="1:139">
      <c r="A214" s="711"/>
      <c r="B214" s="711"/>
      <c r="C214" s="805"/>
      <c r="D214" s="805"/>
      <c r="E214" s="805"/>
      <c r="F214" s="806">
        <f t="shared" si="2087"/>
        <v>5</v>
      </c>
      <c r="G214" s="806">
        <f ca="1">VLOOKUP(H214,Equipos!$Q$1:$R$25,2,0)</f>
        <v>21</v>
      </c>
      <c r="H214" s="800" t="str">
        <f>Idiomas!$D$261</f>
        <v>Octavos de final</v>
      </c>
      <c r="I214" s="800"/>
      <c r="J214" s="859"/>
      <c r="K214" s="49" t="str">
        <f>Idiomas!$D$200&amp;"-"&amp;ROWS($L$210:L214)</f>
        <v>Cuartofinalista-5</v>
      </c>
      <c r="L214" s="46"/>
      <c r="M214" s="48" t="str">
        <f>WORLDCUP!AF131</f>
        <v>W90</v>
      </c>
      <c r="N214" s="711"/>
      <c r="O214" s="711"/>
      <c r="P214" s="711"/>
      <c r="Q214" s="711"/>
      <c r="R214" s="102"/>
      <c r="S214" s="67" t="s">
        <v>1317</v>
      </c>
      <c r="T214" s="70">
        <f t="shared" si="2088"/>
        <v>0</v>
      </c>
      <c r="U214" s="102"/>
      <c r="V214" s="67" t="s">
        <v>1317</v>
      </c>
      <c r="W214" s="70">
        <f t="shared" si="2089"/>
        <v>0</v>
      </c>
      <c r="X214" s="102"/>
      <c r="Y214" s="67" t="s">
        <v>111</v>
      </c>
      <c r="Z214" s="70">
        <f t="shared" si="2090"/>
        <v>0</v>
      </c>
      <c r="AA214" s="102"/>
      <c r="AB214" s="67" t="s">
        <v>1258</v>
      </c>
      <c r="AC214" s="70">
        <f t="shared" si="2091"/>
        <v>0</v>
      </c>
      <c r="AD214" s="102"/>
      <c r="AE214" s="67" t="s">
        <v>111</v>
      </c>
      <c r="AF214" s="70">
        <f t="shared" si="2092"/>
        <v>0</v>
      </c>
      <c r="AG214" s="102"/>
      <c r="AH214" s="67" t="s">
        <v>1317</v>
      </c>
      <c r="AI214" s="70">
        <f t="shared" si="2093"/>
        <v>0</v>
      </c>
      <c r="AJ214" s="102"/>
      <c r="AK214" s="67" t="s">
        <v>111</v>
      </c>
      <c r="AL214" s="70">
        <f t="shared" si="2094"/>
        <v>0</v>
      </c>
      <c r="AM214" s="102"/>
      <c r="AN214" s="67" t="s">
        <v>111</v>
      </c>
      <c r="AO214" s="70">
        <f t="shared" si="2095"/>
        <v>0</v>
      </c>
      <c r="AP214" s="102"/>
      <c r="AQ214" s="67" t="s">
        <v>1258</v>
      </c>
      <c r="AR214" s="70">
        <f t="shared" si="2096"/>
        <v>0</v>
      </c>
      <c r="AS214" s="102"/>
      <c r="AT214" s="67" t="s">
        <v>1258</v>
      </c>
      <c r="AU214" s="70">
        <f t="shared" si="2097"/>
        <v>0</v>
      </c>
      <c r="AV214" s="102"/>
      <c r="AW214" s="67" t="s">
        <v>111</v>
      </c>
      <c r="AX214" s="70">
        <f t="shared" si="2098"/>
        <v>0</v>
      </c>
      <c r="AY214" s="102"/>
      <c r="AZ214" s="67" t="s">
        <v>111</v>
      </c>
      <c r="BA214" s="70">
        <f t="shared" si="2099"/>
        <v>0</v>
      </c>
      <c r="BB214" s="102"/>
      <c r="BC214" s="67" t="s">
        <v>111</v>
      </c>
      <c r="BD214" s="70">
        <f t="shared" si="2100"/>
        <v>0</v>
      </c>
      <c r="BE214" s="102"/>
      <c r="BF214" s="67" t="s">
        <v>1317</v>
      </c>
      <c r="BG214" s="70">
        <f t="shared" si="2101"/>
        <v>0</v>
      </c>
      <c r="BH214" s="102"/>
      <c r="BI214" s="67" t="s">
        <v>111</v>
      </c>
      <c r="BJ214" s="70">
        <f t="shared" si="2102"/>
        <v>0</v>
      </c>
      <c r="BK214" s="102"/>
      <c r="BL214" s="67" t="s">
        <v>111</v>
      </c>
      <c r="BM214" s="70">
        <f t="shared" si="2103"/>
        <v>0</v>
      </c>
      <c r="BN214" s="102"/>
      <c r="BO214" s="67" t="s">
        <v>1317</v>
      </c>
      <c r="BP214" s="70">
        <f t="shared" si="2104"/>
        <v>0</v>
      </c>
      <c r="BQ214" s="102"/>
      <c r="BR214" s="67" t="s">
        <v>111</v>
      </c>
      <c r="BS214" s="70">
        <f t="shared" si="2105"/>
        <v>0</v>
      </c>
      <c r="BT214" s="102"/>
      <c r="BU214" s="67"/>
      <c r="BV214" s="70">
        <f t="shared" si="2106"/>
        <v>0</v>
      </c>
      <c r="BW214" s="102"/>
      <c r="BX214" s="67"/>
      <c r="BY214" s="70">
        <f t="shared" si="2107"/>
        <v>0</v>
      </c>
      <c r="BZ214" s="102"/>
      <c r="CA214" s="67"/>
      <c r="CB214" s="70">
        <f t="shared" si="2108"/>
        <v>0</v>
      </c>
      <c r="CC214" s="102"/>
      <c r="CD214" s="67"/>
      <c r="CE214" s="70">
        <f t="shared" si="2109"/>
        <v>0</v>
      </c>
      <c r="CF214" s="102"/>
      <c r="CG214" s="67"/>
      <c r="CH214" s="70">
        <f t="shared" si="2110"/>
        <v>0</v>
      </c>
      <c r="CI214" s="102"/>
      <c r="CJ214" s="67"/>
      <c r="CK214" s="70">
        <f t="shared" si="2111"/>
        <v>0</v>
      </c>
      <c r="CL214" s="102"/>
      <c r="CM214" s="67"/>
      <c r="CN214" s="70">
        <f t="shared" si="2112"/>
        <v>0</v>
      </c>
      <c r="CO214" s="102"/>
      <c r="CP214" s="67"/>
      <c r="CQ214" s="70">
        <f t="shared" si="2113"/>
        <v>0</v>
      </c>
      <c r="CR214" s="102"/>
      <c r="CS214" s="67"/>
      <c r="CT214" s="70">
        <f t="shared" si="2114"/>
        <v>0</v>
      </c>
      <c r="CU214" s="102"/>
      <c r="CV214" s="67"/>
      <c r="CW214" s="70">
        <f t="shared" si="2115"/>
        <v>0</v>
      </c>
      <c r="CX214" s="102"/>
      <c r="CY214" s="67"/>
      <c r="CZ214" s="70">
        <f t="shared" si="2116"/>
        <v>0</v>
      </c>
      <c r="DA214" s="102"/>
      <c r="DB214" s="67"/>
      <c r="DC214" s="70">
        <f t="shared" si="2117"/>
        <v>0</v>
      </c>
      <c r="DD214" s="102"/>
      <c r="DE214" s="67"/>
      <c r="DF214" s="70">
        <f t="shared" si="2118"/>
        <v>0</v>
      </c>
      <c r="DG214" s="102"/>
      <c r="DH214" s="67"/>
      <c r="DI214" s="70">
        <f t="shared" si="2119"/>
        <v>0</v>
      </c>
      <c r="DJ214" s="102"/>
      <c r="DK214" s="67"/>
      <c r="DL214" s="70">
        <f t="shared" si="2120"/>
        <v>0</v>
      </c>
      <c r="DM214" s="102"/>
      <c r="DN214" s="67"/>
      <c r="DO214" s="70">
        <f t="shared" si="2121"/>
        <v>0</v>
      </c>
      <c r="DP214" s="102"/>
      <c r="DQ214" s="67"/>
      <c r="DR214" s="70">
        <f t="shared" si="2122"/>
        <v>0</v>
      </c>
      <c r="DS214" s="102"/>
      <c r="DT214" s="67"/>
      <c r="DU214" s="70">
        <f t="shared" si="2123"/>
        <v>0</v>
      </c>
      <c r="DV214" s="102"/>
      <c r="DW214" s="67"/>
      <c r="DX214" s="70">
        <f t="shared" si="2124"/>
        <v>0</v>
      </c>
      <c r="DY214" s="102"/>
      <c r="DZ214" s="67"/>
      <c r="EA214" s="70">
        <f t="shared" si="2125"/>
        <v>0</v>
      </c>
      <c r="EB214" s="102"/>
      <c r="EC214" s="67"/>
      <c r="ED214" s="70">
        <f t="shared" si="2126"/>
        <v>0</v>
      </c>
      <c r="EE214" s="102"/>
      <c r="EF214" s="67"/>
      <c r="EG214" s="70">
        <f t="shared" si="2127"/>
        <v>0</v>
      </c>
      <c r="EH214" s="102"/>
      <c r="EI214" s="102"/>
    </row>
    <row r="215" spans="1:139">
      <c r="A215" s="711"/>
      <c r="B215" s="711"/>
      <c r="C215" s="805"/>
      <c r="D215" s="805"/>
      <c r="E215" s="805"/>
      <c r="F215" s="806">
        <f t="shared" si="2087"/>
        <v>5</v>
      </c>
      <c r="G215" s="806">
        <f ca="1">VLOOKUP(H215,Equipos!$Q$1:$R$25,2,0)</f>
        <v>21</v>
      </c>
      <c r="H215" s="800" t="str">
        <f>Idiomas!$D$261</f>
        <v>Octavos de final</v>
      </c>
      <c r="I215" s="800"/>
      <c r="J215" s="859"/>
      <c r="K215" s="49" t="str">
        <f>Idiomas!$D$200&amp;"-"&amp;ROWS($L$210:L215)</f>
        <v>Cuartofinalista-6</v>
      </c>
      <c r="L215" s="46"/>
      <c r="M215" s="48" t="str">
        <f>WORLDCUP!AF132</f>
        <v>W94</v>
      </c>
      <c r="N215" s="711"/>
      <c r="O215" s="711"/>
      <c r="P215" s="711"/>
      <c r="Q215" s="711"/>
      <c r="R215" s="102"/>
      <c r="S215" s="67" t="s">
        <v>1829</v>
      </c>
      <c r="T215" s="70">
        <f t="shared" si="2088"/>
        <v>0</v>
      </c>
      <c r="U215" s="102"/>
      <c r="V215" s="67" t="s">
        <v>110</v>
      </c>
      <c r="W215" s="70">
        <f t="shared" si="2089"/>
        <v>0</v>
      </c>
      <c r="X215" s="102"/>
      <c r="Y215" s="67" t="s">
        <v>110</v>
      </c>
      <c r="Z215" s="70">
        <f t="shared" si="2090"/>
        <v>0</v>
      </c>
      <c r="AA215" s="102"/>
      <c r="AB215" s="67" t="s">
        <v>110</v>
      </c>
      <c r="AC215" s="70">
        <f t="shared" si="2091"/>
        <v>0</v>
      </c>
      <c r="AD215" s="102"/>
      <c r="AE215" s="67" t="s">
        <v>110</v>
      </c>
      <c r="AF215" s="70">
        <f t="shared" si="2092"/>
        <v>0</v>
      </c>
      <c r="AG215" s="102"/>
      <c r="AH215" s="67" t="s">
        <v>110</v>
      </c>
      <c r="AI215" s="70">
        <f t="shared" si="2093"/>
        <v>0</v>
      </c>
      <c r="AJ215" s="102"/>
      <c r="AK215" s="67" t="s">
        <v>110</v>
      </c>
      <c r="AL215" s="70">
        <f t="shared" si="2094"/>
        <v>0</v>
      </c>
      <c r="AM215" s="102"/>
      <c r="AN215" s="67" t="s">
        <v>110</v>
      </c>
      <c r="AO215" s="70">
        <f t="shared" si="2095"/>
        <v>0</v>
      </c>
      <c r="AP215" s="102"/>
      <c r="AQ215" s="67" t="s">
        <v>110</v>
      </c>
      <c r="AR215" s="70">
        <f t="shared" si="2096"/>
        <v>0</v>
      </c>
      <c r="AS215" s="102"/>
      <c r="AT215" s="67" t="s">
        <v>1829</v>
      </c>
      <c r="AU215" s="70">
        <f t="shared" si="2097"/>
        <v>0</v>
      </c>
      <c r="AV215" s="102"/>
      <c r="AW215" s="67" t="s">
        <v>110</v>
      </c>
      <c r="AX215" s="70">
        <f t="shared" si="2098"/>
        <v>0</v>
      </c>
      <c r="AY215" s="102"/>
      <c r="AZ215" s="67" t="s">
        <v>110</v>
      </c>
      <c r="BA215" s="70">
        <f t="shared" si="2099"/>
        <v>0</v>
      </c>
      <c r="BB215" s="102"/>
      <c r="BC215" s="67" t="s">
        <v>1829</v>
      </c>
      <c r="BD215" s="70">
        <f t="shared" si="2100"/>
        <v>0</v>
      </c>
      <c r="BE215" s="102"/>
      <c r="BF215" s="67" t="s">
        <v>110</v>
      </c>
      <c r="BG215" s="70">
        <f t="shared" si="2101"/>
        <v>0</v>
      </c>
      <c r="BH215" s="102"/>
      <c r="BI215" s="67" t="s">
        <v>110</v>
      </c>
      <c r="BJ215" s="70">
        <f t="shared" si="2102"/>
        <v>0</v>
      </c>
      <c r="BK215" s="102"/>
      <c r="BL215" s="67" t="s">
        <v>110</v>
      </c>
      <c r="BM215" s="70">
        <f t="shared" si="2103"/>
        <v>0</v>
      </c>
      <c r="BN215" s="102"/>
      <c r="BO215" s="67" t="s">
        <v>110</v>
      </c>
      <c r="BP215" s="70">
        <f t="shared" si="2104"/>
        <v>0</v>
      </c>
      <c r="BQ215" s="102"/>
      <c r="BR215" s="67" t="s">
        <v>110</v>
      </c>
      <c r="BS215" s="70">
        <f t="shared" si="2105"/>
        <v>0</v>
      </c>
      <c r="BT215" s="102"/>
      <c r="BU215" s="67"/>
      <c r="BV215" s="70">
        <f t="shared" si="2106"/>
        <v>0</v>
      </c>
      <c r="BW215" s="102"/>
      <c r="BX215" s="67"/>
      <c r="BY215" s="70">
        <f t="shared" si="2107"/>
        <v>0</v>
      </c>
      <c r="BZ215" s="102"/>
      <c r="CA215" s="67"/>
      <c r="CB215" s="70">
        <f t="shared" si="2108"/>
        <v>0</v>
      </c>
      <c r="CC215" s="102"/>
      <c r="CD215" s="67"/>
      <c r="CE215" s="70">
        <f t="shared" si="2109"/>
        <v>0</v>
      </c>
      <c r="CF215" s="102"/>
      <c r="CG215" s="67"/>
      <c r="CH215" s="70">
        <f t="shared" si="2110"/>
        <v>0</v>
      </c>
      <c r="CI215" s="102"/>
      <c r="CJ215" s="67"/>
      <c r="CK215" s="70">
        <f t="shared" si="2111"/>
        <v>0</v>
      </c>
      <c r="CL215" s="102"/>
      <c r="CM215" s="67"/>
      <c r="CN215" s="70">
        <f t="shared" si="2112"/>
        <v>0</v>
      </c>
      <c r="CO215" s="102"/>
      <c r="CP215" s="67"/>
      <c r="CQ215" s="70">
        <f t="shared" si="2113"/>
        <v>0</v>
      </c>
      <c r="CR215" s="102"/>
      <c r="CS215" s="67"/>
      <c r="CT215" s="70">
        <f t="shared" si="2114"/>
        <v>0</v>
      </c>
      <c r="CU215" s="102"/>
      <c r="CV215" s="67"/>
      <c r="CW215" s="70">
        <f t="shared" si="2115"/>
        <v>0</v>
      </c>
      <c r="CX215" s="102"/>
      <c r="CY215" s="67"/>
      <c r="CZ215" s="70">
        <f t="shared" si="2116"/>
        <v>0</v>
      </c>
      <c r="DA215" s="102"/>
      <c r="DB215" s="67"/>
      <c r="DC215" s="70">
        <f t="shared" si="2117"/>
        <v>0</v>
      </c>
      <c r="DD215" s="102"/>
      <c r="DE215" s="67"/>
      <c r="DF215" s="70">
        <f t="shared" si="2118"/>
        <v>0</v>
      </c>
      <c r="DG215" s="102"/>
      <c r="DH215" s="67"/>
      <c r="DI215" s="70">
        <f t="shared" si="2119"/>
        <v>0</v>
      </c>
      <c r="DJ215" s="102"/>
      <c r="DK215" s="67"/>
      <c r="DL215" s="70">
        <f t="shared" si="2120"/>
        <v>0</v>
      </c>
      <c r="DM215" s="102"/>
      <c r="DN215" s="67"/>
      <c r="DO215" s="70">
        <f t="shared" si="2121"/>
        <v>0</v>
      </c>
      <c r="DP215" s="102"/>
      <c r="DQ215" s="67"/>
      <c r="DR215" s="70">
        <f t="shared" si="2122"/>
        <v>0</v>
      </c>
      <c r="DS215" s="102"/>
      <c r="DT215" s="67"/>
      <c r="DU215" s="70">
        <f t="shared" si="2123"/>
        <v>0</v>
      </c>
      <c r="DV215" s="102"/>
      <c r="DW215" s="67"/>
      <c r="DX215" s="70">
        <f t="shared" si="2124"/>
        <v>0</v>
      </c>
      <c r="DY215" s="102"/>
      <c r="DZ215" s="67"/>
      <c r="EA215" s="70">
        <f t="shared" si="2125"/>
        <v>0</v>
      </c>
      <c r="EB215" s="102"/>
      <c r="EC215" s="67"/>
      <c r="ED215" s="70">
        <f t="shared" si="2126"/>
        <v>0</v>
      </c>
      <c r="EE215" s="102"/>
      <c r="EF215" s="67"/>
      <c r="EG215" s="70">
        <f t="shared" si="2127"/>
        <v>0</v>
      </c>
      <c r="EH215" s="102"/>
      <c r="EI215" s="102"/>
    </row>
    <row r="216" spans="1:139">
      <c r="A216" s="711"/>
      <c r="B216" s="711"/>
      <c r="C216" s="805"/>
      <c r="D216" s="805"/>
      <c r="E216" s="805"/>
      <c r="F216" s="806">
        <f t="shared" si="2087"/>
        <v>5</v>
      </c>
      <c r="G216" s="806">
        <f ca="1">VLOOKUP(H216,Equipos!$Q$1:$R$25,2,0)</f>
        <v>21</v>
      </c>
      <c r="H216" s="800" t="str">
        <f>Idiomas!$D$261</f>
        <v>Octavos de final</v>
      </c>
      <c r="I216" s="800"/>
      <c r="J216" s="859"/>
      <c r="K216" s="49" t="str">
        <f>Idiomas!$D$200&amp;"-"&amp;ROWS($L$210:L216)</f>
        <v>Cuartofinalista-7</v>
      </c>
      <c r="L216" s="46"/>
      <c r="M216" s="48" t="str">
        <f>WORLDCUP!AF133</f>
        <v>W92</v>
      </c>
      <c r="N216" s="711"/>
      <c r="O216" s="711"/>
      <c r="P216" s="711"/>
      <c r="Q216" s="711"/>
      <c r="R216" s="102"/>
      <c r="S216" s="67" t="s">
        <v>76</v>
      </c>
      <c r="T216" s="70">
        <f t="shared" si="2088"/>
        <v>0</v>
      </c>
      <c r="U216" s="102"/>
      <c r="V216" s="67" t="s">
        <v>76</v>
      </c>
      <c r="W216" s="70">
        <f t="shared" si="2089"/>
        <v>0</v>
      </c>
      <c r="X216" s="102"/>
      <c r="Y216" s="67" t="s">
        <v>1265</v>
      </c>
      <c r="Z216" s="70">
        <f t="shared" si="2090"/>
        <v>0</v>
      </c>
      <c r="AA216" s="102"/>
      <c r="AB216" s="67" t="s">
        <v>1837</v>
      </c>
      <c r="AC216" s="70">
        <f t="shared" si="2091"/>
        <v>0</v>
      </c>
      <c r="AD216" s="102"/>
      <c r="AE216" s="67" t="s">
        <v>76</v>
      </c>
      <c r="AF216" s="70">
        <f t="shared" si="2092"/>
        <v>0</v>
      </c>
      <c r="AG216" s="102"/>
      <c r="AH216" s="67" t="s">
        <v>76</v>
      </c>
      <c r="AI216" s="70">
        <f t="shared" si="2093"/>
        <v>0</v>
      </c>
      <c r="AJ216" s="102"/>
      <c r="AK216" s="67" t="s">
        <v>76</v>
      </c>
      <c r="AL216" s="70">
        <f t="shared" si="2094"/>
        <v>0</v>
      </c>
      <c r="AM216" s="102"/>
      <c r="AN216" s="67" t="s">
        <v>76</v>
      </c>
      <c r="AO216" s="70">
        <f t="shared" si="2095"/>
        <v>0</v>
      </c>
      <c r="AP216" s="102"/>
      <c r="AQ216" s="67" t="s">
        <v>76</v>
      </c>
      <c r="AR216" s="70">
        <f t="shared" si="2096"/>
        <v>0</v>
      </c>
      <c r="AS216" s="102"/>
      <c r="AT216" s="67" t="s">
        <v>76</v>
      </c>
      <c r="AU216" s="70">
        <f t="shared" si="2097"/>
        <v>0</v>
      </c>
      <c r="AV216" s="102"/>
      <c r="AW216" s="67" t="s">
        <v>76</v>
      </c>
      <c r="AX216" s="70">
        <f t="shared" si="2098"/>
        <v>0</v>
      </c>
      <c r="AY216" s="102"/>
      <c r="AZ216" s="67" t="s">
        <v>76</v>
      </c>
      <c r="BA216" s="70">
        <f t="shared" si="2099"/>
        <v>0</v>
      </c>
      <c r="BB216" s="102"/>
      <c r="BC216" s="67" t="s">
        <v>1546</v>
      </c>
      <c r="BD216" s="70">
        <f t="shared" si="2100"/>
        <v>0</v>
      </c>
      <c r="BE216" s="102"/>
      <c r="BF216" s="67" t="s">
        <v>76</v>
      </c>
      <c r="BG216" s="70">
        <f t="shared" si="2101"/>
        <v>0</v>
      </c>
      <c r="BH216" s="102"/>
      <c r="BI216" s="67" t="s">
        <v>76</v>
      </c>
      <c r="BJ216" s="70">
        <f t="shared" si="2102"/>
        <v>0</v>
      </c>
      <c r="BK216" s="102"/>
      <c r="BL216" s="67" t="s">
        <v>76</v>
      </c>
      <c r="BM216" s="70">
        <f t="shared" si="2103"/>
        <v>0</v>
      </c>
      <c r="BN216" s="102"/>
      <c r="BO216" s="67" t="s">
        <v>76</v>
      </c>
      <c r="BP216" s="70">
        <f t="shared" si="2104"/>
        <v>0</v>
      </c>
      <c r="BQ216" s="102"/>
      <c r="BR216" s="67" t="s">
        <v>76</v>
      </c>
      <c r="BS216" s="70">
        <f t="shared" si="2105"/>
        <v>0</v>
      </c>
      <c r="BT216" s="102"/>
      <c r="BU216" s="67"/>
      <c r="BV216" s="70">
        <f t="shared" si="2106"/>
        <v>0</v>
      </c>
      <c r="BW216" s="102"/>
      <c r="BX216" s="67"/>
      <c r="BY216" s="70">
        <f t="shared" si="2107"/>
        <v>0</v>
      </c>
      <c r="BZ216" s="102"/>
      <c r="CA216" s="67"/>
      <c r="CB216" s="70">
        <f t="shared" si="2108"/>
        <v>0</v>
      </c>
      <c r="CC216" s="102"/>
      <c r="CD216" s="67"/>
      <c r="CE216" s="70">
        <f t="shared" si="2109"/>
        <v>0</v>
      </c>
      <c r="CF216" s="102"/>
      <c r="CG216" s="67"/>
      <c r="CH216" s="70">
        <f t="shared" si="2110"/>
        <v>0</v>
      </c>
      <c r="CI216" s="102"/>
      <c r="CJ216" s="67"/>
      <c r="CK216" s="70">
        <f t="shared" si="2111"/>
        <v>0</v>
      </c>
      <c r="CL216" s="102"/>
      <c r="CM216" s="67"/>
      <c r="CN216" s="70">
        <f t="shared" si="2112"/>
        <v>0</v>
      </c>
      <c r="CO216" s="102"/>
      <c r="CP216" s="67"/>
      <c r="CQ216" s="70">
        <f t="shared" si="2113"/>
        <v>0</v>
      </c>
      <c r="CR216" s="102"/>
      <c r="CS216" s="67"/>
      <c r="CT216" s="70">
        <f t="shared" si="2114"/>
        <v>0</v>
      </c>
      <c r="CU216" s="102"/>
      <c r="CV216" s="67"/>
      <c r="CW216" s="70">
        <f t="shared" si="2115"/>
        <v>0</v>
      </c>
      <c r="CX216" s="102"/>
      <c r="CY216" s="67"/>
      <c r="CZ216" s="70">
        <f t="shared" si="2116"/>
        <v>0</v>
      </c>
      <c r="DA216" s="102"/>
      <c r="DB216" s="67"/>
      <c r="DC216" s="70">
        <f t="shared" si="2117"/>
        <v>0</v>
      </c>
      <c r="DD216" s="102"/>
      <c r="DE216" s="67"/>
      <c r="DF216" s="70">
        <f t="shared" si="2118"/>
        <v>0</v>
      </c>
      <c r="DG216" s="102"/>
      <c r="DH216" s="67"/>
      <c r="DI216" s="70">
        <f t="shared" si="2119"/>
        <v>0</v>
      </c>
      <c r="DJ216" s="102"/>
      <c r="DK216" s="67"/>
      <c r="DL216" s="70">
        <f t="shared" si="2120"/>
        <v>0</v>
      </c>
      <c r="DM216" s="102"/>
      <c r="DN216" s="67"/>
      <c r="DO216" s="70">
        <f t="shared" si="2121"/>
        <v>0</v>
      </c>
      <c r="DP216" s="102"/>
      <c r="DQ216" s="67"/>
      <c r="DR216" s="70">
        <f t="shared" si="2122"/>
        <v>0</v>
      </c>
      <c r="DS216" s="102"/>
      <c r="DT216" s="67"/>
      <c r="DU216" s="70">
        <f t="shared" si="2123"/>
        <v>0</v>
      </c>
      <c r="DV216" s="102"/>
      <c r="DW216" s="67"/>
      <c r="DX216" s="70">
        <f t="shared" si="2124"/>
        <v>0</v>
      </c>
      <c r="DY216" s="102"/>
      <c r="DZ216" s="67"/>
      <c r="EA216" s="70">
        <f t="shared" si="2125"/>
        <v>0</v>
      </c>
      <c r="EB216" s="102"/>
      <c r="EC216" s="67"/>
      <c r="ED216" s="70">
        <f t="shared" si="2126"/>
        <v>0</v>
      </c>
      <c r="EE216" s="102"/>
      <c r="EF216" s="67"/>
      <c r="EG216" s="70">
        <f t="shared" si="2127"/>
        <v>0</v>
      </c>
      <c r="EH216" s="102"/>
      <c r="EI216" s="102"/>
    </row>
    <row r="217" spans="1:139">
      <c r="A217" s="711"/>
      <c r="B217" s="711"/>
      <c r="C217" s="805"/>
      <c r="D217" s="805"/>
      <c r="E217" s="805"/>
      <c r="F217" s="806">
        <f t="shared" si="2087"/>
        <v>5</v>
      </c>
      <c r="G217" s="806">
        <f ca="1">VLOOKUP(H217,Equipos!$Q$1:$R$25,2,0)</f>
        <v>21</v>
      </c>
      <c r="H217" s="800" t="str">
        <f>Idiomas!$D$261</f>
        <v>Octavos de final</v>
      </c>
      <c r="I217" s="800"/>
      <c r="J217" s="859"/>
      <c r="K217" s="107" t="str">
        <f>Idiomas!$D$200&amp;"-"&amp;ROWS($L$210:L217)</f>
        <v>Cuartofinalista-8</v>
      </c>
      <c r="L217" s="107"/>
      <c r="M217" s="108" t="str">
        <f>WORLDCUP!AF134</f>
        <v>W96</v>
      </c>
      <c r="N217" s="711"/>
      <c r="O217" s="711"/>
      <c r="P217" s="711"/>
      <c r="Q217" s="711"/>
      <c r="R217" s="102"/>
      <c r="S217" s="73" t="s">
        <v>79</v>
      </c>
      <c r="T217" s="70">
        <f t="shared" si="2088"/>
        <v>0</v>
      </c>
      <c r="U217" s="102"/>
      <c r="V217" s="73" t="s">
        <v>79</v>
      </c>
      <c r="W217" s="70">
        <f t="shared" si="2089"/>
        <v>0</v>
      </c>
      <c r="X217" s="102"/>
      <c r="Y217" s="73" t="s">
        <v>79</v>
      </c>
      <c r="Z217" s="70">
        <f t="shared" si="2090"/>
        <v>0</v>
      </c>
      <c r="AA217" s="102"/>
      <c r="AB217" s="73" t="s">
        <v>79</v>
      </c>
      <c r="AC217" s="70">
        <f t="shared" si="2091"/>
        <v>0</v>
      </c>
      <c r="AD217" s="102"/>
      <c r="AE217" s="73" t="s">
        <v>79</v>
      </c>
      <c r="AF217" s="70">
        <f t="shared" si="2092"/>
        <v>0</v>
      </c>
      <c r="AG217" s="102"/>
      <c r="AH217" s="73" t="s">
        <v>79</v>
      </c>
      <c r="AI217" s="70">
        <f t="shared" si="2093"/>
        <v>0</v>
      </c>
      <c r="AJ217" s="102"/>
      <c r="AK217" s="73" t="s">
        <v>79</v>
      </c>
      <c r="AL217" s="70">
        <f t="shared" si="2094"/>
        <v>0</v>
      </c>
      <c r="AM217" s="102"/>
      <c r="AN217" s="73" t="s">
        <v>79</v>
      </c>
      <c r="AO217" s="70">
        <f t="shared" si="2095"/>
        <v>0</v>
      </c>
      <c r="AP217" s="102"/>
      <c r="AQ217" s="73" t="s">
        <v>79</v>
      </c>
      <c r="AR217" s="70">
        <f t="shared" si="2096"/>
        <v>0</v>
      </c>
      <c r="AS217" s="102"/>
      <c r="AT217" s="73" t="s">
        <v>79</v>
      </c>
      <c r="AU217" s="70">
        <f t="shared" si="2097"/>
        <v>0</v>
      </c>
      <c r="AV217" s="102"/>
      <c r="AW217" s="73" t="s">
        <v>79</v>
      </c>
      <c r="AX217" s="70">
        <f t="shared" si="2098"/>
        <v>0</v>
      </c>
      <c r="AY217" s="102"/>
      <c r="AZ217" s="73" t="s">
        <v>79</v>
      </c>
      <c r="BA217" s="70">
        <f t="shared" si="2099"/>
        <v>0</v>
      </c>
      <c r="BB217" s="102"/>
      <c r="BC217" s="73" t="s">
        <v>78</v>
      </c>
      <c r="BD217" s="70">
        <f t="shared" si="2100"/>
        <v>0</v>
      </c>
      <c r="BE217" s="102"/>
      <c r="BF217" s="73" t="s">
        <v>79</v>
      </c>
      <c r="BG217" s="70">
        <f t="shared" si="2101"/>
        <v>0</v>
      </c>
      <c r="BH217" s="102"/>
      <c r="BI217" s="73" t="s">
        <v>79</v>
      </c>
      <c r="BJ217" s="70">
        <f t="shared" si="2102"/>
        <v>0</v>
      </c>
      <c r="BK217" s="102"/>
      <c r="BL217" s="73" t="s">
        <v>79</v>
      </c>
      <c r="BM217" s="70">
        <f t="shared" si="2103"/>
        <v>0</v>
      </c>
      <c r="BN217" s="102"/>
      <c r="BO217" s="73" t="s">
        <v>79</v>
      </c>
      <c r="BP217" s="70">
        <f t="shared" si="2104"/>
        <v>0</v>
      </c>
      <c r="BQ217" s="102"/>
      <c r="BR217" s="73" t="s">
        <v>79</v>
      </c>
      <c r="BS217" s="70">
        <f t="shared" si="2105"/>
        <v>0</v>
      </c>
      <c r="BT217" s="102"/>
      <c r="BU217" s="73"/>
      <c r="BV217" s="70">
        <f t="shared" si="2106"/>
        <v>0</v>
      </c>
      <c r="BW217" s="102"/>
      <c r="BX217" s="73"/>
      <c r="BY217" s="70">
        <f t="shared" si="2107"/>
        <v>0</v>
      </c>
      <c r="BZ217" s="102"/>
      <c r="CA217" s="73"/>
      <c r="CB217" s="70">
        <f t="shared" si="2108"/>
        <v>0</v>
      </c>
      <c r="CC217" s="102"/>
      <c r="CD217" s="73"/>
      <c r="CE217" s="70">
        <f t="shared" si="2109"/>
        <v>0</v>
      </c>
      <c r="CF217" s="102"/>
      <c r="CG217" s="73"/>
      <c r="CH217" s="70">
        <f t="shared" si="2110"/>
        <v>0</v>
      </c>
      <c r="CI217" s="102"/>
      <c r="CJ217" s="73"/>
      <c r="CK217" s="70">
        <f t="shared" si="2111"/>
        <v>0</v>
      </c>
      <c r="CL217" s="102"/>
      <c r="CM217" s="73"/>
      <c r="CN217" s="70">
        <f t="shared" si="2112"/>
        <v>0</v>
      </c>
      <c r="CO217" s="102"/>
      <c r="CP217" s="73"/>
      <c r="CQ217" s="70">
        <f t="shared" si="2113"/>
        <v>0</v>
      </c>
      <c r="CR217" s="102"/>
      <c r="CS217" s="73"/>
      <c r="CT217" s="70">
        <f t="shared" si="2114"/>
        <v>0</v>
      </c>
      <c r="CU217" s="102"/>
      <c r="CV217" s="73"/>
      <c r="CW217" s="70">
        <f t="shared" si="2115"/>
        <v>0</v>
      </c>
      <c r="CX217" s="102"/>
      <c r="CY217" s="73"/>
      <c r="CZ217" s="70">
        <f t="shared" si="2116"/>
        <v>0</v>
      </c>
      <c r="DA217" s="102"/>
      <c r="DB217" s="73"/>
      <c r="DC217" s="70">
        <f t="shared" si="2117"/>
        <v>0</v>
      </c>
      <c r="DD217" s="102"/>
      <c r="DE217" s="73"/>
      <c r="DF217" s="70">
        <f t="shared" si="2118"/>
        <v>0</v>
      </c>
      <c r="DG217" s="102"/>
      <c r="DH217" s="73"/>
      <c r="DI217" s="70">
        <f t="shared" si="2119"/>
        <v>0</v>
      </c>
      <c r="DJ217" s="102"/>
      <c r="DK217" s="73"/>
      <c r="DL217" s="70">
        <f t="shared" si="2120"/>
        <v>0</v>
      </c>
      <c r="DM217" s="102"/>
      <c r="DN217" s="73"/>
      <c r="DO217" s="70">
        <f t="shared" si="2121"/>
        <v>0</v>
      </c>
      <c r="DP217" s="102"/>
      <c r="DQ217" s="73"/>
      <c r="DR217" s="70">
        <f t="shared" si="2122"/>
        <v>0</v>
      </c>
      <c r="DS217" s="102"/>
      <c r="DT217" s="73"/>
      <c r="DU217" s="70">
        <f t="shared" si="2123"/>
        <v>0</v>
      </c>
      <c r="DV217" s="102"/>
      <c r="DW217" s="73"/>
      <c r="DX217" s="70">
        <f t="shared" si="2124"/>
        <v>0</v>
      </c>
      <c r="DY217" s="102"/>
      <c r="DZ217" s="73"/>
      <c r="EA217" s="70">
        <f t="shared" si="2125"/>
        <v>0</v>
      </c>
      <c r="EB217" s="102"/>
      <c r="EC217" s="73"/>
      <c r="ED217" s="70">
        <f t="shared" si="2126"/>
        <v>0</v>
      </c>
      <c r="EE217" s="102"/>
      <c r="EF217" s="73"/>
      <c r="EG217" s="70">
        <f t="shared" si="2127"/>
        <v>0</v>
      </c>
      <c r="EH217" s="102"/>
      <c r="EI217" s="102"/>
    </row>
    <row r="218" spans="1:139">
      <c r="A218" s="711"/>
      <c r="B218" s="711"/>
      <c r="C218" s="805" t="s">
        <v>1924</v>
      </c>
      <c r="D218" s="805"/>
      <c r="E218" s="805"/>
      <c r="F218" s="806"/>
      <c r="G218" s="806"/>
      <c r="H218" s="800"/>
      <c r="I218" s="800"/>
      <c r="J218" s="86"/>
      <c r="K218" s="416" t="str">
        <f>Idiomas!D461</f>
        <v>Equipos 1/4</v>
      </c>
      <c r="L218" s="417"/>
      <c r="M218" s="416" t="str">
        <f>"Max: "&amp;$D$23*COUNT(T210:T217)</f>
        <v>Max: 40</v>
      </c>
      <c r="N218" s="711"/>
      <c r="O218" s="711"/>
      <c r="P218" s="711"/>
      <c r="Q218" s="711"/>
      <c r="R218" s="43"/>
      <c r="S218" s="77"/>
      <c r="T218" s="64">
        <f>SUM(T210:T217)</f>
        <v>0</v>
      </c>
      <c r="U218" s="43"/>
      <c r="V218" s="77"/>
      <c r="W218" s="64">
        <f>SUM(W210:W217)</f>
        <v>0</v>
      </c>
      <c r="X218" s="43"/>
      <c r="Y218" s="77"/>
      <c r="Z218" s="64">
        <f>SUM(Z210:Z217)</f>
        <v>0</v>
      </c>
      <c r="AA218" s="43"/>
      <c r="AB218" s="77"/>
      <c r="AC218" s="64">
        <f>SUM(AC210:AC217)</f>
        <v>0</v>
      </c>
      <c r="AD218" s="43"/>
      <c r="AE218" s="77"/>
      <c r="AF218" s="64">
        <f>SUM(AF210:AF217)</f>
        <v>0</v>
      </c>
      <c r="AG218" s="43"/>
      <c r="AH218" s="77"/>
      <c r="AI218" s="64">
        <f>SUM(AI210:AI217)</f>
        <v>0</v>
      </c>
      <c r="AJ218" s="43"/>
      <c r="AK218" s="77"/>
      <c r="AL218" s="64">
        <f>SUM(AL210:AL217)</f>
        <v>0</v>
      </c>
      <c r="AM218" s="43"/>
      <c r="AN218" s="77"/>
      <c r="AO218" s="64">
        <f>SUM(AO210:AO217)</f>
        <v>0</v>
      </c>
      <c r="AP218" s="43"/>
      <c r="AQ218" s="77"/>
      <c r="AR218" s="64">
        <f>SUM(AR210:AR217)</f>
        <v>0</v>
      </c>
      <c r="AS218" s="43"/>
      <c r="AT218" s="77"/>
      <c r="AU218" s="64">
        <f>SUM(AU210:AU217)</f>
        <v>0</v>
      </c>
      <c r="AV218" s="43"/>
      <c r="AW218" s="77"/>
      <c r="AX218" s="64">
        <f>SUM(AX210:AX217)</f>
        <v>0</v>
      </c>
      <c r="AY218" s="43"/>
      <c r="AZ218" s="77"/>
      <c r="BA218" s="64">
        <f>SUM(BA210:BA217)</f>
        <v>0</v>
      </c>
      <c r="BB218" s="43"/>
      <c r="BC218" s="77"/>
      <c r="BD218" s="64">
        <f>SUM(BD210:BD217)</f>
        <v>0</v>
      </c>
      <c r="BE218" s="43"/>
      <c r="BF218" s="77"/>
      <c r="BG218" s="64">
        <f>SUM(BG210:BG217)</f>
        <v>0</v>
      </c>
      <c r="BH218" s="43"/>
      <c r="BI218" s="77"/>
      <c r="BJ218" s="64">
        <f>SUM(BJ210:BJ217)</f>
        <v>0</v>
      </c>
      <c r="BK218" s="43"/>
      <c r="BL218" s="77"/>
      <c r="BM218" s="64">
        <f>SUM(BM210:BM217)</f>
        <v>0</v>
      </c>
      <c r="BN218" s="43"/>
      <c r="BO218" s="77"/>
      <c r="BP218" s="64">
        <f>SUM(BP210:BP217)</f>
        <v>0</v>
      </c>
      <c r="BQ218" s="43"/>
      <c r="BR218" s="77"/>
      <c r="BS218" s="64">
        <f>SUM(BS210:BS217)</f>
        <v>0</v>
      </c>
      <c r="BT218" s="43"/>
      <c r="BU218" s="77"/>
      <c r="BV218" s="64">
        <f>SUM(BV210:BV217)</f>
        <v>0</v>
      </c>
      <c r="BW218" s="43"/>
      <c r="BX218" s="77"/>
      <c r="BY218" s="64">
        <f>SUM(BY210:BY217)</f>
        <v>0</v>
      </c>
      <c r="BZ218" s="43"/>
      <c r="CA218" s="77"/>
      <c r="CB218" s="64">
        <f>SUM(CB210:CB217)</f>
        <v>0</v>
      </c>
      <c r="CC218" s="43"/>
      <c r="CD218" s="77"/>
      <c r="CE218" s="64">
        <f>SUM(CE210:CE217)</f>
        <v>0</v>
      </c>
      <c r="CF218" s="43"/>
      <c r="CG218" s="77"/>
      <c r="CH218" s="64">
        <f>SUM(CH210:CH217)</f>
        <v>0</v>
      </c>
      <c r="CI218" s="43"/>
      <c r="CJ218" s="77"/>
      <c r="CK218" s="64">
        <f>SUM(CK210:CK217)</f>
        <v>0</v>
      </c>
      <c r="CL218" s="43"/>
      <c r="CM218" s="77"/>
      <c r="CN218" s="64">
        <f>SUM(CN210:CN217)</f>
        <v>0</v>
      </c>
      <c r="CO218" s="43"/>
      <c r="CP218" s="77"/>
      <c r="CQ218" s="64">
        <f>SUM(CQ210:CQ217)</f>
        <v>0</v>
      </c>
      <c r="CR218" s="43"/>
      <c r="CS218" s="77"/>
      <c r="CT218" s="64">
        <f>SUM(CT210:CT217)</f>
        <v>0</v>
      </c>
      <c r="CU218" s="43"/>
      <c r="CV218" s="77"/>
      <c r="CW218" s="64">
        <f>SUM(CW210:CW217)</f>
        <v>0</v>
      </c>
      <c r="CX218" s="43"/>
      <c r="CY218" s="77"/>
      <c r="CZ218" s="64">
        <f>SUM(CZ210:CZ217)</f>
        <v>0</v>
      </c>
      <c r="DA218" s="43"/>
      <c r="DB218" s="77"/>
      <c r="DC218" s="64">
        <f>SUM(DC210:DC217)</f>
        <v>0</v>
      </c>
      <c r="DD218" s="43"/>
      <c r="DE218" s="77"/>
      <c r="DF218" s="64">
        <f>SUM(DF210:DF217)</f>
        <v>0</v>
      </c>
      <c r="DG218" s="43"/>
      <c r="DH218" s="77"/>
      <c r="DI218" s="64">
        <f>SUM(DI210:DI217)</f>
        <v>0</v>
      </c>
      <c r="DJ218" s="43"/>
      <c r="DK218" s="77"/>
      <c r="DL218" s="64">
        <f>SUM(DL210:DL217)</f>
        <v>0</v>
      </c>
      <c r="DM218" s="43"/>
      <c r="DN218" s="77"/>
      <c r="DO218" s="64">
        <f>SUM(DO210:DO217)</f>
        <v>0</v>
      </c>
      <c r="DP218" s="43"/>
      <c r="DQ218" s="77"/>
      <c r="DR218" s="64">
        <f>SUM(DR210:DR217)</f>
        <v>0</v>
      </c>
      <c r="DS218" s="43"/>
      <c r="DT218" s="77"/>
      <c r="DU218" s="64">
        <f>SUM(DU210:DU217)</f>
        <v>0</v>
      </c>
      <c r="DV218" s="43"/>
      <c r="DW218" s="77"/>
      <c r="DX218" s="64">
        <f>SUM(DX210:DX217)</f>
        <v>0</v>
      </c>
      <c r="DY218" s="43"/>
      <c r="DZ218" s="77"/>
      <c r="EA218" s="64">
        <f>SUM(EA210:EA217)</f>
        <v>0</v>
      </c>
      <c r="EB218" s="43"/>
      <c r="EC218" s="77"/>
      <c r="ED218" s="64">
        <f>SUM(ED210:ED217)</f>
        <v>0</v>
      </c>
      <c r="EE218" s="43"/>
      <c r="EF218" s="77"/>
      <c r="EG218" s="64">
        <f>SUM(EG210:EG217)</f>
        <v>0</v>
      </c>
      <c r="EH218" s="43"/>
      <c r="EI218" s="43"/>
    </row>
    <row r="219" spans="1:139">
      <c r="A219" s="711"/>
      <c r="B219" s="711"/>
      <c r="C219" s="805"/>
      <c r="D219" s="805"/>
      <c r="E219" s="805"/>
      <c r="F219" s="806"/>
      <c r="G219" s="806"/>
      <c r="H219" s="800"/>
      <c r="I219" s="804" t="s">
        <v>1573</v>
      </c>
      <c r="J219" s="86"/>
      <c r="K219" s="105" t="str">
        <f>Idiomas!D142</f>
        <v>ENFRENTAMIENTOS CUARTOS</v>
      </c>
      <c r="L219" s="44"/>
      <c r="M219" s="64"/>
      <c r="N219" s="711"/>
      <c r="O219" s="711"/>
      <c r="P219" s="711"/>
      <c r="Q219" s="711"/>
      <c r="R219" s="43"/>
      <c r="S219" s="77"/>
      <c r="T219" s="64"/>
      <c r="U219" s="43"/>
      <c r="V219" s="77"/>
      <c r="W219" s="64"/>
      <c r="X219" s="43"/>
      <c r="Y219" s="77"/>
      <c r="Z219" s="64"/>
      <c r="AA219" s="43"/>
      <c r="AB219" s="77"/>
      <c r="AC219" s="64"/>
      <c r="AD219" s="43"/>
      <c r="AE219" s="77"/>
      <c r="AF219" s="64"/>
      <c r="AG219" s="43"/>
      <c r="AH219" s="77"/>
      <c r="AI219" s="64"/>
      <c r="AJ219" s="43"/>
      <c r="AK219" s="77"/>
      <c r="AL219" s="64"/>
      <c r="AM219" s="43"/>
      <c r="AN219" s="77"/>
      <c r="AO219" s="64"/>
      <c r="AP219" s="43"/>
      <c r="AQ219" s="77"/>
      <c r="AR219" s="64"/>
      <c r="AS219" s="43"/>
      <c r="AT219" s="77"/>
      <c r="AU219" s="64"/>
      <c r="AV219" s="43"/>
      <c r="AW219" s="77"/>
      <c r="AX219" s="64"/>
      <c r="AY219" s="43"/>
      <c r="AZ219" s="77"/>
      <c r="BA219" s="64"/>
      <c r="BB219" s="43"/>
      <c r="BC219" s="77"/>
      <c r="BD219" s="64"/>
      <c r="BE219" s="43"/>
      <c r="BF219" s="77"/>
      <c r="BG219" s="64"/>
      <c r="BH219" s="43"/>
      <c r="BI219" s="77"/>
      <c r="BJ219" s="64"/>
      <c r="BK219" s="43"/>
      <c r="BL219" s="77"/>
      <c r="BM219" s="64"/>
      <c r="BN219" s="43"/>
      <c r="BO219" s="77"/>
      <c r="BP219" s="64"/>
      <c r="BQ219" s="43"/>
      <c r="BR219" s="77"/>
      <c r="BS219" s="64"/>
      <c r="BT219" s="43"/>
      <c r="BU219" s="77"/>
      <c r="BV219" s="64"/>
      <c r="BW219" s="43"/>
      <c r="BX219" s="77"/>
      <c r="BY219" s="64"/>
      <c r="BZ219" s="43"/>
      <c r="CA219" s="77"/>
      <c r="CB219" s="64"/>
      <c r="CC219" s="43"/>
      <c r="CD219" s="77"/>
      <c r="CE219" s="64"/>
      <c r="CF219" s="43"/>
      <c r="CG219" s="77"/>
      <c r="CH219" s="64"/>
      <c r="CI219" s="43"/>
      <c r="CJ219" s="77"/>
      <c r="CK219" s="64"/>
      <c r="CL219" s="43"/>
      <c r="CM219" s="77"/>
      <c r="CN219" s="64"/>
      <c r="CO219" s="43"/>
      <c r="CP219" s="77"/>
      <c r="CQ219" s="64"/>
      <c r="CR219" s="43"/>
      <c r="CS219" s="77"/>
      <c r="CT219" s="64"/>
      <c r="CU219" s="43"/>
      <c r="CV219" s="77"/>
      <c r="CW219" s="64"/>
      <c r="CX219" s="43"/>
      <c r="CY219" s="77"/>
      <c r="CZ219" s="64"/>
      <c r="DA219" s="43"/>
      <c r="DB219" s="77"/>
      <c r="DC219" s="64"/>
      <c r="DD219" s="43"/>
      <c r="DE219" s="77"/>
      <c r="DF219" s="64"/>
      <c r="DG219" s="43"/>
      <c r="DH219" s="77"/>
      <c r="DI219" s="64"/>
      <c r="DJ219" s="43"/>
      <c r="DK219" s="77"/>
      <c r="DL219" s="64"/>
      <c r="DM219" s="43"/>
      <c r="DN219" s="77"/>
      <c r="DO219" s="64"/>
      <c r="DP219" s="43"/>
      <c r="DQ219" s="77"/>
      <c r="DR219" s="64"/>
      <c r="DS219" s="43"/>
      <c r="DT219" s="77"/>
      <c r="DU219" s="64"/>
      <c r="DV219" s="43"/>
      <c r="DW219" s="77"/>
      <c r="DX219" s="64"/>
      <c r="DY219" s="43"/>
      <c r="DZ219" s="77"/>
      <c r="EA219" s="64"/>
      <c r="EB219" s="43"/>
      <c r="EC219" s="77"/>
      <c r="ED219" s="64"/>
      <c r="EE219" s="43"/>
      <c r="EF219" s="77"/>
      <c r="EG219" s="64"/>
      <c r="EH219" s="43"/>
      <c r="EI219" s="43"/>
    </row>
    <row r="220" spans="1:139">
      <c r="A220" s="711">
        <f>WORLDCUP!AD131</f>
        <v>0</v>
      </c>
      <c r="B220" s="711">
        <f>WORLDCUP!AC131</f>
        <v>0</v>
      </c>
      <c r="C220" s="805" t="str">
        <f>CONCATENATE(WORLDCUP!AF131,"-",WORLDCUP!AA131)</f>
        <v>W90-W89</v>
      </c>
      <c r="D220" s="805" t="str">
        <f>IF(WORLDCUP!AC131&gt;WORLDCUP!AD131,2,IF(WORLDCUP!AC131&lt;WORLDCUP!AD131,1,IF(AND(WORLDCUP!AC131=WORLDCUP!AD131,WORLDCUP!AC131&lt;&gt;"",WORLDCUP!AD131&lt;&gt;""),0,"PD")))</f>
        <v>PD</v>
      </c>
      <c r="E220" s="805" t="str">
        <f>IF(OR(WORLDCUP!AD131="",WORLDCUP!AC131=""),"-",A220&amp;"-"&amp;B220)</f>
        <v>-</v>
      </c>
      <c r="F220" s="806">
        <f>SUM($D$24:$D$26)*I220</f>
        <v>17</v>
      </c>
      <c r="G220" s="806">
        <f ca="1">VLOOKUP(H220,Equipos!$Q$1:$R$25,2,0)</f>
        <v>22</v>
      </c>
      <c r="H220" s="800" t="str">
        <f>Idiomas!$D$262</f>
        <v>Cuartos de final</v>
      </c>
      <c r="I220" s="808">
        <v>1</v>
      </c>
      <c r="J220" s="859" t="s">
        <v>34</v>
      </c>
      <c r="K220" s="46" t="str">
        <f>CONCATENATE(WORLDCUP!AA131,"-",WORLDCUP!AF131)</f>
        <v>W89-W90</v>
      </c>
      <c r="L220" s="46" t="str">
        <f>IF(OR(WORLDCUP!AC131="",WORLDCUP!AD131=""),"PD",IF(WORLDCUP!AC131&gt;WORLDCUP!AD131,1,IF(WORLDCUP!AC131&lt;WORLDCUP!AD131,2,0)))</f>
        <v>PD</v>
      </c>
      <c r="M220" s="48" t="str">
        <f>IF(OR(WORLDCUP!AC131="",WORLDCUP!AD131=""),"-",N220&amp;"|"&amp;O220&amp;"-"&amp;P220)</f>
        <v>-</v>
      </c>
      <c r="N220" s="711" t="str">
        <f>IF(OR(WORLDCUP!AC131="",WORLDCUP!AD131=""),"",IF(WORLDCUP!AC131&gt;WORLDCUP!AD131,"1",IF(WORLDCUP!AC131&lt;WORLDCUP!AD131,"2","X")))</f>
        <v/>
      </c>
      <c r="O220" s="711">
        <f>WORLDCUP!AC131</f>
        <v>0</v>
      </c>
      <c r="P220" s="711">
        <f>WORLDCUP!AD131</f>
        <v>0</v>
      </c>
      <c r="Q220" s="711">
        <f>ABS(O220-P220)</f>
        <v>0</v>
      </c>
      <c r="R220" s="102"/>
      <c r="S220" s="69" t="s">
        <v>1953</v>
      </c>
      <c r="T220" s="66">
        <f>IFERROR(IF($M220=S220,($D$8+$D$9+$D$10)*$I220,IF($N220=LEFT(S220,1),($D$8+MAX(0,IF($D$50=1,$D$9*(1-(ABS($Q220-ABS(VALUE(MID(S220,FIND("|",S220)+1,FIND("-",S220)-FIND("|",S220)-1))-VALUE(MID(S220,FIND("-",S220)+1,10)))))*$D$50),$D$9*(1-(IF($N220="X",ABS($O220-VALUE(MID(S220,FIND("|",S220)+1,FIND("-",S220)-FIND("|",S220)-1))),ABS($Q220-ABS(VALUE(MID(S220,FIND("|",S220)+1,FIND("-",S220)-FIND("|",S220)-1))-VALUE(MID(S220,FIND("-",S220)+1,10)))))*$D$50)))))*$I220,0)),0)</f>
        <v>0</v>
      </c>
      <c r="U220" s="102"/>
      <c r="V220" s="69" t="s">
        <v>1947</v>
      </c>
      <c r="W220" s="66">
        <f>IFERROR(IF($M220=V220,($D$8+$D$9+$D$10)*$I220,IF($N220=LEFT(V220,1),($D$8+MAX(0,IF($D$50=1,$D$9*(1-(ABS($Q220-ABS(VALUE(MID(V220,FIND("|",V220)+1,FIND("-",V220)-FIND("|",V220)-1))-VALUE(MID(V220,FIND("-",V220)+1,10)))))*$D$50),$D$9*(1-(IF($N220="X",ABS($O220-VALUE(MID(V220,FIND("|",V220)+1,FIND("-",V220)-FIND("|",V220)-1))),ABS($Q220-ABS(VALUE(MID(V220,FIND("|",V220)+1,FIND("-",V220)-FIND("|",V220)-1))-VALUE(MID(V220,FIND("-",V220)+1,10)))))*$D$50)))))*$I220,0)),0)</f>
        <v>0</v>
      </c>
      <c r="X220" s="102"/>
      <c r="Y220" s="69" t="s">
        <v>1953</v>
      </c>
      <c r="Z220" s="66">
        <f>IFERROR(IF($M220=Y220,($D$8+$D$9+$D$10)*$I220,IF($N220=LEFT(Y220,1),($D$8+MAX(0,IF($D$50=1,$D$9*(1-(ABS($Q220-ABS(VALUE(MID(Y220,FIND("|",Y220)+1,FIND("-",Y220)-FIND("|",Y220)-1))-VALUE(MID(Y220,FIND("-",Y220)+1,10)))))*$D$50),$D$9*(1-(IF($N220="X",ABS($O220-VALUE(MID(Y220,FIND("|",Y220)+1,FIND("-",Y220)-FIND("|",Y220)-1))),ABS($Q220-ABS(VALUE(MID(Y220,FIND("|",Y220)+1,FIND("-",Y220)-FIND("|",Y220)-1))-VALUE(MID(Y220,FIND("-",Y220)+1,10)))))*$D$50)))))*$I220,0)),0)</f>
        <v>0</v>
      </c>
      <c r="AA220" s="102"/>
      <c r="AB220" s="69" t="s">
        <v>1947</v>
      </c>
      <c r="AC220" s="66">
        <f>IFERROR(IF($M220=AB220,($D$8+$D$9+$D$10)*$I220,IF($N220=LEFT(AB220,1),($D$8+MAX(0,IF($D$50=1,$D$9*(1-(ABS($Q220-ABS(VALUE(MID(AB220,FIND("|",AB220)+1,FIND("-",AB220)-FIND("|",AB220)-1))-VALUE(MID(AB220,FIND("-",AB220)+1,10)))))*$D$50),$D$9*(1-(IF($N220="X",ABS($O220-VALUE(MID(AB220,FIND("|",AB220)+1,FIND("-",AB220)-FIND("|",AB220)-1))),ABS($Q220-ABS(VALUE(MID(AB220,FIND("|",AB220)+1,FIND("-",AB220)-FIND("|",AB220)-1))-VALUE(MID(AB220,FIND("-",AB220)+1,10)))))*$D$50)))))*$I220,0)),0)</f>
        <v>0</v>
      </c>
      <c r="AD220" s="102"/>
      <c r="AE220" s="69" t="s">
        <v>1947</v>
      </c>
      <c r="AF220" s="66">
        <f>IFERROR(IF($M220=AE220,($D$8+$D$9+$D$10)*$I220,IF($N220=LEFT(AE220,1),($D$8+MAX(0,IF($D$50=1,$D$9*(1-(ABS($Q220-ABS(VALUE(MID(AE220,FIND("|",AE220)+1,FIND("-",AE220)-FIND("|",AE220)-1))-VALUE(MID(AE220,FIND("-",AE220)+1,10)))))*$D$50),$D$9*(1-(IF($N220="X",ABS($O220-VALUE(MID(AE220,FIND("|",AE220)+1,FIND("-",AE220)-FIND("|",AE220)-1))),ABS($Q220-ABS(VALUE(MID(AE220,FIND("|",AE220)+1,FIND("-",AE220)-FIND("|",AE220)-1))-VALUE(MID(AE220,FIND("-",AE220)+1,10)))))*$D$50)))))*$I220,0)),0)</f>
        <v>0</v>
      </c>
      <c r="AG220" s="102"/>
      <c r="AH220" s="69" t="s">
        <v>1947</v>
      </c>
      <c r="AI220" s="66">
        <f>IFERROR(IF($M220=AH220,($D$8+$D$9+$D$10)*$I220,IF($N220=LEFT(AH220,1),($D$8+MAX(0,IF($D$50=1,$D$9*(1-(ABS($Q220-ABS(VALUE(MID(AH220,FIND("|",AH220)+1,FIND("-",AH220)-FIND("|",AH220)-1))-VALUE(MID(AH220,FIND("-",AH220)+1,10)))))*$D$50),$D$9*(1-(IF($N220="X",ABS($O220-VALUE(MID(AH220,FIND("|",AH220)+1,FIND("-",AH220)-FIND("|",AH220)-1))),ABS($Q220-ABS(VALUE(MID(AH220,FIND("|",AH220)+1,FIND("-",AH220)-FIND("|",AH220)-1))-VALUE(MID(AH220,FIND("-",AH220)+1,10)))))*$D$50)))))*$I220,0)),0)</f>
        <v>0</v>
      </c>
      <c r="AJ220" s="102"/>
      <c r="AK220" s="69" t="s">
        <v>1947</v>
      </c>
      <c r="AL220" s="66">
        <f>IFERROR(IF($M220=AK220,($D$8+$D$9+$D$10)*$I220,IF($N220=LEFT(AK220,1),($D$8+MAX(0,IF($D$50=1,$D$9*(1-(ABS($Q220-ABS(VALUE(MID(AK220,FIND("|",AK220)+1,FIND("-",AK220)-FIND("|",AK220)-1))-VALUE(MID(AK220,FIND("-",AK220)+1,10)))))*$D$50),$D$9*(1-(IF($N220="X",ABS($O220-VALUE(MID(AK220,FIND("|",AK220)+1,FIND("-",AK220)-FIND("|",AK220)-1))),ABS($Q220-ABS(VALUE(MID(AK220,FIND("|",AK220)+1,FIND("-",AK220)-FIND("|",AK220)-1))-VALUE(MID(AK220,FIND("-",AK220)+1,10)))))*$D$50)))))*$I220,0)),0)</f>
        <v>0</v>
      </c>
      <c r="AM220" s="102"/>
      <c r="AN220" s="69" t="s">
        <v>1956</v>
      </c>
      <c r="AO220" s="66">
        <f>IFERROR(IF($M220=AN220,($D$8+$D$9+$D$10)*$I220,IF($N220=LEFT(AN220,1),($D$8+MAX(0,IF($D$50=1,$D$9*(1-(ABS($Q220-ABS(VALUE(MID(AN220,FIND("|",AN220)+1,FIND("-",AN220)-FIND("|",AN220)-1))-VALUE(MID(AN220,FIND("-",AN220)+1,10)))))*$D$50),$D$9*(1-(IF($N220="X",ABS($O220-VALUE(MID(AN220,FIND("|",AN220)+1,FIND("-",AN220)-FIND("|",AN220)-1))),ABS($Q220-ABS(VALUE(MID(AN220,FIND("|",AN220)+1,FIND("-",AN220)-FIND("|",AN220)-1))-VALUE(MID(AN220,FIND("-",AN220)+1,10)))))*$D$50)))))*$I220,0)),0)</f>
        <v>0</v>
      </c>
      <c r="AP220" s="102"/>
      <c r="AQ220" s="69" t="s">
        <v>1951</v>
      </c>
      <c r="AR220" s="66">
        <f>IFERROR(IF($M220=AQ220,($D$8+$D$9+$D$10)*$I220,IF($N220=LEFT(AQ220,1),($D$8+MAX(0,IF($D$50=1,$D$9*(1-(ABS($Q220-ABS(VALUE(MID(AQ220,FIND("|",AQ220)+1,FIND("-",AQ220)-FIND("|",AQ220)-1))-VALUE(MID(AQ220,FIND("-",AQ220)+1,10)))))*$D$50),$D$9*(1-(IF($N220="X",ABS($O220-VALUE(MID(AQ220,FIND("|",AQ220)+1,FIND("-",AQ220)-FIND("|",AQ220)-1))),ABS($Q220-ABS(VALUE(MID(AQ220,FIND("|",AQ220)+1,FIND("-",AQ220)-FIND("|",AQ220)-1))-VALUE(MID(AQ220,FIND("-",AQ220)+1,10)))))*$D$50)))))*$I220,0)),0)</f>
        <v>0</v>
      </c>
      <c r="AS220" s="102"/>
      <c r="AT220" s="69" t="s">
        <v>1966</v>
      </c>
      <c r="AU220" s="66">
        <f>IFERROR(IF($M220=AT220,($D$8+$D$9+$D$10)*$I220,IF($N220=LEFT(AT220,1),($D$8+MAX(0,IF($D$50=1,$D$9*(1-(ABS($Q220-ABS(VALUE(MID(AT220,FIND("|",AT220)+1,FIND("-",AT220)-FIND("|",AT220)-1))-VALUE(MID(AT220,FIND("-",AT220)+1,10)))))*$D$50),$D$9*(1-(IF($N220="X",ABS($O220-VALUE(MID(AT220,FIND("|",AT220)+1,FIND("-",AT220)-FIND("|",AT220)-1))),ABS($Q220-ABS(VALUE(MID(AT220,FIND("|",AT220)+1,FIND("-",AT220)-FIND("|",AT220)-1))-VALUE(MID(AT220,FIND("-",AT220)+1,10)))))*$D$50)))))*$I220,0)),0)</f>
        <v>0</v>
      </c>
      <c r="AV220" s="102"/>
      <c r="AW220" s="69" t="s">
        <v>1947</v>
      </c>
      <c r="AX220" s="66">
        <f>IFERROR(IF($M220=AW220,($D$8+$D$9+$D$10)*$I220,IF($N220=LEFT(AW220,1),($D$8+MAX(0,IF($D$50=1,$D$9*(1-(ABS($Q220-ABS(VALUE(MID(AW220,FIND("|",AW220)+1,FIND("-",AW220)-FIND("|",AW220)-1))-VALUE(MID(AW220,FIND("-",AW220)+1,10)))))*$D$50),$D$9*(1-(IF($N220="X",ABS($O220-VALUE(MID(AW220,FIND("|",AW220)+1,FIND("-",AW220)-FIND("|",AW220)-1))),ABS($Q220-ABS(VALUE(MID(AW220,FIND("|",AW220)+1,FIND("-",AW220)-FIND("|",AW220)-1))-VALUE(MID(AW220,FIND("-",AW220)+1,10)))))*$D$50)))))*$I220,0)),0)</f>
        <v>0</v>
      </c>
      <c r="AY220" s="102"/>
      <c r="AZ220" s="69" t="s">
        <v>1947</v>
      </c>
      <c r="BA220" s="66">
        <f>IFERROR(IF($M220=AZ220,($D$8+$D$9+$D$10)*$I220,IF($N220=LEFT(AZ220,1),($D$8+MAX(0,IF($D$50=1,$D$9*(1-(ABS($Q220-ABS(VALUE(MID(AZ220,FIND("|",AZ220)+1,FIND("-",AZ220)-FIND("|",AZ220)-1))-VALUE(MID(AZ220,FIND("-",AZ220)+1,10)))))*$D$50),$D$9*(1-(IF($N220="X",ABS($O220-VALUE(MID(AZ220,FIND("|",AZ220)+1,FIND("-",AZ220)-FIND("|",AZ220)-1))),ABS($Q220-ABS(VALUE(MID(AZ220,FIND("|",AZ220)+1,FIND("-",AZ220)-FIND("|",AZ220)-1))-VALUE(MID(AZ220,FIND("-",AZ220)+1,10)))))*$D$50)))))*$I220,0)),0)</f>
        <v>0</v>
      </c>
      <c r="BB220" s="102"/>
      <c r="BC220" s="69" t="s">
        <v>1964</v>
      </c>
      <c r="BD220" s="66">
        <f>IFERROR(IF($M220=BC220,($D$8+$D$9+$D$10)*$I220,IF($N220=LEFT(BC220,1),($D$8+MAX(0,IF($D$50=1,$D$9*(1-(ABS($Q220-ABS(VALUE(MID(BC220,FIND("|",BC220)+1,FIND("-",BC220)-FIND("|",BC220)-1))-VALUE(MID(BC220,FIND("-",BC220)+1,10)))))*$D$50),$D$9*(1-(IF($N220="X",ABS($O220-VALUE(MID(BC220,FIND("|",BC220)+1,FIND("-",BC220)-FIND("|",BC220)-1))),ABS($Q220-ABS(VALUE(MID(BC220,FIND("|",BC220)+1,FIND("-",BC220)-FIND("|",BC220)-1))-VALUE(MID(BC220,FIND("-",BC220)+1,10)))))*$D$50)))))*$I220,0)),0)</f>
        <v>0</v>
      </c>
      <c r="BE220" s="102"/>
      <c r="BF220" s="69" t="s">
        <v>1953</v>
      </c>
      <c r="BG220" s="66">
        <f>IFERROR(IF($M220=BF220,($D$8+$D$9+$D$10)*$I220,IF($N220=LEFT(BF220,1),($D$8+MAX(0,IF($D$50=1,$D$9*(1-(ABS($Q220-ABS(VALUE(MID(BF220,FIND("|",BF220)+1,FIND("-",BF220)-FIND("|",BF220)-1))-VALUE(MID(BF220,FIND("-",BF220)+1,10)))))*$D$50),$D$9*(1-(IF($N220="X",ABS($O220-VALUE(MID(BF220,FIND("|",BF220)+1,FIND("-",BF220)-FIND("|",BF220)-1))),ABS($Q220-ABS(VALUE(MID(BF220,FIND("|",BF220)+1,FIND("-",BF220)-FIND("|",BF220)-1))-VALUE(MID(BF220,FIND("-",BF220)+1,10)))))*$D$50)))))*$I220,0)),0)</f>
        <v>0</v>
      </c>
      <c r="BH220" s="102"/>
      <c r="BI220" s="69" t="s">
        <v>1947</v>
      </c>
      <c r="BJ220" s="66">
        <f>IFERROR(IF($M220=BI220,($D$8+$D$9+$D$10)*$I220,IF($N220=LEFT(BI220,1),($D$8+MAX(0,IF($D$50=1,$D$9*(1-(ABS($Q220-ABS(VALUE(MID(BI220,FIND("|",BI220)+1,FIND("-",BI220)-FIND("|",BI220)-1))-VALUE(MID(BI220,FIND("-",BI220)+1,10)))))*$D$50),$D$9*(1-(IF($N220="X",ABS($O220-VALUE(MID(BI220,FIND("|",BI220)+1,FIND("-",BI220)-FIND("|",BI220)-1))),ABS($Q220-ABS(VALUE(MID(BI220,FIND("|",BI220)+1,FIND("-",BI220)-FIND("|",BI220)-1))-VALUE(MID(BI220,FIND("-",BI220)+1,10)))))*$D$50)))))*$I220,0)),0)</f>
        <v>0</v>
      </c>
      <c r="BK220" s="102"/>
      <c r="BL220" s="69" t="s">
        <v>1954</v>
      </c>
      <c r="BM220" s="66">
        <f>IFERROR(IF($M220=BL220,($D$8+$D$9+$D$10)*$I220,IF($N220=LEFT(BL220,1),($D$8+MAX(0,IF($D$50=1,$D$9*(1-(ABS($Q220-ABS(VALUE(MID(BL220,FIND("|",BL220)+1,FIND("-",BL220)-FIND("|",BL220)-1))-VALUE(MID(BL220,FIND("-",BL220)+1,10)))))*$D$50),$D$9*(1-(IF($N220="X",ABS($O220-VALUE(MID(BL220,FIND("|",BL220)+1,FIND("-",BL220)-FIND("|",BL220)-1))),ABS($Q220-ABS(VALUE(MID(BL220,FIND("|",BL220)+1,FIND("-",BL220)-FIND("|",BL220)-1))-VALUE(MID(BL220,FIND("-",BL220)+1,10)))))*$D$50)))))*$I220,0)),0)</f>
        <v>0</v>
      </c>
      <c r="BN220" s="102"/>
      <c r="BO220" s="69" t="s">
        <v>1959</v>
      </c>
      <c r="BP220" s="66">
        <f>IFERROR(IF($M220=BO220,($D$8+$D$9+$D$10)*$I220,IF($N220=LEFT(BO220,1),($D$8+MAX(0,IF($D$50=1,$D$9*(1-(ABS($Q220-ABS(VALUE(MID(BO220,FIND("|",BO220)+1,FIND("-",BO220)-FIND("|",BO220)-1))-VALUE(MID(BO220,FIND("-",BO220)+1,10)))))*$D$50),$D$9*(1-(IF($N220="X",ABS($O220-VALUE(MID(BO220,FIND("|",BO220)+1,FIND("-",BO220)-FIND("|",BO220)-1))),ABS($Q220-ABS(VALUE(MID(BO220,FIND("|",BO220)+1,FIND("-",BO220)-FIND("|",BO220)-1))-VALUE(MID(BO220,FIND("-",BO220)+1,10)))))*$D$50)))))*$I220,0)),0)</f>
        <v>0</v>
      </c>
      <c r="BQ220" s="102"/>
      <c r="BR220" s="69" t="s">
        <v>1947</v>
      </c>
      <c r="BS220" s="66">
        <f>IFERROR(IF($M220=BR220,($D$8+$D$9+$D$10)*$I220,IF($N220=LEFT(BR220,1),($D$8+MAX(0,IF($D$50=1,$D$9*(1-(ABS($Q220-ABS(VALUE(MID(BR220,FIND("|",BR220)+1,FIND("-",BR220)-FIND("|",BR220)-1))-VALUE(MID(BR220,FIND("-",BR220)+1,10)))))*$D$50),$D$9*(1-(IF($N220="X",ABS($O220-VALUE(MID(BR220,FIND("|",BR220)+1,FIND("-",BR220)-FIND("|",BR220)-1))),ABS($Q220-ABS(VALUE(MID(BR220,FIND("|",BR220)+1,FIND("-",BR220)-FIND("|",BR220)-1))-VALUE(MID(BR220,FIND("-",BR220)+1,10)))))*$D$50)))))*$I220,0)),0)</f>
        <v>0</v>
      </c>
      <c r="BT220" s="102"/>
      <c r="BU220" s="69" t="str">
        <f>Idiomas!$D$369</f>
        <v>Pegar valores Cuartos</v>
      </c>
      <c r="BV220" s="66">
        <f>IFERROR(IF($M220=BU220,($D$8+$D$9+$D$10)*$I220,IF($N220=LEFT(BU220,1),($D$8+MAX(0,IF($D$50=1,$D$9*(1-(ABS($Q220-ABS(VALUE(MID(BU220,FIND("|",BU220)+1,FIND("-",BU220)-FIND("|",BU220)-1))-VALUE(MID(BU220,FIND("-",BU220)+1,10)))))*$D$50),$D$9*(1-(IF($N220="X",ABS($O220-VALUE(MID(BU220,FIND("|",BU220)+1,FIND("-",BU220)-FIND("|",BU220)-1))),ABS($Q220-ABS(VALUE(MID(BU220,FIND("|",BU220)+1,FIND("-",BU220)-FIND("|",BU220)-1))-VALUE(MID(BU220,FIND("-",BU220)+1,10)))))*$D$50)))))*$I220,0)),0)</f>
        <v>0</v>
      </c>
      <c r="BW220" s="102"/>
      <c r="BX220" s="69" t="str">
        <f>Idiomas!$D$369</f>
        <v>Pegar valores Cuartos</v>
      </c>
      <c r="BY220" s="66">
        <f>IFERROR(IF($M220=BX220,($D$8+$D$9+$D$10)*$I220,IF($N220=LEFT(BX220,1),($D$8+MAX(0,IF($D$50=1,$D$9*(1-(ABS($Q220-ABS(VALUE(MID(BX220,FIND("|",BX220)+1,FIND("-",BX220)-FIND("|",BX220)-1))-VALUE(MID(BX220,FIND("-",BX220)+1,10)))))*$D$50),$D$9*(1-(IF($N220="X",ABS($O220-VALUE(MID(BX220,FIND("|",BX220)+1,FIND("-",BX220)-FIND("|",BX220)-1))),ABS($Q220-ABS(VALUE(MID(BX220,FIND("|",BX220)+1,FIND("-",BX220)-FIND("|",BX220)-1))-VALUE(MID(BX220,FIND("-",BX220)+1,10)))))*$D$50)))))*$I220,0)),0)</f>
        <v>0</v>
      </c>
      <c r="BZ220" s="102"/>
      <c r="CA220" s="69" t="str">
        <f>Idiomas!$D$369</f>
        <v>Pegar valores Cuartos</v>
      </c>
      <c r="CB220" s="66">
        <f>IFERROR(IF($M220=CA220,($D$8+$D$9+$D$10)*$I220,IF($N220=LEFT(CA220,1),($D$8+MAX(0,IF($D$50=1,$D$9*(1-(ABS($Q220-ABS(VALUE(MID(CA220,FIND("|",CA220)+1,FIND("-",CA220)-FIND("|",CA220)-1))-VALUE(MID(CA220,FIND("-",CA220)+1,10)))))*$D$50),$D$9*(1-(IF($N220="X",ABS($O220-VALUE(MID(CA220,FIND("|",CA220)+1,FIND("-",CA220)-FIND("|",CA220)-1))),ABS($Q220-ABS(VALUE(MID(CA220,FIND("|",CA220)+1,FIND("-",CA220)-FIND("|",CA220)-1))-VALUE(MID(CA220,FIND("-",CA220)+1,10)))))*$D$50)))))*$I220,0)),0)</f>
        <v>0</v>
      </c>
      <c r="CC220" s="102"/>
      <c r="CD220" s="69" t="str">
        <f>Idiomas!$D$369</f>
        <v>Pegar valores Cuartos</v>
      </c>
      <c r="CE220" s="66">
        <f>IFERROR(IF($M220=CD220,($D$8+$D$9+$D$10)*$I220,IF($N220=LEFT(CD220,1),($D$8+MAX(0,IF($D$50=1,$D$9*(1-(ABS($Q220-ABS(VALUE(MID(CD220,FIND("|",CD220)+1,FIND("-",CD220)-FIND("|",CD220)-1))-VALUE(MID(CD220,FIND("-",CD220)+1,10)))))*$D$50),$D$9*(1-(IF($N220="X",ABS($O220-VALUE(MID(CD220,FIND("|",CD220)+1,FIND("-",CD220)-FIND("|",CD220)-1))),ABS($Q220-ABS(VALUE(MID(CD220,FIND("|",CD220)+1,FIND("-",CD220)-FIND("|",CD220)-1))-VALUE(MID(CD220,FIND("-",CD220)+1,10)))))*$D$50)))))*$I220,0)),0)</f>
        <v>0</v>
      </c>
      <c r="CF220" s="102"/>
      <c r="CG220" s="69" t="str">
        <f>Idiomas!$D$369</f>
        <v>Pegar valores Cuartos</v>
      </c>
      <c r="CH220" s="66">
        <f>IFERROR(IF($M220=CG220,($D$8+$D$9+$D$10)*$I220,IF($N220=LEFT(CG220,1),($D$8+MAX(0,IF($D$50=1,$D$9*(1-(ABS($Q220-ABS(VALUE(MID(CG220,FIND("|",CG220)+1,FIND("-",CG220)-FIND("|",CG220)-1))-VALUE(MID(CG220,FIND("-",CG220)+1,10)))))*$D$50),$D$9*(1-(IF($N220="X",ABS($O220-VALUE(MID(CG220,FIND("|",CG220)+1,FIND("-",CG220)-FIND("|",CG220)-1))),ABS($Q220-ABS(VALUE(MID(CG220,FIND("|",CG220)+1,FIND("-",CG220)-FIND("|",CG220)-1))-VALUE(MID(CG220,FIND("-",CG220)+1,10)))))*$D$50)))))*$I220,0)),0)</f>
        <v>0</v>
      </c>
      <c r="CI220" s="102"/>
      <c r="CJ220" s="69" t="str">
        <f>Idiomas!$D$369</f>
        <v>Pegar valores Cuartos</v>
      </c>
      <c r="CK220" s="66">
        <f>IFERROR(IF($M220=CJ220,($D$8+$D$9+$D$10)*$I220,IF($N220=LEFT(CJ220,1),($D$8+MAX(0,IF($D$50=1,$D$9*(1-(ABS($Q220-ABS(VALUE(MID(CJ220,FIND("|",CJ220)+1,FIND("-",CJ220)-FIND("|",CJ220)-1))-VALUE(MID(CJ220,FIND("-",CJ220)+1,10)))))*$D$50),$D$9*(1-(IF($N220="X",ABS($O220-VALUE(MID(CJ220,FIND("|",CJ220)+1,FIND("-",CJ220)-FIND("|",CJ220)-1))),ABS($Q220-ABS(VALUE(MID(CJ220,FIND("|",CJ220)+1,FIND("-",CJ220)-FIND("|",CJ220)-1))-VALUE(MID(CJ220,FIND("-",CJ220)+1,10)))))*$D$50)))))*$I220,0)),0)</f>
        <v>0</v>
      </c>
      <c r="CL220" s="102"/>
      <c r="CM220" s="69" t="str">
        <f>Idiomas!$D$369</f>
        <v>Pegar valores Cuartos</v>
      </c>
      <c r="CN220" s="66">
        <f>IFERROR(IF($M220=CM220,($D$8+$D$9+$D$10)*$I220,IF($N220=LEFT(CM220,1),($D$8+MAX(0,IF($D$50=1,$D$9*(1-(ABS($Q220-ABS(VALUE(MID(CM220,FIND("|",CM220)+1,FIND("-",CM220)-FIND("|",CM220)-1))-VALUE(MID(CM220,FIND("-",CM220)+1,10)))))*$D$50),$D$9*(1-(IF($N220="X",ABS($O220-VALUE(MID(CM220,FIND("|",CM220)+1,FIND("-",CM220)-FIND("|",CM220)-1))),ABS($Q220-ABS(VALUE(MID(CM220,FIND("|",CM220)+1,FIND("-",CM220)-FIND("|",CM220)-1))-VALUE(MID(CM220,FIND("-",CM220)+1,10)))))*$D$50)))))*$I220,0)),0)</f>
        <v>0</v>
      </c>
      <c r="CO220" s="102"/>
      <c r="CP220" s="69" t="str">
        <f>Idiomas!$D$369</f>
        <v>Pegar valores Cuartos</v>
      </c>
      <c r="CQ220" s="66">
        <f>IFERROR(IF($M220=CP220,($D$8+$D$9+$D$10)*$I220,IF($N220=LEFT(CP220,1),($D$8+MAX(0,IF($D$50=1,$D$9*(1-(ABS($Q220-ABS(VALUE(MID(CP220,FIND("|",CP220)+1,FIND("-",CP220)-FIND("|",CP220)-1))-VALUE(MID(CP220,FIND("-",CP220)+1,10)))))*$D$50),$D$9*(1-(IF($N220="X",ABS($O220-VALUE(MID(CP220,FIND("|",CP220)+1,FIND("-",CP220)-FIND("|",CP220)-1))),ABS($Q220-ABS(VALUE(MID(CP220,FIND("|",CP220)+1,FIND("-",CP220)-FIND("|",CP220)-1))-VALUE(MID(CP220,FIND("-",CP220)+1,10)))))*$D$50)))))*$I220,0)),0)</f>
        <v>0</v>
      </c>
      <c r="CR220" s="102"/>
      <c r="CS220" s="69" t="str">
        <f>Idiomas!$D$369</f>
        <v>Pegar valores Cuartos</v>
      </c>
      <c r="CT220" s="66">
        <f>IFERROR(IF($M220=CS220,($D$8+$D$9+$D$10)*$I220,IF($N220=LEFT(CS220,1),($D$8+MAX(0,IF($D$50=1,$D$9*(1-(ABS($Q220-ABS(VALUE(MID(CS220,FIND("|",CS220)+1,FIND("-",CS220)-FIND("|",CS220)-1))-VALUE(MID(CS220,FIND("-",CS220)+1,10)))))*$D$50),$D$9*(1-(IF($N220="X",ABS($O220-VALUE(MID(CS220,FIND("|",CS220)+1,FIND("-",CS220)-FIND("|",CS220)-1))),ABS($Q220-ABS(VALUE(MID(CS220,FIND("|",CS220)+1,FIND("-",CS220)-FIND("|",CS220)-1))-VALUE(MID(CS220,FIND("-",CS220)+1,10)))))*$D$50)))))*$I220,0)),0)</f>
        <v>0</v>
      </c>
      <c r="CU220" s="102"/>
      <c r="CV220" s="69" t="str">
        <f>Idiomas!$D$369</f>
        <v>Pegar valores Cuartos</v>
      </c>
      <c r="CW220" s="66">
        <f>IFERROR(IF($M220=CV220,($D$8+$D$9+$D$10)*$I220,IF($N220=LEFT(CV220,1),($D$8+MAX(0,IF($D$50=1,$D$9*(1-(ABS($Q220-ABS(VALUE(MID(CV220,FIND("|",CV220)+1,FIND("-",CV220)-FIND("|",CV220)-1))-VALUE(MID(CV220,FIND("-",CV220)+1,10)))))*$D$50),$D$9*(1-(IF($N220="X",ABS($O220-VALUE(MID(CV220,FIND("|",CV220)+1,FIND("-",CV220)-FIND("|",CV220)-1))),ABS($Q220-ABS(VALUE(MID(CV220,FIND("|",CV220)+1,FIND("-",CV220)-FIND("|",CV220)-1))-VALUE(MID(CV220,FIND("-",CV220)+1,10)))))*$D$50)))))*$I220,0)),0)</f>
        <v>0</v>
      </c>
      <c r="CX220" s="102"/>
      <c r="CY220" s="69" t="str">
        <f>Idiomas!$D$369</f>
        <v>Pegar valores Cuartos</v>
      </c>
      <c r="CZ220" s="66">
        <f>IFERROR(IF($M220=CY220,($D$8+$D$9+$D$10)*$I220,IF($N220=LEFT(CY220,1),($D$8+MAX(0,IF($D$50=1,$D$9*(1-(ABS($Q220-ABS(VALUE(MID(CY220,FIND("|",CY220)+1,FIND("-",CY220)-FIND("|",CY220)-1))-VALUE(MID(CY220,FIND("-",CY220)+1,10)))))*$D$50),$D$9*(1-(IF($N220="X",ABS($O220-VALUE(MID(CY220,FIND("|",CY220)+1,FIND("-",CY220)-FIND("|",CY220)-1))),ABS($Q220-ABS(VALUE(MID(CY220,FIND("|",CY220)+1,FIND("-",CY220)-FIND("|",CY220)-1))-VALUE(MID(CY220,FIND("-",CY220)+1,10)))))*$D$50)))))*$I220,0)),0)</f>
        <v>0</v>
      </c>
      <c r="DA220" s="102"/>
      <c r="DB220" s="69" t="str">
        <f>Idiomas!$D$369</f>
        <v>Pegar valores Cuartos</v>
      </c>
      <c r="DC220" s="66">
        <f>IFERROR(IF($M220=DB220,($D$8+$D$9+$D$10)*$I220,IF($N220=LEFT(DB220,1),($D$8+MAX(0,IF($D$50=1,$D$9*(1-(ABS($Q220-ABS(VALUE(MID(DB220,FIND("|",DB220)+1,FIND("-",DB220)-FIND("|",DB220)-1))-VALUE(MID(DB220,FIND("-",DB220)+1,10)))))*$D$50),$D$9*(1-(IF($N220="X",ABS($O220-VALUE(MID(DB220,FIND("|",DB220)+1,FIND("-",DB220)-FIND("|",DB220)-1))),ABS($Q220-ABS(VALUE(MID(DB220,FIND("|",DB220)+1,FIND("-",DB220)-FIND("|",DB220)-1))-VALUE(MID(DB220,FIND("-",DB220)+1,10)))))*$D$50)))))*$I220,0)),0)</f>
        <v>0</v>
      </c>
      <c r="DD220" s="102"/>
      <c r="DE220" s="69" t="str">
        <f>Idiomas!$D$369</f>
        <v>Pegar valores Cuartos</v>
      </c>
      <c r="DF220" s="66">
        <f>IFERROR(IF($M220=DE220,($D$8+$D$9+$D$10)*$I220,IF($N220=LEFT(DE220,1),($D$8+MAX(0,IF($D$50=1,$D$9*(1-(ABS($Q220-ABS(VALUE(MID(DE220,FIND("|",DE220)+1,FIND("-",DE220)-FIND("|",DE220)-1))-VALUE(MID(DE220,FIND("-",DE220)+1,10)))))*$D$50),$D$9*(1-(IF($N220="X",ABS($O220-VALUE(MID(DE220,FIND("|",DE220)+1,FIND("-",DE220)-FIND("|",DE220)-1))),ABS($Q220-ABS(VALUE(MID(DE220,FIND("|",DE220)+1,FIND("-",DE220)-FIND("|",DE220)-1))-VALUE(MID(DE220,FIND("-",DE220)+1,10)))))*$D$50)))))*$I220,0)),0)</f>
        <v>0</v>
      </c>
      <c r="DG220" s="102"/>
      <c r="DH220" s="69" t="str">
        <f>Idiomas!$D$369</f>
        <v>Pegar valores Cuartos</v>
      </c>
      <c r="DI220" s="66">
        <f>IFERROR(IF($M220=DH220,($D$8+$D$9+$D$10)*$I220,IF($N220=LEFT(DH220,1),($D$8+MAX(0,IF($D$50=1,$D$9*(1-(ABS($Q220-ABS(VALUE(MID(DH220,FIND("|",DH220)+1,FIND("-",DH220)-FIND("|",DH220)-1))-VALUE(MID(DH220,FIND("-",DH220)+1,10)))))*$D$50),$D$9*(1-(IF($N220="X",ABS($O220-VALUE(MID(DH220,FIND("|",DH220)+1,FIND("-",DH220)-FIND("|",DH220)-1))),ABS($Q220-ABS(VALUE(MID(DH220,FIND("|",DH220)+1,FIND("-",DH220)-FIND("|",DH220)-1))-VALUE(MID(DH220,FIND("-",DH220)+1,10)))))*$D$50)))))*$I220,0)),0)</f>
        <v>0</v>
      </c>
      <c r="DJ220" s="102"/>
      <c r="DK220" s="69" t="str">
        <f>Idiomas!$D$369</f>
        <v>Pegar valores Cuartos</v>
      </c>
      <c r="DL220" s="66">
        <f>IFERROR(IF($M220=DK220,($D$8+$D$9+$D$10)*$I220,IF($N220=LEFT(DK220,1),($D$8+MAX(0,IF($D$50=1,$D$9*(1-(ABS($Q220-ABS(VALUE(MID(DK220,FIND("|",DK220)+1,FIND("-",DK220)-FIND("|",DK220)-1))-VALUE(MID(DK220,FIND("-",DK220)+1,10)))))*$D$50),$D$9*(1-(IF($N220="X",ABS($O220-VALUE(MID(DK220,FIND("|",DK220)+1,FIND("-",DK220)-FIND("|",DK220)-1))),ABS($Q220-ABS(VALUE(MID(DK220,FIND("|",DK220)+1,FIND("-",DK220)-FIND("|",DK220)-1))-VALUE(MID(DK220,FIND("-",DK220)+1,10)))))*$D$50)))))*$I220,0)),0)</f>
        <v>0</v>
      </c>
      <c r="DM220" s="102"/>
      <c r="DN220" s="69" t="str">
        <f>Idiomas!$D$369</f>
        <v>Pegar valores Cuartos</v>
      </c>
      <c r="DO220" s="66">
        <f>IFERROR(IF($M220=DN220,($D$8+$D$9+$D$10)*$I220,IF($N220=LEFT(DN220,1),($D$8+MAX(0,IF($D$50=1,$D$9*(1-(ABS($Q220-ABS(VALUE(MID(DN220,FIND("|",DN220)+1,FIND("-",DN220)-FIND("|",DN220)-1))-VALUE(MID(DN220,FIND("-",DN220)+1,10)))))*$D$50),$D$9*(1-(IF($N220="X",ABS($O220-VALUE(MID(DN220,FIND("|",DN220)+1,FIND("-",DN220)-FIND("|",DN220)-1))),ABS($Q220-ABS(VALUE(MID(DN220,FIND("|",DN220)+1,FIND("-",DN220)-FIND("|",DN220)-1))-VALUE(MID(DN220,FIND("-",DN220)+1,10)))))*$D$50)))))*$I220,0)),0)</f>
        <v>0</v>
      </c>
      <c r="DP220" s="102"/>
      <c r="DQ220" s="69" t="str">
        <f>Idiomas!$D$369</f>
        <v>Pegar valores Cuartos</v>
      </c>
      <c r="DR220" s="66">
        <f>IFERROR(IF($M220=DQ220,($D$8+$D$9+$D$10)*$I220,IF($N220=LEFT(DQ220,1),($D$8+MAX(0,IF($D$50=1,$D$9*(1-(ABS($Q220-ABS(VALUE(MID(DQ220,FIND("|",DQ220)+1,FIND("-",DQ220)-FIND("|",DQ220)-1))-VALUE(MID(DQ220,FIND("-",DQ220)+1,10)))))*$D$50),$D$9*(1-(IF($N220="X",ABS($O220-VALUE(MID(DQ220,FIND("|",DQ220)+1,FIND("-",DQ220)-FIND("|",DQ220)-1))),ABS($Q220-ABS(VALUE(MID(DQ220,FIND("|",DQ220)+1,FIND("-",DQ220)-FIND("|",DQ220)-1))-VALUE(MID(DQ220,FIND("-",DQ220)+1,10)))))*$D$50)))))*$I220,0)),0)</f>
        <v>0</v>
      </c>
      <c r="DS220" s="102"/>
      <c r="DT220" s="69" t="str">
        <f>Idiomas!$D$369</f>
        <v>Pegar valores Cuartos</v>
      </c>
      <c r="DU220" s="66">
        <f>IFERROR(IF($M220=DT220,($D$8+$D$9+$D$10)*$I220,IF($N220=LEFT(DT220,1),($D$8+MAX(0,IF($D$50=1,$D$9*(1-(ABS($Q220-ABS(VALUE(MID(DT220,FIND("|",DT220)+1,FIND("-",DT220)-FIND("|",DT220)-1))-VALUE(MID(DT220,FIND("-",DT220)+1,10)))))*$D$50),$D$9*(1-(IF($N220="X",ABS($O220-VALUE(MID(DT220,FIND("|",DT220)+1,FIND("-",DT220)-FIND("|",DT220)-1))),ABS($Q220-ABS(VALUE(MID(DT220,FIND("|",DT220)+1,FIND("-",DT220)-FIND("|",DT220)-1))-VALUE(MID(DT220,FIND("-",DT220)+1,10)))))*$D$50)))))*$I220,0)),0)</f>
        <v>0</v>
      </c>
      <c r="DV220" s="102"/>
      <c r="DW220" s="69" t="str">
        <f>Idiomas!$D$369</f>
        <v>Pegar valores Cuartos</v>
      </c>
      <c r="DX220" s="66">
        <f>IFERROR(IF($M220=DW220,($D$8+$D$9+$D$10)*$I220,IF($N220=LEFT(DW220,1),($D$8+MAX(0,IF($D$50=1,$D$9*(1-(ABS($Q220-ABS(VALUE(MID(DW220,FIND("|",DW220)+1,FIND("-",DW220)-FIND("|",DW220)-1))-VALUE(MID(DW220,FIND("-",DW220)+1,10)))))*$D$50),$D$9*(1-(IF($N220="X",ABS($O220-VALUE(MID(DW220,FIND("|",DW220)+1,FIND("-",DW220)-FIND("|",DW220)-1))),ABS($Q220-ABS(VALUE(MID(DW220,FIND("|",DW220)+1,FIND("-",DW220)-FIND("|",DW220)-1))-VALUE(MID(DW220,FIND("-",DW220)+1,10)))))*$D$50)))))*$I220,0)),0)</f>
        <v>0</v>
      </c>
      <c r="DY220" s="102"/>
      <c r="DZ220" s="69" t="str">
        <f>Idiomas!$D$369</f>
        <v>Pegar valores Cuartos</v>
      </c>
      <c r="EA220" s="66">
        <f>IFERROR(IF($M220=DZ220,($D$8+$D$9+$D$10)*$I220,IF($N220=LEFT(DZ220,1),($D$8+MAX(0,IF($D$50=1,$D$9*(1-(ABS($Q220-ABS(VALUE(MID(DZ220,FIND("|",DZ220)+1,FIND("-",DZ220)-FIND("|",DZ220)-1))-VALUE(MID(DZ220,FIND("-",DZ220)+1,10)))))*$D$50),$D$9*(1-(IF($N220="X",ABS($O220-VALUE(MID(DZ220,FIND("|",DZ220)+1,FIND("-",DZ220)-FIND("|",DZ220)-1))),ABS($Q220-ABS(VALUE(MID(DZ220,FIND("|",DZ220)+1,FIND("-",DZ220)-FIND("|",DZ220)-1))-VALUE(MID(DZ220,FIND("-",DZ220)+1,10)))))*$D$50)))))*$I220,0)),0)</f>
        <v>0</v>
      </c>
      <c r="EB220" s="102"/>
      <c r="EC220" s="69" t="str">
        <f>Idiomas!$D$369</f>
        <v>Pegar valores Cuartos</v>
      </c>
      <c r="ED220" s="66">
        <f>IFERROR(IF($M220=EC220,($D$8+$D$9+$D$10)*$I220,IF($N220=LEFT(EC220,1),($D$8+MAX(0,IF($D$50=1,$D$9*(1-(ABS($Q220-ABS(VALUE(MID(EC220,FIND("|",EC220)+1,FIND("-",EC220)-FIND("|",EC220)-1))-VALUE(MID(EC220,FIND("-",EC220)+1,10)))))*$D$50),$D$9*(1-(IF($N220="X",ABS($O220-VALUE(MID(EC220,FIND("|",EC220)+1,FIND("-",EC220)-FIND("|",EC220)-1))),ABS($Q220-ABS(VALUE(MID(EC220,FIND("|",EC220)+1,FIND("-",EC220)-FIND("|",EC220)-1))-VALUE(MID(EC220,FIND("-",EC220)+1,10)))))*$D$50)))))*$I220,0)),0)</f>
        <v>0</v>
      </c>
      <c r="EE220" s="102"/>
      <c r="EF220" s="69" t="str">
        <f>Idiomas!$D$369</f>
        <v>Pegar valores Cuartos</v>
      </c>
      <c r="EG220" s="66">
        <f>IFERROR(IF($M220=EF220,($D$8+$D$9+$D$10)*$I220,IF($N220=LEFT(EF220,1),($D$8+MAX(0,IF($D$50=1,$D$9*(1-(ABS($Q220-ABS(VALUE(MID(EF220,FIND("|",EF220)+1,FIND("-",EF220)-FIND("|",EF220)-1))-VALUE(MID(EF220,FIND("-",EF220)+1,10)))))*$D$50),$D$9*(1-(IF($N220="X",ABS($O220-VALUE(MID(EF220,FIND("|",EF220)+1,FIND("-",EF220)-FIND("|",EF220)-1))),ABS($Q220-ABS(VALUE(MID(EF220,FIND("|",EF220)+1,FIND("-",EF220)-FIND("|",EF220)-1))-VALUE(MID(EF220,FIND("-",EF220)+1,10)))))*$D$50)))))*$I220,0)),0)</f>
        <v>0</v>
      </c>
      <c r="EH220" s="102"/>
      <c r="EI220" s="102"/>
    </row>
    <row r="221" spans="1:139">
      <c r="A221" s="711">
        <f>WORLDCUP!AD132</f>
        <v>0</v>
      </c>
      <c r="B221" s="711">
        <f>WORLDCUP!AC132</f>
        <v>0</v>
      </c>
      <c r="C221" s="805" t="str">
        <f>CONCATENATE(WORLDCUP!AF132,"-",WORLDCUP!AA132)</f>
        <v>W94-W93</v>
      </c>
      <c r="D221" s="805" t="str">
        <f>IF(WORLDCUP!AC132&gt;WORLDCUP!AD132,2,IF(WORLDCUP!AC132&lt;WORLDCUP!AD132,1,IF(AND(WORLDCUP!AC132=WORLDCUP!AD132,WORLDCUP!AC132&lt;&gt;"",WORLDCUP!AD132&lt;&gt;""),0,"PD")))</f>
        <v>PD</v>
      </c>
      <c r="E221" s="805" t="str">
        <f>IF(OR(WORLDCUP!AD132="",WORLDCUP!AC132=""),"-",A221&amp;"-"&amp;B221)</f>
        <v>-</v>
      </c>
      <c r="F221" s="806">
        <f t="shared" ref="F221:F223" si="2128">SUM($D$24:$D$26)*I221</f>
        <v>17</v>
      </c>
      <c r="G221" s="806">
        <f ca="1">VLOOKUP(H221,Equipos!$Q$1:$R$25,2,0)</f>
        <v>22</v>
      </c>
      <c r="H221" s="800" t="str">
        <f>Idiomas!$D$262</f>
        <v>Cuartos de final</v>
      </c>
      <c r="I221" s="808">
        <v>1</v>
      </c>
      <c r="J221" s="859"/>
      <c r="K221" s="49" t="str">
        <f>CONCATENATE(WORLDCUP!AA132,"-",WORLDCUP!AF132)</f>
        <v>W93-W94</v>
      </c>
      <c r="L221" s="46" t="str">
        <f>IF(OR(WORLDCUP!AC132="",WORLDCUP!AD132=""),"PD",IF(WORLDCUP!AC132&gt;WORLDCUP!AD132,1,IF(WORLDCUP!AC132&lt;WORLDCUP!AD132,2,0)))</f>
        <v>PD</v>
      </c>
      <c r="M221" s="48" t="str">
        <f>IF(OR(WORLDCUP!AC132="",WORLDCUP!AD132=""),"-",N221&amp;"|"&amp;O221&amp;"-"&amp;P221)</f>
        <v>-</v>
      </c>
      <c r="N221" s="711" t="str">
        <f>IF(OR(WORLDCUP!AC132="",WORLDCUP!AD132=""),"",IF(WORLDCUP!AC132&gt;WORLDCUP!AD132,"1",IF(WORLDCUP!AC132&lt;WORLDCUP!AD132,"2","X")))</f>
        <v/>
      </c>
      <c r="O221" s="711">
        <f>WORLDCUP!AC132</f>
        <v>0</v>
      </c>
      <c r="P221" s="711">
        <f>WORLDCUP!AD132</f>
        <v>0</v>
      </c>
      <c r="Q221" s="711">
        <f t="shared" ref="Q221:Q223" si="2129">ABS(O221-P221)</f>
        <v>0</v>
      </c>
      <c r="R221" s="102"/>
      <c r="S221" s="67" t="s">
        <v>1954</v>
      </c>
      <c r="T221" s="66">
        <f t="shared" ref="T221:T223" si="2130">IFERROR(IF($M221=S221,($D$8+$D$9+$D$10)*$I221,IF($N221=LEFT(S221,1),($D$8+MAX(0,IF($D$50=1,$D$9*(1-(ABS($Q221-ABS(VALUE(MID(S221,FIND("|",S221)+1,FIND("-",S221)-FIND("|",S221)-1))-VALUE(MID(S221,FIND("-",S221)+1,10)))))*$D$50),$D$9*(1-(IF($N221="X",ABS($O221-VALUE(MID(S221,FIND("|",S221)+1,FIND("-",S221)-FIND("|",S221)-1))),ABS($Q221-ABS(VALUE(MID(S221,FIND("|",S221)+1,FIND("-",S221)-FIND("|",S221)-1))-VALUE(MID(S221,FIND("-",S221)+1,10)))))*$D$50)))))*$I221,0)),0)</f>
        <v>0</v>
      </c>
      <c r="U221" s="102"/>
      <c r="V221" s="67" t="s">
        <v>1947</v>
      </c>
      <c r="W221" s="66">
        <f t="shared" ref="W221:W223" si="2131">IFERROR(IF($M221=V221,($D$8+$D$9+$D$10)*$I221,IF($N221=LEFT(V221,1),($D$8+MAX(0,IF($D$50=1,$D$9*(1-(ABS($Q221-ABS(VALUE(MID(V221,FIND("|",V221)+1,FIND("-",V221)-FIND("|",V221)-1))-VALUE(MID(V221,FIND("-",V221)+1,10)))))*$D$50),$D$9*(1-(IF($N221="X",ABS($O221-VALUE(MID(V221,FIND("|",V221)+1,FIND("-",V221)-FIND("|",V221)-1))),ABS($Q221-ABS(VALUE(MID(V221,FIND("|",V221)+1,FIND("-",V221)-FIND("|",V221)-1))-VALUE(MID(V221,FIND("-",V221)+1,10)))))*$D$50)))))*$I221,0)),0)</f>
        <v>0</v>
      </c>
      <c r="X221" s="102"/>
      <c r="Y221" s="67" t="s">
        <v>1947</v>
      </c>
      <c r="Z221" s="66">
        <f t="shared" ref="Z221:Z223" si="2132">IFERROR(IF($M221=Y221,($D$8+$D$9+$D$10)*$I221,IF($N221=LEFT(Y221,1),($D$8+MAX(0,IF($D$50=1,$D$9*(1-(ABS($Q221-ABS(VALUE(MID(Y221,FIND("|",Y221)+1,FIND("-",Y221)-FIND("|",Y221)-1))-VALUE(MID(Y221,FIND("-",Y221)+1,10)))))*$D$50),$D$9*(1-(IF($N221="X",ABS($O221-VALUE(MID(Y221,FIND("|",Y221)+1,FIND("-",Y221)-FIND("|",Y221)-1))),ABS($Q221-ABS(VALUE(MID(Y221,FIND("|",Y221)+1,FIND("-",Y221)-FIND("|",Y221)-1))-VALUE(MID(Y221,FIND("-",Y221)+1,10)))))*$D$50)))))*$I221,0)),0)</f>
        <v>0</v>
      </c>
      <c r="AA221" s="102"/>
      <c r="AB221" s="67" t="s">
        <v>1955</v>
      </c>
      <c r="AC221" s="66">
        <f t="shared" ref="AC221:AC223" si="2133">IFERROR(IF($M221=AB221,($D$8+$D$9+$D$10)*$I221,IF($N221=LEFT(AB221,1),($D$8+MAX(0,IF($D$50=1,$D$9*(1-(ABS($Q221-ABS(VALUE(MID(AB221,FIND("|",AB221)+1,FIND("-",AB221)-FIND("|",AB221)-1))-VALUE(MID(AB221,FIND("-",AB221)+1,10)))))*$D$50),$D$9*(1-(IF($N221="X",ABS($O221-VALUE(MID(AB221,FIND("|",AB221)+1,FIND("-",AB221)-FIND("|",AB221)-1))),ABS($Q221-ABS(VALUE(MID(AB221,FIND("|",AB221)+1,FIND("-",AB221)-FIND("|",AB221)-1))-VALUE(MID(AB221,FIND("-",AB221)+1,10)))))*$D$50)))))*$I221,0)),0)</f>
        <v>0</v>
      </c>
      <c r="AD221" s="102"/>
      <c r="AE221" s="67" t="s">
        <v>1953</v>
      </c>
      <c r="AF221" s="66">
        <f t="shared" ref="AF221:AF223" si="2134">IFERROR(IF($M221=AE221,($D$8+$D$9+$D$10)*$I221,IF($N221=LEFT(AE221,1),($D$8+MAX(0,IF($D$50=1,$D$9*(1-(ABS($Q221-ABS(VALUE(MID(AE221,FIND("|",AE221)+1,FIND("-",AE221)-FIND("|",AE221)-1))-VALUE(MID(AE221,FIND("-",AE221)+1,10)))))*$D$50),$D$9*(1-(IF($N221="X",ABS($O221-VALUE(MID(AE221,FIND("|",AE221)+1,FIND("-",AE221)-FIND("|",AE221)-1))),ABS($Q221-ABS(VALUE(MID(AE221,FIND("|",AE221)+1,FIND("-",AE221)-FIND("|",AE221)-1))-VALUE(MID(AE221,FIND("-",AE221)+1,10)))))*$D$50)))))*$I221,0)),0)</f>
        <v>0</v>
      </c>
      <c r="AG221" s="102"/>
      <c r="AH221" s="67" t="s">
        <v>1953</v>
      </c>
      <c r="AI221" s="66">
        <f t="shared" ref="AI221:AI223" si="2135">IFERROR(IF($M221=AH221,($D$8+$D$9+$D$10)*$I221,IF($N221=LEFT(AH221,1),($D$8+MAX(0,IF($D$50=1,$D$9*(1-(ABS($Q221-ABS(VALUE(MID(AH221,FIND("|",AH221)+1,FIND("-",AH221)-FIND("|",AH221)-1))-VALUE(MID(AH221,FIND("-",AH221)+1,10)))))*$D$50),$D$9*(1-(IF($N221="X",ABS($O221-VALUE(MID(AH221,FIND("|",AH221)+1,FIND("-",AH221)-FIND("|",AH221)-1))),ABS($Q221-ABS(VALUE(MID(AH221,FIND("|",AH221)+1,FIND("-",AH221)-FIND("|",AH221)-1))-VALUE(MID(AH221,FIND("-",AH221)+1,10)))))*$D$50)))))*$I221,0)),0)</f>
        <v>0</v>
      </c>
      <c r="AJ221" s="102"/>
      <c r="AK221" s="67" t="s">
        <v>1953</v>
      </c>
      <c r="AL221" s="66">
        <f t="shared" ref="AL221:AL223" si="2136">IFERROR(IF($M221=AK221,($D$8+$D$9+$D$10)*$I221,IF($N221=LEFT(AK221,1),($D$8+MAX(0,IF($D$50=1,$D$9*(1-(ABS($Q221-ABS(VALUE(MID(AK221,FIND("|",AK221)+1,FIND("-",AK221)-FIND("|",AK221)-1))-VALUE(MID(AK221,FIND("-",AK221)+1,10)))))*$D$50),$D$9*(1-(IF($N221="X",ABS($O221-VALUE(MID(AK221,FIND("|",AK221)+1,FIND("-",AK221)-FIND("|",AK221)-1))),ABS($Q221-ABS(VALUE(MID(AK221,FIND("|",AK221)+1,FIND("-",AK221)-FIND("|",AK221)-1))-VALUE(MID(AK221,FIND("-",AK221)+1,10)))))*$D$50)))))*$I221,0)),0)</f>
        <v>0</v>
      </c>
      <c r="AM221" s="102"/>
      <c r="AN221" s="67" t="s">
        <v>1947</v>
      </c>
      <c r="AO221" s="66">
        <f t="shared" ref="AO221:AO223" si="2137">IFERROR(IF($M221=AN221,($D$8+$D$9+$D$10)*$I221,IF($N221=LEFT(AN221,1),($D$8+MAX(0,IF($D$50=1,$D$9*(1-(ABS($Q221-ABS(VALUE(MID(AN221,FIND("|",AN221)+1,FIND("-",AN221)-FIND("|",AN221)-1))-VALUE(MID(AN221,FIND("-",AN221)+1,10)))))*$D$50),$D$9*(1-(IF($N221="X",ABS($O221-VALUE(MID(AN221,FIND("|",AN221)+1,FIND("-",AN221)-FIND("|",AN221)-1))),ABS($Q221-ABS(VALUE(MID(AN221,FIND("|",AN221)+1,FIND("-",AN221)-FIND("|",AN221)-1))-VALUE(MID(AN221,FIND("-",AN221)+1,10)))))*$D$50)))))*$I221,0)),0)</f>
        <v>0</v>
      </c>
      <c r="AP221" s="102"/>
      <c r="AQ221" s="67" t="s">
        <v>1956</v>
      </c>
      <c r="AR221" s="66">
        <f t="shared" ref="AR221:AR223" si="2138">IFERROR(IF($M221=AQ221,($D$8+$D$9+$D$10)*$I221,IF($N221=LEFT(AQ221,1),($D$8+MAX(0,IF($D$50=1,$D$9*(1-(ABS($Q221-ABS(VALUE(MID(AQ221,FIND("|",AQ221)+1,FIND("-",AQ221)-FIND("|",AQ221)-1))-VALUE(MID(AQ221,FIND("-",AQ221)+1,10)))))*$D$50),$D$9*(1-(IF($N221="X",ABS($O221-VALUE(MID(AQ221,FIND("|",AQ221)+1,FIND("-",AQ221)-FIND("|",AQ221)-1))),ABS($Q221-ABS(VALUE(MID(AQ221,FIND("|",AQ221)+1,FIND("-",AQ221)-FIND("|",AQ221)-1))-VALUE(MID(AQ221,FIND("-",AQ221)+1,10)))))*$D$50)))))*$I221,0)),0)</f>
        <v>0</v>
      </c>
      <c r="AS221" s="102"/>
      <c r="AT221" s="67" t="s">
        <v>1954</v>
      </c>
      <c r="AU221" s="66">
        <f t="shared" ref="AU221:AU223" si="2139">IFERROR(IF($M221=AT221,($D$8+$D$9+$D$10)*$I221,IF($N221=LEFT(AT221,1),($D$8+MAX(0,IF($D$50=1,$D$9*(1-(ABS($Q221-ABS(VALUE(MID(AT221,FIND("|",AT221)+1,FIND("-",AT221)-FIND("|",AT221)-1))-VALUE(MID(AT221,FIND("-",AT221)+1,10)))))*$D$50),$D$9*(1-(IF($N221="X",ABS($O221-VALUE(MID(AT221,FIND("|",AT221)+1,FIND("-",AT221)-FIND("|",AT221)-1))),ABS($Q221-ABS(VALUE(MID(AT221,FIND("|",AT221)+1,FIND("-",AT221)-FIND("|",AT221)-1))-VALUE(MID(AT221,FIND("-",AT221)+1,10)))))*$D$50)))))*$I221,0)),0)</f>
        <v>0</v>
      </c>
      <c r="AV221" s="102"/>
      <c r="AW221" s="67" t="s">
        <v>1947</v>
      </c>
      <c r="AX221" s="66">
        <f t="shared" ref="AX221:AX223" si="2140">IFERROR(IF($M221=AW221,($D$8+$D$9+$D$10)*$I221,IF($N221=LEFT(AW221,1),($D$8+MAX(0,IF($D$50=1,$D$9*(1-(ABS($Q221-ABS(VALUE(MID(AW221,FIND("|",AW221)+1,FIND("-",AW221)-FIND("|",AW221)-1))-VALUE(MID(AW221,FIND("-",AW221)+1,10)))))*$D$50),$D$9*(1-(IF($N221="X",ABS($O221-VALUE(MID(AW221,FIND("|",AW221)+1,FIND("-",AW221)-FIND("|",AW221)-1))),ABS($Q221-ABS(VALUE(MID(AW221,FIND("|",AW221)+1,FIND("-",AW221)-FIND("|",AW221)-1))-VALUE(MID(AW221,FIND("-",AW221)+1,10)))))*$D$50)))))*$I221,0)),0)</f>
        <v>0</v>
      </c>
      <c r="AY221" s="102"/>
      <c r="AZ221" s="67" t="s">
        <v>1947</v>
      </c>
      <c r="BA221" s="66">
        <f t="shared" ref="BA221:BA223" si="2141">IFERROR(IF($M221=AZ221,($D$8+$D$9+$D$10)*$I221,IF($N221=LEFT(AZ221,1),($D$8+MAX(0,IF($D$50=1,$D$9*(1-(ABS($Q221-ABS(VALUE(MID(AZ221,FIND("|",AZ221)+1,FIND("-",AZ221)-FIND("|",AZ221)-1))-VALUE(MID(AZ221,FIND("-",AZ221)+1,10)))))*$D$50),$D$9*(1-(IF($N221="X",ABS($O221-VALUE(MID(AZ221,FIND("|",AZ221)+1,FIND("-",AZ221)-FIND("|",AZ221)-1))),ABS($Q221-ABS(VALUE(MID(AZ221,FIND("|",AZ221)+1,FIND("-",AZ221)-FIND("|",AZ221)-1))-VALUE(MID(AZ221,FIND("-",AZ221)+1,10)))))*$D$50)))))*$I221,0)),0)</f>
        <v>0</v>
      </c>
      <c r="BB221" s="102"/>
      <c r="BC221" s="67" t="s">
        <v>1953</v>
      </c>
      <c r="BD221" s="66">
        <f t="shared" ref="BD221:BD223" si="2142">IFERROR(IF($M221=BC221,($D$8+$D$9+$D$10)*$I221,IF($N221=LEFT(BC221,1),($D$8+MAX(0,IF($D$50=1,$D$9*(1-(ABS($Q221-ABS(VALUE(MID(BC221,FIND("|",BC221)+1,FIND("-",BC221)-FIND("|",BC221)-1))-VALUE(MID(BC221,FIND("-",BC221)+1,10)))))*$D$50),$D$9*(1-(IF($N221="X",ABS($O221-VALUE(MID(BC221,FIND("|",BC221)+1,FIND("-",BC221)-FIND("|",BC221)-1))),ABS($Q221-ABS(VALUE(MID(BC221,FIND("|",BC221)+1,FIND("-",BC221)-FIND("|",BC221)-1))-VALUE(MID(BC221,FIND("-",BC221)+1,10)))))*$D$50)))))*$I221,0)),0)</f>
        <v>0</v>
      </c>
      <c r="BE221" s="102"/>
      <c r="BF221" s="67" t="s">
        <v>1956</v>
      </c>
      <c r="BG221" s="66">
        <f t="shared" ref="BG221:BG223" si="2143">IFERROR(IF($M221=BF221,($D$8+$D$9+$D$10)*$I221,IF($N221=LEFT(BF221,1),($D$8+MAX(0,IF($D$50=1,$D$9*(1-(ABS($Q221-ABS(VALUE(MID(BF221,FIND("|",BF221)+1,FIND("-",BF221)-FIND("|",BF221)-1))-VALUE(MID(BF221,FIND("-",BF221)+1,10)))))*$D$50),$D$9*(1-(IF($N221="X",ABS($O221-VALUE(MID(BF221,FIND("|",BF221)+1,FIND("-",BF221)-FIND("|",BF221)-1))),ABS($Q221-ABS(VALUE(MID(BF221,FIND("|",BF221)+1,FIND("-",BF221)-FIND("|",BF221)-1))-VALUE(MID(BF221,FIND("-",BF221)+1,10)))))*$D$50)))))*$I221,0)),0)</f>
        <v>0</v>
      </c>
      <c r="BH221" s="102"/>
      <c r="BI221" s="67" t="s">
        <v>1956</v>
      </c>
      <c r="BJ221" s="66">
        <f t="shared" ref="BJ221:BJ223" si="2144">IFERROR(IF($M221=BI221,($D$8+$D$9+$D$10)*$I221,IF($N221=LEFT(BI221,1),($D$8+MAX(0,IF($D$50=1,$D$9*(1-(ABS($Q221-ABS(VALUE(MID(BI221,FIND("|",BI221)+1,FIND("-",BI221)-FIND("|",BI221)-1))-VALUE(MID(BI221,FIND("-",BI221)+1,10)))))*$D$50),$D$9*(1-(IF($N221="X",ABS($O221-VALUE(MID(BI221,FIND("|",BI221)+1,FIND("-",BI221)-FIND("|",BI221)-1))),ABS($Q221-ABS(VALUE(MID(BI221,FIND("|",BI221)+1,FIND("-",BI221)-FIND("|",BI221)-1))-VALUE(MID(BI221,FIND("-",BI221)+1,10)))))*$D$50)))))*$I221,0)),0)</f>
        <v>0</v>
      </c>
      <c r="BK221" s="102"/>
      <c r="BL221" s="67" t="s">
        <v>1953</v>
      </c>
      <c r="BM221" s="66">
        <f t="shared" ref="BM221:BM223" si="2145">IFERROR(IF($M221=BL221,($D$8+$D$9+$D$10)*$I221,IF($N221=LEFT(BL221,1),($D$8+MAX(0,IF($D$50=1,$D$9*(1-(ABS($Q221-ABS(VALUE(MID(BL221,FIND("|",BL221)+1,FIND("-",BL221)-FIND("|",BL221)-1))-VALUE(MID(BL221,FIND("-",BL221)+1,10)))))*$D$50),$D$9*(1-(IF($N221="X",ABS($O221-VALUE(MID(BL221,FIND("|",BL221)+1,FIND("-",BL221)-FIND("|",BL221)-1))),ABS($Q221-ABS(VALUE(MID(BL221,FIND("|",BL221)+1,FIND("-",BL221)-FIND("|",BL221)-1))-VALUE(MID(BL221,FIND("-",BL221)+1,10)))))*$D$50)))))*$I221,0)),0)</f>
        <v>0</v>
      </c>
      <c r="BN221" s="102"/>
      <c r="BO221" s="67" t="s">
        <v>1963</v>
      </c>
      <c r="BP221" s="66">
        <f t="shared" ref="BP221:BP223" si="2146">IFERROR(IF($M221=BO221,($D$8+$D$9+$D$10)*$I221,IF($N221=LEFT(BO221,1),($D$8+MAX(0,IF($D$50=1,$D$9*(1-(ABS($Q221-ABS(VALUE(MID(BO221,FIND("|",BO221)+1,FIND("-",BO221)-FIND("|",BO221)-1))-VALUE(MID(BO221,FIND("-",BO221)+1,10)))))*$D$50),$D$9*(1-(IF($N221="X",ABS($O221-VALUE(MID(BO221,FIND("|",BO221)+1,FIND("-",BO221)-FIND("|",BO221)-1))),ABS($Q221-ABS(VALUE(MID(BO221,FIND("|",BO221)+1,FIND("-",BO221)-FIND("|",BO221)-1))-VALUE(MID(BO221,FIND("-",BO221)+1,10)))))*$D$50)))))*$I221,0)),0)</f>
        <v>0</v>
      </c>
      <c r="BQ221" s="102"/>
      <c r="BR221" s="67" t="s">
        <v>1947</v>
      </c>
      <c r="BS221" s="66">
        <f t="shared" ref="BS221:BS223" si="2147">IFERROR(IF($M221=BR221,($D$8+$D$9+$D$10)*$I221,IF($N221=LEFT(BR221,1),($D$8+MAX(0,IF($D$50=1,$D$9*(1-(ABS($Q221-ABS(VALUE(MID(BR221,FIND("|",BR221)+1,FIND("-",BR221)-FIND("|",BR221)-1))-VALUE(MID(BR221,FIND("-",BR221)+1,10)))))*$D$50),$D$9*(1-(IF($N221="X",ABS($O221-VALUE(MID(BR221,FIND("|",BR221)+1,FIND("-",BR221)-FIND("|",BR221)-1))),ABS($Q221-ABS(VALUE(MID(BR221,FIND("|",BR221)+1,FIND("-",BR221)-FIND("|",BR221)-1))-VALUE(MID(BR221,FIND("-",BR221)+1,10)))))*$D$50)))))*$I221,0)),0)</f>
        <v>0</v>
      </c>
      <c r="BT221" s="102"/>
      <c r="BU221" s="67"/>
      <c r="BV221" s="66">
        <f t="shared" ref="BV221:BV223" si="2148">IFERROR(IF($M221=BU221,($D$8+$D$9+$D$10)*$I221,IF($N221=LEFT(BU221,1),($D$8+MAX(0,IF($D$50=1,$D$9*(1-(ABS($Q221-ABS(VALUE(MID(BU221,FIND("|",BU221)+1,FIND("-",BU221)-FIND("|",BU221)-1))-VALUE(MID(BU221,FIND("-",BU221)+1,10)))))*$D$50),$D$9*(1-(IF($N221="X",ABS($O221-VALUE(MID(BU221,FIND("|",BU221)+1,FIND("-",BU221)-FIND("|",BU221)-1))),ABS($Q221-ABS(VALUE(MID(BU221,FIND("|",BU221)+1,FIND("-",BU221)-FIND("|",BU221)-1))-VALUE(MID(BU221,FIND("-",BU221)+1,10)))))*$D$50)))))*$I221,0)),0)</f>
        <v>0</v>
      </c>
      <c r="BW221" s="102"/>
      <c r="BX221" s="67"/>
      <c r="BY221" s="66">
        <f t="shared" ref="BY221:BY223" si="2149">IFERROR(IF($M221=BX221,($D$8+$D$9+$D$10)*$I221,IF($N221=LEFT(BX221,1),($D$8+MAX(0,IF($D$50=1,$D$9*(1-(ABS($Q221-ABS(VALUE(MID(BX221,FIND("|",BX221)+1,FIND("-",BX221)-FIND("|",BX221)-1))-VALUE(MID(BX221,FIND("-",BX221)+1,10)))))*$D$50),$D$9*(1-(IF($N221="X",ABS($O221-VALUE(MID(BX221,FIND("|",BX221)+1,FIND("-",BX221)-FIND("|",BX221)-1))),ABS($Q221-ABS(VALUE(MID(BX221,FIND("|",BX221)+1,FIND("-",BX221)-FIND("|",BX221)-1))-VALUE(MID(BX221,FIND("-",BX221)+1,10)))))*$D$50)))))*$I221,0)),0)</f>
        <v>0</v>
      </c>
      <c r="BZ221" s="102"/>
      <c r="CA221" s="67"/>
      <c r="CB221" s="66">
        <f t="shared" ref="CB221:CB223" si="2150">IFERROR(IF($M221=CA221,($D$8+$D$9+$D$10)*$I221,IF($N221=LEFT(CA221,1),($D$8+MAX(0,IF($D$50=1,$D$9*(1-(ABS($Q221-ABS(VALUE(MID(CA221,FIND("|",CA221)+1,FIND("-",CA221)-FIND("|",CA221)-1))-VALUE(MID(CA221,FIND("-",CA221)+1,10)))))*$D$50),$D$9*(1-(IF($N221="X",ABS($O221-VALUE(MID(CA221,FIND("|",CA221)+1,FIND("-",CA221)-FIND("|",CA221)-1))),ABS($Q221-ABS(VALUE(MID(CA221,FIND("|",CA221)+1,FIND("-",CA221)-FIND("|",CA221)-1))-VALUE(MID(CA221,FIND("-",CA221)+1,10)))))*$D$50)))))*$I221,0)),0)</f>
        <v>0</v>
      </c>
      <c r="CC221" s="102"/>
      <c r="CD221" s="67"/>
      <c r="CE221" s="66">
        <f t="shared" ref="CE221:CE223" si="2151">IFERROR(IF($M221=CD221,($D$8+$D$9+$D$10)*$I221,IF($N221=LEFT(CD221,1),($D$8+MAX(0,IF($D$50=1,$D$9*(1-(ABS($Q221-ABS(VALUE(MID(CD221,FIND("|",CD221)+1,FIND("-",CD221)-FIND("|",CD221)-1))-VALUE(MID(CD221,FIND("-",CD221)+1,10)))))*$D$50),$D$9*(1-(IF($N221="X",ABS($O221-VALUE(MID(CD221,FIND("|",CD221)+1,FIND("-",CD221)-FIND("|",CD221)-1))),ABS($Q221-ABS(VALUE(MID(CD221,FIND("|",CD221)+1,FIND("-",CD221)-FIND("|",CD221)-1))-VALUE(MID(CD221,FIND("-",CD221)+1,10)))))*$D$50)))))*$I221,0)),0)</f>
        <v>0</v>
      </c>
      <c r="CF221" s="102"/>
      <c r="CG221" s="67"/>
      <c r="CH221" s="66">
        <f t="shared" ref="CH221:CH223" si="2152">IFERROR(IF($M221=CG221,($D$8+$D$9+$D$10)*$I221,IF($N221=LEFT(CG221,1),($D$8+MAX(0,IF($D$50=1,$D$9*(1-(ABS($Q221-ABS(VALUE(MID(CG221,FIND("|",CG221)+1,FIND("-",CG221)-FIND("|",CG221)-1))-VALUE(MID(CG221,FIND("-",CG221)+1,10)))))*$D$50),$D$9*(1-(IF($N221="X",ABS($O221-VALUE(MID(CG221,FIND("|",CG221)+1,FIND("-",CG221)-FIND("|",CG221)-1))),ABS($Q221-ABS(VALUE(MID(CG221,FIND("|",CG221)+1,FIND("-",CG221)-FIND("|",CG221)-1))-VALUE(MID(CG221,FIND("-",CG221)+1,10)))))*$D$50)))))*$I221,0)),0)</f>
        <v>0</v>
      </c>
      <c r="CI221" s="102"/>
      <c r="CJ221" s="67"/>
      <c r="CK221" s="66">
        <f t="shared" ref="CK221:CK223" si="2153">IFERROR(IF($M221=CJ221,($D$8+$D$9+$D$10)*$I221,IF($N221=LEFT(CJ221,1),($D$8+MAX(0,IF($D$50=1,$D$9*(1-(ABS($Q221-ABS(VALUE(MID(CJ221,FIND("|",CJ221)+1,FIND("-",CJ221)-FIND("|",CJ221)-1))-VALUE(MID(CJ221,FIND("-",CJ221)+1,10)))))*$D$50),$D$9*(1-(IF($N221="X",ABS($O221-VALUE(MID(CJ221,FIND("|",CJ221)+1,FIND("-",CJ221)-FIND("|",CJ221)-1))),ABS($Q221-ABS(VALUE(MID(CJ221,FIND("|",CJ221)+1,FIND("-",CJ221)-FIND("|",CJ221)-1))-VALUE(MID(CJ221,FIND("-",CJ221)+1,10)))))*$D$50)))))*$I221,0)),0)</f>
        <v>0</v>
      </c>
      <c r="CL221" s="102"/>
      <c r="CM221" s="67"/>
      <c r="CN221" s="66">
        <f t="shared" ref="CN221:CN223" si="2154">IFERROR(IF($M221=CM221,($D$8+$D$9+$D$10)*$I221,IF($N221=LEFT(CM221,1),($D$8+MAX(0,IF($D$50=1,$D$9*(1-(ABS($Q221-ABS(VALUE(MID(CM221,FIND("|",CM221)+1,FIND("-",CM221)-FIND("|",CM221)-1))-VALUE(MID(CM221,FIND("-",CM221)+1,10)))))*$D$50),$D$9*(1-(IF($N221="X",ABS($O221-VALUE(MID(CM221,FIND("|",CM221)+1,FIND("-",CM221)-FIND("|",CM221)-1))),ABS($Q221-ABS(VALUE(MID(CM221,FIND("|",CM221)+1,FIND("-",CM221)-FIND("|",CM221)-1))-VALUE(MID(CM221,FIND("-",CM221)+1,10)))))*$D$50)))))*$I221,0)),0)</f>
        <v>0</v>
      </c>
      <c r="CO221" s="102"/>
      <c r="CP221" s="67"/>
      <c r="CQ221" s="66">
        <f t="shared" ref="CQ221:CQ223" si="2155">IFERROR(IF($M221=CP221,($D$8+$D$9+$D$10)*$I221,IF($N221=LEFT(CP221,1),($D$8+MAX(0,IF($D$50=1,$D$9*(1-(ABS($Q221-ABS(VALUE(MID(CP221,FIND("|",CP221)+1,FIND("-",CP221)-FIND("|",CP221)-1))-VALUE(MID(CP221,FIND("-",CP221)+1,10)))))*$D$50),$D$9*(1-(IF($N221="X",ABS($O221-VALUE(MID(CP221,FIND("|",CP221)+1,FIND("-",CP221)-FIND("|",CP221)-1))),ABS($Q221-ABS(VALUE(MID(CP221,FIND("|",CP221)+1,FIND("-",CP221)-FIND("|",CP221)-1))-VALUE(MID(CP221,FIND("-",CP221)+1,10)))))*$D$50)))))*$I221,0)),0)</f>
        <v>0</v>
      </c>
      <c r="CR221" s="102"/>
      <c r="CS221" s="67"/>
      <c r="CT221" s="66">
        <f t="shared" ref="CT221:CT223" si="2156">IFERROR(IF($M221=CS221,($D$8+$D$9+$D$10)*$I221,IF($N221=LEFT(CS221,1),($D$8+MAX(0,IF($D$50=1,$D$9*(1-(ABS($Q221-ABS(VALUE(MID(CS221,FIND("|",CS221)+1,FIND("-",CS221)-FIND("|",CS221)-1))-VALUE(MID(CS221,FIND("-",CS221)+1,10)))))*$D$50),$D$9*(1-(IF($N221="X",ABS($O221-VALUE(MID(CS221,FIND("|",CS221)+1,FIND("-",CS221)-FIND("|",CS221)-1))),ABS($Q221-ABS(VALUE(MID(CS221,FIND("|",CS221)+1,FIND("-",CS221)-FIND("|",CS221)-1))-VALUE(MID(CS221,FIND("-",CS221)+1,10)))))*$D$50)))))*$I221,0)),0)</f>
        <v>0</v>
      </c>
      <c r="CU221" s="102"/>
      <c r="CV221" s="67"/>
      <c r="CW221" s="66">
        <f t="shared" ref="CW221:CW223" si="2157">IFERROR(IF($M221=CV221,($D$8+$D$9+$D$10)*$I221,IF($N221=LEFT(CV221,1),($D$8+MAX(0,IF($D$50=1,$D$9*(1-(ABS($Q221-ABS(VALUE(MID(CV221,FIND("|",CV221)+1,FIND("-",CV221)-FIND("|",CV221)-1))-VALUE(MID(CV221,FIND("-",CV221)+1,10)))))*$D$50),$D$9*(1-(IF($N221="X",ABS($O221-VALUE(MID(CV221,FIND("|",CV221)+1,FIND("-",CV221)-FIND("|",CV221)-1))),ABS($Q221-ABS(VALUE(MID(CV221,FIND("|",CV221)+1,FIND("-",CV221)-FIND("|",CV221)-1))-VALUE(MID(CV221,FIND("-",CV221)+1,10)))))*$D$50)))))*$I221,0)),0)</f>
        <v>0</v>
      </c>
      <c r="CX221" s="102"/>
      <c r="CY221" s="67"/>
      <c r="CZ221" s="66">
        <f t="shared" ref="CZ221:CZ223" si="2158">IFERROR(IF($M221=CY221,($D$8+$D$9+$D$10)*$I221,IF($N221=LEFT(CY221,1),($D$8+MAX(0,IF($D$50=1,$D$9*(1-(ABS($Q221-ABS(VALUE(MID(CY221,FIND("|",CY221)+1,FIND("-",CY221)-FIND("|",CY221)-1))-VALUE(MID(CY221,FIND("-",CY221)+1,10)))))*$D$50),$D$9*(1-(IF($N221="X",ABS($O221-VALUE(MID(CY221,FIND("|",CY221)+1,FIND("-",CY221)-FIND("|",CY221)-1))),ABS($Q221-ABS(VALUE(MID(CY221,FIND("|",CY221)+1,FIND("-",CY221)-FIND("|",CY221)-1))-VALUE(MID(CY221,FIND("-",CY221)+1,10)))))*$D$50)))))*$I221,0)),0)</f>
        <v>0</v>
      </c>
      <c r="DA221" s="102"/>
      <c r="DB221" s="67"/>
      <c r="DC221" s="66">
        <f t="shared" ref="DC221:DC223" si="2159">IFERROR(IF($M221=DB221,($D$8+$D$9+$D$10)*$I221,IF($N221=LEFT(DB221,1),($D$8+MAX(0,IF($D$50=1,$D$9*(1-(ABS($Q221-ABS(VALUE(MID(DB221,FIND("|",DB221)+1,FIND("-",DB221)-FIND("|",DB221)-1))-VALUE(MID(DB221,FIND("-",DB221)+1,10)))))*$D$50),$D$9*(1-(IF($N221="X",ABS($O221-VALUE(MID(DB221,FIND("|",DB221)+1,FIND("-",DB221)-FIND("|",DB221)-1))),ABS($Q221-ABS(VALUE(MID(DB221,FIND("|",DB221)+1,FIND("-",DB221)-FIND("|",DB221)-1))-VALUE(MID(DB221,FIND("-",DB221)+1,10)))))*$D$50)))))*$I221,0)),0)</f>
        <v>0</v>
      </c>
      <c r="DD221" s="102"/>
      <c r="DE221" s="67"/>
      <c r="DF221" s="66">
        <f t="shared" ref="DF221:DF223" si="2160">IFERROR(IF($M221=DE221,($D$8+$D$9+$D$10)*$I221,IF($N221=LEFT(DE221,1),($D$8+MAX(0,IF($D$50=1,$D$9*(1-(ABS($Q221-ABS(VALUE(MID(DE221,FIND("|",DE221)+1,FIND("-",DE221)-FIND("|",DE221)-1))-VALUE(MID(DE221,FIND("-",DE221)+1,10)))))*$D$50),$D$9*(1-(IF($N221="X",ABS($O221-VALUE(MID(DE221,FIND("|",DE221)+1,FIND("-",DE221)-FIND("|",DE221)-1))),ABS($Q221-ABS(VALUE(MID(DE221,FIND("|",DE221)+1,FIND("-",DE221)-FIND("|",DE221)-1))-VALUE(MID(DE221,FIND("-",DE221)+1,10)))))*$D$50)))))*$I221,0)),0)</f>
        <v>0</v>
      </c>
      <c r="DG221" s="102"/>
      <c r="DH221" s="67"/>
      <c r="DI221" s="66">
        <f t="shared" ref="DI221:DI223" si="2161">IFERROR(IF($M221=DH221,($D$8+$D$9+$D$10)*$I221,IF($N221=LEFT(DH221,1),($D$8+MAX(0,IF($D$50=1,$D$9*(1-(ABS($Q221-ABS(VALUE(MID(DH221,FIND("|",DH221)+1,FIND("-",DH221)-FIND("|",DH221)-1))-VALUE(MID(DH221,FIND("-",DH221)+1,10)))))*$D$50),$D$9*(1-(IF($N221="X",ABS($O221-VALUE(MID(DH221,FIND("|",DH221)+1,FIND("-",DH221)-FIND("|",DH221)-1))),ABS($Q221-ABS(VALUE(MID(DH221,FIND("|",DH221)+1,FIND("-",DH221)-FIND("|",DH221)-1))-VALUE(MID(DH221,FIND("-",DH221)+1,10)))))*$D$50)))))*$I221,0)),0)</f>
        <v>0</v>
      </c>
      <c r="DJ221" s="102"/>
      <c r="DK221" s="67"/>
      <c r="DL221" s="66">
        <f t="shared" ref="DL221:DL223" si="2162">IFERROR(IF($M221=DK221,($D$8+$D$9+$D$10)*$I221,IF($N221=LEFT(DK221,1),($D$8+MAX(0,IF($D$50=1,$D$9*(1-(ABS($Q221-ABS(VALUE(MID(DK221,FIND("|",DK221)+1,FIND("-",DK221)-FIND("|",DK221)-1))-VALUE(MID(DK221,FIND("-",DK221)+1,10)))))*$D$50),$D$9*(1-(IF($N221="X",ABS($O221-VALUE(MID(DK221,FIND("|",DK221)+1,FIND("-",DK221)-FIND("|",DK221)-1))),ABS($Q221-ABS(VALUE(MID(DK221,FIND("|",DK221)+1,FIND("-",DK221)-FIND("|",DK221)-1))-VALUE(MID(DK221,FIND("-",DK221)+1,10)))))*$D$50)))))*$I221,0)),0)</f>
        <v>0</v>
      </c>
      <c r="DM221" s="102"/>
      <c r="DN221" s="67"/>
      <c r="DO221" s="66">
        <f t="shared" ref="DO221:DO223" si="2163">IFERROR(IF($M221=DN221,($D$8+$D$9+$D$10)*$I221,IF($N221=LEFT(DN221,1),($D$8+MAX(0,IF($D$50=1,$D$9*(1-(ABS($Q221-ABS(VALUE(MID(DN221,FIND("|",DN221)+1,FIND("-",DN221)-FIND("|",DN221)-1))-VALUE(MID(DN221,FIND("-",DN221)+1,10)))))*$D$50),$D$9*(1-(IF($N221="X",ABS($O221-VALUE(MID(DN221,FIND("|",DN221)+1,FIND("-",DN221)-FIND("|",DN221)-1))),ABS($Q221-ABS(VALUE(MID(DN221,FIND("|",DN221)+1,FIND("-",DN221)-FIND("|",DN221)-1))-VALUE(MID(DN221,FIND("-",DN221)+1,10)))))*$D$50)))))*$I221,0)),0)</f>
        <v>0</v>
      </c>
      <c r="DP221" s="102"/>
      <c r="DQ221" s="67"/>
      <c r="DR221" s="66">
        <f t="shared" ref="DR221:DR223" si="2164">IFERROR(IF($M221=DQ221,($D$8+$D$9+$D$10)*$I221,IF($N221=LEFT(DQ221,1),($D$8+MAX(0,IF($D$50=1,$D$9*(1-(ABS($Q221-ABS(VALUE(MID(DQ221,FIND("|",DQ221)+1,FIND("-",DQ221)-FIND("|",DQ221)-1))-VALUE(MID(DQ221,FIND("-",DQ221)+1,10)))))*$D$50),$D$9*(1-(IF($N221="X",ABS($O221-VALUE(MID(DQ221,FIND("|",DQ221)+1,FIND("-",DQ221)-FIND("|",DQ221)-1))),ABS($Q221-ABS(VALUE(MID(DQ221,FIND("|",DQ221)+1,FIND("-",DQ221)-FIND("|",DQ221)-1))-VALUE(MID(DQ221,FIND("-",DQ221)+1,10)))))*$D$50)))))*$I221,0)),0)</f>
        <v>0</v>
      </c>
      <c r="DS221" s="102"/>
      <c r="DT221" s="67"/>
      <c r="DU221" s="66">
        <f t="shared" ref="DU221:DU223" si="2165">IFERROR(IF($M221=DT221,($D$8+$D$9+$D$10)*$I221,IF($N221=LEFT(DT221,1),($D$8+MAX(0,IF($D$50=1,$D$9*(1-(ABS($Q221-ABS(VALUE(MID(DT221,FIND("|",DT221)+1,FIND("-",DT221)-FIND("|",DT221)-1))-VALUE(MID(DT221,FIND("-",DT221)+1,10)))))*$D$50),$D$9*(1-(IF($N221="X",ABS($O221-VALUE(MID(DT221,FIND("|",DT221)+1,FIND("-",DT221)-FIND("|",DT221)-1))),ABS($Q221-ABS(VALUE(MID(DT221,FIND("|",DT221)+1,FIND("-",DT221)-FIND("|",DT221)-1))-VALUE(MID(DT221,FIND("-",DT221)+1,10)))))*$D$50)))))*$I221,0)),0)</f>
        <v>0</v>
      </c>
      <c r="DV221" s="102"/>
      <c r="DW221" s="67"/>
      <c r="DX221" s="66">
        <f t="shared" ref="DX221:DX223" si="2166">IFERROR(IF($M221=DW221,($D$8+$D$9+$D$10)*$I221,IF($N221=LEFT(DW221,1),($D$8+MAX(0,IF($D$50=1,$D$9*(1-(ABS($Q221-ABS(VALUE(MID(DW221,FIND("|",DW221)+1,FIND("-",DW221)-FIND("|",DW221)-1))-VALUE(MID(DW221,FIND("-",DW221)+1,10)))))*$D$50),$D$9*(1-(IF($N221="X",ABS($O221-VALUE(MID(DW221,FIND("|",DW221)+1,FIND("-",DW221)-FIND("|",DW221)-1))),ABS($Q221-ABS(VALUE(MID(DW221,FIND("|",DW221)+1,FIND("-",DW221)-FIND("|",DW221)-1))-VALUE(MID(DW221,FIND("-",DW221)+1,10)))))*$D$50)))))*$I221,0)),0)</f>
        <v>0</v>
      </c>
      <c r="DY221" s="102"/>
      <c r="DZ221" s="67"/>
      <c r="EA221" s="66">
        <f t="shared" ref="EA221:EA223" si="2167">IFERROR(IF($M221=DZ221,($D$8+$D$9+$D$10)*$I221,IF($N221=LEFT(DZ221,1),($D$8+MAX(0,IF($D$50=1,$D$9*(1-(ABS($Q221-ABS(VALUE(MID(DZ221,FIND("|",DZ221)+1,FIND("-",DZ221)-FIND("|",DZ221)-1))-VALUE(MID(DZ221,FIND("-",DZ221)+1,10)))))*$D$50),$D$9*(1-(IF($N221="X",ABS($O221-VALUE(MID(DZ221,FIND("|",DZ221)+1,FIND("-",DZ221)-FIND("|",DZ221)-1))),ABS($Q221-ABS(VALUE(MID(DZ221,FIND("|",DZ221)+1,FIND("-",DZ221)-FIND("|",DZ221)-1))-VALUE(MID(DZ221,FIND("-",DZ221)+1,10)))))*$D$50)))))*$I221,0)),0)</f>
        <v>0</v>
      </c>
      <c r="EB221" s="102"/>
      <c r="EC221" s="67"/>
      <c r="ED221" s="66">
        <f t="shared" ref="ED221:ED223" si="2168">IFERROR(IF($M221=EC221,($D$8+$D$9+$D$10)*$I221,IF($N221=LEFT(EC221,1),($D$8+MAX(0,IF($D$50=1,$D$9*(1-(ABS($Q221-ABS(VALUE(MID(EC221,FIND("|",EC221)+1,FIND("-",EC221)-FIND("|",EC221)-1))-VALUE(MID(EC221,FIND("-",EC221)+1,10)))))*$D$50),$D$9*(1-(IF($N221="X",ABS($O221-VALUE(MID(EC221,FIND("|",EC221)+1,FIND("-",EC221)-FIND("|",EC221)-1))),ABS($Q221-ABS(VALUE(MID(EC221,FIND("|",EC221)+1,FIND("-",EC221)-FIND("|",EC221)-1))-VALUE(MID(EC221,FIND("-",EC221)+1,10)))))*$D$50)))))*$I221,0)),0)</f>
        <v>0</v>
      </c>
      <c r="EE221" s="102"/>
      <c r="EF221" s="67"/>
      <c r="EG221" s="66">
        <f t="shared" ref="EG221:EG223" si="2169">IFERROR(IF($M221=EF221,($D$8+$D$9+$D$10)*$I221,IF($N221=LEFT(EF221,1),($D$8+MAX(0,IF($D$50=1,$D$9*(1-(ABS($Q221-ABS(VALUE(MID(EF221,FIND("|",EF221)+1,FIND("-",EF221)-FIND("|",EF221)-1))-VALUE(MID(EF221,FIND("-",EF221)+1,10)))))*$D$50),$D$9*(1-(IF($N221="X",ABS($O221-VALUE(MID(EF221,FIND("|",EF221)+1,FIND("-",EF221)-FIND("|",EF221)-1))),ABS($Q221-ABS(VALUE(MID(EF221,FIND("|",EF221)+1,FIND("-",EF221)-FIND("|",EF221)-1))-VALUE(MID(EF221,FIND("-",EF221)+1,10)))))*$D$50)))))*$I221,0)),0)</f>
        <v>0</v>
      </c>
      <c r="EH221" s="102"/>
      <c r="EI221" s="102"/>
    </row>
    <row r="222" spans="1:139">
      <c r="A222" s="711">
        <f>WORLDCUP!AD133</f>
        <v>0</v>
      </c>
      <c r="B222" s="711">
        <f>WORLDCUP!AC133</f>
        <v>0</v>
      </c>
      <c r="C222" s="805" t="str">
        <f>CONCATENATE(WORLDCUP!AF133,"-",WORLDCUP!AA133)</f>
        <v>W92-W91</v>
      </c>
      <c r="D222" s="805" t="str">
        <f>IF(WORLDCUP!AC133&gt;WORLDCUP!AD133,2,IF(WORLDCUP!AC133&lt;WORLDCUP!AD133,1,IF(AND(WORLDCUP!AC133=WORLDCUP!AD133,WORLDCUP!AC133&lt;&gt;"",WORLDCUP!AD133&lt;&gt;""),0,"PD")))</f>
        <v>PD</v>
      </c>
      <c r="E222" s="805" t="str">
        <f>IF(OR(WORLDCUP!AD133="",WORLDCUP!AC133=""),"-",A222&amp;"-"&amp;B222)</f>
        <v>-</v>
      </c>
      <c r="F222" s="806">
        <f t="shared" si="2128"/>
        <v>17</v>
      </c>
      <c r="G222" s="806">
        <f ca="1">VLOOKUP(H222,Equipos!$Q$1:$R$25,2,0)</f>
        <v>22</v>
      </c>
      <c r="H222" s="800" t="str">
        <f>Idiomas!$D$262</f>
        <v>Cuartos de final</v>
      </c>
      <c r="I222" s="808">
        <v>1</v>
      </c>
      <c r="J222" s="859"/>
      <c r="K222" s="49" t="str">
        <f>CONCATENATE(WORLDCUP!AA133,"-",WORLDCUP!AF133)</f>
        <v>W91-W92</v>
      </c>
      <c r="L222" s="46" t="str">
        <f>IF(OR(WORLDCUP!AC133="",WORLDCUP!AD133=""),"PD",IF(WORLDCUP!AC133&gt;WORLDCUP!AD133,1,IF(WORLDCUP!AC133&lt;WORLDCUP!AD133,2,0)))</f>
        <v>PD</v>
      </c>
      <c r="M222" s="48" t="str">
        <f>IF(OR(WORLDCUP!AC133="",WORLDCUP!AD133=""),"-",N222&amp;"|"&amp;O222&amp;"-"&amp;P222)</f>
        <v>-</v>
      </c>
      <c r="N222" s="711" t="str">
        <f>IF(OR(WORLDCUP!AC133="",WORLDCUP!AD133=""),"",IF(WORLDCUP!AC133&gt;WORLDCUP!AD133,"1",IF(WORLDCUP!AC133&lt;WORLDCUP!AD133,"2","X")))</f>
        <v/>
      </c>
      <c r="O222" s="711">
        <f>WORLDCUP!AC133</f>
        <v>0</v>
      </c>
      <c r="P222" s="711">
        <f>WORLDCUP!AD133</f>
        <v>0</v>
      </c>
      <c r="Q222" s="711">
        <f t="shared" si="2129"/>
        <v>0</v>
      </c>
      <c r="R222" s="102"/>
      <c r="S222" s="67" t="s">
        <v>1948</v>
      </c>
      <c r="T222" s="66">
        <f t="shared" si="2130"/>
        <v>0</v>
      </c>
      <c r="U222" s="102"/>
      <c r="V222" s="67" t="s">
        <v>1953</v>
      </c>
      <c r="W222" s="66">
        <f t="shared" si="2131"/>
        <v>0</v>
      </c>
      <c r="X222" s="102"/>
      <c r="Y222" s="67" t="s">
        <v>1954</v>
      </c>
      <c r="Z222" s="66">
        <f t="shared" si="2132"/>
        <v>0</v>
      </c>
      <c r="AA222" s="102"/>
      <c r="AB222" s="67" t="s">
        <v>1948</v>
      </c>
      <c r="AC222" s="66">
        <f t="shared" si="2133"/>
        <v>0</v>
      </c>
      <c r="AD222" s="102"/>
      <c r="AE222" s="67" t="s">
        <v>1950</v>
      </c>
      <c r="AF222" s="66">
        <f t="shared" si="2134"/>
        <v>0</v>
      </c>
      <c r="AG222" s="102"/>
      <c r="AH222" s="67" t="s">
        <v>1951</v>
      </c>
      <c r="AI222" s="66">
        <f t="shared" si="2135"/>
        <v>0</v>
      </c>
      <c r="AJ222" s="102"/>
      <c r="AK222" s="67" t="s">
        <v>1947</v>
      </c>
      <c r="AL222" s="66">
        <f t="shared" si="2136"/>
        <v>0</v>
      </c>
      <c r="AM222" s="102"/>
      <c r="AN222" s="67" t="s">
        <v>1956</v>
      </c>
      <c r="AO222" s="66">
        <f t="shared" si="2137"/>
        <v>0</v>
      </c>
      <c r="AP222" s="102"/>
      <c r="AQ222" s="67" t="s">
        <v>1948</v>
      </c>
      <c r="AR222" s="66">
        <f t="shared" si="2138"/>
        <v>0</v>
      </c>
      <c r="AS222" s="102"/>
      <c r="AT222" s="67" t="s">
        <v>1963</v>
      </c>
      <c r="AU222" s="66">
        <f t="shared" si="2139"/>
        <v>0</v>
      </c>
      <c r="AV222" s="102"/>
      <c r="AW222" s="67" t="s">
        <v>1947</v>
      </c>
      <c r="AX222" s="66">
        <f t="shared" si="2140"/>
        <v>0</v>
      </c>
      <c r="AY222" s="102"/>
      <c r="AZ222" s="67" t="s">
        <v>1950</v>
      </c>
      <c r="BA222" s="66">
        <f t="shared" si="2141"/>
        <v>0</v>
      </c>
      <c r="BB222" s="102"/>
      <c r="BC222" s="67" t="s">
        <v>1954</v>
      </c>
      <c r="BD222" s="66">
        <f t="shared" si="2142"/>
        <v>0</v>
      </c>
      <c r="BE222" s="102"/>
      <c r="BF222" s="67" t="s">
        <v>1956</v>
      </c>
      <c r="BG222" s="66">
        <f t="shared" si="2143"/>
        <v>0</v>
      </c>
      <c r="BH222" s="102"/>
      <c r="BI222" s="67" t="s">
        <v>1947</v>
      </c>
      <c r="BJ222" s="66">
        <f t="shared" si="2144"/>
        <v>0</v>
      </c>
      <c r="BK222" s="102"/>
      <c r="BL222" s="67" t="s">
        <v>1950</v>
      </c>
      <c r="BM222" s="66">
        <f t="shared" si="2145"/>
        <v>0</v>
      </c>
      <c r="BN222" s="102"/>
      <c r="BO222" s="67" t="s">
        <v>1947</v>
      </c>
      <c r="BP222" s="66">
        <f t="shared" si="2146"/>
        <v>0</v>
      </c>
      <c r="BQ222" s="102"/>
      <c r="BR222" s="67" t="s">
        <v>1947</v>
      </c>
      <c r="BS222" s="66">
        <f t="shared" si="2147"/>
        <v>0</v>
      </c>
      <c r="BT222" s="102"/>
      <c r="BU222" s="67"/>
      <c r="BV222" s="66">
        <f t="shared" si="2148"/>
        <v>0</v>
      </c>
      <c r="BW222" s="102"/>
      <c r="BX222" s="67"/>
      <c r="BY222" s="66">
        <f t="shared" si="2149"/>
        <v>0</v>
      </c>
      <c r="BZ222" s="102"/>
      <c r="CA222" s="67"/>
      <c r="CB222" s="66">
        <f t="shared" si="2150"/>
        <v>0</v>
      </c>
      <c r="CC222" s="102"/>
      <c r="CD222" s="67"/>
      <c r="CE222" s="66">
        <f t="shared" si="2151"/>
        <v>0</v>
      </c>
      <c r="CF222" s="102"/>
      <c r="CG222" s="67"/>
      <c r="CH222" s="66">
        <f t="shared" si="2152"/>
        <v>0</v>
      </c>
      <c r="CI222" s="102"/>
      <c r="CJ222" s="67"/>
      <c r="CK222" s="66">
        <f t="shared" si="2153"/>
        <v>0</v>
      </c>
      <c r="CL222" s="102"/>
      <c r="CM222" s="67"/>
      <c r="CN222" s="66">
        <f t="shared" si="2154"/>
        <v>0</v>
      </c>
      <c r="CO222" s="102"/>
      <c r="CP222" s="67"/>
      <c r="CQ222" s="66">
        <f t="shared" si="2155"/>
        <v>0</v>
      </c>
      <c r="CR222" s="102"/>
      <c r="CS222" s="67"/>
      <c r="CT222" s="66">
        <f t="shared" si="2156"/>
        <v>0</v>
      </c>
      <c r="CU222" s="102"/>
      <c r="CV222" s="67"/>
      <c r="CW222" s="66">
        <f t="shared" si="2157"/>
        <v>0</v>
      </c>
      <c r="CX222" s="102"/>
      <c r="CY222" s="67"/>
      <c r="CZ222" s="66">
        <f t="shared" si="2158"/>
        <v>0</v>
      </c>
      <c r="DA222" s="102"/>
      <c r="DB222" s="67"/>
      <c r="DC222" s="66">
        <f t="shared" si="2159"/>
        <v>0</v>
      </c>
      <c r="DD222" s="102"/>
      <c r="DE222" s="67"/>
      <c r="DF222" s="66">
        <f t="shared" si="2160"/>
        <v>0</v>
      </c>
      <c r="DG222" s="102"/>
      <c r="DH222" s="67"/>
      <c r="DI222" s="66">
        <f t="shared" si="2161"/>
        <v>0</v>
      </c>
      <c r="DJ222" s="102"/>
      <c r="DK222" s="67"/>
      <c r="DL222" s="66">
        <f t="shared" si="2162"/>
        <v>0</v>
      </c>
      <c r="DM222" s="102"/>
      <c r="DN222" s="67"/>
      <c r="DO222" s="66">
        <f t="shared" si="2163"/>
        <v>0</v>
      </c>
      <c r="DP222" s="102"/>
      <c r="DQ222" s="67"/>
      <c r="DR222" s="66">
        <f t="shared" si="2164"/>
        <v>0</v>
      </c>
      <c r="DS222" s="102"/>
      <c r="DT222" s="67"/>
      <c r="DU222" s="66">
        <f t="shared" si="2165"/>
        <v>0</v>
      </c>
      <c r="DV222" s="102"/>
      <c r="DW222" s="67"/>
      <c r="DX222" s="66">
        <f t="shared" si="2166"/>
        <v>0</v>
      </c>
      <c r="DY222" s="102"/>
      <c r="DZ222" s="67"/>
      <c r="EA222" s="66">
        <f t="shared" si="2167"/>
        <v>0</v>
      </c>
      <c r="EB222" s="102"/>
      <c r="EC222" s="67"/>
      <c r="ED222" s="66">
        <f t="shared" si="2168"/>
        <v>0</v>
      </c>
      <c r="EE222" s="102"/>
      <c r="EF222" s="67"/>
      <c r="EG222" s="66">
        <f t="shared" si="2169"/>
        <v>0</v>
      </c>
      <c r="EH222" s="102"/>
      <c r="EI222" s="102"/>
    </row>
    <row r="223" spans="1:139">
      <c r="A223" s="711">
        <f>WORLDCUP!AD134</f>
        <v>0</v>
      </c>
      <c r="B223" s="711">
        <f>WORLDCUP!AC134</f>
        <v>0</v>
      </c>
      <c r="C223" s="805" t="str">
        <f>CONCATENATE(WORLDCUP!AF134,"-",WORLDCUP!AA134)</f>
        <v>W96-W95</v>
      </c>
      <c r="D223" s="805" t="str">
        <f>IF(WORLDCUP!AC134&gt;WORLDCUP!AD134,2,IF(WORLDCUP!AC134&lt;WORLDCUP!AD134,1,IF(AND(WORLDCUP!AC134=WORLDCUP!AD134,WORLDCUP!AC134&lt;&gt;"",WORLDCUP!AD134&lt;&gt;""),0,"PD")))</f>
        <v>PD</v>
      </c>
      <c r="E223" s="805" t="str">
        <f>IF(OR(WORLDCUP!AD134="",WORLDCUP!AC134=""),"-",A223&amp;"-"&amp;B223)</f>
        <v>-</v>
      </c>
      <c r="F223" s="806">
        <f t="shared" si="2128"/>
        <v>17</v>
      </c>
      <c r="G223" s="806">
        <f ca="1">VLOOKUP(H223,Equipos!$Q$1:$R$25,2,0)</f>
        <v>22</v>
      </c>
      <c r="H223" s="800" t="str">
        <f>Idiomas!$D$262</f>
        <v>Cuartos de final</v>
      </c>
      <c r="I223" s="808">
        <v>1</v>
      </c>
      <c r="J223" s="859"/>
      <c r="K223" s="107" t="str">
        <f>CONCATENATE(WORLDCUP!AA134,"-",WORLDCUP!AF134)</f>
        <v>W95-W96</v>
      </c>
      <c r="L223" s="107" t="str">
        <f>IF(OR(WORLDCUP!AC134="",WORLDCUP!AD134=""),"PD",IF(WORLDCUP!AC134&gt;WORLDCUP!AD134,1,IF(WORLDCUP!AC134&lt;WORLDCUP!AD134,2,0)))</f>
        <v>PD</v>
      </c>
      <c r="M223" s="48" t="str">
        <f>IF(OR(WORLDCUP!AC134="",WORLDCUP!AD134=""),"-",N223&amp;"|"&amp;O223&amp;"-"&amp;P223)</f>
        <v>-</v>
      </c>
      <c r="N223" s="711" t="str">
        <f>IF(OR(WORLDCUP!AC134="",WORLDCUP!AD134=""),"",IF(WORLDCUP!AC134&gt;WORLDCUP!AD134,"1",IF(WORLDCUP!AC134&lt;WORLDCUP!AD134,"2","X")))</f>
        <v/>
      </c>
      <c r="O223" s="711">
        <f>WORLDCUP!AC134</f>
        <v>0</v>
      </c>
      <c r="P223" s="711">
        <f>WORLDCUP!AD134</f>
        <v>0</v>
      </c>
      <c r="Q223" s="711">
        <f t="shared" si="2129"/>
        <v>0</v>
      </c>
      <c r="R223" s="102"/>
      <c r="S223" s="73" t="s">
        <v>1951</v>
      </c>
      <c r="T223" s="66">
        <f t="shared" si="2130"/>
        <v>0</v>
      </c>
      <c r="U223" s="102"/>
      <c r="V223" s="73" t="s">
        <v>1953</v>
      </c>
      <c r="W223" s="66">
        <f t="shared" si="2131"/>
        <v>0</v>
      </c>
      <c r="X223" s="102"/>
      <c r="Y223" s="73" t="s">
        <v>1955</v>
      </c>
      <c r="Z223" s="66">
        <f t="shared" si="2132"/>
        <v>0</v>
      </c>
      <c r="AA223" s="102"/>
      <c r="AB223" s="73" t="s">
        <v>1956</v>
      </c>
      <c r="AC223" s="66">
        <f t="shared" si="2133"/>
        <v>0</v>
      </c>
      <c r="AD223" s="102"/>
      <c r="AE223" s="73" t="s">
        <v>1956</v>
      </c>
      <c r="AF223" s="66">
        <f t="shared" si="2134"/>
        <v>0</v>
      </c>
      <c r="AG223" s="102"/>
      <c r="AH223" s="73" t="s">
        <v>1955</v>
      </c>
      <c r="AI223" s="66">
        <f t="shared" si="2135"/>
        <v>0</v>
      </c>
      <c r="AJ223" s="102"/>
      <c r="AK223" s="73" t="s">
        <v>1947</v>
      </c>
      <c r="AL223" s="66">
        <f t="shared" si="2136"/>
        <v>0</v>
      </c>
      <c r="AM223" s="102"/>
      <c r="AN223" s="73" t="s">
        <v>1948</v>
      </c>
      <c r="AO223" s="66">
        <f t="shared" si="2137"/>
        <v>0</v>
      </c>
      <c r="AP223" s="102"/>
      <c r="AQ223" s="73" t="s">
        <v>1960</v>
      </c>
      <c r="AR223" s="66">
        <f t="shared" si="2138"/>
        <v>0</v>
      </c>
      <c r="AS223" s="102"/>
      <c r="AT223" s="73" t="s">
        <v>1948</v>
      </c>
      <c r="AU223" s="66">
        <f t="shared" si="2139"/>
        <v>0</v>
      </c>
      <c r="AV223" s="102"/>
      <c r="AW223" s="73" t="s">
        <v>1950</v>
      </c>
      <c r="AX223" s="66">
        <f t="shared" si="2140"/>
        <v>0</v>
      </c>
      <c r="AY223" s="102"/>
      <c r="AZ223" s="73" t="s">
        <v>1955</v>
      </c>
      <c r="BA223" s="66">
        <f t="shared" si="2141"/>
        <v>0</v>
      </c>
      <c r="BB223" s="102"/>
      <c r="BC223" s="73" t="s">
        <v>1955</v>
      </c>
      <c r="BD223" s="66">
        <f t="shared" si="2142"/>
        <v>0</v>
      </c>
      <c r="BE223" s="102"/>
      <c r="BF223" s="73" t="s">
        <v>1964</v>
      </c>
      <c r="BG223" s="66">
        <f t="shared" si="2143"/>
        <v>0</v>
      </c>
      <c r="BH223" s="102"/>
      <c r="BI223" s="73" t="s">
        <v>1948</v>
      </c>
      <c r="BJ223" s="66">
        <f t="shared" si="2144"/>
        <v>0</v>
      </c>
      <c r="BK223" s="102"/>
      <c r="BL223" s="73" t="s">
        <v>1963</v>
      </c>
      <c r="BM223" s="66">
        <f t="shared" si="2145"/>
        <v>0</v>
      </c>
      <c r="BN223" s="102"/>
      <c r="BO223" s="73" t="s">
        <v>1947</v>
      </c>
      <c r="BP223" s="66">
        <f t="shared" si="2146"/>
        <v>0</v>
      </c>
      <c r="BQ223" s="102"/>
      <c r="BR223" s="73" t="s">
        <v>1947</v>
      </c>
      <c r="BS223" s="66">
        <f t="shared" si="2147"/>
        <v>0</v>
      </c>
      <c r="BT223" s="102"/>
      <c r="BU223" s="73"/>
      <c r="BV223" s="66">
        <f t="shared" si="2148"/>
        <v>0</v>
      </c>
      <c r="BW223" s="102"/>
      <c r="BX223" s="73"/>
      <c r="BY223" s="66">
        <f t="shared" si="2149"/>
        <v>0</v>
      </c>
      <c r="BZ223" s="102"/>
      <c r="CA223" s="73"/>
      <c r="CB223" s="66">
        <f t="shared" si="2150"/>
        <v>0</v>
      </c>
      <c r="CC223" s="102"/>
      <c r="CD223" s="73"/>
      <c r="CE223" s="66">
        <f t="shared" si="2151"/>
        <v>0</v>
      </c>
      <c r="CF223" s="102"/>
      <c r="CG223" s="73"/>
      <c r="CH223" s="66">
        <f t="shared" si="2152"/>
        <v>0</v>
      </c>
      <c r="CI223" s="102"/>
      <c r="CJ223" s="73"/>
      <c r="CK223" s="66">
        <f t="shared" si="2153"/>
        <v>0</v>
      </c>
      <c r="CL223" s="102"/>
      <c r="CM223" s="73"/>
      <c r="CN223" s="66">
        <f t="shared" si="2154"/>
        <v>0</v>
      </c>
      <c r="CO223" s="102"/>
      <c r="CP223" s="73"/>
      <c r="CQ223" s="66">
        <f t="shared" si="2155"/>
        <v>0</v>
      </c>
      <c r="CR223" s="102"/>
      <c r="CS223" s="73"/>
      <c r="CT223" s="66">
        <f t="shared" si="2156"/>
        <v>0</v>
      </c>
      <c r="CU223" s="102"/>
      <c r="CV223" s="73"/>
      <c r="CW223" s="66">
        <f t="shared" si="2157"/>
        <v>0</v>
      </c>
      <c r="CX223" s="102"/>
      <c r="CY223" s="73"/>
      <c r="CZ223" s="66">
        <f t="shared" si="2158"/>
        <v>0</v>
      </c>
      <c r="DA223" s="102"/>
      <c r="DB223" s="73"/>
      <c r="DC223" s="66">
        <f t="shared" si="2159"/>
        <v>0</v>
      </c>
      <c r="DD223" s="102"/>
      <c r="DE223" s="73"/>
      <c r="DF223" s="66">
        <f t="shared" si="2160"/>
        <v>0</v>
      </c>
      <c r="DG223" s="102"/>
      <c r="DH223" s="73"/>
      <c r="DI223" s="66">
        <f t="shared" si="2161"/>
        <v>0</v>
      </c>
      <c r="DJ223" s="102"/>
      <c r="DK223" s="73"/>
      <c r="DL223" s="66">
        <f t="shared" si="2162"/>
        <v>0</v>
      </c>
      <c r="DM223" s="102"/>
      <c r="DN223" s="73"/>
      <c r="DO223" s="66">
        <f t="shared" si="2163"/>
        <v>0</v>
      </c>
      <c r="DP223" s="102"/>
      <c r="DQ223" s="73"/>
      <c r="DR223" s="66">
        <f t="shared" si="2164"/>
        <v>0</v>
      </c>
      <c r="DS223" s="102"/>
      <c r="DT223" s="73"/>
      <c r="DU223" s="66">
        <f t="shared" si="2165"/>
        <v>0</v>
      </c>
      <c r="DV223" s="102"/>
      <c r="DW223" s="73"/>
      <c r="DX223" s="66">
        <f t="shared" si="2166"/>
        <v>0</v>
      </c>
      <c r="DY223" s="102"/>
      <c r="DZ223" s="73"/>
      <c r="EA223" s="66">
        <f t="shared" si="2167"/>
        <v>0</v>
      </c>
      <c r="EB223" s="102"/>
      <c r="EC223" s="73"/>
      <c r="ED223" s="66">
        <f t="shared" si="2168"/>
        <v>0</v>
      </c>
      <c r="EE223" s="102"/>
      <c r="EF223" s="73"/>
      <c r="EG223" s="66">
        <f t="shared" si="2169"/>
        <v>0</v>
      </c>
      <c r="EH223" s="102"/>
      <c r="EI223" s="102"/>
    </row>
    <row r="224" spans="1:139">
      <c r="A224" s="711"/>
      <c r="B224" s="711"/>
      <c r="C224" s="805"/>
      <c r="D224" s="805"/>
      <c r="E224" s="805"/>
      <c r="F224" s="806"/>
      <c r="G224" s="806"/>
      <c r="H224" s="800"/>
      <c r="I224" s="800"/>
      <c r="J224" s="86"/>
      <c r="K224" s="416" t="str">
        <f>Idiomas!D462</f>
        <v>Partidos 1/4</v>
      </c>
      <c r="L224" s="417"/>
      <c r="M224" s="416" t="str">
        <f>"Max: "&amp;SUM($D$24:$D$26)*SUM($I$220:$I$223)</f>
        <v>Max: 68</v>
      </c>
      <c r="N224" s="711"/>
      <c r="O224" s="711"/>
      <c r="P224" s="711"/>
      <c r="Q224" s="711"/>
      <c r="R224" s="43"/>
      <c r="S224" s="77"/>
      <c r="T224" s="64">
        <f>SUM(T220:T223)</f>
        <v>0</v>
      </c>
      <c r="U224" s="58"/>
      <c r="V224" s="77"/>
      <c r="W224" s="64">
        <f>SUM(W220:W223)</f>
        <v>0</v>
      </c>
      <c r="X224" s="58"/>
      <c r="Y224" s="77"/>
      <c r="Z224" s="64">
        <f>SUM(Z220:Z223)</f>
        <v>0</v>
      </c>
      <c r="AA224" s="58"/>
      <c r="AB224" s="77"/>
      <c r="AC224" s="64">
        <f>SUM(AC220:AC223)</f>
        <v>0</v>
      </c>
      <c r="AD224" s="58"/>
      <c r="AE224" s="77"/>
      <c r="AF224" s="64">
        <f>SUM(AF220:AF223)</f>
        <v>0</v>
      </c>
      <c r="AG224" s="58"/>
      <c r="AH224" s="77"/>
      <c r="AI224" s="64">
        <f>SUM(AI220:AI223)</f>
        <v>0</v>
      </c>
      <c r="AJ224" s="58"/>
      <c r="AK224" s="77"/>
      <c r="AL224" s="64">
        <f>SUM(AL220:AL223)</f>
        <v>0</v>
      </c>
      <c r="AM224" s="58"/>
      <c r="AN224" s="77"/>
      <c r="AO224" s="64">
        <f>SUM(AO220:AO223)</f>
        <v>0</v>
      </c>
      <c r="AP224" s="58"/>
      <c r="AQ224" s="77"/>
      <c r="AR224" s="64">
        <f>SUM(AR220:AR223)</f>
        <v>0</v>
      </c>
      <c r="AS224" s="58"/>
      <c r="AT224" s="77"/>
      <c r="AU224" s="64">
        <f>SUM(AU220:AU223)</f>
        <v>0</v>
      </c>
      <c r="AV224" s="58"/>
      <c r="AW224" s="77"/>
      <c r="AX224" s="64">
        <f>SUM(AX220:AX223)</f>
        <v>0</v>
      </c>
      <c r="AY224" s="58"/>
      <c r="AZ224" s="77"/>
      <c r="BA224" s="64">
        <f>SUM(BA220:BA223)</f>
        <v>0</v>
      </c>
      <c r="BB224" s="58"/>
      <c r="BC224" s="77"/>
      <c r="BD224" s="64">
        <f>SUM(BD220:BD223)</f>
        <v>0</v>
      </c>
      <c r="BE224" s="58"/>
      <c r="BF224" s="77"/>
      <c r="BG224" s="64">
        <f>SUM(BG220:BG223)</f>
        <v>0</v>
      </c>
      <c r="BH224" s="58"/>
      <c r="BI224" s="77"/>
      <c r="BJ224" s="64">
        <f>SUM(BJ220:BJ223)</f>
        <v>0</v>
      </c>
      <c r="BK224" s="58"/>
      <c r="BL224" s="77"/>
      <c r="BM224" s="64">
        <f>SUM(BM220:BM223)</f>
        <v>0</v>
      </c>
      <c r="BN224" s="58"/>
      <c r="BO224" s="77"/>
      <c r="BP224" s="64">
        <f>SUM(BP220:BP223)</f>
        <v>0</v>
      </c>
      <c r="BQ224" s="58"/>
      <c r="BR224" s="77"/>
      <c r="BS224" s="64">
        <f>SUM(BS220:BS223)</f>
        <v>0</v>
      </c>
      <c r="BT224" s="58"/>
      <c r="BU224" s="77"/>
      <c r="BV224" s="64">
        <f>SUM(BV220:BV223)</f>
        <v>0</v>
      </c>
      <c r="BW224" s="58"/>
      <c r="BX224" s="77"/>
      <c r="BY224" s="64">
        <f>SUM(BY220:BY223)</f>
        <v>0</v>
      </c>
      <c r="BZ224" s="58"/>
      <c r="CA224" s="77"/>
      <c r="CB224" s="64">
        <f>SUM(CB220:CB223)</f>
        <v>0</v>
      </c>
      <c r="CC224" s="58"/>
      <c r="CD224" s="77"/>
      <c r="CE224" s="64">
        <f>SUM(CE220:CE223)</f>
        <v>0</v>
      </c>
      <c r="CF224" s="58"/>
      <c r="CG224" s="77"/>
      <c r="CH224" s="64">
        <f>SUM(CH220:CH223)</f>
        <v>0</v>
      </c>
      <c r="CI224" s="58"/>
      <c r="CJ224" s="77"/>
      <c r="CK224" s="64">
        <f>SUM(CK220:CK223)</f>
        <v>0</v>
      </c>
      <c r="CL224" s="58"/>
      <c r="CM224" s="77"/>
      <c r="CN224" s="64">
        <f>SUM(CN220:CN223)</f>
        <v>0</v>
      </c>
      <c r="CO224" s="58"/>
      <c r="CP224" s="77"/>
      <c r="CQ224" s="64">
        <f>SUM(CQ220:CQ223)</f>
        <v>0</v>
      </c>
      <c r="CR224" s="58"/>
      <c r="CS224" s="77"/>
      <c r="CT224" s="64">
        <f>SUM(CT220:CT223)</f>
        <v>0</v>
      </c>
      <c r="CU224" s="58"/>
      <c r="CV224" s="77"/>
      <c r="CW224" s="64">
        <f>SUM(CW220:CW223)</f>
        <v>0</v>
      </c>
      <c r="CX224" s="58"/>
      <c r="CY224" s="77"/>
      <c r="CZ224" s="64">
        <f>SUM(CZ220:CZ223)</f>
        <v>0</v>
      </c>
      <c r="DA224" s="58"/>
      <c r="DB224" s="77"/>
      <c r="DC224" s="64">
        <f>SUM(DC220:DC223)</f>
        <v>0</v>
      </c>
      <c r="DD224" s="58"/>
      <c r="DE224" s="77"/>
      <c r="DF224" s="64">
        <f>SUM(DF220:DF223)</f>
        <v>0</v>
      </c>
      <c r="DG224" s="58"/>
      <c r="DH224" s="77"/>
      <c r="DI224" s="64">
        <f>SUM(DI220:DI223)</f>
        <v>0</v>
      </c>
      <c r="DJ224" s="58"/>
      <c r="DK224" s="77"/>
      <c r="DL224" s="64">
        <f>SUM(DL220:DL223)</f>
        <v>0</v>
      </c>
      <c r="DM224" s="58"/>
      <c r="DN224" s="77"/>
      <c r="DO224" s="64">
        <f>SUM(DO220:DO223)</f>
        <v>0</v>
      </c>
      <c r="DP224" s="58"/>
      <c r="DQ224" s="77"/>
      <c r="DR224" s="64">
        <f>SUM(DR220:DR223)</f>
        <v>0</v>
      </c>
      <c r="DS224" s="58"/>
      <c r="DT224" s="77"/>
      <c r="DU224" s="64">
        <f>SUM(DU220:DU223)</f>
        <v>0</v>
      </c>
      <c r="DV224" s="58"/>
      <c r="DW224" s="77"/>
      <c r="DX224" s="64">
        <f>SUM(DX220:DX223)</f>
        <v>0</v>
      </c>
      <c r="DY224" s="58"/>
      <c r="DZ224" s="77"/>
      <c r="EA224" s="64">
        <f>SUM(EA220:EA223)</f>
        <v>0</v>
      </c>
      <c r="EB224" s="58"/>
      <c r="EC224" s="77"/>
      <c r="ED224" s="64">
        <f>SUM(ED220:ED223)</f>
        <v>0</v>
      </c>
      <c r="EE224" s="58"/>
      <c r="EF224" s="77"/>
      <c r="EG224" s="64">
        <f>SUM(EG220:EG223)</f>
        <v>0</v>
      </c>
      <c r="EH224" s="58"/>
      <c r="EI224" s="58"/>
    </row>
    <row r="225" spans="1:139">
      <c r="A225" s="711"/>
      <c r="B225" s="711"/>
      <c r="C225" s="805"/>
      <c r="D225" s="805"/>
      <c r="E225" s="805"/>
      <c r="F225" s="806"/>
      <c r="G225" s="806"/>
      <c r="H225" s="800"/>
      <c r="I225" s="800"/>
      <c r="J225" s="86"/>
      <c r="K225" s="105" t="str">
        <f>Idiomas!D143</f>
        <v>CLASIFICADOS PARA SEMIFINALES</v>
      </c>
      <c r="L225" s="44"/>
      <c r="M225" s="64"/>
      <c r="N225" s="711"/>
      <c r="O225" s="711"/>
      <c r="P225" s="711"/>
      <c r="Q225" s="711"/>
      <c r="R225" s="43"/>
      <c r="S225" s="77"/>
      <c r="T225" s="64"/>
      <c r="U225" s="58"/>
      <c r="V225" s="77"/>
      <c r="W225" s="64"/>
      <c r="X225" s="58"/>
      <c r="Y225" s="77"/>
      <c r="Z225" s="64"/>
      <c r="AA225" s="58"/>
      <c r="AB225" s="77"/>
      <c r="AC225" s="64"/>
      <c r="AD225" s="58"/>
      <c r="AE225" s="77"/>
      <c r="AF225" s="64"/>
      <c r="AG225" s="58"/>
      <c r="AH225" s="77"/>
      <c r="AI225" s="64"/>
      <c r="AJ225" s="58"/>
      <c r="AK225" s="77"/>
      <c r="AL225" s="64"/>
      <c r="AM225" s="58"/>
      <c r="AN225" s="77"/>
      <c r="AO225" s="64"/>
      <c r="AP225" s="58"/>
      <c r="AQ225" s="77"/>
      <c r="AR225" s="64"/>
      <c r="AS225" s="58"/>
      <c r="AT225" s="77"/>
      <c r="AU225" s="64"/>
      <c r="AV225" s="58"/>
      <c r="AW225" s="77"/>
      <c r="AX225" s="64"/>
      <c r="AY225" s="58"/>
      <c r="AZ225" s="77"/>
      <c r="BA225" s="64"/>
      <c r="BB225" s="58"/>
      <c r="BC225" s="77"/>
      <c r="BD225" s="64"/>
      <c r="BE225" s="58"/>
      <c r="BF225" s="77"/>
      <c r="BG225" s="64"/>
      <c r="BH225" s="58"/>
      <c r="BI225" s="77"/>
      <c r="BJ225" s="64"/>
      <c r="BK225" s="58"/>
      <c r="BL225" s="77"/>
      <c r="BM225" s="64"/>
      <c r="BN225" s="58"/>
      <c r="BO225" s="77"/>
      <c r="BP225" s="64"/>
      <c r="BQ225" s="58"/>
      <c r="BR225" s="77"/>
      <c r="BS225" s="64"/>
      <c r="BT225" s="58"/>
      <c r="BU225" s="77"/>
      <c r="BV225" s="64"/>
      <c r="BW225" s="58"/>
      <c r="BX225" s="77"/>
      <c r="BY225" s="64"/>
      <c r="BZ225" s="58"/>
      <c r="CA225" s="77"/>
      <c r="CB225" s="64"/>
      <c r="CC225" s="58"/>
      <c r="CD225" s="77"/>
      <c r="CE225" s="64"/>
      <c r="CF225" s="58"/>
      <c r="CG225" s="77"/>
      <c r="CH225" s="64"/>
      <c r="CI225" s="58"/>
      <c r="CJ225" s="77"/>
      <c r="CK225" s="64"/>
      <c r="CL225" s="58"/>
      <c r="CM225" s="77"/>
      <c r="CN225" s="64"/>
      <c r="CO225" s="58"/>
      <c r="CP225" s="77"/>
      <c r="CQ225" s="64"/>
      <c r="CR225" s="58"/>
      <c r="CS225" s="77"/>
      <c r="CT225" s="64"/>
      <c r="CU225" s="58"/>
      <c r="CV225" s="77"/>
      <c r="CW225" s="64"/>
      <c r="CX225" s="58"/>
      <c r="CY225" s="77"/>
      <c r="CZ225" s="64"/>
      <c r="DA225" s="58"/>
      <c r="DB225" s="77"/>
      <c r="DC225" s="64"/>
      <c r="DD225" s="58"/>
      <c r="DE225" s="77"/>
      <c r="DF225" s="64"/>
      <c r="DG225" s="58"/>
      <c r="DH225" s="77"/>
      <c r="DI225" s="64"/>
      <c r="DJ225" s="58"/>
      <c r="DK225" s="77"/>
      <c r="DL225" s="64"/>
      <c r="DM225" s="58"/>
      <c r="DN225" s="77"/>
      <c r="DO225" s="64"/>
      <c r="DP225" s="58"/>
      <c r="DQ225" s="77"/>
      <c r="DR225" s="64"/>
      <c r="DS225" s="58"/>
      <c r="DT225" s="77"/>
      <c r="DU225" s="64"/>
      <c r="DV225" s="58"/>
      <c r="DW225" s="77"/>
      <c r="DX225" s="64"/>
      <c r="DY225" s="58"/>
      <c r="DZ225" s="77"/>
      <c r="EA225" s="64"/>
      <c r="EB225" s="58"/>
      <c r="EC225" s="77"/>
      <c r="ED225" s="64"/>
      <c r="EE225" s="58"/>
      <c r="EF225" s="77"/>
      <c r="EG225" s="64"/>
      <c r="EH225" s="58"/>
      <c r="EI225" s="58"/>
    </row>
    <row r="226" spans="1:139">
      <c r="A226" s="711"/>
      <c r="B226" s="711"/>
      <c r="C226" s="805"/>
      <c r="D226" s="805"/>
      <c r="E226" s="805"/>
      <c r="F226" s="806">
        <f>$D$27</f>
        <v>6</v>
      </c>
      <c r="G226" s="806">
        <f ca="1">VLOOKUP(H226,Equipos!$Q$1:$R$25,2,0)</f>
        <v>22</v>
      </c>
      <c r="H226" s="800" t="str">
        <f>Idiomas!$D$262</f>
        <v>Cuartos de final</v>
      </c>
      <c r="I226" s="800"/>
      <c r="J226" s="859" t="s">
        <v>35</v>
      </c>
      <c r="K226" s="46" t="str">
        <f>Idiomas!$D$201&amp;"-"&amp;ROWS($L$226:L226)</f>
        <v>Semifinalista-1</v>
      </c>
      <c r="L226" s="46"/>
      <c r="M226" s="48" t="str">
        <f>WORLDCUP!AA138</f>
        <v>W97</v>
      </c>
      <c r="N226" s="711"/>
      <c r="O226" s="711"/>
      <c r="P226" s="711"/>
      <c r="Q226" s="711"/>
      <c r="R226" s="102"/>
      <c r="S226" s="69" t="s">
        <v>77</v>
      </c>
      <c r="T226" s="70">
        <f>COUNTIF($M$226:$M$229,S226)*$D$27</f>
        <v>0</v>
      </c>
      <c r="U226" s="57"/>
      <c r="V226" s="69" t="s">
        <v>74</v>
      </c>
      <c r="W226" s="70">
        <f>COUNTIF($M$226:$M$229,V226)*$D$27</f>
        <v>0</v>
      </c>
      <c r="X226" s="57"/>
      <c r="Y226" s="69" t="s">
        <v>77</v>
      </c>
      <c r="Z226" s="70">
        <f>COUNTIF($M$226:$M$229,Y226)*$D$27</f>
        <v>0</v>
      </c>
      <c r="AA226" s="57"/>
      <c r="AB226" s="69" t="s">
        <v>74</v>
      </c>
      <c r="AC226" s="70">
        <f>COUNTIF($M$226:$M$229,AB226)*$D$27</f>
        <v>0</v>
      </c>
      <c r="AD226" s="57"/>
      <c r="AE226" s="69" t="s">
        <v>74</v>
      </c>
      <c r="AF226" s="70">
        <f>COUNTIF($M$226:$M$229,AE226)*$D$27</f>
        <v>0</v>
      </c>
      <c r="AG226" s="57"/>
      <c r="AH226" s="69" t="s">
        <v>74</v>
      </c>
      <c r="AI226" s="70">
        <f>COUNTIF($M$226:$M$229,AH226)*$D$27</f>
        <v>0</v>
      </c>
      <c r="AJ226" s="57"/>
      <c r="AK226" s="69" t="s">
        <v>74</v>
      </c>
      <c r="AL226" s="70">
        <f>COUNTIF($M$226:$M$229,AK226)*$D$27</f>
        <v>0</v>
      </c>
      <c r="AM226" s="57"/>
      <c r="AN226" s="69" t="s">
        <v>77</v>
      </c>
      <c r="AO226" s="70">
        <f>COUNTIF($M$226:$M$229,AN226)*$D$27</f>
        <v>0</v>
      </c>
      <c r="AP226" s="57"/>
      <c r="AQ226" s="69" t="s">
        <v>1258</v>
      </c>
      <c r="AR226" s="70">
        <f>COUNTIF($M$226:$M$229,AQ226)*$D$27</f>
        <v>0</v>
      </c>
      <c r="AS226" s="57"/>
      <c r="AT226" s="69" t="s">
        <v>74</v>
      </c>
      <c r="AU226" s="70">
        <f>COUNTIF($M$226:$M$229,AT226)*$D$27</f>
        <v>0</v>
      </c>
      <c r="AV226" s="57"/>
      <c r="AW226" s="69" t="s">
        <v>74</v>
      </c>
      <c r="AX226" s="70">
        <f>COUNTIF($M$226:$M$229,AW226)*$D$27</f>
        <v>0</v>
      </c>
      <c r="AY226" s="57"/>
      <c r="AZ226" s="69" t="s">
        <v>74</v>
      </c>
      <c r="BA226" s="70">
        <f>COUNTIF($M$226:$M$229,AZ226)*$D$27</f>
        <v>0</v>
      </c>
      <c r="BB226" s="57"/>
      <c r="BC226" s="69" t="s">
        <v>111</v>
      </c>
      <c r="BD226" s="70">
        <f>COUNTIF($M$226:$M$229,BC226)*$D$27</f>
        <v>0</v>
      </c>
      <c r="BE226" s="57"/>
      <c r="BF226" s="69" t="s">
        <v>74</v>
      </c>
      <c r="BG226" s="70">
        <f>COUNTIF($M$226:$M$229,BF226)*$D$27</f>
        <v>0</v>
      </c>
      <c r="BH226" s="57"/>
      <c r="BI226" s="69" t="s">
        <v>74</v>
      </c>
      <c r="BJ226" s="70">
        <f>COUNTIF($M$226:$M$229,BI226)*$D$27</f>
        <v>0</v>
      </c>
      <c r="BK226" s="57"/>
      <c r="BL226" s="69" t="s">
        <v>74</v>
      </c>
      <c r="BM226" s="70">
        <f>COUNTIF($M$226:$M$229,BL226)*$D$27</f>
        <v>0</v>
      </c>
      <c r="BN226" s="57"/>
      <c r="BO226" s="69" t="s">
        <v>74</v>
      </c>
      <c r="BP226" s="70">
        <f>COUNTIF($M$226:$M$229,BO226)*$D$27</f>
        <v>0</v>
      </c>
      <c r="BQ226" s="57"/>
      <c r="BR226" s="69" t="s">
        <v>74</v>
      </c>
      <c r="BS226" s="70">
        <f>COUNTIF($M$226:$M$229,BR226)*$D$27</f>
        <v>0</v>
      </c>
      <c r="BT226" s="57"/>
      <c r="BU226" s="69"/>
      <c r="BV226" s="70">
        <f>COUNTIF($M$226:$M$229,BU226)*$D$27</f>
        <v>0</v>
      </c>
      <c r="BW226" s="57"/>
      <c r="BX226" s="69"/>
      <c r="BY226" s="70">
        <f>COUNTIF($M$226:$M$229,BX226)*$D$27</f>
        <v>0</v>
      </c>
      <c r="BZ226" s="57"/>
      <c r="CA226" s="69"/>
      <c r="CB226" s="70">
        <f>COUNTIF($M$226:$M$229,CA226)*$D$27</f>
        <v>0</v>
      </c>
      <c r="CC226" s="57"/>
      <c r="CD226" s="69"/>
      <c r="CE226" s="70">
        <f>COUNTIF($M$226:$M$229,CD226)*$D$27</f>
        <v>0</v>
      </c>
      <c r="CF226" s="57"/>
      <c r="CG226" s="69"/>
      <c r="CH226" s="70">
        <f>COUNTIF($M$226:$M$229,CG226)*$D$27</f>
        <v>0</v>
      </c>
      <c r="CI226" s="57"/>
      <c r="CJ226" s="69"/>
      <c r="CK226" s="70">
        <f>COUNTIF($M$226:$M$229,CJ226)*$D$27</f>
        <v>0</v>
      </c>
      <c r="CL226" s="57"/>
      <c r="CM226" s="69"/>
      <c r="CN226" s="70">
        <f>COUNTIF($M$226:$M$229,CM226)*$D$27</f>
        <v>0</v>
      </c>
      <c r="CO226" s="57"/>
      <c r="CP226" s="69"/>
      <c r="CQ226" s="70">
        <f>COUNTIF($M$226:$M$229,CP226)*$D$27</f>
        <v>0</v>
      </c>
      <c r="CR226" s="57"/>
      <c r="CS226" s="69"/>
      <c r="CT226" s="70">
        <f>COUNTIF($M$226:$M$229,CS226)*$D$27</f>
        <v>0</v>
      </c>
      <c r="CU226" s="57"/>
      <c r="CV226" s="69"/>
      <c r="CW226" s="70">
        <f>COUNTIF($M$226:$M$229,CV226)*$D$27</f>
        <v>0</v>
      </c>
      <c r="CX226" s="57"/>
      <c r="CY226" s="69"/>
      <c r="CZ226" s="70">
        <f>COUNTIF($M$226:$M$229,CY226)*$D$27</f>
        <v>0</v>
      </c>
      <c r="DA226" s="57"/>
      <c r="DB226" s="69"/>
      <c r="DC226" s="70">
        <f>COUNTIF($M$226:$M$229,DB226)*$D$27</f>
        <v>0</v>
      </c>
      <c r="DD226" s="57"/>
      <c r="DE226" s="69"/>
      <c r="DF226" s="70">
        <f>COUNTIF($M$226:$M$229,DE226)*$D$27</f>
        <v>0</v>
      </c>
      <c r="DG226" s="57"/>
      <c r="DH226" s="69"/>
      <c r="DI226" s="70">
        <f>COUNTIF($M$226:$M$229,DH226)*$D$27</f>
        <v>0</v>
      </c>
      <c r="DJ226" s="57"/>
      <c r="DK226" s="69"/>
      <c r="DL226" s="70">
        <f>COUNTIF($M$226:$M$229,DK226)*$D$27</f>
        <v>0</v>
      </c>
      <c r="DM226" s="57"/>
      <c r="DN226" s="69"/>
      <c r="DO226" s="70">
        <f>COUNTIF($M$226:$M$229,DN226)*$D$27</f>
        <v>0</v>
      </c>
      <c r="DP226" s="57"/>
      <c r="DQ226" s="69"/>
      <c r="DR226" s="70">
        <f>COUNTIF($M$226:$M$229,DQ226)*$D$27</f>
        <v>0</v>
      </c>
      <c r="DS226" s="57"/>
      <c r="DT226" s="69"/>
      <c r="DU226" s="70">
        <f>COUNTIF($M$226:$M$229,DT226)*$D$27</f>
        <v>0</v>
      </c>
      <c r="DV226" s="57"/>
      <c r="DW226" s="69"/>
      <c r="DX226" s="70">
        <f>COUNTIF($M$226:$M$229,DW226)*$D$27</f>
        <v>0</v>
      </c>
      <c r="DY226" s="57"/>
      <c r="DZ226" s="69"/>
      <c r="EA226" s="70">
        <f>COUNTIF($M$226:$M$229,DZ226)*$D$27</f>
        <v>0</v>
      </c>
      <c r="EB226" s="57"/>
      <c r="EC226" s="69"/>
      <c r="ED226" s="70">
        <f>COUNTIF($M$226:$M$229,EC226)*$D$27</f>
        <v>0</v>
      </c>
      <c r="EE226" s="57"/>
      <c r="EF226" s="69"/>
      <c r="EG226" s="70">
        <f>COUNTIF($M$226:$M$229,EF226)*$D$27</f>
        <v>0</v>
      </c>
      <c r="EH226" s="57"/>
      <c r="EI226" s="57"/>
    </row>
    <row r="227" spans="1:139">
      <c r="A227" s="711"/>
      <c r="B227" s="711"/>
      <c r="C227" s="805"/>
      <c r="D227" s="805"/>
      <c r="E227" s="805"/>
      <c r="F227" s="806">
        <f t="shared" ref="F227:F229" si="2170">$D$27</f>
        <v>6</v>
      </c>
      <c r="G227" s="806">
        <f ca="1">VLOOKUP(H227,Equipos!$Q$1:$R$25,2,0)</f>
        <v>22</v>
      </c>
      <c r="H227" s="800" t="str">
        <f>Idiomas!$D$262</f>
        <v>Cuartos de final</v>
      </c>
      <c r="I227" s="800"/>
      <c r="J227" s="859"/>
      <c r="K227" s="49" t="str">
        <f>Idiomas!$D$201&amp;"-"&amp;ROWS($L$226:L227)</f>
        <v>Semifinalista-2</v>
      </c>
      <c r="L227" s="46"/>
      <c r="M227" s="48" t="str">
        <f>WORLDCUP!AA139</f>
        <v>W99</v>
      </c>
      <c r="N227" s="711"/>
      <c r="O227" s="711"/>
      <c r="P227" s="711"/>
      <c r="Q227" s="711"/>
      <c r="R227" s="102"/>
      <c r="S227" s="67" t="s">
        <v>1258</v>
      </c>
      <c r="T227" s="66">
        <f>COUNTIF($M$226:$M$229,S227)*$D$27</f>
        <v>0</v>
      </c>
      <c r="U227" s="57"/>
      <c r="V227" s="67" t="s">
        <v>1258</v>
      </c>
      <c r="W227" s="66">
        <f>COUNTIF($M$226:$M$229,V227)*$D$27</f>
        <v>0</v>
      </c>
      <c r="X227" s="57"/>
      <c r="Y227" s="67" t="s">
        <v>1258</v>
      </c>
      <c r="Z227" s="66">
        <f>COUNTIF($M$226:$M$229,Y227)*$D$27</f>
        <v>0</v>
      </c>
      <c r="AA227" s="57"/>
      <c r="AB227" s="67" t="s">
        <v>1837</v>
      </c>
      <c r="AC227" s="66">
        <f>COUNTIF($M$226:$M$229,AB227)*$D$27</f>
        <v>0</v>
      </c>
      <c r="AD227" s="57"/>
      <c r="AE227" s="67" t="s">
        <v>76</v>
      </c>
      <c r="AF227" s="66">
        <f>COUNTIF($M$226:$M$229,AE227)*$D$27</f>
        <v>0</v>
      </c>
      <c r="AG227" s="57"/>
      <c r="AH227" s="67" t="s">
        <v>76</v>
      </c>
      <c r="AI227" s="66">
        <f>COUNTIF($M$226:$M$229,AH227)*$D$27</f>
        <v>0</v>
      </c>
      <c r="AJ227" s="57"/>
      <c r="AK227" s="67" t="s">
        <v>1258</v>
      </c>
      <c r="AL227" s="66">
        <f>COUNTIF($M$226:$M$229,AK227)*$D$27</f>
        <v>0</v>
      </c>
      <c r="AM227" s="57"/>
      <c r="AN227" s="67" t="s">
        <v>1258</v>
      </c>
      <c r="AO227" s="66">
        <f>COUNTIF($M$226:$M$229,AN227)*$D$27</f>
        <v>0</v>
      </c>
      <c r="AP227" s="57"/>
      <c r="AQ227" s="67" t="s">
        <v>76</v>
      </c>
      <c r="AR227" s="66">
        <f>COUNTIF($M$226:$M$229,AQ227)*$D$27</f>
        <v>0</v>
      </c>
      <c r="AS227" s="57"/>
      <c r="AT227" s="67" t="s">
        <v>1317</v>
      </c>
      <c r="AU227" s="66">
        <f>COUNTIF($M$226:$M$229,AT227)*$D$27</f>
        <v>0</v>
      </c>
      <c r="AV227" s="57"/>
      <c r="AW227" s="67" t="s">
        <v>1258</v>
      </c>
      <c r="AX227" s="66">
        <f>COUNTIF($M$226:$M$229,AW227)*$D$27</f>
        <v>0</v>
      </c>
      <c r="AY227" s="57"/>
      <c r="AZ227" s="67" t="s">
        <v>76</v>
      </c>
      <c r="BA227" s="66">
        <f>COUNTIF($M$226:$M$229,AZ227)*$D$27</f>
        <v>0</v>
      </c>
      <c r="BB227" s="57"/>
      <c r="BC227" s="67" t="s">
        <v>135</v>
      </c>
      <c r="BD227" s="66">
        <f>COUNTIF($M$226:$M$229,BC227)*$D$27</f>
        <v>0</v>
      </c>
      <c r="BE227" s="57"/>
      <c r="BF227" s="67" t="s">
        <v>1258</v>
      </c>
      <c r="BG227" s="66">
        <f>COUNTIF($M$226:$M$229,BF227)*$D$27</f>
        <v>0</v>
      </c>
      <c r="BH227" s="57"/>
      <c r="BI227" s="67" t="s">
        <v>1258</v>
      </c>
      <c r="BJ227" s="66">
        <f>COUNTIF($M$226:$M$229,BI227)*$D$27</f>
        <v>0</v>
      </c>
      <c r="BK227" s="57"/>
      <c r="BL227" s="67" t="s">
        <v>76</v>
      </c>
      <c r="BM227" s="66">
        <f>COUNTIF($M$226:$M$229,BL227)*$D$27</f>
        <v>0</v>
      </c>
      <c r="BN227" s="57"/>
      <c r="BO227" s="67" t="s">
        <v>1258</v>
      </c>
      <c r="BP227" s="66">
        <f>COUNTIF($M$226:$M$229,BO227)*$D$27</f>
        <v>0</v>
      </c>
      <c r="BQ227" s="57"/>
      <c r="BR227" s="67" t="s">
        <v>1258</v>
      </c>
      <c r="BS227" s="66">
        <f>COUNTIF($M$226:$M$229,BR227)*$D$27</f>
        <v>0</v>
      </c>
      <c r="BT227" s="57"/>
      <c r="BU227" s="67"/>
      <c r="BV227" s="66">
        <f>COUNTIF($M$226:$M$229,BU227)*$D$27</f>
        <v>0</v>
      </c>
      <c r="BW227" s="57"/>
      <c r="BX227" s="67"/>
      <c r="BY227" s="66">
        <f>COUNTIF($M$226:$M$229,BX227)*$D$27</f>
        <v>0</v>
      </c>
      <c r="BZ227" s="57"/>
      <c r="CA227" s="67"/>
      <c r="CB227" s="66">
        <f>COUNTIF($M$226:$M$229,CA227)*$D$27</f>
        <v>0</v>
      </c>
      <c r="CC227" s="57"/>
      <c r="CD227" s="67"/>
      <c r="CE227" s="66">
        <f>COUNTIF($M$226:$M$229,CD227)*$D$27</f>
        <v>0</v>
      </c>
      <c r="CF227" s="57"/>
      <c r="CG227" s="67"/>
      <c r="CH227" s="66">
        <f>COUNTIF($M$226:$M$229,CG227)*$D$27</f>
        <v>0</v>
      </c>
      <c r="CI227" s="57"/>
      <c r="CJ227" s="67"/>
      <c r="CK227" s="66">
        <f>COUNTIF($M$226:$M$229,CJ227)*$D$27</f>
        <v>0</v>
      </c>
      <c r="CL227" s="57"/>
      <c r="CM227" s="67"/>
      <c r="CN227" s="66">
        <f>COUNTIF($M$226:$M$229,CM227)*$D$27</f>
        <v>0</v>
      </c>
      <c r="CO227" s="57"/>
      <c r="CP227" s="67"/>
      <c r="CQ227" s="66">
        <f>COUNTIF($M$226:$M$229,CP227)*$D$27</f>
        <v>0</v>
      </c>
      <c r="CR227" s="57"/>
      <c r="CS227" s="67"/>
      <c r="CT227" s="66">
        <f>COUNTIF($M$226:$M$229,CS227)*$D$27</f>
        <v>0</v>
      </c>
      <c r="CU227" s="57"/>
      <c r="CV227" s="67"/>
      <c r="CW227" s="66">
        <f>COUNTIF($M$226:$M$229,CV227)*$D$27</f>
        <v>0</v>
      </c>
      <c r="CX227" s="57"/>
      <c r="CY227" s="67"/>
      <c r="CZ227" s="66">
        <f>COUNTIF($M$226:$M$229,CY227)*$D$27</f>
        <v>0</v>
      </c>
      <c r="DA227" s="57"/>
      <c r="DB227" s="67"/>
      <c r="DC227" s="66">
        <f>COUNTIF($M$226:$M$229,DB227)*$D$27</f>
        <v>0</v>
      </c>
      <c r="DD227" s="57"/>
      <c r="DE227" s="67"/>
      <c r="DF227" s="66">
        <f>COUNTIF($M$226:$M$229,DE227)*$D$27</f>
        <v>0</v>
      </c>
      <c r="DG227" s="57"/>
      <c r="DH227" s="67"/>
      <c r="DI227" s="66">
        <f>COUNTIF($M$226:$M$229,DH227)*$D$27</f>
        <v>0</v>
      </c>
      <c r="DJ227" s="57"/>
      <c r="DK227" s="67"/>
      <c r="DL227" s="66">
        <f>COUNTIF($M$226:$M$229,DK227)*$D$27</f>
        <v>0</v>
      </c>
      <c r="DM227" s="57"/>
      <c r="DN227" s="67"/>
      <c r="DO227" s="66">
        <f>COUNTIF($M$226:$M$229,DN227)*$D$27</f>
        <v>0</v>
      </c>
      <c r="DP227" s="57"/>
      <c r="DQ227" s="67"/>
      <c r="DR227" s="66">
        <f>COUNTIF($M$226:$M$229,DQ227)*$D$27</f>
        <v>0</v>
      </c>
      <c r="DS227" s="57"/>
      <c r="DT227" s="67"/>
      <c r="DU227" s="66">
        <f>COUNTIF($M$226:$M$229,DT227)*$D$27</f>
        <v>0</v>
      </c>
      <c r="DV227" s="57"/>
      <c r="DW227" s="67"/>
      <c r="DX227" s="66">
        <f>COUNTIF($M$226:$M$229,DW227)*$D$27</f>
        <v>0</v>
      </c>
      <c r="DY227" s="57"/>
      <c r="DZ227" s="67"/>
      <c r="EA227" s="66">
        <f>COUNTIF($M$226:$M$229,DZ227)*$D$27</f>
        <v>0</v>
      </c>
      <c r="EB227" s="57"/>
      <c r="EC227" s="67"/>
      <c r="ED227" s="66">
        <f>COUNTIF($M$226:$M$229,EC227)*$D$27</f>
        <v>0</v>
      </c>
      <c r="EE227" s="57"/>
      <c r="EF227" s="67"/>
      <c r="EG227" s="66">
        <f>COUNTIF($M$226:$M$229,EF227)*$D$27</f>
        <v>0</v>
      </c>
      <c r="EH227" s="57"/>
      <c r="EI227" s="57"/>
    </row>
    <row r="228" spans="1:139">
      <c r="A228" s="711"/>
      <c r="B228" s="711"/>
      <c r="C228" s="805"/>
      <c r="D228" s="805"/>
      <c r="E228" s="805"/>
      <c r="F228" s="806">
        <f t="shared" si="2170"/>
        <v>6</v>
      </c>
      <c r="G228" s="806">
        <f ca="1">VLOOKUP(H228,Equipos!$Q$1:$R$25,2,0)</f>
        <v>22</v>
      </c>
      <c r="H228" s="800" t="str">
        <f>Idiomas!$D$262</f>
        <v>Cuartos de final</v>
      </c>
      <c r="I228" s="800"/>
      <c r="J228" s="859"/>
      <c r="K228" s="49" t="str">
        <f>Idiomas!$D$201&amp;"-"&amp;ROWS($L$226:L228)</f>
        <v>Semifinalista-3</v>
      </c>
      <c r="L228" s="46"/>
      <c r="M228" s="48" t="str">
        <f>WORLDCUP!AF138</f>
        <v>W98</v>
      </c>
      <c r="N228" s="711"/>
      <c r="O228" s="711"/>
      <c r="P228" s="711"/>
      <c r="Q228" s="711"/>
      <c r="R228" s="102"/>
      <c r="S228" s="67" t="s">
        <v>38</v>
      </c>
      <c r="T228" s="66">
        <f>COUNTIF($M$226:$M$229,S228)*$D$27</f>
        <v>0</v>
      </c>
      <c r="U228" s="57"/>
      <c r="V228" s="67" t="s">
        <v>38</v>
      </c>
      <c r="W228" s="66">
        <f>COUNTIF($M$226:$M$229,V228)*$D$27</f>
        <v>0</v>
      </c>
      <c r="X228" s="57"/>
      <c r="Y228" s="67" t="s">
        <v>38</v>
      </c>
      <c r="Z228" s="66">
        <f>COUNTIF($M$226:$M$229,Y228)*$D$27</f>
        <v>0</v>
      </c>
      <c r="AA228" s="57"/>
      <c r="AB228" s="67" t="s">
        <v>110</v>
      </c>
      <c r="AC228" s="66">
        <f>COUNTIF($M$226:$M$229,AB228)*$D$27</f>
        <v>0</v>
      </c>
      <c r="AD228" s="57"/>
      <c r="AE228" s="67" t="s">
        <v>38</v>
      </c>
      <c r="AF228" s="66">
        <f>COUNTIF($M$226:$M$229,AE228)*$D$27</f>
        <v>0</v>
      </c>
      <c r="AG228" s="57"/>
      <c r="AH228" s="67" t="s">
        <v>38</v>
      </c>
      <c r="AI228" s="66">
        <f>COUNTIF($M$226:$M$229,AH228)*$D$27</f>
        <v>0</v>
      </c>
      <c r="AJ228" s="57"/>
      <c r="AK228" s="67" t="s">
        <v>38</v>
      </c>
      <c r="AL228" s="66">
        <f>COUNTIF($M$226:$M$229,AK228)*$D$27</f>
        <v>0</v>
      </c>
      <c r="AM228" s="57"/>
      <c r="AN228" s="67" t="s">
        <v>38</v>
      </c>
      <c r="AO228" s="66">
        <f>COUNTIF($M$226:$M$229,AN228)*$D$27</f>
        <v>0</v>
      </c>
      <c r="AP228" s="57"/>
      <c r="AQ228" s="67" t="s">
        <v>38</v>
      </c>
      <c r="AR228" s="66">
        <f>COUNTIF($M$226:$M$229,AQ228)*$D$27</f>
        <v>0</v>
      </c>
      <c r="AS228" s="57"/>
      <c r="AT228" s="67" t="s">
        <v>38</v>
      </c>
      <c r="AU228" s="66">
        <f>COUNTIF($M$226:$M$229,AT228)*$D$27</f>
        <v>0</v>
      </c>
      <c r="AV228" s="57"/>
      <c r="AW228" s="67" t="s">
        <v>38</v>
      </c>
      <c r="AX228" s="66">
        <f>COUNTIF($M$226:$M$229,AW228)*$D$27</f>
        <v>0</v>
      </c>
      <c r="AY228" s="57"/>
      <c r="AZ228" s="67" t="s">
        <v>38</v>
      </c>
      <c r="BA228" s="66">
        <f>COUNTIF($M$226:$M$229,AZ228)*$D$27</f>
        <v>0</v>
      </c>
      <c r="BB228" s="57"/>
      <c r="BC228" s="67" t="s">
        <v>38</v>
      </c>
      <c r="BD228" s="66">
        <f>COUNTIF($M$226:$M$229,BC228)*$D$27</f>
        <v>0</v>
      </c>
      <c r="BE228" s="57"/>
      <c r="BF228" s="67" t="s">
        <v>38</v>
      </c>
      <c r="BG228" s="66">
        <f>COUNTIF($M$226:$M$229,BF228)*$D$27</f>
        <v>0</v>
      </c>
      <c r="BH228" s="57"/>
      <c r="BI228" s="67" t="s">
        <v>38</v>
      </c>
      <c r="BJ228" s="66">
        <f>COUNTIF($M$226:$M$229,BI228)*$D$27</f>
        <v>0</v>
      </c>
      <c r="BK228" s="57"/>
      <c r="BL228" s="67" t="s">
        <v>38</v>
      </c>
      <c r="BM228" s="66">
        <f>COUNTIF($M$226:$M$229,BL228)*$D$27</f>
        <v>0</v>
      </c>
      <c r="BN228" s="57"/>
      <c r="BO228" s="67" t="s">
        <v>38</v>
      </c>
      <c r="BP228" s="66">
        <f>COUNTIF($M$226:$M$229,BO228)*$D$27</f>
        <v>0</v>
      </c>
      <c r="BQ228" s="57"/>
      <c r="BR228" s="67" t="s">
        <v>38</v>
      </c>
      <c r="BS228" s="66">
        <f>COUNTIF($M$226:$M$229,BR228)*$D$27</f>
        <v>0</v>
      </c>
      <c r="BT228" s="57"/>
      <c r="BU228" s="67"/>
      <c r="BV228" s="66">
        <f>COUNTIF($M$226:$M$229,BU228)*$D$27</f>
        <v>0</v>
      </c>
      <c r="BW228" s="57"/>
      <c r="BX228" s="67"/>
      <c r="BY228" s="66">
        <f>COUNTIF($M$226:$M$229,BX228)*$D$27</f>
        <v>0</v>
      </c>
      <c r="BZ228" s="57"/>
      <c r="CA228" s="67"/>
      <c r="CB228" s="66">
        <f>COUNTIF($M$226:$M$229,CA228)*$D$27</f>
        <v>0</v>
      </c>
      <c r="CC228" s="57"/>
      <c r="CD228" s="67"/>
      <c r="CE228" s="66">
        <f>COUNTIF($M$226:$M$229,CD228)*$D$27</f>
        <v>0</v>
      </c>
      <c r="CF228" s="57"/>
      <c r="CG228" s="67"/>
      <c r="CH228" s="66">
        <f>COUNTIF($M$226:$M$229,CG228)*$D$27</f>
        <v>0</v>
      </c>
      <c r="CI228" s="57"/>
      <c r="CJ228" s="67"/>
      <c r="CK228" s="66">
        <f>COUNTIF($M$226:$M$229,CJ228)*$D$27</f>
        <v>0</v>
      </c>
      <c r="CL228" s="57"/>
      <c r="CM228" s="67"/>
      <c r="CN228" s="66">
        <f>COUNTIF($M$226:$M$229,CM228)*$D$27</f>
        <v>0</v>
      </c>
      <c r="CO228" s="57"/>
      <c r="CP228" s="67"/>
      <c r="CQ228" s="66">
        <f>COUNTIF($M$226:$M$229,CP228)*$D$27</f>
        <v>0</v>
      </c>
      <c r="CR228" s="57"/>
      <c r="CS228" s="67"/>
      <c r="CT228" s="66">
        <f>COUNTIF($M$226:$M$229,CS228)*$D$27</f>
        <v>0</v>
      </c>
      <c r="CU228" s="57"/>
      <c r="CV228" s="67"/>
      <c r="CW228" s="66">
        <f>COUNTIF($M$226:$M$229,CV228)*$D$27</f>
        <v>0</v>
      </c>
      <c r="CX228" s="57"/>
      <c r="CY228" s="67"/>
      <c r="CZ228" s="66">
        <f>COUNTIF($M$226:$M$229,CY228)*$D$27</f>
        <v>0</v>
      </c>
      <c r="DA228" s="57"/>
      <c r="DB228" s="67"/>
      <c r="DC228" s="66">
        <f>COUNTIF($M$226:$M$229,DB228)*$D$27</f>
        <v>0</v>
      </c>
      <c r="DD228" s="57"/>
      <c r="DE228" s="67"/>
      <c r="DF228" s="66">
        <f>COUNTIF($M$226:$M$229,DE228)*$D$27</f>
        <v>0</v>
      </c>
      <c r="DG228" s="57"/>
      <c r="DH228" s="67"/>
      <c r="DI228" s="66">
        <f>COUNTIF($M$226:$M$229,DH228)*$D$27</f>
        <v>0</v>
      </c>
      <c r="DJ228" s="57"/>
      <c r="DK228" s="67"/>
      <c r="DL228" s="66">
        <f>COUNTIF($M$226:$M$229,DK228)*$D$27</f>
        <v>0</v>
      </c>
      <c r="DM228" s="57"/>
      <c r="DN228" s="67"/>
      <c r="DO228" s="66">
        <f>COUNTIF($M$226:$M$229,DN228)*$D$27</f>
        <v>0</v>
      </c>
      <c r="DP228" s="57"/>
      <c r="DQ228" s="67"/>
      <c r="DR228" s="66">
        <f>COUNTIF($M$226:$M$229,DQ228)*$D$27</f>
        <v>0</v>
      </c>
      <c r="DS228" s="57"/>
      <c r="DT228" s="67"/>
      <c r="DU228" s="66">
        <f>COUNTIF($M$226:$M$229,DT228)*$D$27</f>
        <v>0</v>
      </c>
      <c r="DV228" s="57"/>
      <c r="DW228" s="67"/>
      <c r="DX228" s="66">
        <f>COUNTIF($M$226:$M$229,DW228)*$D$27</f>
        <v>0</v>
      </c>
      <c r="DY228" s="57"/>
      <c r="DZ228" s="67"/>
      <c r="EA228" s="66">
        <f>COUNTIF($M$226:$M$229,DZ228)*$D$27</f>
        <v>0</v>
      </c>
      <c r="EB228" s="57"/>
      <c r="EC228" s="67"/>
      <c r="ED228" s="66">
        <f>COUNTIF($M$226:$M$229,EC228)*$D$27</f>
        <v>0</v>
      </c>
      <c r="EE228" s="57"/>
      <c r="EF228" s="67"/>
      <c r="EG228" s="66">
        <f>COUNTIF($M$226:$M$229,EF228)*$D$27</f>
        <v>0</v>
      </c>
      <c r="EH228" s="57"/>
      <c r="EI228" s="57"/>
    </row>
    <row r="229" spans="1:139">
      <c r="A229" s="711"/>
      <c r="B229" s="711"/>
      <c r="C229" s="805"/>
      <c r="D229" s="805"/>
      <c r="E229" s="805"/>
      <c r="F229" s="806">
        <f t="shared" si="2170"/>
        <v>6</v>
      </c>
      <c r="G229" s="806">
        <f ca="1">VLOOKUP(H229,Equipos!$Q$1:$R$25,2,0)</f>
        <v>22</v>
      </c>
      <c r="H229" s="800" t="str">
        <f>Idiomas!$D$262</f>
        <v>Cuartos de final</v>
      </c>
      <c r="I229" s="800"/>
      <c r="J229" s="859"/>
      <c r="K229" s="49" t="str">
        <f>Idiomas!$D$201&amp;"-"&amp;ROWS($L$226:L229)</f>
        <v>Semifinalista-4</v>
      </c>
      <c r="L229" s="46"/>
      <c r="M229" s="48" t="str">
        <f>WORLDCUP!AF139</f>
        <v>W100</v>
      </c>
      <c r="N229" s="711"/>
      <c r="O229" s="711"/>
      <c r="P229" s="711"/>
      <c r="Q229" s="711"/>
      <c r="R229" s="102"/>
      <c r="S229" s="73" t="s">
        <v>79</v>
      </c>
      <c r="T229" s="74">
        <f>COUNTIF($M$226:$M$229,S229)*$D$27</f>
        <v>0</v>
      </c>
      <c r="U229" s="57"/>
      <c r="V229" s="73" t="s">
        <v>1256</v>
      </c>
      <c r="W229" s="74">
        <f>COUNTIF($M$226:$M$229,V229)*$D$27</f>
        <v>0</v>
      </c>
      <c r="X229" s="57"/>
      <c r="Y229" s="73" t="s">
        <v>79</v>
      </c>
      <c r="Z229" s="74">
        <f>COUNTIF($M$226:$M$229,Y229)*$D$27</f>
        <v>0</v>
      </c>
      <c r="AA229" s="57"/>
      <c r="AB229" s="73" t="s">
        <v>1256</v>
      </c>
      <c r="AC229" s="74">
        <f>COUNTIF($M$226:$M$229,AB229)*$D$27</f>
        <v>0</v>
      </c>
      <c r="AD229" s="57"/>
      <c r="AE229" s="73" t="s">
        <v>1256</v>
      </c>
      <c r="AF229" s="74">
        <f>COUNTIF($M$226:$M$229,AE229)*$D$27</f>
        <v>0</v>
      </c>
      <c r="AG229" s="57"/>
      <c r="AH229" s="73" t="s">
        <v>79</v>
      </c>
      <c r="AI229" s="74">
        <f>COUNTIF($M$226:$M$229,AH229)*$D$27</f>
        <v>0</v>
      </c>
      <c r="AJ229" s="57"/>
      <c r="AK229" s="73" t="s">
        <v>1256</v>
      </c>
      <c r="AL229" s="74">
        <f>COUNTIF($M$226:$M$229,AK229)*$D$27</f>
        <v>0</v>
      </c>
      <c r="AM229" s="57"/>
      <c r="AN229" s="73" t="s">
        <v>79</v>
      </c>
      <c r="AO229" s="74">
        <f>COUNTIF($M$226:$M$229,AN229)*$D$27</f>
        <v>0</v>
      </c>
      <c r="AP229" s="57"/>
      <c r="AQ229" s="73" t="s">
        <v>79</v>
      </c>
      <c r="AR229" s="74">
        <f>COUNTIF($M$226:$M$229,AQ229)*$D$27</f>
        <v>0</v>
      </c>
      <c r="AS229" s="57"/>
      <c r="AT229" s="73" t="s">
        <v>79</v>
      </c>
      <c r="AU229" s="74">
        <f>COUNTIF($M$226:$M$229,AT229)*$D$27</f>
        <v>0</v>
      </c>
      <c r="AV229" s="57"/>
      <c r="AW229" s="73" t="s">
        <v>79</v>
      </c>
      <c r="AX229" s="74">
        <f>COUNTIF($M$226:$M$229,AW229)*$D$27</f>
        <v>0</v>
      </c>
      <c r="AY229" s="57"/>
      <c r="AZ229" s="73" t="s">
        <v>79</v>
      </c>
      <c r="BA229" s="74">
        <f>COUNTIF($M$226:$M$229,AZ229)*$D$27</f>
        <v>0</v>
      </c>
      <c r="BB229" s="57"/>
      <c r="BC229" s="73" t="s">
        <v>78</v>
      </c>
      <c r="BD229" s="74">
        <f>COUNTIF($M$226:$M$229,BC229)*$D$27</f>
        <v>0</v>
      </c>
      <c r="BE229" s="57"/>
      <c r="BF229" s="73" t="s">
        <v>79</v>
      </c>
      <c r="BG229" s="74">
        <f>COUNTIF($M$226:$M$229,BF229)*$D$27</f>
        <v>0</v>
      </c>
      <c r="BH229" s="57"/>
      <c r="BI229" s="73" t="s">
        <v>1256</v>
      </c>
      <c r="BJ229" s="74">
        <f>COUNTIF($M$226:$M$229,BI229)*$D$27</f>
        <v>0</v>
      </c>
      <c r="BK229" s="57"/>
      <c r="BL229" s="73" t="s">
        <v>1256</v>
      </c>
      <c r="BM229" s="74">
        <f>COUNTIF($M$226:$M$229,BL229)*$D$27</f>
        <v>0</v>
      </c>
      <c r="BN229" s="57"/>
      <c r="BO229" s="73" t="s">
        <v>1256</v>
      </c>
      <c r="BP229" s="74">
        <f>COUNTIF($M$226:$M$229,BO229)*$D$27</f>
        <v>0</v>
      </c>
      <c r="BQ229" s="57"/>
      <c r="BR229" s="73" t="s">
        <v>1256</v>
      </c>
      <c r="BS229" s="74">
        <f>COUNTIF($M$226:$M$229,BR229)*$D$27</f>
        <v>0</v>
      </c>
      <c r="BT229" s="57"/>
      <c r="BU229" s="73"/>
      <c r="BV229" s="74">
        <f>COUNTIF($M$226:$M$229,BU229)*$D$27</f>
        <v>0</v>
      </c>
      <c r="BW229" s="57"/>
      <c r="BX229" s="73"/>
      <c r="BY229" s="74">
        <f>COUNTIF($M$226:$M$229,BX229)*$D$27</f>
        <v>0</v>
      </c>
      <c r="BZ229" s="57"/>
      <c r="CA229" s="73"/>
      <c r="CB229" s="74">
        <f>COUNTIF($M$226:$M$229,CA229)*$D$27</f>
        <v>0</v>
      </c>
      <c r="CC229" s="57"/>
      <c r="CD229" s="73"/>
      <c r="CE229" s="74">
        <f>COUNTIF($M$226:$M$229,CD229)*$D$27</f>
        <v>0</v>
      </c>
      <c r="CF229" s="57"/>
      <c r="CG229" s="73"/>
      <c r="CH229" s="74">
        <f>COUNTIF($M$226:$M$229,CG229)*$D$27</f>
        <v>0</v>
      </c>
      <c r="CI229" s="57"/>
      <c r="CJ229" s="73"/>
      <c r="CK229" s="74">
        <f>COUNTIF($M$226:$M$229,CJ229)*$D$27</f>
        <v>0</v>
      </c>
      <c r="CL229" s="57"/>
      <c r="CM229" s="73"/>
      <c r="CN229" s="74">
        <f>COUNTIF($M$226:$M$229,CM229)*$D$27</f>
        <v>0</v>
      </c>
      <c r="CO229" s="57"/>
      <c r="CP229" s="73"/>
      <c r="CQ229" s="74">
        <f>COUNTIF($M$226:$M$229,CP229)*$D$27</f>
        <v>0</v>
      </c>
      <c r="CR229" s="57"/>
      <c r="CS229" s="73"/>
      <c r="CT229" s="74">
        <f>COUNTIF($M$226:$M$229,CS229)*$D$27</f>
        <v>0</v>
      </c>
      <c r="CU229" s="57"/>
      <c r="CV229" s="73"/>
      <c r="CW229" s="74">
        <f>COUNTIF($M$226:$M$229,CV229)*$D$27</f>
        <v>0</v>
      </c>
      <c r="CX229" s="57"/>
      <c r="CY229" s="73"/>
      <c r="CZ229" s="74">
        <f>COUNTIF($M$226:$M$229,CY229)*$D$27</f>
        <v>0</v>
      </c>
      <c r="DA229" s="57"/>
      <c r="DB229" s="73"/>
      <c r="DC229" s="74">
        <f>COUNTIF($M$226:$M$229,DB229)*$D$27</f>
        <v>0</v>
      </c>
      <c r="DD229" s="57"/>
      <c r="DE229" s="73"/>
      <c r="DF229" s="74">
        <f>COUNTIF($M$226:$M$229,DE229)*$D$27</f>
        <v>0</v>
      </c>
      <c r="DG229" s="57"/>
      <c r="DH229" s="73"/>
      <c r="DI229" s="74">
        <f>COUNTIF($M$226:$M$229,DH229)*$D$27</f>
        <v>0</v>
      </c>
      <c r="DJ229" s="57"/>
      <c r="DK229" s="73"/>
      <c r="DL229" s="74">
        <f>COUNTIF($M$226:$M$229,DK229)*$D$27</f>
        <v>0</v>
      </c>
      <c r="DM229" s="57"/>
      <c r="DN229" s="73"/>
      <c r="DO229" s="74">
        <f>COUNTIF($M$226:$M$229,DN229)*$D$27</f>
        <v>0</v>
      </c>
      <c r="DP229" s="57"/>
      <c r="DQ229" s="73"/>
      <c r="DR229" s="74">
        <f>COUNTIF($M$226:$M$229,DQ229)*$D$27</f>
        <v>0</v>
      </c>
      <c r="DS229" s="57"/>
      <c r="DT229" s="73"/>
      <c r="DU229" s="74">
        <f>COUNTIF($M$226:$M$229,DT229)*$D$27</f>
        <v>0</v>
      </c>
      <c r="DV229" s="57"/>
      <c r="DW229" s="73"/>
      <c r="DX229" s="74">
        <f>COUNTIF($M$226:$M$229,DW229)*$D$27</f>
        <v>0</v>
      </c>
      <c r="DY229" s="57"/>
      <c r="DZ229" s="73"/>
      <c r="EA229" s="74">
        <f>COUNTIF($M$226:$M$229,DZ229)*$D$27</f>
        <v>0</v>
      </c>
      <c r="EB229" s="57"/>
      <c r="EC229" s="73"/>
      <c r="ED229" s="74">
        <f>COUNTIF($M$226:$M$229,EC229)*$D$27</f>
        <v>0</v>
      </c>
      <c r="EE229" s="57"/>
      <c r="EF229" s="73"/>
      <c r="EG229" s="74">
        <f>COUNTIF($M$226:$M$229,EF229)*$D$27</f>
        <v>0</v>
      </c>
      <c r="EH229" s="57"/>
      <c r="EI229" s="57"/>
    </row>
    <row r="230" spans="1:139">
      <c r="A230" s="711"/>
      <c r="B230" s="711"/>
      <c r="C230" s="805"/>
      <c r="D230" s="805"/>
      <c r="E230" s="805"/>
      <c r="F230" s="806"/>
      <c r="G230" s="806"/>
      <c r="H230" s="800"/>
      <c r="I230" s="800"/>
      <c r="J230" s="86"/>
      <c r="K230" s="416" t="str">
        <f>Idiomas!D463</f>
        <v>Equipos 1/2</v>
      </c>
      <c r="L230" s="417"/>
      <c r="M230" s="416" t="str">
        <f>"Max: "&amp;$D$27*COUNT(T226:T229)</f>
        <v>Max: 24</v>
      </c>
      <c r="N230" s="711"/>
      <c r="O230" s="711"/>
      <c r="P230" s="711"/>
      <c r="Q230" s="711"/>
      <c r="R230" s="43"/>
      <c r="S230" s="77"/>
      <c r="T230" s="64">
        <f>SUM(T226:T229)</f>
        <v>0</v>
      </c>
      <c r="U230" s="58"/>
      <c r="V230" s="77"/>
      <c r="W230" s="64">
        <f>SUM(W226:W229)</f>
        <v>0</v>
      </c>
      <c r="X230" s="58"/>
      <c r="Y230" s="77"/>
      <c r="Z230" s="64">
        <f>SUM(Z226:Z229)</f>
        <v>0</v>
      </c>
      <c r="AA230" s="58"/>
      <c r="AB230" s="77"/>
      <c r="AC230" s="64">
        <f>SUM(AC226:AC229)</f>
        <v>0</v>
      </c>
      <c r="AD230" s="58"/>
      <c r="AE230" s="77"/>
      <c r="AF230" s="64">
        <f>SUM(AF226:AF229)</f>
        <v>0</v>
      </c>
      <c r="AG230" s="58"/>
      <c r="AH230" s="77"/>
      <c r="AI230" s="64">
        <f>SUM(AI226:AI229)</f>
        <v>0</v>
      </c>
      <c r="AJ230" s="58"/>
      <c r="AK230" s="77"/>
      <c r="AL230" s="64">
        <f>SUM(AL226:AL229)</f>
        <v>0</v>
      </c>
      <c r="AM230" s="58"/>
      <c r="AN230" s="77"/>
      <c r="AO230" s="64">
        <f>SUM(AO226:AO229)</f>
        <v>0</v>
      </c>
      <c r="AP230" s="58"/>
      <c r="AQ230" s="77"/>
      <c r="AR230" s="64">
        <f>SUM(AR226:AR229)</f>
        <v>0</v>
      </c>
      <c r="AS230" s="58"/>
      <c r="AT230" s="77"/>
      <c r="AU230" s="64">
        <f>SUM(AU226:AU229)</f>
        <v>0</v>
      </c>
      <c r="AV230" s="58"/>
      <c r="AW230" s="77"/>
      <c r="AX230" s="64">
        <f>SUM(AX226:AX229)</f>
        <v>0</v>
      </c>
      <c r="AY230" s="58"/>
      <c r="AZ230" s="77"/>
      <c r="BA230" s="64">
        <f>SUM(BA226:BA229)</f>
        <v>0</v>
      </c>
      <c r="BB230" s="58"/>
      <c r="BC230" s="77"/>
      <c r="BD230" s="64">
        <f>SUM(BD226:BD229)</f>
        <v>0</v>
      </c>
      <c r="BE230" s="58"/>
      <c r="BF230" s="77"/>
      <c r="BG230" s="64">
        <f>SUM(BG226:BG229)</f>
        <v>0</v>
      </c>
      <c r="BH230" s="58"/>
      <c r="BI230" s="77"/>
      <c r="BJ230" s="64">
        <f>SUM(BJ226:BJ229)</f>
        <v>0</v>
      </c>
      <c r="BK230" s="58"/>
      <c r="BL230" s="77"/>
      <c r="BM230" s="64">
        <f>SUM(BM226:BM229)</f>
        <v>0</v>
      </c>
      <c r="BN230" s="58"/>
      <c r="BO230" s="77"/>
      <c r="BP230" s="64">
        <f>SUM(BP226:BP229)</f>
        <v>0</v>
      </c>
      <c r="BQ230" s="58"/>
      <c r="BR230" s="77"/>
      <c r="BS230" s="64">
        <f>SUM(BS226:BS229)</f>
        <v>0</v>
      </c>
      <c r="BT230" s="58"/>
      <c r="BU230" s="77"/>
      <c r="BV230" s="64">
        <f>SUM(BV226:BV229)</f>
        <v>0</v>
      </c>
      <c r="BW230" s="58"/>
      <c r="BX230" s="77"/>
      <c r="BY230" s="64">
        <f>SUM(BY226:BY229)</f>
        <v>0</v>
      </c>
      <c r="BZ230" s="58"/>
      <c r="CA230" s="77"/>
      <c r="CB230" s="64">
        <f>SUM(CB226:CB229)</f>
        <v>0</v>
      </c>
      <c r="CC230" s="58"/>
      <c r="CD230" s="77"/>
      <c r="CE230" s="64">
        <f>SUM(CE226:CE229)</f>
        <v>0</v>
      </c>
      <c r="CF230" s="58"/>
      <c r="CG230" s="77"/>
      <c r="CH230" s="64">
        <f>SUM(CH226:CH229)</f>
        <v>0</v>
      </c>
      <c r="CI230" s="58"/>
      <c r="CJ230" s="77"/>
      <c r="CK230" s="64">
        <f>SUM(CK226:CK229)</f>
        <v>0</v>
      </c>
      <c r="CL230" s="58"/>
      <c r="CM230" s="77"/>
      <c r="CN230" s="64">
        <f>SUM(CN226:CN229)</f>
        <v>0</v>
      </c>
      <c r="CO230" s="58"/>
      <c r="CP230" s="77"/>
      <c r="CQ230" s="64">
        <f>SUM(CQ226:CQ229)</f>
        <v>0</v>
      </c>
      <c r="CR230" s="58"/>
      <c r="CS230" s="77"/>
      <c r="CT230" s="64">
        <f>SUM(CT226:CT229)</f>
        <v>0</v>
      </c>
      <c r="CU230" s="58"/>
      <c r="CV230" s="77"/>
      <c r="CW230" s="64">
        <f>SUM(CW226:CW229)</f>
        <v>0</v>
      </c>
      <c r="CX230" s="58"/>
      <c r="CY230" s="77"/>
      <c r="CZ230" s="64">
        <f>SUM(CZ226:CZ229)</f>
        <v>0</v>
      </c>
      <c r="DA230" s="58"/>
      <c r="DB230" s="77"/>
      <c r="DC230" s="64">
        <f>SUM(DC226:DC229)</f>
        <v>0</v>
      </c>
      <c r="DD230" s="58"/>
      <c r="DE230" s="77"/>
      <c r="DF230" s="64">
        <f>SUM(DF226:DF229)</f>
        <v>0</v>
      </c>
      <c r="DG230" s="58"/>
      <c r="DH230" s="77"/>
      <c r="DI230" s="64">
        <f>SUM(DI226:DI229)</f>
        <v>0</v>
      </c>
      <c r="DJ230" s="58"/>
      <c r="DK230" s="77"/>
      <c r="DL230" s="64">
        <f>SUM(DL226:DL229)</f>
        <v>0</v>
      </c>
      <c r="DM230" s="58"/>
      <c r="DN230" s="77"/>
      <c r="DO230" s="64">
        <f>SUM(DO226:DO229)</f>
        <v>0</v>
      </c>
      <c r="DP230" s="58"/>
      <c r="DQ230" s="77"/>
      <c r="DR230" s="64">
        <f>SUM(DR226:DR229)</f>
        <v>0</v>
      </c>
      <c r="DS230" s="58"/>
      <c r="DT230" s="77"/>
      <c r="DU230" s="64">
        <f>SUM(DU226:DU229)</f>
        <v>0</v>
      </c>
      <c r="DV230" s="58"/>
      <c r="DW230" s="77"/>
      <c r="DX230" s="64">
        <f>SUM(DX226:DX229)</f>
        <v>0</v>
      </c>
      <c r="DY230" s="58"/>
      <c r="DZ230" s="77"/>
      <c r="EA230" s="64">
        <f>SUM(EA226:EA229)</f>
        <v>0</v>
      </c>
      <c r="EB230" s="58"/>
      <c r="EC230" s="77"/>
      <c r="ED230" s="64">
        <f>SUM(ED226:ED229)</f>
        <v>0</v>
      </c>
      <c r="EE230" s="58"/>
      <c r="EF230" s="77"/>
      <c r="EG230" s="64">
        <f>SUM(EG226:EG229)</f>
        <v>0</v>
      </c>
      <c r="EH230" s="58"/>
      <c r="EI230" s="58"/>
    </row>
    <row r="231" spans="1:139">
      <c r="A231" s="711"/>
      <c r="B231" s="711"/>
      <c r="C231" s="805"/>
      <c r="D231" s="805"/>
      <c r="E231" s="805"/>
      <c r="F231" s="806"/>
      <c r="G231" s="806"/>
      <c r="H231" s="800"/>
      <c r="I231" s="804" t="s">
        <v>1573</v>
      </c>
      <c r="J231" s="86"/>
      <c r="K231" s="105" t="str">
        <f>Idiomas!D144</f>
        <v>ENFRENTAMIENTOS SEMIFINALES</v>
      </c>
      <c r="L231" s="44"/>
      <c r="M231" s="64"/>
      <c r="N231" s="711"/>
      <c r="O231" s="711"/>
      <c r="P231" s="711"/>
      <c r="Q231" s="711"/>
      <c r="R231" s="43"/>
      <c r="S231" s="77"/>
      <c r="T231" s="64"/>
      <c r="U231" s="58"/>
      <c r="V231" s="77"/>
      <c r="W231" s="64"/>
      <c r="X231" s="58"/>
      <c r="Y231" s="77"/>
      <c r="Z231" s="64"/>
      <c r="AA231" s="58"/>
      <c r="AB231" s="741"/>
      <c r="AC231" s="64"/>
      <c r="AD231" s="103"/>
      <c r="AE231" s="77"/>
      <c r="AF231" s="64"/>
      <c r="AG231" s="58"/>
      <c r="AH231" s="77"/>
      <c r="AI231" s="64"/>
      <c r="AJ231" s="58"/>
      <c r="AK231" s="77"/>
      <c r="AL231" s="64"/>
      <c r="AM231" s="58"/>
      <c r="AN231" s="77"/>
      <c r="AO231" s="64"/>
      <c r="AP231" s="58"/>
      <c r="AQ231" s="741"/>
      <c r="AR231" s="64"/>
      <c r="AS231" s="103"/>
      <c r="AT231" s="77"/>
      <c r="AU231" s="64"/>
      <c r="AV231" s="58"/>
      <c r="AW231" s="77"/>
      <c r="AX231" s="64"/>
      <c r="AY231" s="58"/>
      <c r="AZ231" s="77"/>
      <c r="BA231" s="64"/>
      <c r="BB231" s="58"/>
      <c r="BC231" s="77"/>
      <c r="BD231" s="64"/>
      <c r="BE231" s="58"/>
      <c r="BF231" s="741"/>
      <c r="BG231" s="64"/>
      <c r="BH231" s="103"/>
      <c r="BI231" s="77"/>
      <c r="BJ231" s="64"/>
      <c r="BK231" s="58"/>
      <c r="BL231" s="77"/>
      <c r="BM231" s="64"/>
      <c r="BN231" s="58"/>
      <c r="BO231" s="77"/>
      <c r="BP231" s="64"/>
      <c r="BQ231" s="58"/>
      <c r="BR231" s="77"/>
      <c r="BS231" s="64"/>
      <c r="BT231" s="58"/>
      <c r="BU231" s="741"/>
      <c r="BV231" s="64"/>
      <c r="BW231" s="103"/>
      <c r="BX231" s="77"/>
      <c r="BY231" s="64"/>
      <c r="BZ231" s="58"/>
      <c r="CA231" s="77"/>
      <c r="CB231" s="64"/>
      <c r="CC231" s="58"/>
      <c r="CD231" s="77"/>
      <c r="CE231" s="64"/>
      <c r="CF231" s="58"/>
      <c r="CG231" s="77"/>
      <c r="CH231" s="64"/>
      <c r="CI231" s="58"/>
      <c r="CJ231" s="741"/>
      <c r="CK231" s="64"/>
      <c r="CL231" s="103"/>
      <c r="CM231" s="77"/>
      <c r="CN231" s="64"/>
      <c r="CO231" s="58"/>
      <c r="CP231" s="77"/>
      <c r="CQ231" s="64"/>
      <c r="CR231" s="58"/>
      <c r="CS231" s="77"/>
      <c r="CT231" s="64"/>
      <c r="CU231" s="58"/>
      <c r="CV231" s="77"/>
      <c r="CW231" s="64"/>
      <c r="CX231" s="58"/>
      <c r="CY231" s="741"/>
      <c r="CZ231" s="64"/>
      <c r="DA231" s="103"/>
      <c r="DB231" s="77"/>
      <c r="DC231" s="64"/>
      <c r="DD231" s="58"/>
      <c r="DE231" s="77"/>
      <c r="DF231" s="64"/>
      <c r="DG231" s="58"/>
      <c r="DH231" s="77"/>
      <c r="DI231" s="64"/>
      <c r="DJ231" s="58"/>
      <c r="DK231" s="77"/>
      <c r="DL231" s="64"/>
      <c r="DM231" s="58"/>
      <c r="DN231" s="741"/>
      <c r="DO231" s="64"/>
      <c r="DP231" s="103"/>
      <c r="DQ231" s="77"/>
      <c r="DR231" s="64"/>
      <c r="DS231" s="58"/>
      <c r="DT231" s="77"/>
      <c r="DU231" s="64"/>
      <c r="DV231" s="58"/>
      <c r="DW231" s="77"/>
      <c r="DX231" s="64"/>
      <c r="DY231" s="58"/>
      <c r="DZ231" s="77"/>
      <c r="EA231" s="64"/>
      <c r="EB231" s="58"/>
      <c r="EC231" s="741"/>
      <c r="ED231" s="64"/>
      <c r="EE231" s="103"/>
      <c r="EF231" s="77"/>
      <c r="EG231" s="64"/>
      <c r="EH231" s="58"/>
      <c r="EI231" s="58"/>
    </row>
    <row r="232" spans="1:139">
      <c r="A232" s="711">
        <f>WORLDCUP!AD138</f>
        <v>0</v>
      </c>
      <c r="B232" s="711">
        <f>WORLDCUP!AC138</f>
        <v>0</v>
      </c>
      <c r="C232" s="805" t="str">
        <f>CONCATENATE(WORLDCUP!AF138,"-",WORLDCUP!AA138)</f>
        <v>W98-W97</v>
      </c>
      <c r="D232" s="805" t="str">
        <f>IF(WORLDCUP!AC138&gt;WORLDCUP!AD138,2,IF(WORLDCUP!AC138&lt;WORLDCUP!AD138,1,IF(AND(WORLDCUP!AC138=WORLDCUP!AD138,WORLDCUP!AC138&lt;&gt;"",WORLDCUP!AD138&lt;&gt;""),0,"PD")))</f>
        <v>PD</v>
      </c>
      <c r="E232" s="805" t="str">
        <f>IF(OR(WORLDCUP!AD138="",WORLDCUP!AC138=""),"-",A232&amp;"-"&amp;B232)</f>
        <v>-</v>
      </c>
      <c r="F232" s="806">
        <f>SUM($D$28:$D$30)*I232</f>
        <v>18</v>
      </c>
      <c r="G232" s="806">
        <f ca="1">VLOOKUP(H232,Equipos!$Q$1:$R$25,2,0)</f>
        <v>23</v>
      </c>
      <c r="H232" s="800" t="str">
        <f>Idiomas!$D$263</f>
        <v>Semifinales</v>
      </c>
      <c r="I232" s="808">
        <v>1</v>
      </c>
      <c r="J232" s="860" t="s">
        <v>35</v>
      </c>
      <c r="K232" s="46" t="str">
        <f>CONCATENATE(WORLDCUP!AA138,"-",WORLDCUP!AF138)</f>
        <v>W97-W98</v>
      </c>
      <c r="L232" s="46" t="str">
        <f>IF(OR(WORLDCUP!AC138="",WORLDCUP!AD138=""),"PD",IF(WORLDCUP!AC138&gt;WORLDCUP!AD138,1,IF(WORLDCUP!AC138&lt;WORLDCUP!AD138,2,0)))</f>
        <v>PD</v>
      </c>
      <c r="M232" s="48" t="str">
        <f>IF(OR(WORLDCUP!AC138="",WORLDCUP!AD138=""),"-",N232&amp;"|"&amp;O232&amp;"-"&amp;P232)</f>
        <v>-</v>
      </c>
      <c r="N232" s="711" t="str">
        <f>IF(OR(WORLDCUP!AC138="",WORLDCUP!AD138=""),"",IF(WORLDCUP!AC138&gt;WORLDCUP!AD138,"1",IF(WORLDCUP!AC138&lt;WORLDCUP!AD138,"2","X")))</f>
        <v/>
      </c>
      <c r="O232" s="711">
        <f>WORLDCUP!AC138</f>
        <v>0</v>
      </c>
      <c r="P232" s="711">
        <f>WORLDCUP!AD138</f>
        <v>0</v>
      </c>
      <c r="Q232" s="711">
        <f>ABS(O232-P232)</f>
        <v>0</v>
      </c>
      <c r="R232" s="102"/>
      <c r="S232" s="69" t="s">
        <v>1953</v>
      </c>
      <c r="T232" s="66">
        <f>IFERROR(IF($M232=S232,($D$8+$D$9+$D$10)*$I232,IF($N232=LEFT(S232,1),($D$8+MAX(0,IF($D$50=1,$D$9*(1-(ABS($Q232-ABS(VALUE(MID(S232,FIND("|",S232)+1,FIND("-",S232)-FIND("|",S232)-1))-VALUE(MID(S232,FIND("-",S232)+1,10)))))*$D$50),$D$9*(1-(IF($N232="X",ABS($O232-VALUE(MID(S232,FIND("|",S232)+1,FIND("-",S232)-FIND("|",S232)-1))),ABS($Q232-ABS(VALUE(MID(S232,FIND("|",S232)+1,FIND("-",S232)-FIND("|",S232)-1))-VALUE(MID(S232,FIND("-",S232)+1,10)))))*$D$50)))))*$I232,0)),0)</f>
        <v>0</v>
      </c>
      <c r="U232" s="102"/>
      <c r="V232" s="69" t="s">
        <v>1947</v>
      </c>
      <c r="W232" s="66">
        <f>IFERROR(IF($M232=V232,($D$8+$D$9+$D$10)*$I232,IF($N232=LEFT(V232,1),($D$8+MAX(0,IF($D$50=1,$D$9*(1-(ABS($Q232-ABS(VALUE(MID(V232,FIND("|",V232)+1,FIND("-",V232)-FIND("|",V232)-1))-VALUE(MID(V232,FIND("-",V232)+1,10)))))*$D$50),$D$9*(1-(IF($N232="X",ABS($O232-VALUE(MID(V232,FIND("|",V232)+1,FIND("-",V232)-FIND("|",V232)-1))),ABS($Q232-ABS(VALUE(MID(V232,FIND("|",V232)+1,FIND("-",V232)-FIND("|",V232)-1))-VALUE(MID(V232,FIND("-",V232)+1,10)))))*$D$50)))))*$I232,0)),0)</f>
        <v>0</v>
      </c>
      <c r="X232" s="102"/>
      <c r="Y232" s="69" t="s">
        <v>1955</v>
      </c>
      <c r="Z232" s="66">
        <f>IFERROR(IF($M232=Y232,($D$8+$D$9+$D$10)*$I232,IF($N232=LEFT(Y232,1),($D$8+MAX(0,IF($D$50=1,$D$9*(1-(ABS($Q232-ABS(VALUE(MID(Y232,FIND("|",Y232)+1,FIND("-",Y232)-FIND("|",Y232)-1))-VALUE(MID(Y232,FIND("-",Y232)+1,10)))))*$D$50),$D$9*(1-(IF($N232="X",ABS($O232-VALUE(MID(Y232,FIND("|",Y232)+1,FIND("-",Y232)-FIND("|",Y232)-1))),ABS($Q232-ABS(VALUE(MID(Y232,FIND("|",Y232)+1,FIND("-",Y232)-FIND("|",Y232)-1))-VALUE(MID(Y232,FIND("-",Y232)+1,10)))))*$D$50)))))*$I232,0)),0)</f>
        <v>0</v>
      </c>
      <c r="AA232" s="102"/>
      <c r="AB232" s="69" t="s">
        <v>1953</v>
      </c>
      <c r="AC232" s="66">
        <f>IFERROR(IF($M232=AB232,($D$8+$D$9+$D$10)*$I232,IF($N232=LEFT(AB232,1),($D$8+MAX(0,IF($D$50=1,$D$9*(1-(ABS($Q232-ABS(VALUE(MID(AB232,FIND("|",AB232)+1,FIND("-",AB232)-FIND("|",AB232)-1))-VALUE(MID(AB232,FIND("-",AB232)+1,10)))))*$D$50),$D$9*(1-(IF($N232="X",ABS($O232-VALUE(MID(AB232,FIND("|",AB232)+1,FIND("-",AB232)-FIND("|",AB232)-1))),ABS($Q232-ABS(VALUE(MID(AB232,FIND("|",AB232)+1,FIND("-",AB232)-FIND("|",AB232)-1))-VALUE(MID(AB232,FIND("-",AB232)+1,10)))))*$D$50)))))*$I232,0)),0)</f>
        <v>0</v>
      </c>
      <c r="AD232" s="102"/>
      <c r="AE232" s="69" t="s">
        <v>1964</v>
      </c>
      <c r="AF232" s="66">
        <f>IFERROR(IF($M232=AE232,($D$8+$D$9+$D$10)*$I232,IF($N232=LEFT(AE232,1),($D$8+MAX(0,IF($D$50=1,$D$9*(1-(ABS($Q232-ABS(VALUE(MID(AE232,FIND("|",AE232)+1,FIND("-",AE232)-FIND("|",AE232)-1))-VALUE(MID(AE232,FIND("-",AE232)+1,10)))))*$D$50),$D$9*(1-(IF($N232="X",ABS($O232-VALUE(MID(AE232,FIND("|",AE232)+1,FIND("-",AE232)-FIND("|",AE232)-1))),ABS($Q232-ABS(VALUE(MID(AE232,FIND("|",AE232)+1,FIND("-",AE232)-FIND("|",AE232)-1))-VALUE(MID(AE232,FIND("-",AE232)+1,10)))))*$D$50)))))*$I232,0)),0)</f>
        <v>0</v>
      </c>
      <c r="AG232" s="102"/>
      <c r="AH232" s="69" t="s">
        <v>1955</v>
      </c>
      <c r="AI232" s="66">
        <f>IFERROR(IF($M232=AH232,($D$8+$D$9+$D$10)*$I232,IF($N232=LEFT(AH232,1),($D$8+MAX(0,IF($D$50=1,$D$9*(1-(ABS($Q232-ABS(VALUE(MID(AH232,FIND("|",AH232)+1,FIND("-",AH232)-FIND("|",AH232)-1))-VALUE(MID(AH232,FIND("-",AH232)+1,10)))))*$D$50),$D$9*(1-(IF($N232="X",ABS($O232-VALUE(MID(AH232,FIND("|",AH232)+1,FIND("-",AH232)-FIND("|",AH232)-1))),ABS($Q232-ABS(VALUE(MID(AH232,FIND("|",AH232)+1,FIND("-",AH232)-FIND("|",AH232)-1))-VALUE(MID(AH232,FIND("-",AH232)+1,10)))))*$D$50)))))*$I232,0)),0)</f>
        <v>0</v>
      </c>
      <c r="AJ232" s="102"/>
      <c r="AK232" s="69" t="s">
        <v>1955</v>
      </c>
      <c r="AL232" s="66">
        <f>IFERROR(IF($M232=AK232,($D$8+$D$9+$D$10)*$I232,IF($N232=LEFT(AK232,1),($D$8+MAX(0,IF($D$50=1,$D$9*(1-(ABS($Q232-ABS(VALUE(MID(AK232,FIND("|",AK232)+1,FIND("-",AK232)-FIND("|",AK232)-1))-VALUE(MID(AK232,FIND("-",AK232)+1,10)))))*$D$50),$D$9*(1-(IF($N232="X",ABS($O232-VALUE(MID(AK232,FIND("|",AK232)+1,FIND("-",AK232)-FIND("|",AK232)-1))),ABS($Q232-ABS(VALUE(MID(AK232,FIND("|",AK232)+1,FIND("-",AK232)-FIND("|",AK232)-1))-VALUE(MID(AK232,FIND("-",AK232)+1,10)))))*$D$50)))))*$I232,0)),0)</f>
        <v>0</v>
      </c>
      <c r="AM232" s="102"/>
      <c r="AN232" s="69" t="s">
        <v>1955</v>
      </c>
      <c r="AO232" s="66">
        <f>IFERROR(IF($M232=AN232,($D$8+$D$9+$D$10)*$I232,IF($N232=LEFT(AN232,1),($D$8+MAX(0,IF($D$50=1,$D$9*(1-(ABS($Q232-ABS(VALUE(MID(AN232,FIND("|",AN232)+1,FIND("-",AN232)-FIND("|",AN232)-1))-VALUE(MID(AN232,FIND("-",AN232)+1,10)))))*$D$50),$D$9*(1-(IF($N232="X",ABS($O232-VALUE(MID(AN232,FIND("|",AN232)+1,FIND("-",AN232)-FIND("|",AN232)-1))),ABS($Q232-ABS(VALUE(MID(AN232,FIND("|",AN232)+1,FIND("-",AN232)-FIND("|",AN232)-1))-VALUE(MID(AN232,FIND("-",AN232)+1,10)))))*$D$50)))))*$I232,0)),0)</f>
        <v>0</v>
      </c>
      <c r="AP232" s="102"/>
      <c r="AQ232" s="69" t="s">
        <v>1955</v>
      </c>
      <c r="AR232" s="66">
        <f>IFERROR(IF($M232=AQ232,($D$8+$D$9+$D$10)*$I232,IF($N232=LEFT(AQ232,1),($D$8+MAX(0,IF($D$50=1,$D$9*(1-(ABS($Q232-ABS(VALUE(MID(AQ232,FIND("|",AQ232)+1,FIND("-",AQ232)-FIND("|",AQ232)-1))-VALUE(MID(AQ232,FIND("-",AQ232)+1,10)))))*$D$50),$D$9*(1-(IF($N232="X",ABS($O232-VALUE(MID(AQ232,FIND("|",AQ232)+1,FIND("-",AQ232)-FIND("|",AQ232)-1))),ABS($Q232-ABS(VALUE(MID(AQ232,FIND("|",AQ232)+1,FIND("-",AQ232)-FIND("|",AQ232)-1))-VALUE(MID(AQ232,FIND("-",AQ232)+1,10)))))*$D$50)))))*$I232,0)),0)</f>
        <v>0</v>
      </c>
      <c r="AS232" s="102"/>
      <c r="AT232" s="69" t="s">
        <v>1964</v>
      </c>
      <c r="AU232" s="66">
        <f>IFERROR(IF($M232=AT232,($D$8+$D$9+$D$10)*$I232,IF($N232=LEFT(AT232,1),($D$8+MAX(0,IF($D$50=1,$D$9*(1-(ABS($Q232-ABS(VALUE(MID(AT232,FIND("|",AT232)+1,FIND("-",AT232)-FIND("|",AT232)-1))-VALUE(MID(AT232,FIND("-",AT232)+1,10)))))*$D$50),$D$9*(1-(IF($N232="X",ABS($O232-VALUE(MID(AT232,FIND("|",AT232)+1,FIND("-",AT232)-FIND("|",AT232)-1))),ABS($Q232-ABS(VALUE(MID(AT232,FIND("|",AT232)+1,FIND("-",AT232)-FIND("|",AT232)-1))-VALUE(MID(AT232,FIND("-",AT232)+1,10)))))*$D$50)))))*$I232,0)),0)</f>
        <v>0</v>
      </c>
      <c r="AV232" s="102"/>
      <c r="AW232" s="69" t="s">
        <v>1956</v>
      </c>
      <c r="AX232" s="66">
        <f>IFERROR(IF($M232=AW232,($D$8+$D$9+$D$10)*$I232,IF($N232=LEFT(AW232,1),($D$8+MAX(0,IF($D$50=1,$D$9*(1-(ABS($Q232-ABS(VALUE(MID(AW232,FIND("|",AW232)+1,FIND("-",AW232)-FIND("|",AW232)-1))-VALUE(MID(AW232,FIND("-",AW232)+1,10)))))*$D$50),$D$9*(1-(IF($N232="X",ABS($O232-VALUE(MID(AW232,FIND("|",AW232)+1,FIND("-",AW232)-FIND("|",AW232)-1))),ABS($Q232-ABS(VALUE(MID(AW232,FIND("|",AW232)+1,FIND("-",AW232)-FIND("|",AW232)-1))-VALUE(MID(AW232,FIND("-",AW232)+1,10)))))*$D$50)))))*$I232,0)),0)</f>
        <v>0</v>
      </c>
      <c r="AY232" s="102"/>
      <c r="AZ232" s="69" t="s">
        <v>1947</v>
      </c>
      <c r="BA232" s="66">
        <f>IFERROR(IF($M232=AZ232,($D$8+$D$9+$D$10)*$I232,IF($N232=LEFT(AZ232,1),($D$8+MAX(0,IF($D$50=1,$D$9*(1-(ABS($Q232-ABS(VALUE(MID(AZ232,FIND("|",AZ232)+1,FIND("-",AZ232)-FIND("|",AZ232)-1))-VALUE(MID(AZ232,FIND("-",AZ232)+1,10)))))*$D$50),$D$9*(1-(IF($N232="X",ABS($O232-VALUE(MID(AZ232,FIND("|",AZ232)+1,FIND("-",AZ232)-FIND("|",AZ232)-1))),ABS($Q232-ABS(VALUE(MID(AZ232,FIND("|",AZ232)+1,FIND("-",AZ232)-FIND("|",AZ232)-1))-VALUE(MID(AZ232,FIND("-",AZ232)+1,10)))))*$D$50)))))*$I232,0)),0)</f>
        <v>0</v>
      </c>
      <c r="BB232" s="102"/>
      <c r="BC232" s="69" t="s">
        <v>1948</v>
      </c>
      <c r="BD232" s="66">
        <f>IFERROR(IF($M232=BC232,($D$8+$D$9+$D$10)*$I232,IF($N232=LEFT(BC232,1),($D$8+MAX(0,IF($D$50=1,$D$9*(1-(ABS($Q232-ABS(VALUE(MID(BC232,FIND("|",BC232)+1,FIND("-",BC232)-FIND("|",BC232)-1))-VALUE(MID(BC232,FIND("-",BC232)+1,10)))))*$D$50),$D$9*(1-(IF($N232="X",ABS($O232-VALUE(MID(BC232,FIND("|",BC232)+1,FIND("-",BC232)-FIND("|",BC232)-1))),ABS($Q232-ABS(VALUE(MID(BC232,FIND("|",BC232)+1,FIND("-",BC232)-FIND("|",BC232)-1))-VALUE(MID(BC232,FIND("-",BC232)+1,10)))))*$D$50)))))*$I232,0)),0)</f>
        <v>0</v>
      </c>
      <c r="BE232" s="102"/>
      <c r="BF232" s="69" t="s">
        <v>1955</v>
      </c>
      <c r="BG232" s="66">
        <f>IFERROR(IF($M232=BF232,($D$8+$D$9+$D$10)*$I232,IF($N232=LEFT(BF232,1),($D$8+MAX(0,IF($D$50=1,$D$9*(1-(ABS($Q232-ABS(VALUE(MID(BF232,FIND("|",BF232)+1,FIND("-",BF232)-FIND("|",BF232)-1))-VALUE(MID(BF232,FIND("-",BF232)+1,10)))))*$D$50),$D$9*(1-(IF($N232="X",ABS($O232-VALUE(MID(BF232,FIND("|",BF232)+1,FIND("-",BF232)-FIND("|",BF232)-1))),ABS($Q232-ABS(VALUE(MID(BF232,FIND("|",BF232)+1,FIND("-",BF232)-FIND("|",BF232)-1))-VALUE(MID(BF232,FIND("-",BF232)+1,10)))))*$D$50)))))*$I232,0)),0)</f>
        <v>0</v>
      </c>
      <c r="BH232" s="102"/>
      <c r="BI232" s="69" t="s">
        <v>1963</v>
      </c>
      <c r="BJ232" s="66">
        <f>IFERROR(IF($M232=BI232,($D$8+$D$9+$D$10)*$I232,IF($N232=LEFT(BI232,1),($D$8+MAX(0,IF($D$50=1,$D$9*(1-(ABS($Q232-ABS(VALUE(MID(BI232,FIND("|",BI232)+1,FIND("-",BI232)-FIND("|",BI232)-1))-VALUE(MID(BI232,FIND("-",BI232)+1,10)))))*$D$50),$D$9*(1-(IF($N232="X",ABS($O232-VALUE(MID(BI232,FIND("|",BI232)+1,FIND("-",BI232)-FIND("|",BI232)-1))),ABS($Q232-ABS(VALUE(MID(BI232,FIND("|",BI232)+1,FIND("-",BI232)-FIND("|",BI232)-1))-VALUE(MID(BI232,FIND("-",BI232)+1,10)))))*$D$50)))))*$I232,0)),0)</f>
        <v>0</v>
      </c>
      <c r="BK232" s="102"/>
      <c r="BL232" s="69" t="s">
        <v>1955</v>
      </c>
      <c r="BM232" s="66">
        <f>IFERROR(IF($M232=BL232,($D$8+$D$9+$D$10)*$I232,IF($N232=LEFT(BL232,1),($D$8+MAX(0,IF($D$50=1,$D$9*(1-(ABS($Q232-ABS(VALUE(MID(BL232,FIND("|",BL232)+1,FIND("-",BL232)-FIND("|",BL232)-1))-VALUE(MID(BL232,FIND("-",BL232)+1,10)))))*$D$50),$D$9*(1-(IF($N232="X",ABS($O232-VALUE(MID(BL232,FIND("|",BL232)+1,FIND("-",BL232)-FIND("|",BL232)-1))),ABS($Q232-ABS(VALUE(MID(BL232,FIND("|",BL232)+1,FIND("-",BL232)-FIND("|",BL232)-1))-VALUE(MID(BL232,FIND("-",BL232)+1,10)))))*$D$50)))))*$I232,0)),0)</f>
        <v>0</v>
      </c>
      <c r="BN232" s="102"/>
      <c r="BO232" s="69" t="s">
        <v>1963</v>
      </c>
      <c r="BP232" s="66">
        <f>IFERROR(IF($M232=BO232,($D$8+$D$9+$D$10)*$I232,IF($N232=LEFT(BO232,1),($D$8+MAX(0,IF($D$50=1,$D$9*(1-(ABS($Q232-ABS(VALUE(MID(BO232,FIND("|",BO232)+1,FIND("-",BO232)-FIND("|",BO232)-1))-VALUE(MID(BO232,FIND("-",BO232)+1,10)))))*$D$50),$D$9*(1-(IF($N232="X",ABS($O232-VALUE(MID(BO232,FIND("|",BO232)+1,FIND("-",BO232)-FIND("|",BO232)-1))),ABS($Q232-ABS(VALUE(MID(BO232,FIND("|",BO232)+1,FIND("-",BO232)-FIND("|",BO232)-1))-VALUE(MID(BO232,FIND("-",BO232)+1,10)))))*$D$50)))))*$I232,0)),0)</f>
        <v>0</v>
      </c>
      <c r="BQ232" s="102"/>
      <c r="BR232" s="69" t="s">
        <v>1956</v>
      </c>
      <c r="BS232" s="66">
        <f>IFERROR(IF($M232=BR232,($D$8+$D$9+$D$10)*$I232,IF($N232=LEFT(BR232,1),($D$8+MAX(0,IF($D$50=1,$D$9*(1-(ABS($Q232-ABS(VALUE(MID(BR232,FIND("|",BR232)+1,FIND("-",BR232)-FIND("|",BR232)-1))-VALUE(MID(BR232,FIND("-",BR232)+1,10)))))*$D$50),$D$9*(1-(IF($N232="X",ABS($O232-VALUE(MID(BR232,FIND("|",BR232)+1,FIND("-",BR232)-FIND("|",BR232)-1))),ABS($Q232-ABS(VALUE(MID(BR232,FIND("|",BR232)+1,FIND("-",BR232)-FIND("|",BR232)-1))-VALUE(MID(BR232,FIND("-",BR232)+1,10)))))*$D$50)))))*$I232,0)),0)</f>
        <v>0</v>
      </c>
      <c r="BT232" s="102"/>
      <c r="BU232" s="69" t="str">
        <f>Idiomas!$D$370</f>
        <v>Pegar valores Semifinales</v>
      </c>
      <c r="BV232" s="66">
        <f>IFERROR(IF($M232=BU232,($D$8+$D$9+$D$10)*$I232,IF($N232=LEFT(BU232,1),($D$8+MAX(0,IF($D$50=1,$D$9*(1-(ABS($Q232-ABS(VALUE(MID(BU232,FIND("|",BU232)+1,FIND("-",BU232)-FIND("|",BU232)-1))-VALUE(MID(BU232,FIND("-",BU232)+1,10)))))*$D$50),$D$9*(1-(IF($N232="X",ABS($O232-VALUE(MID(BU232,FIND("|",BU232)+1,FIND("-",BU232)-FIND("|",BU232)-1))),ABS($Q232-ABS(VALUE(MID(BU232,FIND("|",BU232)+1,FIND("-",BU232)-FIND("|",BU232)-1))-VALUE(MID(BU232,FIND("-",BU232)+1,10)))))*$D$50)))))*$I232,0)),0)</f>
        <v>0</v>
      </c>
      <c r="BW232" s="102"/>
      <c r="BX232" s="69" t="str">
        <f>Idiomas!$D$370</f>
        <v>Pegar valores Semifinales</v>
      </c>
      <c r="BY232" s="66">
        <f>IFERROR(IF($M232=BX232,($D$8+$D$9+$D$10)*$I232,IF($N232=LEFT(BX232,1),($D$8+MAX(0,IF($D$50=1,$D$9*(1-(ABS($Q232-ABS(VALUE(MID(BX232,FIND("|",BX232)+1,FIND("-",BX232)-FIND("|",BX232)-1))-VALUE(MID(BX232,FIND("-",BX232)+1,10)))))*$D$50),$D$9*(1-(IF($N232="X",ABS($O232-VALUE(MID(BX232,FIND("|",BX232)+1,FIND("-",BX232)-FIND("|",BX232)-1))),ABS($Q232-ABS(VALUE(MID(BX232,FIND("|",BX232)+1,FIND("-",BX232)-FIND("|",BX232)-1))-VALUE(MID(BX232,FIND("-",BX232)+1,10)))))*$D$50)))))*$I232,0)),0)</f>
        <v>0</v>
      </c>
      <c r="BZ232" s="102"/>
      <c r="CA232" s="69" t="str">
        <f>Idiomas!$D$370</f>
        <v>Pegar valores Semifinales</v>
      </c>
      <c r="CB232" s="66">
        <f>IFERROR(IF($M232=CA232,($D$8+$D$9+$D$10)*$I232,IF($N232=LEFT(CA232,1),($D$8+MAX(0,IF($D$50=1,$D$9*(1-(ABS($Q232-ABS(VALUE(MID(CA232,FIND("|",CA232)+1,FIND("-",CA232)-FIND("|",CA232)-1))-VALUE(MID(CA232,FIND("-",CA232)+1,10)))))*$D$50),$D$9*(1-(IF($N232="X",ABS($O232-VALUE(MID(CA232,FIND("|",CA232)+1,FIND("-",CA232)-FIND("|",CA232)-1))),ABS($Q232-ABS(VALUE(MID(CA232,FIND("|",CA232)+1,FIND("-",CA232)-FIND("|",CA232)-1))-VALUE(MID(CA232,FIND("-",CA232)+1,10)))))*$D$50)))))*$I232,0)),0)</f>
        <v>0</v>
      </c>
      <c r="CC232" s="102"/>
      <c r="CD232" s="69" t="str">
        <f>Idiomas!$D$370</f>
        <v>Pegar valores Semifinales</v>
      </c>
      <c r="CE232" s="66">
        <f>IFERROR(IF($M232=CD232,($D$8+$D$9+$D$10)*$I232,IF($N232=LEFT(CD232,1),($D$8+MAX(0,IF($D$50=1,$D$9*(1-(ABS($Q232-ABS(VALUE(MID(CD232,FIND("|",CD232)+1,FIND("-",CD232)-FIND("|",CD232)-1))-VALUE(MID(CD232,FIND("-",CD232)+1,10)))))*$D$50),$D$9*(1-(IF($N232="X",ABS($O232-VALUE(MID(CD232,FIND("|",CD232)+1,FIND("-",CD232)-FIND("|",CD232)-1))),ABS($Q232-ABS(VALUE(MID(CD232,FIND("|",CD232)+1,FIND("-",CD232)-FIND("|",CD232)-1))-VALUE(MID(CD232,FIND("-",CD232)+1,10)))))*$D$50)))))*$I232,0)),0)</f>
        <v>0</v>
      </c>
      <c r="CF232" s="102"/>
      <c r="CG232" s="69" t="str">
        <f>Idiomas!$D$370</f>
        <v>Pegar valores Semifinales</v>
      </c>
      <c r="CH232" s="66">
        <f>IFERROR(IF($M232=CG232,($D$8+$D$9+$D$10)*$I232,IF($N232=LEFT(CG232,1),($D$8+MAX(0,IF($D$50=1,$D$9*(1-(ABS($Q232-ABS(VALUE(MID(CG232,FIND("|",CG232)+1,FIND("-",CG232)-FIND("|",CG232)-1))-VALUE(MID(CG232,FIND("-",CG232)+1,10)))))*$D$50),$D$9*(1-(IF($N232="X",ABS($O232-VALUE(MID(CG232,FIND("|",CG232)+1,FIND("-",CG232)-FIND("|",CG232)-1))),ABS($Q232-ABS(VALUE(MID(CG232,FIND("|",CG232)+1,FIND("-",CG232)-FIND("|",CG232)-1))-VALUE(MID(CG232,FIND("-",CG232)+1,10)))))*$D$50)))))*$I232,0)),0)</f>
        <v>0</v>
      </c>
      <c r="CI232" s="102"/>
      <c r="CJ232" s="69" t="str">
        <f>Idiomas!$D$370</f>
        <v>Pegar valores Semifinales</v>
      </c>
      <c r="CK232" s="66">
        <f>IFERROR(IF($M232=CJ232,($D$8+$D$9+$D$10)*$I232,IF($N232=LEFT(CJ232,1),($D$8+MAX(0,IF($D$50=1,$D$9*(1-(ABS($Q232-ABS(VALUE(MID(CJ232,FIND("|",CJ232)+1,FIND("-",CJ232)-FIND("|",CJ232)-1))-VALUE(MID(CJ232,FIND("-",CJ232)+1,10)))))*$D$50),$D$9*(1-(IF($N232="X",ABS($O232-VALUE(MID(CJ232,FIND("|",CJ232)+1,FIND("-",CJ232)-FIND("|",CJ232)-1))),ABS($Q232-ABS(VALUE(MID(CJ232,FIND("|",CJ232)+1,FIND("-",CJ232)-FIND("|",CJ232)-1))-VALUE(MID(CJ232,FIND("-",CJ232)+1,10)))))*$D$50)))))*$I232,0)),0)</f>
        <v>0</v>
      </c>
      <c r="CL232" s="102"/>
      <c r="CM232" s="69" t="str">
        <f>Idiomas!$D$370</f>
        <v>Pegar valores Semifinales</v>
      </c>
      <c r="CN232" s="66">
        <f>IFERROR(IF($M232=CM232,($D$8+$D$9+$D$10)*$I232,IF($N232=LEFT(CM232,1),($D$8+MAX(0,IF($D$50=1,$D$9*(1-(ABS($Q232-ABS(VALUE(MID(CM232,FIND("|",CM232)+1,FIND("-",CM232)-FIND("|",CM232)-1))-VALUE(MID(CM232,FIND("-",CM232)+1,10)))))*$D$50),$D$9*(1-(IF($N232="X",ABS($O232-VALUE(MID(CM232,FIND("|",CM232)+1,FIND("-",CM232)-FIND("|",CM232)-1))),ABS($Q232-ABS(VALUE(MID(CM232,FIND("|",CM232)+1,FIND("-",CM232)-FIND("|",CM232)-1))-VALUE(MID(CM232,FIND("-",CM232)+1,10)))))*$D$50)))))*$I232,0)),0)</f>
        <v>0</v>
      </c>
      <c r="CO232" s="102"/>
      <c r="CP232" s="69" t="str">
        <f>Idiomas!$D$370</f>
        <v>Pegar valores Semifinales</v>
      </c>
      <c r="CQ232" s="66">
        <f>IFERROR(IF($M232=CP232,($D$8+$D$9+$D$10)*$I232,IF($N232=LEFT(CP232,1),($D$8+MAX(0,IF($D$50=1,$D$9*(1-(ABS($Q232-ABS(VALUE(MID(CP232,FIND("|",CP232)+1,FIND("-",CP232)-FIND("|",CP232)-1))-VALUE(MID(CP232,FIND("-",CP232)+1,10)))))*$D$50),$D$9*(1-(IF($N232="X",ABS($O232-VALUE(MID(CP232,FIND("|",CP232)+1,FIND("-",CP232)-FIND("|",CP232)-1))),ABS($Q232-ABS(VALUE(MID(CP232,FIND("|",CP232)+1,FIND("-",CP232)-FIND("|",CP232)-1))-VALUE(MID(CP232,FIND("-",CP232)+1,10)))))*$D$50)))))*$I232,0)),0)</f>
        <v>0</v>
      </c>
      <c r="CR232" s="102"/>
      <c r="CS232" s="69" t="str">
        <f>Idiomas!$D$370</f>
        <v>Pegar valores Semifinales</v>
      </c>
      <c r="CT232" s="66">
        <f>IFERROR(IF($M232=CS232,($D$8+$D$9+$D$10)*$I232,IF($N232=LEFT(CS232,1),($D$8+MAX(0,IF($D$50=1,$D$9*(1-(ABS($Q232-ABS(VALUE(MID(CS232,FIND("|",CS232)+1,FIND("-",CS232)-FIND("|",CS232)-1))-VALUE(MID(CS232,FIND("-",CS232)+1,10)))))*$D$50),$D$9*(1-(IF($N232="X",ABS($O232-VALUE(MID(CS232,FIND("|",CS232)+1,FIND("-",CS232)-FIND("|",CS232)-1))),ABS($Q232-ABS(VALUE(MID(CS232,FIND("|",CS232)+1,FIND("-",CS232)-FIND("|",CS232)-1))-VALUE(MID(CS232,FIND("-",CS232)+1,10)))))*$D$50)))))*$I232,0)),0)</f>
        <v>0</v>
      </c>
      <c r="CU232" s="102"/>
      <c r="CV232" s="69" t="str">
        <f>Idiomas!$D$370</f>
        <v>Pegar valores Semifinales</v>
      </c>
      <c r="CW232" s="66">
        <f>IFERROR(IF($M232=CV232,($D$8+$D$9+$D$10)*$I232,IF($N232=LEFT(CV232,1),($D$8+MAX(0,IF($D$50=1,$D$9*(1-(ABS($Q232-ABS(VALUE(MID(CV232,FIND("|",CV232)+1,FIND("-",CV232)-FIND("|",CV232)-1))-VALUE(MID(CV232,FIND("-",CV232)+1,10)))))*$D$50),$D$9*(1-(IF($N232="X",ABS($O232-VALUE(MID(CV232,FIND("|",CV232)+1,FIND("-",CV232)-FIND("|",CV232)-1))),ABS($Q232-ABS(VALUE(MID(CV232,FIND("|",CV232)+1,FIND("-",CV232)-FIND("|",CV232)-1))-VALUE(MID(CV232,FIND("-",CV232)+1,10)))))*$D$50)))))*$I232,0)),0)</f>
        <v>0</v>
      </c>
      <c r="CX232" s="102"/>
      <c r="CY232" s="69" t="str">
        <f>Idiomas!$D$370</f>
        <v>Pegar valores Semifinales</v>
      </c>
      <c r="CZ232" s="66">
        <f>IFERROR(IF($M232=CY232,($D$8+$D$9+$D$10)*$I232,IF($N232=LEFT(CY232,1),($D$8+MAX(0,IF($D$50=1,$D$9*(1-(ABS($Q232-ABS(VALUE(MID(CY232,FIND("|",CY232)+1,FIND("-",CY232)-FIND("|",CY232)-1))-VALUE(MID(CY232,FIND("-",CY232)+1,10)))))*$D$50),$D$9*(1-(IF($N232="X",ABS($O232-VALUE(MID(CY232,FIND("|",CY232)+1,FIND("-",CY232)-FIND("|",CY232)-1))),ABS($Q232-ABS(VALUE(MID(CY232,FIND("|",CY232)+1,FIND("-",CY232)-FIND("|",CY232)-1))-VALUE(MID(CY232,FIND("-",CY232)+1,10)))))*$D$50)))))*$I232,0)),0)</f>
        <v>0</v>
      </c>
      <c r="DA232" s="102"/>
      <c r="DB232" s="69" t="str">
        <f>Idiomas!$D$370</f>
        <v>Pegar valores Semifinales</v>
      </c>
      <c r="DC232" s="66">
        <f>IFERROR(IF($M232=DB232,($D$8+$D$9+$D$10)*$I232,IF($N232=LEFT(DB232,1),($D$8+MAX(0,IF($D$50=1,$D$9*(1-(ABS($Q232-ABS(VALUE(MID(DB232,FIND("|",DB232)+1,FIND("-",DB232)-FIND("|",DB232)-1))-VALUE(MID(DB232,FIND("-",DB232)+1,10)))))*$D$50),$D$9*(1-(IF($N232="X",ABS($O232-VALUE(MID(DB232,FIND("|",DB232)+1,FIND("-",DB232)-FIND("|",DB232)-1))),ABS($Q232-ABS(VALUE(MID(DB232,FIND("|",DB232)+1,FIND("-",DB232)-FIND("|",DB232)-1))-VALUE(MID(DB232,FIND("-",DB232)+1,10)))))*$D$50)))))*$I232,0)),0)</f>
        <v>0</v>
      </c>
      <c r="DD232" s="102"/>
      <c r="DE232" s="69" t="str">
        <f>Idiomas!$D$370</f>
        <v>Pegar valores Semifinales</v>
      </c>
      <c r="DF232" s="66">
        <f>IFERROR(IF($M232=DE232,($D$8+$D$9+$D$10)*$I232,IF($N232=LEFT(DE232,1),($D$8+MAX(0,IF($D$50=1,$D$9*(1-(ABS($Q232-ABS(VALUE(MID(DE232,FIND("|",DE232)+1,FIND("-",DE232)-FIND("|",DE232)-1))-VALUE(MID(DE232,FIND("-",DE232)+1,10)))))*$D$50),$D$9*(1-(IF($N232="X",ABS($O232-VALUE(MID(DE232,FIND("|",DE232)+1,FIND("-",DE232)-FIND("|",DE232)-1))),ABS($Q232-ABS(VALUE(MID(DE232,FIND("|",DE232)+1,FIND("-",DE232)-FIND("|",DE232)-1))-VALUE(MID(DE232,FIND("-",DE232)+1,10)))))*$D$50)))))*$I232,0)),0)</f>
        <v>0</v>
      </c>
      <c r="DG232" s="102"/>
      <c r="DH232" s="69" t="str">
        <f>Idiomas!$D$370</f>
        <v>Pegar valores Semifinales</v>
      </c>
      <c r="DI232" s="66">
        <f>IFERROR(IF($M232=DH232,($D$8+$D$9+$D$10)*$I232,IF($N232=LEFT(DH232,1),($D$8+MAX(0,IF($D$50=1,$D$9*(1-(ABS($Q232-ABS(VALUE(MID(DH232,FIND("|",DH232)+1,FIND("-",DH232)-FIND("|",DH232)-1))-VALUE(MID(DH232,FIND("-",DH232)+1,10)))))*$D$50),$D$9*(1-(IF($N232="X",ABS($O232-VALUE(MID(DH232,FIND("|",DH232)+1,FIND("-",DH232)-FIND("|",DH232)-1))),ABS($Q232-ABS(VALUE(MID(DH232,FIND("|",DH232)+1,FIND("-",DH232)-FIND("|",DH232)-1))-VALUE(MID(DH232,FIND("-",DH232)+1,10)))))*$D$50)))))*$I232,0)),0)</f>
        <v>0</v>
      </c>
      <c r="DJ232" s="102"/>
      <c r="DK232" s="69" t="str">
        <f>Idiomas!$D$370</f>
        <v>Pegar valores Semifinales</v>
      </c>
      <c r="DL232" s="66">
        <f>IFERROR(IF($M232=DK232,($D$8+$D$9+$D$10)*$I232,IF($N232=LEFT(DK232,1),($D$8+MAX(0,IF($D$50=1,$D$9*(1-(ABS($Q232-ABS(VALUE(MID(DK232,FIND("|",DK232)+1,FIND("-",DK232)-FIND("|",DK232)-1))-VALUE(MID(DK232,FIND("-",DK232)+1,10)))))*$D$50),$D$9*(1-(IF($N232="X",ABS($O232-VALUE(MID(DK232,FIND("|",DK232)+1,FIND("-",DK232)-FIND("|",DK232)-1))),ABS($Q232-ABS(VALUE(MID(DK232,FIND("|",DK232)+1,FIND("-",DK232)-FIND("|",DK232)-1))-VALUE(MID(DK232,FIND("-",DK232)+1,10)))))*$D$50)))))*$I232,0)),0)</f>
        <v>0</v>
      </c>
      <c r="DM232" s="102"/>
      <c r="DN232" s="69" t="str">
        <f>Idiomas!$D$370</f>
        <v>Pegar valores Semifinales</v>
      </c>
      <c r="DO232" s="66">
        <f>IFERROR(IF($M232=DN232,($D$8+$D$9+$D$10)*$I232,IF($N232=LEFT(DN232,1),($D$8+MAX(0,IF($D$50=1,$D$9*(1-(ABS($Q232-ABS(VALUE(MID(DN232,FIND("|",DN232)+1,FIND("-",DN232)-FIND("|",DN232)-1))-VALUE(MID(DN232,FIND("-",DN232)+1,10)))))*$D$50),$D$9*(1-(IF($N232="X",ABS($O232-VALUE(MID(DN232,FIND("|",DN232)+1,FIND("-",DN232)-FIND("|",DN232)-1))),ABS($Q232-ABS(VALUE(MID(DN232,FIND("|",DN232)+1,FIND("-",DN232)-FIND("|",DN232)-1))-VALUE(MID(DN232,FIND("-",DN232)+1,10)))))*$D$50)))))*$I232,0)),0)</f>
        <v>0</v>
      </c>
      <c r="DP232" s="102"/>
      <c r="DQ232" s="69" t="str">
        <f>Idiomas!$D$370</f>
        <v>Pegar valores Semifinales</v>
      </c>
      <c r="DR232" s="66">
        <f>IFERROR(IF($M232=DQ232,($D$8+$D$9+$D$10)*$I232,IF($N232=LEFT(DQ232,1),($D$8+MAX(0,IF($D$50=1,$D$9*(1-(ABS($Q232-ABS(VALUE(MID(DQ232,FIND("|",DQ232)+1,FIND("-",DQ232)-FIND("|",DQ232)-1))-VALUE(MID(DQ232,FIND("-",DQ232)+1,10)))))*$D$50),$D$9*(1-(IF($N232="X",ABS($O232-VALUE(MID(DQ232,FIND("|",DQ232)+1,FIND("-",DQ232)-FIND("|",DQ232)-1))),ABS($Q232-ABS(VALUE(MID(DQ232,FIND("|",DQ232)+1,FIND("-",DQ232)-FIND("|",DQ232)-1))-VALUE(MID(DQ232,FIND("-",DQ232)+1,10)))))*$D$50)))))*$I232,0)),0)</f>
        <v>0</v>
      </c>
      <c r="DS232" s="102"/>
      <c r="DT232" s="69" t="str">
        <f>Idiomas!$D$370</f>
        <v>Pegar valores Semifinales</v>
      </c>
      <c r="DU232" s="66">
        <f>IFERROR(IF($M232=DT232,($D$8+$D$9+$D$10)*$I232,IF($N232=LEFT(DT232,1),($D$8+MAX(0,IF($D$50=1,$D$9*(1-(ABS($Q232-ABS(VALUE(MID(DT232,FIND("|",DT232)+1,FIND("-",DT232)-FIND("|",DT232)-1))-VALUE(MID(DT232,FIND("-",DT232)+1,10)))))*$D$50),$D$9*(1-(IF($N232="X",ABS($O232-VALUE(MID(DT232,FIND("|",DT232)+1,FIND("-",DT232)-FIND("|",DT232)-1))),ABS($Q232-ABS(VALUE(MID(DT232,FIND("|",DT232)+1,FIND("-",DT232)-FIND("|",DT232)-1))-VALUE(MID(DT232,FIND("-",DT232)+1,10)))))*$D$50)))))*$I232,0)),0)</f>
        <v>0</v>
      </c>
      <c r="DV232" s="102"/>
      <c r="DW232" s="69" t="str">
        <f>Idiomas!$D$370</f>
        <v>Pegar valores Semifinales</v>
      </c>
      <c r="DX232" s="66">
        <f>IFERROR(IF($M232=DW232,($D$8+$D$9+$D$10)*$I232,IF($N232=LEFT(DW232,1),($D$8+MAX(0,IF($D$50=1,$D$9*(1-(ABS($Q232-ABS(VALUE(MID(DW232,FIND("|",DW232)+1,FIND("-",DW232)-FIND("|",DW232)-1))-VALUE(MID(DW232,FIND("-",DW232)+1,10)))))*$D$50),$D$9*(1-(IF($N232="X",ABS($O232-VALUE(MID(DW232,FIND("|",DW232)+1,FIND("-",DW232)-FIND("|",DW232)-1))),ABS($Q232-ABS(VALUE(MID(DW232,FIND("|",DW232)+1,FIND("-",DW232)-FIND("|",DW232)-1))-VALUE(MID(DW232,FIND("-",DW232)+1,10)))))*$D$50)))))*$I232,0)),0)</f>
        <v>0</v>
      </c>
      <c r="DY232" s="102"/>
      <c r="DZ232" s="69" t="str">
        <f>Idiomas!$D$370</f>
        <v>Pegar valores Semifinales</v>
      </c>
      <c r="EA232" s="66">
        <f>IFERROR(IF($M232=DZ232,($D$8+$D$9+$D$10)*$I232,IF($N232=LEFT(DZ232,1),($D$8+MAX(0,IF($D$50=1,$D$9*(1-(ABS($Q232-ABS(VALUE(MID(DZ232,FIND("|",DZ232)+1,FIND("-",DZ232)-FIND("|",DZ232)-1))-VALUE(MID(DZ232,FIND("-",DZ232)+1,10)))))*$D$50),$D$9*(1-(IF($N232="X",ABS($O232-VALUE(MID(DZ232,FIND("|",DZ232)+1,FIND("-",DZ232)-FIND("|",DZ232)-1))),ABS($Q232-ABS(VALUE(MID(DZ232,FIND("|",DZ232)+1,FIND("-",DZ232)-FIND("|",DZ232)-1))-VALUE(MID(DZ232,FIND("-",DZ232)+1,10)))))*$D$50)))))*$I232,0)),0)</f>
        <v>0</v>
      </c>
      <c r="EB232" s="102"/>
      <c r="EC232" s="69" t="str">
        <f>Idiomas!$D$370</f>
        <v>Pegar valores Semifinales</v>
      </c>
      <c r="ED232" s="66">
        <f>IFERROR(IF($M232=EC232,($D$8+$D$9+$D$10)*$I232,IF($N232=LEFT(EC232,1),($D$8+MAX(0,IF($D$50=1,$D$9*(1-(ABS($Q232-ABS(VALUE(MID(EC232,FIND("|",EC232)+1,FIND("-",EC232)-FIND("|",EC232)-1))-VALUE(MID(EC232,FIND("-",EC232)+1,10)))))*$D$50),$D$9*(1-(IF($N232="X",ABS($O232-VALUE(MID(EC232,FIND("|",EC232)+1,FIND("-",EC232)-FIND("|",EC232)-1))),ABS($Q232-ABS(VALUE(MID(EC232,FIND("|",EC232)+1,FIND("-",EC232)-FIND("|",EC232)-1))-VALUE(MID(EC232,FIND("-",EC232)+1,10)))))*$D$50)))))*$I232,0)),0)</f>
        <v>0</v>
      </c>
      <c r="EE232" s="102"/>
      <c r="EF232" s="69" t="str">
        <f>Idiomas!$D$370</f>
        <v>Pegar valores Semifinales</v>
      </c>
      <c r="EG232" s="66">
        <f>IFERROR(IF($M232=EF232,($D$8+$D$9+$D$10)*$I232,IF($N232=LEFT(EF232,1),($D$8+MAX(0,IF($D$50=1,$D$9*(1-(ABS($Q232-ABS(VALUE(MID(EF232,FIND("|",EF232)+1,FIND("-",EF232)-FIND("|",EF232)-1))-VALUE(MID(EF232,FIND("-",EF232)+1,10)))))*$D$50),$D$9*(1-(IF($N232="X",ABS($O232-VALUE(MID(EF232,FIND("|",EF232)+1,FIND("-",EF232)-FIND("|",EF232)-1))),ABS($Q232-ABS(VALUE(MID(EF232,FIND("|",EF232)+1,FIND("-",EF232)-FIND("|",EF232)-1))-VALUE(MID(EF232,FIND("-",EF232)+1,10)))))*$D$50)))))*$I232,0)),0)</f>
        <v>0</v>
      </c>
      <c r="EH232" s="102"/>
      <c r="EI232" s="102"/>
    </row>
    <row r="233" spans="1:139">
      <c r="A233" s="711">
        <f>WORLDCUP!AD139</f>
        <v>0</v>
      </c>
      <c r="B233" s="711">
        <f>WORLDCUP!AC139</f>
        <v>0</v>
      </c>
      <c r="C233" s="805" t="str">
        <f>CONCATENATE(WORLDCUP!AF139,"-",WORLDCUP!AA139)</f>
        <v>W100-W99</v>
      </c>
      <c r="D233" s="805" t="str">
        <f>IF(WORLDCUP!AC139&gt;WORLDCUP!AD139,2,IF(WORLDCUP!AC139&lt;WORLDCUP!AD139,1,IF(AND(WORLDCUP!AC139=WORLDCUP!AD139,WORLDCUP!AC139&lt;&gt;"",WORLDCUP!AD139&lt;&gt;""),0,"PD")))</f>
        <v>PD</v>
      </c>
      <c r="E233" s="805" t="str">
        <f>IF(OR(WORLDCUP!AD139="",WORLDCUP!AC139=""),"-",A233&amp;"-"&amp;B233)</f>
        <v>-</v>
      </c>
      <c r="F233" s="806">
        <f>SUM($D$28:$D$30)*I233</f>
        <v>18</v>
      </c>
      <c r="G233" s="806">
        <f ca="1">VLOOKUP(H233,Equipos!$Q$1:$R$25,2,0)</f>
        <v>23</v>
      </c>
      <c r="H233" s="800" t="str">
        <f>Idiomas!$D$263</f>
        <v>Semifinales</v>
      </c>
      <c r="I233" s="808">
        <v>1</v>
      </c>
      <c r="J233" s="860"/>
      <c r="K233" s="49" t="str">
        <f>CONCATENATE(WORLDCUP!AA139,"-",WORLDCUP!AF139)</f>
        <v>W99-W100</v>
      </c>
      <c r="L233" s="46" t="str">
        <f>IF(OR(WORLDCUP!AC139="",WORLDCUP!AD139=""),"PD",IF(WORLDCUP!AC139&gt;WORLDCUP!AD139,1,IF(WORLDCUP!AC139&lt;WORLDCUP!AD139,2,0)))</f>
        <v>PD</v>
      </c>
      <c r="M233" s="48" t="str">
        <f>IF(OR(WORLDCUP!AC139="",WORLDCUP!AD139=""),"-",N233&amp;"|"&amp;O233&amp;"-"&amp;P233)</f>
        <v>-</v>
      </c>
      <c r="N233" s="711" t="str">
        <f>IF(OR(WORLDCUP!AC139="",WORLDCUP!AD139=""),"",IF(WORLDCUP!AC139&gt;WORLDCUP!AD139,"1",IF(WORLDCUP!AC139&lt;WORLDCUP!AD139,"2","X")))</f>
        <v/>
      </c>
      <c r="O233" s="711">
        <f>WORLDCUP!AC139</f>
        <v>0</v>
      </c>
      <c r="P233" s="711">
        <f>WORLDCUP!AD139</f>
        <v>0</v>
      </c>
      <c r="Q233" s="711">
        <f>ABS(O233-P233)</f>
        <v>0</v>
      </c>
      <c r="R233" s="102"/>
      <c r="S233" s="73" t="s">
        <v>1966</v>
      </c>
      <c r="T233" s="66">
        <f>IFERROR(IF($M233=S233,($D$8+$D$9+$D$10)*$I233,IF($N233=LEFT(S233,1),($D$8+MAX(0,IF($D$50=1,$D$9*(1-(ABS($Q233-ABS(VALUE(MID(S233,FIND("|",S233)+1,FIND("-",S233)-FIND("|",S233)-1))-VALUE(MID(S233,FIND("-",S233)+1,10)))))*$D$50),$D$9*(1-(IF($N233="X",ABS($O233-VALUE(MID(S233,FIND("|",S233)+1,FIND("-",S233)-FIND("|",S233)-1))),ABS($Q233-ABS(VALUE(MID(S233,FIND("|",S233)+1,FIND("-",S233)-FIND("|",S233)-1))-VALUE(MID(S233,FIND("-",S233)+1,10)))))*$D$50)))))*$I233,0)),0)</f>
        <v>0</v>
      </c>
      <c r="U233" s="102"/>
      <c r="V233" s="73" t="s">
        <v>1948</v>
      </c>
      <c r="W233" s="66">
        <f>IFERROR(IF($M233=V233,($D$8+$D$9+$D$10)*$I233,IF($N233=LEFT(V233,1),($D$8+MAX(0,IF($D$50=1,$D$9*(1-(ABS($Q233-ABS(VALUE(MID(V233,FIND("|",V233)+1,FIND("-",V233)-FIND("|",V233)-1))-VALUE(MID(V233,FIND("-",V233)+1,10)))))*$D$50),$D$9*(1-(IF($N233="X",ABS($O233-VALUE(MID(V233,FIND("|",V233)+1,FIND("-",V233)-FIND("|",V233)-1))),ABS($Q233-ABS(VALUE(MID(V233,FIND("|",V233)+1,FIND("-",V233)-FIND("|",V233)-1))-VALUE(MID(V233,FIND("-",V233)+1,10)))))*$D$50)))))*$I233,0)),0)</f>
        <v>0</v>
      </c>
      <c r="X233" s="102"/>
      <c r="Y233" s="73" t="s">
        <v>1960</v>
      </c>
      <c r="Z233" s="66">
        <f>IFERROR(IF($M233=Y233,($D$8+$D$9+$D$10)*$I233,IF($N233=LEFT(Y233,1),($D$8+MAX(0,IF($D$50=1,$D$9*(1-(ABS($Q233-ABS(VALUE(MID(Y233,FIND("|",Y233)+1,FIND("-",Y233)-FIND("|",Y233)-1))-VALUE(MID(Y233,FIND("-",Y233)+1,10)))))*$D$50),$D$9*(1-(IF($N233="X",ABS($O233-VALUE(MID(Y233,FIND("|",Y233)+1,FIND("-",Y233)-FIND("|",Y233)-1))),ABS($Q233-ABS(VALUE(MID(Y233,FIND("|",Y233)+1,FIND("-",Y233)-FIND("|",Y233)-1))-VALUE(MID(Y233,FIND("-",Y233)+1,10)))))*$D$50)))))*$I233,0)),0)</f>
        <v>0</v>
      </c>
      <c r="AA233" s="102"/>
      <c r="AB233" s="73" t="s">
        <v>1955</v>
      </c>
      <c r="AC233" s="66">
        <f>IFERROR(IF($M233=AB233,($D$8+$D$9+$D$10)*$I233,IF($N233=LEFT(AB233,1),($D$8+MAX(0,IF($D$50=1,$D$9*(1-(ABS($Q233-ABS(VALUE(MID(AB233,FIND("|",AB233)+1,FIND("-",AB233)-FIND("|",AB233)-1))-VALUE(MID(AB233,FIND("-",AB233)+1,10)))))*$D$50),$D$9*(1-(IF($N233="X",ABS($O233-VALUE(MID(AB233,FIND("|",AB233)+1,FIND("-",AB233)-FIND("|",AB233)-1))),ABS($Q233-ABS(VALUE(MID(AB233,FIND("|",AB233)+1,FIND("-",AB233)-FIND("|",AB233)-1))-VALUE(MID(AB233,FIND("-",AB233)+1,10)))))*$D$50)))))*$I233,0)),0)</f>
        <v>0</v>
      </c>
      <c r="AD233" s="102"/>
      <c r="AE233" s="73" t="s">
        <v>1950</v>
      </c>
      <c r="AF233" s="66">
        <f>IFERROR(IF($M233=AE233,($D$8+$D$9+$D$10)*$I233,IF($N233=LEFT(AE233,1),($D$8+MAX(0,IF($D$50=1,$D$9*(1-(ABS($Q233-ABS(VALUE(MID(AE233,FIND("|",AE233)+1,FIND("-",AE233)-FIND("|",AE233)-1))-VALUE(MID(AE233,FIND("-",AE233)+1,10)))))*$D$50),$D$9*(1-(IF($N233="X",ABS($O233-VALUE(MID(AE233,FIND("|",AE233)+1,FIND("-",AE233)-FIND("|",AE233)-1))),ABS($Q233-ABS(VALUE(MID(AE233,FIND("|",AE233)+1,FIND("-",AE233)-FIND("|",AE233)-1))-VALUE(MID(AE233,FIND("-",AE233)+1,10)))))*$D$50)))))*$I233,0)),0)</f>
        <v>0</v>
      </c>
      <c r="AG233" s="102"/>
      <c r="AH233" s="73" t="s">
        <v>1948</v>
      </c>
      <c r="AI233" s="66">
        <f>IFERROR(IF($M233=AH233,($D$8+$D$9+$D$10)*$I233,IF($N233=LEFT(AH233,1),($D$8+MAX(0,IF($D$50=1,$D$9*(1-(ABS($Q233-ABS(VALUE(MID(AH233,FIND("|",AH233)+1,FIND("-",AH233)-FIND("|",AH233)-1))-VALUE(MID(AH233,FIND("-",AH233)+1,10)))))*$D$50),$D$9*(1-(IF($N233="X",ABS($O233-VALUE(MID(AH233,FIND("|",AH233)+1,FIND("-",AH233)-FIND("|",AH233)-1))),ABS($Q233-ABS(VALUE(MID(AH233,FIND("|",AH233)+1,FIND("-",AH233)-FIND("|",AH233)-1))-VALUE(MID(AH233,FIND("-",AH233)+1,10)))))*$D$50)))))*$I233,0)),0)</f>
        <v>0</v>
      </c>
      <c r="AJ233" s="102"/>
      <c r="AK233" s="73" t="s">
        <v>1947</v>
      </c>
      <c r="AL233" s="66">
        <f>IFERROR(IF($M233=AK233,($D$8+$D$9+$D$10)*$I233,IF($N233=LEFT(AK233,1),($D$8+MAX(0,IF($D$50=1,$D$9*(1-(ABS($Q233-ABS(VALUE(MID(AK233,FIND("|",AK233)+1,FIND("-",AK233)-FIND("|",AK233)-1))-VALUE(MID(AK233,FIND("-",AK233)+1,10)))))*$D$50),$D$9*(1-(IF($N233="X",ABS($O233-VALUE(MID(AK233,FIND("|",AK233)+1,FIND("-",AK233)-FIND("|",AK233)-1))),ABS($Q233-ABS(VALUE(MID(AK233,FIND("|",AK233)+1,FIND("-",AK233)-FIND("|",AK233)-1))-VALUE(MID(AK233,FIND("-",AK233)+1,10)))))*$D$50)))))*$I233,0)),0)</f>
        <v>0</v>
      </c>
      <c r="AM233" s="102"/>
      <c r="AN233" s="73" t="s">
        <v>1947</v>
      </c>
      <c r="AO233" s="66">
        <f>IFERROR(IF($M233=AN233,($D$8+$D$9+$D$10)*$I233,IF($N233=LEFT(AN233,1),($D$8+MAX(0,IF($D$50=1,$D$9*(1-(ABS($Q233-ABS(VALUE(MID(AN233,FIND("|",AN233)+1,FIND("-",AN233)-FIND("|",AN233)-1))-VALUE(MID(AN233,FIND("-",AN233)+1,10)))))*$D$50),$D$9*(1-(IF($N233="X",ABS($O233-VALUE(MID(AN233,FIND("|",AN233)+1,FIND("-",AN233)-FIND("|",AN233)-1))),ABS($Q233-ABS(VALUE(MID(AN233,FIND("|",AN233)+1,FIND("-",AN233)-FIND("|",AN233)-1))-VALUE(MID(AN233,FIND("-",AN233)+1,10)))))*$D$50)))))*$I233,0)),0)</f>
        <v>0</v>
      </c>
      <c r="AP233" s="102"/>
      <c r="AQ233" s="73" t="s">
        <v>1947</v>
      </c>
      <c r="AR233" s="66">
        <f>IFERROR(IF($M233=AQ233,($D$8+$D$9+$D$10)*$I233,IF($N233=LEFT(AQ233,1),($D$8+MAX(0,IF($D$50=1,$D$9*(1-(ABS($Q233-ABS(VALUE(MID(AQ233,FIND("|",AQ233)+1,FIND("-",AQ233)-FIND("|",AQ233)-1))-VALUE(MID(AQ233,FIND("-",AQ233)+1,10)))))*$D$50),$D$9*(1-(IF($N233="X",ABS($O233-VALUE(MID(AQ233,FIND("|",AQ233)+1,FIND("-",AQ233)-FIND("|",AQ233)-1))),ABS($Q233-ABS(VALUE(MID(AQ233,FIND("|",AQ233)+1,FIND("-",AQ233)-FIND("|",AQ233)-1))-VALUE(MID(AQ233,FIND("-",AQ233)+1,10)))))*$D$50)))))*$I233,0)),0)</f>
        <v>0</v>
      </c>
      <c r="AS233" s="102"/>
      <c r="AT233" s="73" t="s">
        <v>1955</v>
      </c>
      <c r="AU233" s="66">
        <f>IFERROR(IF($M233=AT233,($D$8+$D$9+$D$10)*$I233,IF($N233=LEFT(AT233,1),($D$8+MAX(0,IF($D$50=1,$D$9*(1-(ABS($Q233-ABS(VALUE(MID(AT233,FIND("|",AT233)+1,FIND("-",AT233)-FIND("|",AT233)-1))-VALUE(MID(AT233,FIND("-",AT233)+1,10)))))*$D$50),$D$9*(1-(IF($N233="X",ABS($O233-VALUE(MID(AT233,FIND("|",AT233)+1,FIND("-",AT233)-FIND("|",AT233)-1))),ABS($Q233-ABS(VALUE(MID(AT233,FIND("|",AT233)+1,FIND("-",AT233)-FIND("|",AT233)-1))-VALUE(MID(AT233,FIND("-",AT233)+1,10)))))*$D$50)))))*$I233,0)),0)</f>
        <v>0</v>
      </c>
      <c r="AV233" s="102"/>
      <c r="AW233" s="73" t="s">
        <v>1948</v>
      </c>
      <c r="AX233" s="66">
        <f>IFERROR(IF($M233=AW233,($D$8+$D$9+$D$10)*$I233,IF($N233=LEFT(AW233,1),($D$8+MAX(0,IF($D$50=1,$D$9*(1-(ABS($Q233-ABS(VALUE(MID(AW233,FIND("|",AW233)+1,FIND("-",AW233)-FIND("|",AW233)-1))-VALUE(MID(AW233,FIND("-",AW233)+1,10)))))*$D$50),$D$9*(1-(IF($N233="X",ABS($O233-VALUE(MID(AW233,FIND("|",AW233)+1,FIND("-",AW233)-FIND("|",AW233)-1))),ABS($Q233-ABS(VALUE(MID(AW233,FIND("|",AW233)+1,FIND("-",AW233)-FIND("|",AW233)-1))-VALUE(MID(AW233,FIND("-",AW233)+1,10)))))*$D$50)))))*$I233,0)),0)</f>
        <v>0</v>
      </c>
      <c r="AY233" s="102"/>
      <c r="AZ233" s="73" t="s">
        <v>1947</v>
      </c>
      <c r="BA233" s="66">
        <f>IFERROR(IF($M233=AZ233,($D$8+$D$9+$D$10)*$I233,IF($N233=LEFT(AZ233,1),($D$8+MAX(0,IF($D$50=1,$D$9*(1-(ABS($Q233-ABS(VALUE(MID(AZ233,FIND("|",AZ233)+1,FIND("-",AZ233)-FIND("|",AZ233)-1))-VALUE(MID(AZ233,FIND("-",AZ233)+1,10)))))*$D$50),$D$9*(1-(IF($N233="X",ABS($O233-VALUE(MID(AZ233,FIND("|",AZ233)+1,FIND("-",AZ233)-FIND("|",AZ233)-1))),ABS($Q233-ABS(VALUE(MID(AZ233,FIND("|",AZ233)+1,FIND("-",AZ233)-FIND("|",AZ233)-1))-VALUE(MID(AZ233,FIND("-",AZ233)+1,10)))))*$D$50)))))*$I233,0)),0)</f>
        <v>0</v>
      </c>
      <c r="BB233" s="102"/>
      <c r="BC233" s="73" t="s">
        <v>1955</v>
      </c>
      <c r="BD233" s="66">
        <f>IFERROR(IF($M233=BC233,($D$8+$D$9+$D$10)*$I233,IF($N233=LEFT(BC233,1),($D$8+MAX(0,IF($D$50=1,$D$9*(1-(ABS($Q233-ABS(VALUE(MID(BC233,FIND("|",BC233)+1,FIND("-",BC233)-FIND("|",BC233)-1))-VALUE(MID(BC233,FIND("-",BC233)+1,10)))))*$D$50),$D$9*(1-(IF($N233="X",ABS($O233-VALUE(MID(BC233,FIND("|",BC233)+1,FIND("-",BC233)-FIND("|",BC233)-1))),ABS($Q233-ABS(VALUE(MID(BC233,FIND("|",BC233)+1,FIND("-",BC233)-FIND("|",BC233)-1))-VALUE(MID(BC233,FIND("-",BC233)+1,10)))))*$D$50)))))*$I233,0)),0)</f>
        <v>0</v>
      </c>
      <c r="BE233" s="102"/>
      <c r="BF233" s="73" t="s">
        <v>1955</v>
      </c>
      <c r="BG233" s="66">
        <f>IFERROR(IF($M233=BF233,($D$8+$D$9+$D$10)*$I233,IF($N233=LEFT(BF233,1),($D$8+MAX(0,IF($D$50=1,$D$9*(1-(ABS($Q233-ABS(VALUE(MID(BF233,FIND("|",BF233)+1,FIND("-",BF233)-FIND("|",BF233)-1))-VALUE(MID(BF233,FIND("-",BF233)+1,10)))))*$D$50),$D$9*(1-(IF($N233="X",ABS($O233-VALUE(MID(BF233,FIND("|",BF233)+1,FIND("-",BF233)-FIND("|",BF233)-1))),ABS($Q233-ABS(VALUE(MID(BF233,FIND("|",BF233)+1,FIND("-",BF233)-FIND("|",BF233)-1))-VALUE(MID(BF233,FIND("-",BF233)+1,10)))))*$D$50)))))*$I233,0)),0)</f>
        <v>0</v>
      </c>
      <c r="BH233" s="102"/>
      <c r="BI233" s="73" t="s">
        <v>1956</v>
      </c>
      <c r="BJ233" s="66">
        <f>IFERROR(IF($M233=BI233,($D$8+$D$9+$D$10)*$I233,IF($N233=LEFT(BI233,1),($D$8+MAX(0,IF($D$50=1,$D$9*(1-(ABS($Q233-ABS(VALUE(MID(BI233,FIND("|",BI233)+1,FIND("-",BI233)-FIND("|",BI233)-1))-VALUE(MID(BI233,FIND("-",BI233)+1,10)))))*$D$50),$D$9*(1-(IF($N233="X",ABS($O233-VALUE(MID(BI233,FIND("|",BI233)+1,FIND("-",BI233)-FIND("|",BI233)-1))),ABS($Q233-ABS(VALUE(MID(BI233,FIND("|",BI233)+1,FIND("-",BI233)-FIND("|",BI233)-1))-VALUE(MID(BI233,FIND("-",BI233)+1,10)))))*$D$50)))))*$I233,0)),0)</f>
        <v>0</v>
      </c>
      <c r="BK233" s="102"/>
      <c r="BL233" s="73" t="s">
        <v>1956</v>
      </c>
      <c r="BM233" s="66">
        <f>IFERROR(IF($M233=BL233,($D$8+$D$9+$D$10)*$I233,IF($N233=LEFT(BL233,1),($D$8+MAX(0,IF($D$50=1,$D$9*(1-(ABS($Q233-ABS(VALUE(MID(BL233,FIND("|",BL233)+1,FIND("-",BL233)-FIND("|",BL233)-1))-VALUE(MID(BL233,FIND("-",BL233)+1,10)))))*$D$50),$D$9*(1-(IF($N233="X",ABS($O233-VALUE(MID(BL233,FIND("|",BL233)+1,FIND("-",BL233)-FIND("|",BL233)-1))),ABS($Q233-ABS(VALUE(MID(BL233,FIND("|",BL233)+1,FIND("-",BL233)-FIND("|",BL233)-1))-VALUE(MID(BL233,FIND("-",BL233)+1,10)))))*$D$50)))))*$I233,0)),0)</f>
        <v>0</v>
      </c>
      <c r="BN233" s="102"/>
      <c r="BO233" s="73" t="s">
        <v>1955</v>
      </c>
      <c r="BP233" s="66">
        <f>IFERROR(IF($M233=BO233,($D$8+$D$9+$D$10)*$I233,IF($N233=LEFT(BO233,1),($D$8+MAX(0,IF($D$50=1,$D$9*(1-(ABS($Q233-ABS(VALUE(MID(BO233,FIND("|",BO233)+1,FIND("-",BO233)-FIND("|",BO233)-1))-VALUE(MID(BO233,FIND("-",BO233)+1,10)))))*$D$50),$D$9*(1-(IF($N233="X",ABS($O233-VALUE(MID(BO233,FIND("|",BO233)+1,FIND("-",BO233)-FIND("|",BO233)-1))),ABS($Q233-ABS(VALUE(MID(BO233,FIND("|",BO233)+1,FIND("-",BO233)-FIND("|",BO233)-1))-VALUE(MID(BO233,FIND("-",BO233)+1,10)))))*$D$50)))))*$I233,0)),0)</f>
        <v>0</v>
      </c>
      <c r="BQ233" s="102"/>
      <c r="BR233" s="73" t="s">
        <v>1948</v>
      </c>
      <c r="BS233" s="66">
        <f>IFERROR(IF($M233=BR233,($D$8+$D$9+$D$10)*$I233,IF($N233=LEFT(BR233,1),($D$8+MAX(0,IF($D$50=1,$D$9*(1-(ABS($Q233-ABS(VALUE(MID(BR233,FIND("|",BR233)+1,FIND("-",BR233)-FIND("|",BR233)-1))-VALUE(MID(BR233,FIND("-",BR233)+1,10)))))*$D$50),$D$9*(1-(IF($N233="X",ABS($O233-VALUE(MID(BR233,FIND("|",BR233)+1,FIND("-",BR233)-FIND("|",BR233)-1))),ABS($Q233-ABS(VALUE(MID(BR233,FIND("|",BR233)+1,FIND("-",BR233)-FIND("|",BR233)-1))-VALUE(MID(BR233,FIND("-",BR233)+1,10)))))*$D$50)))))*$I233,0)),0)</f>
        <v>0</v>
      </c>
      <c r="BT233" s="102"/>
      <c r="BU233" s="73"/>
      <c r="BV233" s="66">
        <f>IFERROR(IF($M233=BU233,($D$8+$D$9+$D$10)*$I233,IF($N233=LEFT(BU233,1),($D$8+MAX(0,IF($D$50=1,$D$9*(1-(ABS($Q233-ABS(VALUE(MID(BU233,FIND("|",BU233)+1,FIND("-",BU233)-FIND("|",BU233)-1))-VALUE(MID(BU233,FIND("-",BU233)+1,10)))))*$D$50),$D$9*(1-(IF($N233="X",ABS($O233-VALUE(MID(BU233,FIND("|",BU233)+1,FIND("-",BU233)-FIND("|",BU233)-1))),ABS($Q233-ABS(VALUE(MID(BU233,FIND("|",BU233)+1,FIND("-",BU233)-FIND("|",BU233)-1))-VALUE(MID(BU233,FIND("-",BU233)+1,10)))))*$D$50)))))*$I233,0)),0)</f>
        <v>0</v>
      </c>
      <c r="BW233" s="102"/>
      <c r="BX233" s="73"/>
      <c r="BY233" s="66">
        <f>IFERROR(IF($M233=BX233,($D$8+$D$9+$D$10)*$I233,IF($N233=LEFT(BX233,1),($D$8+MAX(0,IF($D$50=1,$D$9*(1-(ABS($Q233-ABS(VALUE(MID(BX233,FIND("|",BX233)+1,FIND("-",BX233)-FIND("|",BX233)-1))-VALUE(MID(BX233,FIND("-",BX233)+1,10)))))*$D$50),$D$9*(1-(IF($N233="X",ABS($O233-VALUE(MID(BX233,FIND("|",BX233)+1,FIND("-",BX233)-FIND("|",BX233)-1))),ABS($Q233-ABS(VALUE(MID(BX233,FIND("|",BX233)+1,FIND("-",BX233)-FIND("|",BX233)-1))-VALUE(MID(BX233,FIND("-",BX233)+1,10)))))*$D$50)))))*$I233,0)),0)</f>
        <v>0</v>
      </c>
      <c r="BZ233" s="102"/>
      <c r="CA233" s="73"/>
      <c r="CB233" s="66">
        <f>IFERROR(IF($M233=CA233,($D$8+$D$9+$D$10)*$I233,IF($N233=LEFT(CA233,1),($D$8+MAX(0,IF($D$50=1,$D$9*(1-(ABS($Q233-ABS(VALUE(MID(CA233,FIND("|",CA233)+1,FIND("-",CA233)-FIND("|",CA233)-1))-VALUE(MID(CA233,FIND("-",CA233)+1,10)))))*$D$50),$D$9*(1-(IF($N233="X",ABS($O233-VALUE(MID(CA233,FIND("|",CA233)+1,FIND("-",CA233)-FIND("|",CA233)-1))),ABS($Q233-ABS(VALUE(MID(CA233,FIND("|",CA233)+1,FIND("-",CA233)-FIND("|",CA233)-1))-VALUE(MID(CA233,FIND("-",CA233)+1,10)))))*$D$50)))))*$I233,0)),0)</f>
        <v>0</v>
      </c>
      <c r="CC233" s="102"/>
      <c r="CD233" s="73"/>
      <c r="CE233" s="66">
        <f>IFERROR(IF($M233=CD233,($D$8+$D$9+$D$10)*$I233,IF($N233=LEFT(CD233,1),($D$8+MAX(0,IF($D$50=1,$D$9*(1-(ABS($Q233-ABS(VALUE(MID(CD233,FIND("|",CD233)+1,FIND("-",CD233)-FIND("|",CD233)-1))-VALUE(MID(CD233,FIND("-",CD233)+1,10)))))*$D$50),$D$9*(1-(IF($N233="X",ABS($O233-VALUE(MID(CD233,FIND("|",CD233)+1,FIND("-",CD233)-FIND("|",CD233)-1))),ABS($Q233-ABS(VALUE(MID(CD233,FIND("|",CD233)+1,FIND("-",CD233)-FIND("|",CD233)-1))-VALUE(MID(CD233,FIND("-",CD233)+1,10)))))*$D$50)))))*$I233,0)),0)</f>
        <v>0</v>
      </c>
      <c r="CF233" s="102"/>
      <c r="CG233" s="73"/>
      <c r="CH233" s="66">
        <f>IFERROR(IF($M233=CG233,($D$8+$D$9+$D$10)*$I233,IF($N233=LEFT(CG233,1),($D$8+MAX(0,IF($D$50=1,$D$9*(1-(ABS($Q233-ABS(VALUE(MID(CG233,FIND("|",CG233)+1,FIND("-",CG233)-FIND("|",CG233)-1))-VALUE(MID(CG233,FIND("-",CG233)+1,10)))))*$D$50),$D$9*(1-(IF($N233="X",ABS($O233-VALUE(MID(CG233,FIND("|",CG233)+1,FIND("-",CG233)-FIND("|",CG233)-1))),ABS($Q233-ABS(VALUE(MID(CG233,FIND("|",CG233)+1,FIND("-",CG233)-FIND("|",CG233)-1))-VALUE(MID(CG233,FIND("-",CG233)+1,10)))))*$D$50)))))*$I233,0)),0)</f>
        <v>0</v>
      </c>
      <c r="CI233" s="102"/>
      <c r="CJ233" s="73"/>
      <c r="CK233" s="66">
        <f>IFERROR(IF($M233=CJ233,($D$8+$D$9+$D$10)*$I233,IF($N233=LEFT(CJ233,1),($D$8+MAX(0,IF($D$50=1,$D$9*(1-(ABS($Q233-ABS(VALUE(MID(CJ233,FIND("|",CJ233)+1,FIND("-",CJ233)-FIND("|",CJ233)-1))-VALUE(MID(CJ233,FIND("-",CJ233)+1,10)))))*$D$50),$D$9*(1-(IF($N233="X",ABS($O233-VALUE(MID(CJ233,FIND("|",CJ233)+1,FIND("-",CJ233)-FIND("|",CJ233)-1))),ABS($Q233-ABS(VALUE(MID(CJ233,FIND("|",CJ233)+1,FIND("-",CJ233)-FIND("|",CJ233)-1))-VALUE(MID(CJ233,FIND("-",CJ233)+1,10)))))*$D$50)))))*$I233,0)),0)</f>
        <v>0</v>
      </c>
      <c r="CL233" s="102"/>
      <c r="CM233" s="73"/>
      <c r="CN233" s="66">
        <f>IFERROR(IF($M233=CM233,($D$8+$D$9+$D$10)*$I233,IF($N233=LEFT(CM233,1),($D$8+MAX(0,IF($D$50=1,$D$9*(1-(ABS($Q233-ABS(VALUE(MID(CM233,FIND("|",CM233)+1,FIND("-",CM233)-FIND("|",CM233)-1))-VALUE(MID(CM233,FIND("-",CM233)+1,10)))))*$D$50),$D$9*(1-(IF($N233="X",ABS($O233-VALUE(MID(CM233,FIND("|",CM233)+1,FIND("-",CM233)-FIND("|",CM233)-1))),ABS($Q233-ABS(VALUE(MID(CM233,FIND("|",CM233)+1,FIND("-",CM233)-FIND("|",CM233)-1))-VALUE(MID(CM233,FIND("-",CM233)+1,10)))))*$D$50)))))*$I233,0)),0)</f>
        <v>0</v>
      </c>
      <c r="CO233" s="102"/>
      <c r="CP233" s="73"/>
      <c r="CQ233" s="66">
        <f>IFERROR(IF($M233=CP233,($D$8+$D$9+$D$10)*$I233,IF($N233=LEFT(CP233,1),($D$8+MAX(0,IF($D$50=1,$D$9*(1-(ABS($Q233-ABS(VALUE(MID(CP233,FIND("|",CP233)+1,FIND("-",CP233)-FIND("|",CP233)-1))-VALUE(MID(CP233,FIND("-",CP233)+1,10)))))*$D$50),$D$9*(1-(IF($N233="X",ABS($O233-VALUE(MID(CP233,FIND("|",CP233)+1,FIND("-",CP233)-FIND("|",CP233)-1))),ABS($Q233-ABS(VALUE(MID(CP233,FIND("|",CP233)+1,FIND("-",CP233)-FIND("|",CP233)-1))-VALUE(MID(CP233,FIND("-",CP233)+1,10)))))*$D$50)))))*$I233,0)),0)</f>
        <v>0</v>
      </c>
      <c r="CR233" s="102"/>
      <c r="CS233" s="73"/>
      <c r="CT233" s="66">
        <f>IFERROR(IF($M233=CS233,($D$8+$D$9+$D$10)*$I233,IF($N233=LEFT(CS233,1),($D$8+MAX(0,IF($D$50=1,$D$9*(1-(ABS($Q233-ABS(VALUE(MID(CS233,FIND("|",CS233)+1,FIND("-",CS233)-FIND("|",CS233)-1))-VALUE(MID(CS233,FIND("-",CS233)+1,10)))))*$D$50),$D$9*(1-(IF($N233="X",ABS($O233-VALUE(MID(CS233,FIND("|",CS233)+1,FIND("-",CS233)-FIND("|",CS233)-1))),ABS($Q233-ABS(VALUE(MID(CS233,FIND("|",CS233)+1,FIND("-",CS233)-FIND("|",CS233)-1))-VALUE(MID(CS233,FIND("-",CS233)+1,10)))))*$D$50)))))*$I233,0)),0)</f>
        <v>0</v>
      </c>
      <c r="CU233" s="102"/>
      <c r="CV233" s="73"/>
      <c r="CW233" s="66">
        <f>IFERROR(IF($M233=CV233,($D$8+$D$9+$D$10)*$I233,IF($N233=LEFT(CV233,1),($D$8+MAX(0,IF($D$50=1,$D$9*(1-(ABS($Q233-ABS(VALUE(MID(CV233,FIND("|",CV233)+1,FIND("-",CV233)-FIND("|",CV233)-1))-VALUE(MID(CV233,FIND("-",CV233)+1,10)))))*$D$50),$D$9*(1-(IF($N233="X",ABS($O233-VALUE(MID(CV233,FIND("|",CV233)+1,FIND("-",CV233)-FIND("|",CV233)-1))),ABS($Q233-ABS(VALUE(MID(CV233,FIND("|",CV233)+1,FIND("-",CV233)-FIND("|",CV233)-1))-VALUE(MID(CV233,FIND("-",CV233)+1,10)))))*$D$50)))))*$I233,0)),0)</f>
        <v>0</v>
      </c>
      <c r="CX233" s="102"/>
      <c r="CY233" s="73"/>
      <c r="CZ233" s="66">
        <f>IFERROR(IF($M233=CY233,($D$8+$D$9+$D$10)*$I233,IF($N233=LEFT(CY233,1),($D$8+MAX(0,IF($D$50=1,$D$9*(1-(ABS($Q233-ABS(VALUE(MID(CY233,FIND("|",CY233)+1,FIND("-",CY233)-FIND("|",CY233)-1))-VALUE(MID(CY233,FIND("-",CY233)+1,10)))))*$D$50),$D$9*(1-(IF($N233="X",ABS($O233-VALUE(MID(CY233,FIND("|",CY233)+1,FIND("-",CY233)-FIND("|",CY233)-1))),ABS($Q233-ABS(VALUE(MID(CY233,FIND("|",CY233)+1,FIND("-",CY233)-FIND("|",CY233)-1))-VALUE(MID(CY233,FIND("-",CY233)+1,10)))))*$D$50)))))*$I233,0)),0)</f>
        <v>0</v>
      </c>
      <c r="DA233" s="102"/>
      <c r="DB233" s="73"/>
      <c r="DC233" s="66">
        <f>IFERROR(IF($M233=DB233,($D$8+$D$9+$D$10)*$I233,IF($N233=LEFT(DB233,1),($D$8+MAX(0,IF($D$50=1,$D$9*(1-(ABS($Q233-ABS(VALUE(MID(DB233,FIND("|",DB233)+1,FIND("-",DB233)-FIND("|",DB233)-1))-VALUE(MID(DB233,FIND("-",DB233)+1,10)))))*$D$50),$D$9*(1-(IF($N233="X",ABS($O233-VALUE(MID(DB233,FIND("|",DB233)+1,FIND("-",DB233)-FIND("|",DB233)-1))),ABS($Q233-ABS(VALUE(MID(DB233,FIND("|",DB233)+1,FIND("-",DB233)-FIND("|",DB233)-1))-VALUE(MID(DB233,FIND("-",DB233)+1,10)))))*$D$50)))))*$I233,0)),0)</f>
        <v>0</v>
      </c>
      <c r="DD233" s="102"/>
      <c r="DE233" s="73"/>
      <c r="DF233" s="66">
        <f>IFERROR(IF($M233=DE233,($D$8+$D$9+$D$10)*$I233,IF($N233=LEFT(DE233,1),($D$8+MAX(0,IF($D$50=1,$D$9*(1-(ABS($Q233-ABS(VALUE(MID(DE233,FIND("|",DE233)+1,FIND("-",DE233)-FIND("|",DE233)-1))-VALUE(MID(DE233,FIND("-",DE233)+1,10)))))*$D$50),$D$9*(1-(IF($N233="X",ABS($O233-VALUE(MID(DE233,FIND("|",DE233)+1,FIND("-",DE233)-FIND("|",DE233)-1))),ABS($Q233-ABS(VALUE(MID(DE233,FIND("|",DE233)+1,FIND("-",DE233)-FIND("|",DE233)-1))-VALUE(MID(DE233,FIND("-",DE233)+1,10)))))*$D$50)))))*$I233,0)),0)</f>
        <v>0</v>
      </c>
      <c r="DG233" s="102"/>
      <c r="DH233" s="73"/>
      <c r="DI233" s="66">
        <f>IFERROR(IF($M233=DH233,($D$8+$D$9+$D$10)*$I233,IF($N233=LEFT(DH233,1),($D$8+MAX(0,IF($D$50=1,$D$9*(1-(ABS($Q233-ABS(VALUE(MID(DH233,FIND("|",DH233)+1,FIND("-",DH233)-FIND("|",DH233)-1))-VALUE(MID(DH233,FIND("-",DH233)+1,10)))))*$D$50),$D$9*(1-(IF($N233="X",ABS($O233-VALUE(MID(DH233,FIND("|",DH233)+1,FIND("-",DH233)-FIND("|",DH233)-1))),ABS($Q233-ABS(VALUE(MID(DH233,FIND("|",DH233)+1,FIND("-",DH233)-FIND("|",DH233)-1))-VALUE(MID(DH233,FIND("-",DH233)+1,10)))))*$D$50)))))*$I233,0)),0)</f>
        <v>0</v>
      </c>
      <c r="DJ233" s="102"/>
      <c r="DK233" s="73"/>
      <c r="DL233" s="66">
        <f>IFERROR(IF($M233=DK233,($D$8+$D$9+$D$10)*$I233,IF($N233=LEFT(DK233,1),($D$8+MAX(0,IF($D$50=1,$D$9*(1-(ABS($Q233-ABS(VALUE(MID(DK233,FIND("|",DK233)+1,FIND("-",DK233)-FIND("|",DK233)-1))-VALUE(MID(DK233,FIND("-",DK233)+1,10)))))*$D$50),$D$9*(1-(IF($N233="X",ABS($O233-VALUE(MID(DK233,FIND("|",DK233)+1,FIND("-",DK233)-FIND("|",DK233)-1))),ABS($Q233-ABS(VALUE(MID(DK233,FIND("|",DK233)+1,FIND("-",DK233)-FIND("|",DK233)-1))-VALUE(MID(DK233,FIND("-",DK233)+1,10)))))*$D$50)))))*$I233,0)),0)</f>
        <v>0</v>
      </c>
      <c r="DM233" s="102"/>
      <c r="DN233" s="73"/>
      <c r="DO233" s="66">
        <f>IFERROR(IF($M233=DN233,($D$8+$D$9+$D$10)*$I233,IF($N233=LEFT(DN233,1),($D$8+MAX(0,IF($D$50=1,$D$9*(1-(ABS($Q233-ABS(VALUE(MID(DN233,FIND("|",DN233)+1,FIND("-",DN233)-FIND("|",DN233)-1))-VALUE(MID(DN233,FIND("-",DN233)+1,10)))))*$D$50),$D$9*(1-(IF($N233="X",ABS($O233-VALUE(MID(DN233,FIND("|",DN233)+1,FIND("-",DN233)-FIND("|",DN233)-1))),ABS($Q233-ABS(VALUE(MID(DN233,FIND("|",DN233)+1,FIND("-",DN233)-FIND("|",DN233)-1))-VALUE(MID(DN233,FIND("-",DN233)+1,10)))))*$D$50)))))*$I233,0)),0)</f>
        <v>0</v>
      </c>
      <c r="DP233" s="102"/>
      <c r="DQ233" s="73"/>
      <c r="DR233" s="66">
        <f>IFERROR(IF($M233=DQ233,($D$8+$D$9+$D$10)*$I233,IF($N233=LEFT(DQ233,1),($D$8+MAX(0,IF($D$50=1,$D$9*(1-(ABS($Q233-ABS(VALUE(MID(DQ233,FIND("|",DQ233)+1,FIND("-",DQ233)-FIND("|",DQ233)-1))-VALUE(MID(DQ233,FIND("-",DQ233)+1,10)))))*$D$50),$D$9*(1-(IF($N233="X",ABS($O233-VALUE(MID(DQ233,FIND("|",DQ233)+1,FIND("-",DQ233)-FIND("|",DQ233)-1))),ABS($Q233-ABS(VALUE(MID(DQ233,FIND("|",DQ233)+1,FIND("-",DQ233)-FIND("|",DQ233)-1))-VALUE(MID(DQ233,FIND("-",DQ233)+1,10)))))*$D$50)))))*$I233,0)),0)</f>
        <v>0</v>
      </c>
      <c r="DS233" s="102"/>
      <c r="DT233" s="73"/>
      <c r="DU233" s="66">
        <f>IFERROR(IF($M233=DT233,($D$8+$D$9+$D$10)*$I233,IF($N233=LEFT(DT233,1),($D$8+MAX(0,IF($D$50=1,$D$9*(1-(ABS($Q233-ABS(VALUE(MID(DT233,FIND("|",DT233)+1,FIND("-",DT233)-FIND("|",DT233)-1))-VALUE(MID(DT233,FIND("-",DT233)+1,10)))))*$D$50),$D$9*(1-(IF($N233="X",ABS($O233-VALUE(MID(DT233,FIND("|",DT233)+1,FIND("-",DT233)-FIND("|",DT233)-1))),ABS($Q233-ABS(VALUE(MID(DT233,FIND("|",DT233)+1,FIND("-",DT233)-FIND("|",DT233)-1))-VALUE(MID(DT233,FIND("-",DT233)+1,10)))))*$D$50)))))*$I233,0)),0)</f>
        <v>0</v>
      </c>
      <c r="DV233" s="102"/>
      <c r="DW233" s="73"/>
      <c r="DX233" s="66">
        <f>IFERROR(IF($M233=DW233,($D$8+$D$9+$D$10)*$I233,IF($N233=LEFT(DW233,1),($D$8+MAX(0,IF($D$50=1,$D$9*(1-(ABS($Q233-ABS(VALUE(MID(DW233,FIND("|",DW233)+1,FIND("-",DW233)-FIND("|",DW233)-1))-VALUE(MID(DW233,FIND("-",DW233)+1,10)))))*$D$50),$D$9*(1-(IF($N233="X",ABS($O233-VALUE(MID(DW233,FIND("|",DW233)+1,FIND("-",DW233)-FIND("|",DW233)-1))),ABS($Q233-ABS(VALUE(MID(DW233,FIND("|",DW233)+1,FIND("-",DW233)-FIND("|",DW233)-1))-VALUE(MID(DW233,FIND("-",DW233)+1,10)))))*$D$50)))))*$I233,0)),0)</f>
        <v>0</v>
      </c>
      <c r="DY233" s="102"/>
      <c r="DZ233" s="73"/>
      <c r="EA233" s="66">
        <f>IFERROR(IF($M233=DZ233,($D$8+$D$9+$D$10)*$I233,IF($N233=LEFT(DZ233,1),($D$8+MAX(0,IF($D$50=1,$D$9*(1-(ABS($Q233-ABS(VALUE(MID(DZ233,FIND("|",DZ233)+1,FIND("-",DZ233)-FIND("|",DZ233)-1))-VALUE(MID(DZ233,FIND("-",DZ233)+1,10)))))*$D$50),$D$9*(1-(IF($N233="X",ABS($O233-VALUE(MID(DZ233,FIND("|",DZ233)+1,FIND("-",DZ233)-FIND("|",DZ233)-1))),ABS($Q233-ABS(VALUE(MID(DZ233,FIND("|",DZ233)+1,FIND("-",DZ233)-FIND("|",DZ233)-1))-VALUE(MID(DZ233,FIND("-",DZ233)+1,10)))))*$D$50)))))*$I233,0)),0)</f>
        <v>0</v>
      </c>
      <c r="EB233" s="102"/>
      <c r="EC233" s="73"/>
      <c r="ED233" s="66">
        <f>IFERROR(IF($M233=EC233,($D$8+$D$9+$D$10)*$I233,IF($N233=LEFT(EC233,1),($D$8+MAX(0,IF($D$50=1,$D$9*(1-(ABS($Q233-ABS(VALUE(MID(EC233,FIND("|",EC233)+1,FIND("-",EC233)-FIND("|",EC233)-1))-VALUE(MID(EC233,FIND("-",EC233)+1,10)))))*$D$50),$D$9*(1-(IF($N233="X",ABS($O233-VALUE(MID(EC233,FIND("|",EC233)+1,FIND("-",EC233)-FIND("|",EC233)-1))),ABS($Q233-ABS(VALUE(MID(EC233,FIND("|",EC233)+1,FIND("-",EC233)-FIND("|",EC233)-1))-VALUE(MID(EC233,FIND("-",EC233)+1,10)))))*$D$50)))))*$I233,0)),0)</f>
        <v>0</v>
      </c>
      <c r="EE233" s="102"/>
      <c r="EF233" s="73"/>
      <c r="EG233" s="66">
        <f>IFERROR(IF($M233=EF233,($D$8+$D$9+$D$10)*$I233,IF($N233=LEFT(EF233,1),($D$8+MAX(0,IF($D$50=1,$D$9*(1-(ABS($Q233-ABS(VALUE(MID(EF233,FIND("|",EF233)+1,FIND("-",EF233)-FIND("|",EF233)-1))-VALUE(MID(EF233,FIND("-",EF233)+1,10)))))*$D$50),$D$9*(1-(IF($N233="X",ABS($O233-VALUE(MID(EF233,FIND("|",EF233)+1,FIND("-",EF233)-FIND("|",EF233)-1))),ABS($Q233-ABS(VALUE(MID(EF233,FIND("|",EF233)+1,FIND("-",EF233)-FIND("|",EF233)-1))-VALUE(MID(EF233,FIND("-",EF233)+1,10)))))*$D$50)))))*$I233,0)),0)</f>
        <v>0</v>
      </c>
      <c r="EH233" s="102"/>
      <c r="EI233" s="102"/>
    </row>
    <row r="234" spans="1:139">
      <c r="A234" s="711"/>
      <c r="B234" s="711"/>
      <c r="C234" s="805"/>
      <c r="D234" s="805"/>
      <c r="E234" s="805"/>
      <c r="F234" s="806"/>
      <c r="G234" s="806"/>
      <c r="H234" s="800"/>
      <c r="I234" s="800"/>
      <c r="J234" s="86"/>
      <c r="K234" s="416" t="str">
        <f>Idiomas!D464</f>
        <v>Partidos 1/2</v>
      </c>
      <c r="L234" s="417"/>
      <c r="M234" s="416" t="str">
        <f>"Max: "&amp;SUM($D$28:$D$30)*SUM($I$232:$I$233)</f>
        <v>Max: 36</v>
      </c>
      <c r="N234" s="711"/>
      <c r="O234" s="711"/>
      <c r="P234" s="711"/>
      <c r="Q234" s="711"/>
      <c r="R234" s="711"/>
      <c r="S234" s="77"/>
      <c r="T234" s="64">
        <f>SUM(T232:T233)</f>
        <v>0</v>
      </c>
      <c r="U234" s="43"/>
      <c r="V234" s="77"/>
      <c r="W234" s="64">
        <f>SUM(W232:W233)</f>
        <v>0</v>
      </c>
      <c r="X234" s="43"/>
      <c r="Y234" s="77"/>
      <c r="Z234" s="64">
        <f>SUM(Z232:Z233)</f>
        <v>0</v>
      </c>
      <c r="AA234" s="43"/>
      <c r="AB234" s="77"/>
      <c r="AC234" s="64">
        <f>SUM(AC232:AC233)</f>
        <v>0</v>
      </c>
      <c r="AD234" s="103"/>
      <c r="AE234" s="77"/>
      <c r="AF234" s="64">
        <f>SUM(AF232:AF233)</f>
        <v>0</v>
      </c>
      <c r="AG234" s="43"/>
      <c r="AH234" s="77"/>
      <c r="AI234" s="64">
        <f>SUM(AI232:AI233)</f>
        <v>0</v>
      </c>
      <c r="AJ234" s="43"/>
      <c r="AK234" s="77"/>
      <c r="AL234" s="64">
        <f>SUM(AL232:AL233)</f>
        <v>0</v>
      </c>
      <c r="AM234" s="43"/>
      <c r="AN234" s="77"/>
      <c r="AO234" s="64">
        <f>SUM(AO232:AO233)</f>
        <v>0</v>
      </c>
      <c r="AP234" s="43"/>
      <c r="AQ234" s="77"/>
      <c r="AR234" s="64">
        <f>SUM(AR232:AR233)</f>
        <v>0</v>
      </c>
      <c r="AS234" s="103"/>
      <c r="AT234" s="77"/>
      <c r="AU234" s="64">
        <f>SUM(AU232:AU233)</f>
        <v>0</v>
      </c>
      <c r="AV234" s="43"/>
      <c r="AW234" s="77"/>
      <c r="AX234" s="64">
        <f>SUM(AX232:AX233)</f>
        <v>0</v>
      </c>
      <c r="AY234" s="43"/>
      <c r="AZ234" s="77"/>
      <c r="BA234" s="64">
        <f>SUM(BA232:BA233)</f>
        <v>0</v>
      </c>
      <c r="BB234" s="43"/>
      <c r="BC234" s="77"/>
      <c r="BD234" s="64">
        <f>SUM(BD232:BD233)</f>
        <v>0</v>
      </c>
      <c r="BE234" s="43"/>
      <c r="BF234" s="77"/>
      <c r="BG234" s="64">
        <f>SUM(BG232:BG233)</f>
        <v>0</v>
      </c>
      <c r="BH234" s="103"/>
      <c r="BI234" s="77"/>
      <c r="BJ234" s="64">
        <f>SUM(BJ232:BJ233)</f>
        <v>0</v>
      </c>
      <c r="BK234" s="43"/>
      <c r="BL234" s="77"/>
      <c r="BM234" s="64">
        <f>SUM(BM232:BM233)</f>
        <v>0</v>
      </c>
      <c r="BN234" s="43"/>
      <c r="BO234" s="77"/>
      <c r="BP234" s="64">
        <f>SUM(BP232:BP233)</f>
        <v>0</v>
      </c>
      <c r="BQ234" s="43"/>
      <c r="BR234" s="77"/>
      <c r="BS234" s="64">
        <f>SUM(BS232:BS233)</f>
        <v>0</v>
      </c>
      <c r="BT234" s="43"/>
      <c r="BU234" s="77"/>
      <c r="BV234" s="64">
        <f>SUM(BV232:BV233)</f>
        <v>0</v>
      </c>
      <c r="BW234" s="103"/>
      <c r="BX234" s="77"/>
      <c r="BY234" s="64">
        <f>SUM(BY232:BY233)</f>
        <v>0</v>
      </c>
      <c r="BZ234" s="43"/>
      <c r="CA234" s="77"/>
      <c r="CB234" s="64">
        <f>SUM(CB232:CB233)</f>
        <v>0</v>
      </c>
      <c r="CC234" s="43"/>
      <c r="CD234" s="77"/>
      <c r="CE234" s="64">
        <f>SUM(CE232:CE233)</f>
        <v>0</v>
      </c>
      <c r="CF234" s="43"/>
      <c r="CG234" s="77"/>
      <c r="CH234" s="64">
        <f>SUM(CH232:CH233)</f>
        <v>0</v>
      </c>
      <c r="CI234" s="43"/>
      <c r="CJ234" s="77"/>
      <c r="CK234" s="64">
        <f>SUM(CK232:CK233)</f>
        <v>0</v>
      </c>
      <c r="CL234" s="103"/>
      <c r="CM234" s="77"/>
      <c r="CN234" s="64">
        <f>SUM(CN232:CN233)</f>
        <v>0</v>
      </c>
      <c r="CO234" s="43"/>
      <c r="CP234" s="77"/>
      <c r="CQ234" s="64">
        <f>SUM(CQ232:CQ233)</f>
        <v>0</v>
      </c>
      <c r="CR234" s="43"/>
      <c r="CS234" s="77"/>
      <c r="CT234" s="64">
        <f>SUM(CT232:CT233)</f>
        <v>0</v>
      </c>
      <c r="CU234" s="43"/>
      <c r="CV234" s="77"/>
      <c r="CW234" s="64">
        <f>SUM(CW232:CW233)</f>
        <v>0</v>
      </c>
      <c r="CX234" s="43"/>
      <c r="CY234" s="77"/>
      <c r="CZ234" s="64">
        <f>SUM(CZ232:CZ233)</f>
        <v>0</v>
      </c>
      <c r="DA234" s="103"/>
      <c r="DB234" s="77"/>
      <c r="DC234" s="64">
        <f>SUM(DC232:DC233)</f>
        <v>0</v>
      </c>
      <c r="DD234" s="43"/>
      <c r="DE234" s="77"/>
      <c r="DF234" s="64">
        <f>SUM(DF232:DF233)</f>
        <v>0</v>
      </c>
      <c r="DG234" s="43"/>
      <c r="DH234" s="77"/>
      <c r="DI234" s="64">
        <f>SUM(DI232:DI233)</f>
        <v>0</v>
      </c>
      <c r="DJ234" s="43"/>
      <c r="DK234" s="77"/>
      <c r="DL234" s="64">
        <f>SUM(DL232:DL233)</f>
        <v>0</v>
      </c>
      <c r="DM234" s="43"/>
      <c r="DN234" s="77"/>
      <c r="DO234" s="64">
        <f>SUM(DO232:DO233)</f>
        <v>0</v>
      </c>
      <c r="DP234" s="103"/>
      <c r="DQ234" s="77"/>
      <c r="DR234" s="64">
        <f>SUM(DR232:DR233)</f>
        <v>0</v>
      </c>
      <c r="DS234" s="43"/>
      <c r="DT234" s="77"/>
      <c r="DU234" s="64">
        <f>SUM(DU232:DU233)</f>
        <v>0</v>
      </c>
      <c r="DV234" s="43"/>
      <c r="DW234" s="77"/>
      <c r="DX234" s="64">
        <f>SUM(DX232:DX233)</f>
        <v>0</v>
      </c>
      <c r="DY234" s="43"/>
      <c r="DZ234" s="77"/>
      <c r="EA234" s="64">
        <f>SUM(EA232:EA233)</f>
        <v>0</v>
      </c>
      <c r="EB234" s="43"/>
      <c r="EC234" s="77"/>
      <c r="ED234" s="64">
        <f>SUM(ED232:ED233)</f>
        <v>0</v>
      </c>
      <c r="EE234" s="103"/>
      <c r="EF234" s="77"/>
      <c r="EG234" s="64">
        <f>SUM(EG232:EG233)</f>
        <v>0</v>
      </c>
      <c r="EH234" s="43"/>
      <c r="EI234" s="43"/>
    </row>
    <row r="235" spans="1:139">
      <c r="A235" s="711"/>
      <c r="B235" s="711"/>
      <c r="C235" s="805"/>
      <c r="D235" s="805"/>
      <c r="E235" s="805"/>
      <c r="F235" s="806"/>
      <c r="G235" s="806"/>
      <c r="H235" s="800"/>
      <c r="I235" s="800"/>
      <c r="J235" s="86"/>
      <c r="K235" s="105" t="str">
        <f>Idiomas!D145</f>
        <v>CLASIFICADOS PARA EL 3º y 4º PUESTO</v>
      </c>
      <c r="L235" s="44"/>
      <c r="M235" s="64"/>
      <c r="N235" s="711"/>
      <c r="O235" s="711"/>
      <c r="P235" s="711"/>
      <c r="Q235" s="711"/>
      <c r="R235" s="711"/>
      <c r="S235" s="77"/>
      <c r="T235" s="64"/>
      <c r="U235" s="43"/>
      <c r="V235" s="77"/>
      <c r="W235" s="64"/>
      <c r="X235" s="43"/>
      <c r="Y235" s="77"/>
      <c r="Z235" s="64"/>
      <c r="AA235" s="43"/>
      <c r="AB235" s="77"/>
      <c r="AC235" s="64"/>
      <c r="AD235" s="103"/>
      <c r="AE235" s="77"/>
      <c r="AF235" s="64"/>
      <c r="AG235" s="43"/>
      <c r="AH235" s="77"/>
      <c r="AI235" s="64"/>
      <c r="AJ235" s="43"/>
      <c r="AK235" s="77"/>
      <c r="AL235" s="64"/>
      <c r="AM235" s="43"/>
      <c r="AN235" s="77"/>
      <c r="AO235" s="64"/>
      <c r="AP235" s="43"/>
      <c r="AQ235" s="77"/>
      <c r="AR235" s="64"/>
      <c r="AS235" s="103"/>
      <c r="AT235" s="77"/>
      <c r="AU235" s="64"/>
      <c r="AV235" s="43"/>
      <c r="AW235" s="77"/>
      <c r="AX235" s="64"/>
      <c r="AY235" s="43"/>
      <c r="AZ235" s="77"/>
      <c r="BA235" s="64"/>
      <c r="BB235" s="43"/>
      <c r="BC235" s="77"/>
      <c r="BD235" s="64"/>
      <c r="BE235" s="43"/>
      <c r="BF235" s="77"/>
      <c r="BG235" s="64"/>
      <c r="BH235" s="103"/>
      <c r="BI235" s="77"/>
      <c r="BJ235" s="64"/>
      <c r="BK235" s="43"/>
      <c r="BL235" s="77"/>
      <c r="BM235" s="64"/>
      <c r="BN235" s="43"/>
      <c r="BO235" s="77"/>
      <c r="BP235" s="64"/>
      <c r="BQ235" s="43"/>
      <c r="BR235" s="77"/>
      <c r="BS235" s="64"/>
      <c r="BT235" s="43"/>
      <c r="BU235" s="77"/>
      <c r="BV235" s="64"/>
      <c r="BW235" s="103"/>
      <c r="BX235" s="77"/>
      <c r="BY235" s="64"/>
      <c r="BZ235" s="43"/>
      <c r="CA235" s="77"/>
      <c r="CB235" s="64"/>
      <c r="CC235" s="43"/>
      <c r="CD235" s="77"/>
      <c r="CE235" s="64"/>
      <c r="CF235" s="43"/>
      <c r="CG235" s="77"/>
      <c r="CH235" s="64"/>
      <c r="CI235" s="43"/>
      <c r="CJ235" s="77"/>
      <c r="CK235" s="64"/>
      <c r="CL235" s="103"/>
      <c r="CM235" s="77"/>
      <c r="CN235" s="64"/>
      <c r="CO235" s="43"/>
      <c r="CP235" s="77"/>
      <c r="CQ235" s="64"/>
      <c r="CR235" s="43"/>
      <c r="CS235" s="77"/>
      <c r="CT235" s="64"/>
      <c r="CU235" s="43"/>
      <c r="CV235" s="77"/>
      <c r="CW235" s="64"/>
      <c r="CX235" s="43"/>
      <c r="CY235" s="77"/>
      <c r="CZ235" s="64"/>
      <c r="DA235" s="103"/>
      <c r="DB235" s="77"/>
      <c r="DC235" s="64"/>
      <c r="DD235" s="43"/>
      <c r="DE235" s="77"/>
      <c r="DF235" s="64"/>
      <c r="DG235" s="43"/>
      <c r="DH235" s="77"/>
      <c r="DI235" s="64"/>
      <c r="DJ235" s="43"/>
      <c r="DK235" s="77"/>
      <c r="DL235" s="64"/>
      <c r="DM235" s="43"/>
      <c r="DN235" s="77"/>
      <c r="DO235" s="64"/>
      <c r="DP235" s="103"/>
      <c r="DQ235" s="77"/>
      <c r="DR235" s="64"/>
      <c r="DS235" s="43"/>
      <c r="DT235" s="77"/>
      <c r="DU235" s="64"/>
      <c r="DV235" s="43"/>
      <c r="DW235" s="77"/>
      <c r="DX235" s="64"/>
      <c r="DY235" s="43"/>
      <c r="DZ235" s="77"/>
      <c r="EA235" s="64"/>
      <c r="EB235" s="43"/>
      <c r="EC235" s="77"/>
      <c r="ED235" s="64"/>
      <c r="EE235" s="103"/>
      <c r="EF235" s="77"/>
      <c r="EG235" s="64"/>
      <c r="EH235" s="43"/>
      <c r="EI235" s="43"/>
    </row>
    <row r="236" spans="1:139">
      <c r="A236" s="711"/>
      <c r="B236" s="711"/>
      <c r="C236" s="805"/>
      <c r="D236" s="805"/>
      <c r="E236" s="805"/>
      <c r="F236" s="806">
        <f>$D$31</f>
        <v>7</v>
      </c>
      <c r="G236" s="806">
        <f ca="1">VLOOKUP(H236,Equipos!$Q$1:$R$25,2,0)</f>
        <v>23</v>
      </c>
      <c r="H236" s="800" t="str">
        <f>Idiomas!$D$263</f>
        <v>Semifinales</v>
      </c>
      <c r="I236" s="800"/>
      <c r="J236" s="860" t="s">
        <v>493</v>
      </c>
      <c r="K236" s="46" t="str">
        <f>Idiomas!D202&amp;"-"&amp;ROWS($L$236:L236)</f>
        <v>3º y 4º puesto-1</v>
      </c>
      <c r="L236" s="46"/>
      <c r="M236" s="48" t="str">
        <f>WORLDCUP!AA143</f>
        <v>L101</v>
      </c>
      <c r="N236" s="711"/>
      <c r="O236" s="711"/>
      <c r="P236" s="711"/>
      <c r="Q236" s="711"/>
      <c r="R236" s="711"/>
      <c r="S236" s="69" t="s">
        <v>38</v>
      </c>
      <c r="T236" s="70">
        <f>COUNTIF($M$236:$M$237,S236)*$D$31</f>
        <v>0</v>
      </c>
      <c r="U236" s="102"/>
      <c r="V236" s="69" t="s">
        <v>38</v>
      </c>
      <c r="W236" s="70">
        <f>COUNTIF($M$236:$M$237,V236)*$D$31</f>
        <v>0</v>
      </c>
      <c r="X236" s="102"/>
      <c r="Y236" s="69" t="s">
        <v>77</v>
      </c>
      <c r="Z236" s="70">
        <f>COUNTIF($M$236:$M$237,Y236)*$D$31</f>
        <v>0</v>
      </c>
      <c r="AA236" s="102"/>
      <c r="AB236" s="69" t="s">
        <v>110</v>
      </c>
      <c r="AC236" s="70">
        <f>COUNTIF($M$236:$M$237,AB236)*$D$31</f>
        <v>0</v>
      </c>
      <c r="AD236" s="102"/>
      <c r="AE236" s="69" t="s">
        <v>74</v>
      </c>
      <c r="AF236" s="70">
        <f>COUNTIF($M$236:$M$237,AE236)*$D$31</f>
        <v>0</v>
      </c>
      <c r="AG236" s="102"/>
      <c r="AH236" s="69" t="s">
        <v>74</v>
      </c>
      <c r="AI236" s="70">
        <f>COUNTIF($M$236:$M$237,AH236)*$D$31</f>
        <v>0</v>
      </c>
      <c r="AJ236" s="102"/>
      <c r="AK236" s="69" t="s">
        <v>74</v>
      </c>
      <c r="AL236" s="70">
        <f>COUNTIF($M$236:$M$237,AK236)*$D$31</f>
        <v>0</v>
      </c>
      <c r="AM236" s="102"/>
      <c r="AN236" s="69" t="s">
        <v>77</v>
      </c>
      <c r="AO236" s="70">
        <f>COUNTIF($M$236:$M$237,AN236)*$D$31</f>
        <v>0</v>
      </c>
      <c r="AP236" s="102"/>
      <c r="AQ236" s="69" t="s">
        <v>1258</v>
      </c>
      <c r="AR236" s="70">
        <f>COUNTIF($M$236:$M$237,AQ236)*$D$31</f>
        <v>0</v>
      </c>
      <c r="AS236" s="102"/>
      <c r="AT236" s="69" t="s">
        <v>74</v>
      </c>
      <c r="AU236" s="70">
        <f>COUNTIF($M$236:$M$237,AT236)*$D$31</f>
        <v>0</v>
      </c>
      <c r="AV236" s="102"/>
      <c r="AW236" s="69" t="s">
        <v>38</v>
      </c>
      <c r="AX236" s="70">
        <f>COUNTIF($M$236:$M$237,AW236)*$D$31</f>
        <v>0</v>
      </c>
      <c r="AY236" s="102"/>
      <c r="AZ236" s="69" t="s">
        <v>38</v>
      </c>
      <c r="BA236" s="70">
        <f>COUNTIF($M$236:$M$237,AZ236)*$D$31</f>
        <v>0</v>
      </c>
      <c r="BB236" s="102"/>
      <c r="BC236" s="69" t="s">
        <v>38</v>
      </c>
      <c r="BD236" s="70">
        <f>COUNTIF($M$236:$M$237,BC236)*$D$31</f>
        <v>0</v>
      </c>
      <c r="BE236" s="102"/>
      <c r="BF236" s="69" t="s">
        <v>74</v>
      </c>
      <c r="BG236" s="70">
        <f>COUNTIF($M$236:$M$237,BF236)*$D$31</f>
        <v>0</v>
      </c>
      <c r="BH236" s="102"/>
      <c r="BI236" s="69" t="s">
        <v>74</v>
      </c>
      <c r="BJ236" s="70">
        <f>COUNTIF($M$236:$M$237,BI236)*$D$31</f>
        <v>0</v>
      </c>
      <c r="BK236" s="102"/>
      <c r="BL236" s="69" t="s">
        <v>74</v>
      </c>
      <c r="BM236" s="70">
        <f>COUNTIF($M$236:$M$237,BL236)*$D$31</f>
        <v>0</v>
      </c>
      <c r="BN236" s="102"/>
      <c r="BO236" s="69" t="s">
        <v>74</v>
      </c>
      <c r="BP236" s="70">
        <f>COUNTIF($M$236:$M$237,BO236)*$D$31</f>
        <v>0</v>
      </c>
      <c r="BQ236" s="102"/>
      <c r="BR236" s="69" t="s">
        <v>38</v>
      </c>
      <c r="BS236" s="70">
        <f>COUNTIF($M$236:$M$237,BR236)*$D$31</f>
        <v>0</v>
      </c>
      <c r="BT236" s="102"/>
      <c r="BU236" s="69"/>
      <c r="BV236" s="70">
        <f>COUNTIF($M$236:$M$237,BU236)*$D$31</f>
        <v>0</v>
      </c>
      <c r="BW236" s="102"/>
      <c r="BX236" s="69"/>
      <c r="BY236" s="70">
        <f>COUNTIF($M$236:$M$237,BX236)*$D$31</f>
        <v>0</v>
      </c>
      <c r="BZ236" s="102"/>
      <c r="CA236" s="69"/>
      <c r="CB236" s="70">
        <f>COUNTIF($M$236:$M$237,CA236)*$D$31</f>
        <v>0</v>
      </c>
      <c r="CC236" s="102"/>
      <c r="CD236" s="69"/>
      <c r="CE236" s="70">
        <f>COUNTIF($M$236:$M$237,CD236)*$D$31</f>
        <v>0</v>
      </c>
      <c r="CF236" s="102"/>
      <c r="CG236" s="69"/>
      <c r="CH236" s="70">
        <f>COUNTIF($M$236:$M$237,CG236)*$D$31</f>
        <v>0</v>
      </c>
      <c r="CI236" s="102"/>
      <c r="CJ236" s="69"/>
      <c r="CK236" s="70">
        <f>COUNTIF($M$236:$M$237,CJ236)*$D$31</f>
        <v>0</v>
      </c>
      <c r="CL236" s="102"/>
      <c r="CM236" s="69"/>
      <c r="CN236" s="70">
        <f>COUNTIF($M$236:$M$237,CM236)*$D$31</f>
        <v>0</v>
      </c>
      <c r="CO236" s="102"/>
      <c r="CP236" s="69"/>
      <c r="CQ236" s="70">
        <f>COUNTIF($M$236:$M$237,CP236)*$D$31</f>
        <v>0</v>
      </c>
      <c r="CR236" s="102"/>
      <c r="CS236" s="69"/>
      <c r="CT236" s="70">
        <f>COUNTIF($M$236:$M$237,CS236)*$D$31</f>
        <v>0</v>
      </c>
      <c r="CU236" s="102"/>
      <c r="CV236" s="69"/>
      <c r="CW236" s="70">
        <f>COUNTIF($M$236:$M$237,CV236)*$D$31</f>
        <v>0</v>
      </c>
      <c r="CX236" s="102"/>
      <c r="CY236" s="69"/>
      <c r="CZ236" s="70">
        <f>COUNTIF($M$236:$M$237,CY236)*$D$31</f>
        <v>0</v>
      </c>
      <c r="DA236" s="102"/>
      <c r="DB236" s="69"/>
      <c r="DC236" s="70">
        <f>COUNTIF($M$236:$M$237,DB236)*$D$31</f>
        <v>0</v>
      </c>
      <c r="DD236" s="102"/>
      <c r="DE236" s="69"/>
      <c r="DF236" s="70">
        <f>COUNTIF($M$236:$M$237,DE236)*$D$31</f>
        <v>0</v>
      </c>
      <c r="DG236" s="102"/>
      <c r="DH236" s="69"/>
      <c r="DI236" s="70">
        <f>COUNTIF($M$236:$M$237,DH236)*$D$31</f>
        <v>0</v>
      </c>
      <c r="DJ236" s="102"/>
      <c r="DK236" s="69"/>
      <c r="DL236" s="70">
        <f>COUNTIF($M$236:$M$237,DK236)*$D$31</f>
        <v>0</v>
      </c>
      <c r="DM236" s="102"/>
      <c r="DN236" s="69"/>
      <c r="DO236" s="70">
        <f>COUNTIF($M$236:$M$237,DN236)*$D$31</f>
        <v>0</v>
      </c>
      <c r="DP236" s="102"/>
      <c r="DQ236" s="69"/>
      <c r="DR236" s="70">
        <f>COUNTIF($M$236:$M$237,DQ236)*$D$31</f>
        <v>0</v>
      </c>
      <c r="DS236" s="102"/>
      <c r="DT236" s="69"/>
      <c r="DU236" s="70">
        <f>COUNTIF($M$236:$M$237,DT236)*$D$31</f>
        <v>0</v>
      </c>
      <c r="DV236" s="102"/>
      <c r="DW236" s="69"/>
      <c r="DX236" s="70">
        <f>COUNTIF($M$236:$M$237,DW236)*$D$31</f>
        <v>0</v>
      </c>
      <c r="DY236" s="102"/>
      <c r="DZ236" s="69"/>
      <c r="EA236" s="70">
        <f>COUNTIF($M$236:$M$237,DZ236)*$D$31</f>
        <v>0</v>
      </c>
      <c r="EB236" s="102"/>
      <c r="EC236" s="69"/>
      <c r="ED236" s="70">
        <f>COUNTIF($M$236:$M$237,EC236)*$D$31</f>
        <v>0</v>
      </c>
      <c r="EE236" s="102"/>
      <c r="EF236" s="69"/>
      <c r="EG236" s="70">
        <f>COUNTIF($M$236:$M$237,EF236)*$D$31</f>
        <v>0</v>
      </c>
      <c r="EH236" s="102"/>
      <c r="EI236" s="102"/>
    </row>
    <row r="237" spans="1:139">
      <c r="A237" s="711"/>
      <c r="B237" s="711"/>
      <c r="C237" s="805"/>
      <c r="D237" s="805"/>
      <c r="E237" s="805"/>
      <c r="F237" s="806">
        <f>$D$31</f>
        <v>7</v>
      </c>
      <c r="G237" s="806">
        <f ca="1">VLOOKUP(H237,Equipos!$Q$1:$R$25,2,0)</f>
        <v>23</v>
      </c>
      <c r="H237" s="800" t="str">
        <f>Idiomas!$D$263</f>
        <v>Semifinales</v>
      </c>
      <c r="I237" s="800"/>
      <c r="J237" s="860"/>
      <c r="K237" s="46" t="str">
        <f>Idiomas!D202&amp;"-"&amp;ROWS($L$236:L237)</f>
        <v>3º y 4º puesto-2</v>
      </c>
      <c r="L237" s="107"/>
      <c r="M237" s="108" t="str">
        <f>WORLDCUP!AF143</f>
        <v>L102</v>
      </c>
      <c r="N237" s="711"/>
      <c r="O237" s="711"/>
      <c r="P237" s="711"/>
      <c r="Q237" s="711"/>
      <c r="R237" s="711"/>
      <c r="S237" s="73" t="s">
        <v>79</v>
      </c>
      <c r="T237" s="74">
        <f>COUNTIF($M$236:$M$237,S237)*$D$31</f>
        <v>0</v>
      </c>
      <c r="U237" s="102"/>
      <c r="V237" s="73" t="s">
        <v>1258</v>
      </c>
      <c r="W237" s="74">
        <f>COUNTIF($M$236:$M$237,V237)*$D$31</f>
        <v>0</v>
      </c>
      <c r="X237" s="102"/>
      <c r="Y237" s="73" t="s">
        <v>1258</v>
      </c>
      <c r="Z237" s="74">
        <f>COUNTIF($M$236:$M$237,Y237)*$D$31</f>
        <v>0</v>
      </c>
      <c r="AA237" s="102"/>
      <c r="AB237" s="73" t="s">
        <v>1837</v>
      </c>
      <c r="AC237" s="74">
        <f>COUNTIF($M$236:$M$237,AB237)*$D$31</f>
        <v>0</v>
      </c>
      <c r="AD237" s="102"/>
      <c r="AE237" s="73" t="s">
        <v>76</v>
      </c>
      <c r="AF237" s="74">
        <f>COUNTIF($M$236:$M$237,AE237)*$D$31</f>
        <v>0</v>
      </c>
      <c r="AG237" s="102"/>
      <c r="AH237" s="73" t="s">
        <v>79</v>
      </c>
      <c r="AI237" s="74">
        <f>COUNTIF($M$236:$M$237,AH237)*$D$31</f>
        <v>0</v>
      </c>
      <c r="AJ237" s="102"/>
      <c r="AK237" s="73" t="s">
        <v>1256</v>
      </c>
      <c r="AL237" s="74">
        <f>COUNTIF($M$236:$M$237,AK237)*$D$31</f>
        <v>0</v>
      </c>
      <c r="AM237" s="102"/>
      <c r="AN237" s="73" t="s">
        <v>79</v>
      </c>
      <c r="AO237" s="74">
        <f>COUNTIF($M$236:$M$237,AN237)*$D$31</f>
        <v>0</v>
      </c>
      <c r="AP237" s="102"/>
      <c r="AQ237" s="73" t="s">
        <v>79</v>
      </c>
      <c r="AR237" s="74">
        <f>COUNTIF($M$236:$M$237,AQ237)*$D$31</f>
        <v>0</v>
      </c>
      <c r="AS237" s="102"/>
      <c r="AT237" s="73" t="s">
        <v>1317</v>
      </c>
      <c r="AU237" s="74">
        <f>COUNTIF($M$236:$M$237,AT237)*$D$31</f>
        <v>0</v>
      </c>
      <c r="AV237" s="102"/>
      <c r="AW237" s="73" t="s">
        <v>1258</v>
      </c>
      <c r="AX237" s="74">
        <f>COUNTIF($M$236:$M$237,AW237)*$D$31</f>
        <v>0</v>
      </c>
      <c r="AY237" s="102"/>
      <c r="AZ237" s="73" t="s">
        <v>79</v>
      </c>
      <c r="BA237" s="74">
        <f>COUNTIF($M$236:$M$237,AZ237)*$D$31</f>
        <v>0</v>
      </c>
      <c r="BB237" s="102"/>
      <c r="BC237" s="73" t="s">
        <v>135</v>
      </c>
      <c r="BD237" s="74">
        <f>COUNTIF($M$236:$M$237,BC237)*$D$31</f>
        <v>0</v>
      </c>
      <c r="BE237" s="102"/>
      <c r="BF237" s="73" t="s">
        <v>1258</v>
      </c>
      <c r="BG237" s="74">
        <f>COUNTIF($M$236:$M$237,BF237)*$D$31</f>
        <v>0</v>
      </c>
      <c r="BH237" s="102"/>
      <c r="BI237" s="73" t="s">
        <v>1256</v>
      </c>
      <c r="BJ237" s="74">
        <f>COUNTIF($M$236:$M$237,BI237)*$D$31</f>
        <v>0</v>
      </c>
      <c r="BK237" s="102"/>
      <c r="BL237" s="73" t="s">
        <v>1256</v>
      </c>
      <c r="BM237" s="74">
        <f>COUNTIF($M$236:$M$237,BL237)*$D$31</f>
        <v>0</v>
      </c>
      <c r="BN237" s="102"/>
      <c r="BO237" s="73" t="s">
        <v>1258</v>
      </c>
      <c r="BP237" s="74">
        <f>COUNTIF($M$236:$M$237,BO237)*$D$31</f>
        <v>0</v>
      </c>
      <c r="BQ237" s="102"/>
      <c r="BR237" s="73" t="s">
        <v>1258</v>
      </c>
      <c r="BS237" s="74">
        <f>COUNTIF($M$236:$M$237,BR237)*$D$31</f>
        <v>0</v>
      </c>
      <c r="BT237" s="102"/>
      <c r="BU237" s="73"/>
      <c r="BV237" s="74">
        <f>COUNTIF($M$236:$M$237,BU237)*$D$31</f>
        <v>0</v>
      </c>
      <c r="BW237" s="102"/>
      <c r="BX237" s="73"/>
      <c r="BY237" s="74">
        <f>COUNTIF($M$236:$M$237,BX237)*$D$31</f>
        <v>0</v>
      </c>
      <c r="BZ237" s="102"/>
      <c r="CA237" s="73"/>
      <c r="CB237" s="74">
        <f>COUNTIF($M$236:$M$237,CA237)*$D$31</f>
        <v>0</v>
      </c>
      <c r="CC237" s="102"/>
      <c r="CD237" s="73"/>
      <c r="CE237" s="74">
        <f>COUNTIF($M$236:$M$237,CD237)*$D$31</f>
        <v>0</v>
      </c>
      <c r="CF237" s="102"/>
      <c r="CG237" s="73"/>
      <c r="CH237" s="74">
        <f>COUNTIF($M$236:$M$237,CG237)*$D$31</f>
        <v>0</v>
      </c>
      <c r="CI237" s="102"/>
      <c r="CJ237" s="73"/>
      <c r="CK237" s="74">
        <f>COUNTIF($M$236:$M$237,CJ237)*$D$31</f>
        <v>0</v>
      </c>
      <c r="CL237" s="102"/>
      <c r="CM237" s="73"/>
      <c r="CN237" s="74">
        <f>COUNTIF($M$236:$M$237,CM237)*$D$31</f>
        <v>0</v>
      </c>
      <c r="CO237" s="102"/>
      <c r="CP237" s="73"/>
      <c r="CQ237" s="74">
        <f>COUNTIF($M$236:$M$237,CP237)*$D$31</f>
        <v>0</v>
      </c>
      <c r="CR237" s="102"/>
      <c r="CS237" s="73"/>
      <c r="CT237" s="74">
        <f>COUNTIF($M$236:$M$237,CS237)*$D$31</f>
        <v>0</v>
      </c>
      <c r="CU237" s="102"/>
      <c r="CV237" s="73"/>
      <c r="CW237" s="74">
        <f>COUNTIF($M$236:$M$237,CV237)*$D$31</f>
        <v>0</v>
      </c>
      <c r="CX237" s="102"/>
      <c r="CY237" s="73"/>
      <c r="CZ237" s="74">
        <f>COUNTIF($M$236:$M$237,CY237)*$D$31</f>
        <v>0</v>
      </c>
      <c r="DA237" s="102"/>
      <c r="DB237" s="73"/>
      <c r="DC237" s="74">
        <f>COUNTIF($M$236:$M$237,DB237)*$D$31</f>
        <v>0</v>
      </c>
      <c r="DD237" s="102"/>
      <c r="DE237" s="73"/>
      <c r="DF237" s="74">
        <f>COUNTIF($M$236:$M$237,DE237)*$D$31</f>
        <v>0</v>
      </c>
      <c r="DG237" s="102"/>
      <c r="DH237" s="73"/>
      <c r="DI237" s="74">
        <f>COUNTIF($M$236:$M$237,DH237)*$D$31</f>
        <v>0</v>
      </c>
      <c r="DJ237" s="102"/>
      <c r="DK237" s="73"/>
      <c r="DL237" s="74">
        <f>COUNTIF($M$236:$M$237,DK237)*$D$31</f>
        <v>0</v>
      </c>
      <c r="DM237" s="102"/>
      <c r="DN237" s="73"/>
      <c r="DO237" s="74">
        <f>COUNTIF($M$236:$M$237,DN237)*$D$31</f>
        <v>0</v>
      </c>
      <c r="DP237" s="102"/>
      <c r="DQ237" s="73"/>
      <c r="DR237" s="74">
        <f>COUNTIF($M$236:$M$237,DQ237)*$D$31</f>
        <v>0</v>
      </c>
      <c r="DS237" s="102"/>
      <c r="DT237" s="73"/>
      <c r="DU237" s="74">
        <f>COUNTIF($M$236:$M$237,DT237)*$D$31</f>
        <v>0</v>
      </c>
      <c r="DV237" s="102"/>
      <c r="DW237" s="73"/>
      <c r="DX237" s="74">
        <f>COUNTIF($M$236:$M$237,DW237)*$D$31</f>
        <v>0</v>
      </c>
      <c r="DY237" s="102"/>
      <c r="DZ237" s="73"/>
      <c r="EA237" s="74">
        <f>COUNTIF($M$236:$M$237,DZ237)*$D$31</f>
        <v>0</v>
      </c>
      <c r="EB237" s="102"/>
      <c r="EC237" s="73"/>
      <c r="ED237" s="74">
        <f>COUNTIF($M$236:$M$237,EC237)*$D$31</f>
        <v>0</v>
      </c>
      <c r="EE237" s="102"/>
      <c r="EF237" s="73"/>
      <c r="EG237" s="74">
        <f>COUNTIF($M$236:$M$237,EF237)*$D$31</f>
        <v>0</v>
      </c>
      <c r="EH237" s="102"/>
      <c r="EI237" s="102"/>
    </row>
    <row r="238" spans="1:139">
      <c r="A238" s="711"/>
      <c r="B238" s="711"/>
      <c r="C238" s="805"/>
      <c r="D238" s="805"/>
      <c r="E238" s="805"/>
      <c r="F238" s="806"/>
      <c r="G238" s="806"/>
      <c r="H238" s="800"/>
      <c r="I238" s="800"/>
      <c r="J238" s="86"/>
      <c r="K238" s="416" t="str">
        <f>Idiomas!D465</f>
        <v>Equipos 3-4</v>
      </c>
      <c r="L238" s="417"/>
      <c r="M238" s="416" t="str">
        <f>"Max: "&amp;$D$31*COUNT(T236:T237)</f>
        <v>Max: 14</v>
      </c>
      <c r="N238" s="711"/>
      <c r="O238" s="711"/>
      <c r="P238" s="711"/>
      <c r="Q238" s="711"/>
      <c r="R238" s="711"/>
      <c r="S238" s="77"/>
      <c r="T238" s="64">
        <f>SUM(T236:T237)</f>
        <v>0</v>
      </c>
      <c r="U238" s="43"/>
      <c r="V238" s="77"/>
      <c r="W238" s="64">
        <f>SUM(W236:W237)</f>
        <v>0</v>
      </c>
      <c r="X238" s="43"/>
      <c r="Y238" s="77"/>
      <c r="Z238" s="64">
        <f>SUM(Z236:Z237)</f>
        <v>0</v>
      </c>
      <c r="AA238" s="43"/>
      <c r="AB238" s="77"/>
      <c r="AC238" s="64">
        <f>SUM(AC236:AC237)</f>
        <v>0</v>
      </c>
      <c r="AD238" s="43"/>
      <c r="AE238" s="77"/>
      <c r="AF238" s="64">
        <f>SUM(AF236:AF237)</f>
        <v>0</v>
      </c>
      <c r="AG238" s="43"/>
      <c r="AH238" s="77"/>
      <c r="AI238" s="64">
        <f>SUM(AI236:AI237)</f>
        <v>0</v>
      </c>
      <c r="AJ238" s="43"/>
      <c r="AK238" s="77"/>
      <c r="AL238" s="64">
        <f>SUM(AL236:AL237)</f>
        <v>0</v>
      </c>
      <c r="AM238" s="43"/>
      <c r="AN238" s="77"/>
      <c r="AO238" s="64">
        <f>SUM(AO236:AO237)</f>
        <v>0</v>
      </c>
      <c r="AP238" s="43"/>
      <c r="AQ238" s="77"/>
      <c r="AR238" s="64">
        <f>SUM(AR236:AR237)</f>
        <v>0</v>
      </c>
      <c r="AS238" s="43"/>
      <c r="AT238" s="77"/>
      <c r="AU238" s="64">
        <f>SUM(AU236:AU237)</f>
        <v>0</v>
      </c>
      <c r="AV238" s="43"/>
      <c r="AW238" s="77"/>
      <c r="AX238" s="64">
        <f>SUM(AX236:AX237)</f>
        <v>0</v>
      </c>
      <c r="AY238" s="43"/>
      <c r="AZ238" s="77"/>
      <c r="BA238" s="64">
        <f>SUM(BA236:BA237)</f>
        <v>0</v>
      </c>
      <c r="BB238" s="43"/>
      <c r="BC238" s="77"/>
      <c r="BD238" s="64">
        <f>SUM(BD236:BD237)</f>
        <v>0</v>
      </c>
      <c r="BE238" s="43"/>
      <c r="BF238" s="77"/>
      <c r="BG238" s="64">
        <f>SUM(BG236:BG237)</f>
        <v>0</v>
      </c>
      <c r="BH238" s="43"/>
      <c r="BI238" s="77"/>
      <c r="BJ238" s="64">
        <f>SUM(BJ236:BJ237)</f>
        <v>0</v>
      </c>
      <c r="BK238" s="43"/>
      <c r="BL238" s="77"/>
      <c r="BM238" s="64">
        <f>SUM(BM236:BM237)</f>
        <v>0</v>
      </c>
      <c r="BN238" s="43"/>
      <c r="BO238" s="77"/>
      <c r="BP238" s="64">
        <f>SUM(BP236:BP237)</f>
        <v>0</v>
      </c>
      <c r="BQ238" s="43"/>
      <c r="BR238" s="77"/>
      <c r="BS238" s="64">
        <f>SUM(BS236:BS237)</f>
        <v>0</v>
      </c>
      <c r="BT238" s="43"/>
      <c r="BU238" s="77"/>
      <c r="BV238" s="64">
        <f>SUM(BV236:BV237)</f>
        <v>0</v>
      </c>
      <c r="BW238" s="43"/>
      <c r="BX238" s="77"/>
      <c r="BY238" s="64">
        <f>SUM(BY236:BY237)</f>
        <v>0</v>
      </c>
      <c r="BZ238" s="43"/>
      <c r="CA238" s="77"/>
      <c r="CB238" s="64">
        <f>SUM(CB236:CB237)</f>
        <v>0</v>
      </c>
      <c r="CC238" s="43"/>
      <c r="CD238" s="77"/>
      <c r="CE238" s="64">
        <f>SUM(CE236:CE237)</f>
        <v>0</v>
      </c>
      <c r="CF238" s="43"/>
      <c r="CG238" s="77"/>
      <c r="CH238" s="64">
        <f>SUM(CH236:CH237)</f>
        <v>0</v>
      </c>
      <c r="CI238" s="43"/>
      <c r="CJ238" s="77"/>
      <c r="CK238" s="64">
        <f>SUM(CK236:CK237)</f>
        <v>0</v>
      </c>
      <c r="CL238" s="43"/>
      <c r="CM238" s="77"/>
      <c r="CN238" s="64">
        <f>SUM(CN236:CN237)</f>
        <v>0</v>
      </c>
      <c r="CO238" s="43"/>
      <c r="CP238" s="77"/>
      <c r="CQ238" s="64">
        <f>SUM(CQ236:CQ237)</f>
        <v>0</v>
      </c>
      <c r="CR238" s="43"/>
      <c r="CS238" s="77"/>
      <c r="CT238" s="64">
        <f>SUM(CT236:CT237)</f>
        <v>0</v>
      </c>
      <c r="CU238" s="43"/>
      <c r="CV238" s="77"/>
      <c r="CW238" s="64">
        <f>SUM(CW236:CW237)</f>
        <v>0</v>
      </c>
      <c r="CX238" s="43"/>
      <c r="CY238" s="77"/>
      <c r="CZ238" s="64">
        <f>SUM(CZ236:CZ237)</f>
        <v>0</v>
      </c>
      <c r="DA238" s="43"/>
      <c r="DB238" s="77"/>
      <c r="DC238" s="64">
        <f>SUM(DC236:DC237)</f>
        <v>0</v>
      </c>
      <c r="DD238" s="43"/>
      <c r="DE238" s="77"/>
      <c r="DF238" s="64">
        <f>SUM(DF236:DF237)</f>
        <v>0</v>
      </c>
      <c r="DG238" s="43"/>
      <c r="DH238" s="77"/>
      <c r="DI238" s="64">
        <f>SUM(DI236:DI237)</f>
        <v>0</v>
      </c>
      <c r="DJ238" s="43"/>
      <c r="DK238" s="77"/>
      <c r="DL238" s="64">
        <f>SUM(DL236:DL237)</f>
        <v>0</v>
      </c>
      <c r="DM238" s="43"/>
      <c r="DN238" s="77"/>
      <c r="DO238" s="64">
        <f>SUM(DO236:DO237)</f>
        <v>0</v>
      </c>
      <c r="DP238" s="43"/>
      <c r="DQ238" s="77"/>
      <c r="DR238" s="64">
        <f>SUM(DR236:DR237)</f>
        <v>0</v>
      </c>
      <c r="DS238" s="43"/>
      <c r="DT238" s="77"/>
      <c r="DU238" s="64">
        <f>SUM(DU236:DU237)</f>
        <v>0</v>
      </c>
      <c r="DV238" s="43"/>
      <c r="DW238" s="77"/>
      <c r="DX238" s="64">
        <f>SUM(DX236:DX237)</f>
        <v>0</v>
      </c>
      <c r="DY238" s="43"/>
      <c r="DZ238" s="77"/>
      <c r="EA238" s="64">
        <f>SUM(EA236:EA237)</f>
        <v>0</v>
      </c>
      <c r="EB238" s="43"/>
      <c r="EC238" s="77"/>
      <c r="ED238" s="64">
        <f>SUM(ED236:ED237)</f>
        <v>0</v>
      </c>
      <c r="EE238" s="43"/>
      <c r="EF238" s="77"/>
      <c r="EG238" s="64">
        <f>SUM(EG236:EG237)</f>
        <v>0</v>
      </c>
      <c r="EH238" s="43"/>
      <c r="EI238" s="43"/>
    </row>
    <row r="239" spans="1:139">
      <c r="A239" s="711"/>
      <c r="B239" s="711"/>
      <c r="C239" s="805"/>
      <c r="D239" s="805"/>
      <c r="E239" s="805"/>
      <c r="F239" s="806"/>
      <c r="G239" s="806"/>
      <c r="H239" s="800"/>
      <c r="I239" s="800"/>
      <c r="J239" s="86"/>
      <c r="K239" s="105" t="str">
        <f>Idiomas!D146</f>
        <v>CLASIFICADOS PARA LA FINAL</v>
      </c>
      <c r="L239" s="44"/>
      <c r="M239" s="64"/>
      <c r="N239" s="711"/>
      <c r="O239" s="711"/>
      <c r="P239" s="711"/>
      <c r="Q239" s="711"/>
      <c r="R239" s="711"/>
      <c r="S239" s="77"/>
      <c r="T239" s="64"/>
      <c r="U239" s="43"/>
      <c r="V239" s="77"/>
      <c r="W239" s="64"/>
      <c r="X239" s="43"/>
      <c r="Y239" s="77"/>
      <c r="Z239" s="64"/>
      <c r="AA239" s="43"/>
      <c r="AB239" s="77"/>
      <c r="AC239" s="64"/>
      <c r="AD239" s="43"/>
      <c r="AE239" s="77"/>
      <c r="AF239" s="64"/>
      <c r="AG239" s="43"/>
      <c r="AH239" s="77"/>
      <c r="AI239" s="64"/>
      <c r="AJ239" s="43"/>
      <c r="AK239" s="77"/>
      <c r="AL239" s="64"/>
      <c r="AM239" s="43"/>
      <c r="AN239" s="77"/>
      <c r="AO239" s="64"/>
      <c r="AP239" s="43"/>
      <c r="AQ239" s="77"/>
      <c r="AR239" s="64"/>
      <c r="AS239" s="43"/>
      <c r="AT239" s="77"/>
      <c r="AU239" s="64"/>
      <c r="AV239" s="43"/>
      <c r="AW239" s="77"/>
      <c r="AX239" s="64"/>
      <c r="AY239" s="43"/>
      <c r="AZ239" s="77"/>
      <c r="BA239" s="64"/>
      <c r="BB239" s="43"/>
      <c r="BC239" s="77"/>
      <c r="BD239" s="64"/>
      <c r="BE239" s="43"/>
      <c r="BF239" s="77"/>
      <c r="BG239" s="64"/>
      <c r="BH239" s="43"/>
      <c r="BI239" s="77"/>
      <c r="BJ239" s="64"/>
      <c r="BK239" s="43"/>
      <c r="BL239" s="77"/>
      <c r="BM239" s="64"/>
      <c r="BN239" s="43"/>
      <c r="BO239" s="77"/>
      <c r="BP239" s="64"/>
      <c r="BQ239" s="43"/>
      <c r="BR239" s="77"/>
      <c r="BS239" s="64"/>
      <c r="BT239" s="43"/>
      <c r="BU239" s="77"/>
      <c r="BV239" s="64"/>
      <c r="BW239" s="43"/>
      <c r="BX239" s="77"/>
      <c r="BY239" s="64"/>
      <c r="BZ239" s="43"/>
      <c r="CA239" s="77"/>
      <c r="CB239" s="64"/>
      <c r="CC239" s="43"/>
      <c r="CD239" s="77"/>
      <c r="CE239" s="64"/>
      <c r="CF239" s="43"/>
      <c r="CG239" s="77"/>
      <c r="CH239" s="64"/>
      <c r="CI239" s="43"/>
      <c r="CJ239" s="77"/>
      <c r="CK239" s="64"/>
      <c r="CL239" s="43"/>
      <c r="CM239" s="77"/>
      <c r="CN239" s="64"/>
      <c r="CO239" s="43"/>
      <c r="CP239" s="77"/>
      <c r="CQ239" s="64"/>
      <c r="CR239" s="43"/>
      <c r="CS239" s="77"/>
      <c r="CT239" s="64"/>
      <c r="CU239" s="43"/>
      <c r="CV239" s="77"/>
      <c r="CW239" s="64"/>
      <c r="CX239" s="43"/>
      <c r="CY239" s="77"/>
      <c r="CZ239" s="64"/>
      <c r="DA239" s="43"/>
      <c r="DB239" s="77"/>
      <c r="DC239" s="64"/>
      <c r="DD239" s="43"/>
      <c r="DE239" s="77"/>
      <c r="DF239" s="64"/>
      <c r="DG239" s="43"/>
      <c r="DH239" s="77"/>
      <c r="DI239" s="64"/>
      <c r="DJ239" s="43"/>
      <c r="DK239" s="77"/>
      <c r="DL239" s="64"/>
      <c r="DM239" s="43"/>
      <c r="DN239" s="77"/>
      <c r="DO239" s="64"/>
      <c r="DP239" s="43"/>
      <c r="DQ239" s="77"/>
      <c r="DR239" s="64"/>
      <c r="DS239" s="43"/>
      <c r="DT239" s="77"/>
      <c r="DU239" s="64"/>
      <c r="DV239" s="43"/>
      <c r="DW239" s="77"/>
      <c r="DX239" s="64"/>
      <c r="DY239" s="43"/>
      <c r="DZ239" s="77"/>
      <c r="EA239" s="64"/>
      <c r="EB239" s="43"/>
      <c r="EC239" s="77"/>
      <c r="ED239" s="64"/>
      <c r="EE239" s="43"/>
      <c r="EF239" s="77"/>
      <c r="EG239" s="64"/>
      <c r="EH239" s="43"/>
      <c r="EI239" s="43"/>
    </row>
    <row r="240" spans="1:139">
      <c r="A240" s="711"/>
      <c r="B240" s="711"/>
      <c r="C240" s="805"/>
      <c r="D240" s="805"/>
      <c r="E240" s="805"/>
      <c r="F240" s="806">
        <f>$D$32</f>
        <v>7</v>
      </c>
      <c r="G240" s="806">
        <f ca="1">VLOOKUP(H240,Equipos!$Q$1:$R$25,2,0)</f>
        <v>23</v>
      </c>
      <c r="H240" s="800" t="str">
        <f>Idiomas!$D$263</f>
        <v>Semifinales</v>
      </c>
      <c r="I240" s="800"/>
      <c r="J240" s="860" t="s">
        <v>4</v>
      </c>
      <c r="K240" s="46" t="str">
        <f>Idiomas!$D$203&amp;"-"&amp;ROWS($L$240:L240)</f>
        <v>Finalista-1</v>
      </c>
      <c r="L240" s="46"/>
      <c r="M240" s="48" t="str">
        <f>WORLDCUP!AA147</f>
        <v>W101</v>
      </c>
      <c r="N240" s="711"/>
      <c r="O240" s="711"/>
      <c r="P240" s="711"/>
      <c r="Q240" s="711"/>
      <c r="R240" s="711"/>
      <c r="S240" s="69" t="s">
        <v>77</v>
      </c>
      <c r="T240" s="70">
        <f>COUNTIF($M$240:$M$241,S240)*$D$32</f>
        <v>0</v>
      </c>
      <c r="U240" s="102"/>
      <c r="V240" s="69" t="s">
        <v>74</v>
      </c>
      <c r="W240" s="70">
        <f>COUNTIF($M$240:$M$241,V240)*$D$32</f>
        <v>0</v>
      </c>
      <c r="X240" s="102"/>
      <c r="Y240" s="69" t="s">
        <v>38</v>
      </c>
      <c r="Z240" s="70">
        <f>COUNTIF($M$240:$M$241,Y240)*$D$32</f>
        <v>0</v>
      </c>
      <c r="AA240" s="102"/>
      <c r="AB240" s="69" t="s">
        <v>74</v>
      </c>
      <c r="AC240" s="70">
        <f>COUNTIF($M$240:$M$241,AB240)*$D$32</f>
        <v>0</v>
      </c>
      <c r="AD240" s="102"/>
      <c r="AE240" s="69" t="s">
        <v>38</v>
      </c>
      <c r="AF240" s="70">
        <f>COUNTIF($M$240:$M$241,AE240)*$D$32</f>
        <v>0</v>
      </c>
      <c r="AG240" s="102"/>
      <c r="AH240" s="69" t="s">
        <v>38</v>
      </c>
      <c r="AI240" s="70">
        <f>COUNTIF($M$240:$M$241,AH240)*$D$32</f>
        <v>0</v>
      </c>
      <c r="AJ240" s="102"/>
      <c r="AK240" s="69" t="s">
        <v>38</v>
      </c>
      <c r="AL240" s="70">
        <f>COUNTIF($M$240:$M$241,AK240)*$D$32</f>
        <v>0</v>
      </c>
      <c r="AM240" s="102"/>
      <c r="AN240" s="69" t="s">
        <v>38</v>
      </c>
      <c r="AO240" s="70">
        <f>COUNTIF($M$240:$M$241,AN240)*$D$32</f>
        <v>0</v>
      </c>
      <c r="AP240" s="102"/>
      <c r="AQ240" s="69" t="s">
        <v>38</v>
      </c>
      <c r="AR240" s="70">
        <f>COUNTIF($M$240:$M$241,AQ240)*$D$32</f>
        <v>0</v>
      </c>
      <c r="AS240" s="102"/>
      <c r="AT240" s="69" t="s">
        <v>38</v>
      </c>
      <c r="AU240" s="70">
        <f>COUNTIF($M$240:$M$241,AT240)*$D$32</f>
        <v>0</v>
      </c>
      <c r="AV240" s="102"/>
      <c r="AW240" s="69" t="s">
        <v>74</v>
      </c>
      <c r="AX240" s="70">
        <f>COUNTIF($M$240:$M$241,AW240)*$D$32</f>
        <v>0</v>
      </c>
      <c r="AY240" s="102"/>
      <c r="AZ240" s="69" t="s">
        <v>74</v>
      </c>
      <c r="BA240" s="70">
        <f>COUNTIF($M$240:$M$241,AZ240)*$D$32</f>
        <v>0</v>
      </c>
      <c r="BB240" s="102"/>
      <c r="BC240" s="69" t="s">
        <v>111</v>
      </c>
      <c r="BD240" s="70">
        <f>COUNTIF($M$240:$M$241,BC240)*$D$32</f>
        <v>0</v>
      </c>
      <c r="BE240" s="102"/>
      <c r="BF240" s="69" t="s">
        <v>38</v>
      </c>
      <c r="BG240" s="70">
        <f>COUNTIF($M$240:$M$241,BF240)*$D$32</f>
        <v>0</v>
      </c>
      <c r="BH240" s="102"/>
      <c r="BI240" s="69" t="s">
        <v>38</v>
      </c>
      <c r="BJ240" s="70">
        <f>COUNTIF($M$240:$M$241,BI240)*$D$32</f>
        <v>0</v>
      </c>
      <c r="BK240" s="102"/>
      <c r="BL240" s="69" t="s">
        <v>38</v>
      </c>
      <c r="BM240" s="70">
        <f>COUNTIF($M$240:$M$241,BL240)*$D$32</f>
        <v>0</v>
      </c>
      <c r="BN240" s="102"/>
      <c r="BO240" s="69" t="s">
        <v>38</v>
      </c>
      <c r="BP240" s="70">
        <f>COUNTIF($M$240:$M$241,BO240)*$D$32</f>
        <v>0</v>
      </c>
      <c r="BQ240" s="102"/>
      <c r="BR240" s="69" t="s">
        <v>74</v>
      </c>
      <c r="BS240" s="70">
        <f>COUNTIF($M$240:$M$241,BR240)*$D$32</f>
        <v>0</v>
      </c>
      <c r="BT240" s="102"/>
      <c r="BU240" s="69"/>
      <c r="BV240" s="70">
        <f>COUNTIF($M$240:$M$241,BU240)*$D$32</f>
        <v>0</v>
      </c>
      <c r="BW240" s="102"/>
      <c r="BX240" s="69"/>
      <c r="BY240" s="70">
        <f>COUNTIF($M$240:$M$241,BX240)*$D$32</f>
        <v>0</v>
      </c>
      <c r="BZ240" s="102"/>
      <c r="CA240" s="69"/>
      <c r="CB240" s="70">
        <f>COUNTIF($M$240:$M$241,CA240)*$D$32</f>
        <v>0</v>
      </c>
      <c r="CC240" s="102"/>
      <c r="CD240" s="69"/>
      <c r="CE240" s="70">
        <f>COUNTIF($M$240:$M$241,CD240)*$D$32</f>
        <v>0</v>
      </c>
      <c r="CF240" s="102"/>
      <c r="CG240" s="69"/>
      <c r="CH240" s="70">
        <f>COUNTIF($M$240:$M$241,CG240)*$D$32</f>
        <v>0</v>
      </c>
      <c r="CI240" s="102"/>
      <c r="CJ240" s="69"/>
      <c r="CK240" s="70">
        <f>COUNTIF($M$240:$M$241,CJ240)*$D$32</f>
        <v>0</v>
      </c>
      <c r="CL240" s="102"/>
      <c r="CM240" s="69"/>
      <c r="CN240" s="70">
        <f>COUNTIF($M$240:$M$241,CM240)*$D$32</f>
        <v>0</v>
      </c>
      <c r="CO240" s="102"/>
      <c r="CP240" s="69"/>
      <c r="CQ240" s="70">
        <f>COUNTIF($M$240:$M$241,CP240)*$D$32</f>
        <v>0</v>
      </c>
      <c r="CR240" s="102"/>
      <c r="CS240" s="69"/>
      <c r="CT240" s="70">
        <f>COUNTIF($M$240:$M$241,CS240)*$D$32</f>
        <v>0</v>
      </c>
      <c r="CU240" s="102"/>
      <c r="CV240" s="69"/>
      <c r="CW240" s="70">
        <f>COUNTIF($M$240:$M$241,CV240)*$D$32</f>
        <v>0</v>
      </c>
      <c r="CX240" s="102"/>
      <c r="CY240" s="69"/>
      <c r="CZ240" s="70">
        <f>COUNTIF($M$240:$M$241,CY240)*$D$32</f>
        <v>0</v>
      </c>
      <c r="DA240" s="102"/>
      <c r="DB240" s="69"/>
      <c r="DC240" s="70">
        <f>COUNTIF($M$240:$M$241,DB240)*$D$32</f>
        <v>0</v>
      </c>
      <c r="DD240" s="102"/>
      <c r="DE240" s="69"/>
      <c r="DF240" s="70">
        <f>COUNTIF($M$240:$M$241,DE240)*$D$32</f>
        <v>0</v>
      </c>
      <c r="DG240" s="102"/>
      <c r="DH240" s="69"/>
      <c r="DI240" s="70">
        <f>COUNTIF($M$240:$M$241,DH240)*$D$32</f>
        <v>0</v>
      </c>
      <c r="DJ240" s="102"/>
      <c r="DK240" s="69"/>
      <c r="DL240" s="70">
        <f>COUNTIF($M$240:$M$241,DK240)*$D$32</f>
        <v>0</v>
      </c>
      <c r="DM240" s="102"/>
      <c r="DN240" s="69"/>
      <c r="DO240" s="70">
        <f>COUNTIF($M$240:$M$241,DN240)*$D$32</f>
        <v>0</v>
      </c>
      <c r="DP240" s="102"/>
      <c r="DQ240" s="69"/>
      <c r="DR240" s="70">
        <f>COUNTIF($M$240:$M$241,DQ240)*$D$32</f>
        <v>0</v>
      </c>
      <c r="DS240" s="102"/>
      <c r="DT240" s="69"/>
      <c r="DU240" s="70">
        <f>COUNTIF($M$240:$M$241,DT240)*$D$32</f>
        <v>0</v>
      </c>
      <c r="DV240" s="102"/>
      <c r="DW240" s="69"/>
      <c r="DX240" s="70">
        <f>COUNTIF($M$240:$M$241,DW240)*$D$32</f>
        <v>0</v>
      </c>
      <c r="DY240" s="102"/>
      <c r="DZ240" s="69"/>
      <c r="EA240" s="70">
        <f>COUNTIF($M$240:$M$241,DZ240)*$D$32</f>
        <v>0</v>
      </c>
      <c r="EB240" s="102"/>
      <c r="EC240" s="69"/>
      <c r="ED240" s="70">
        <f>COUNTIF($M$240:$M$241,EC240)*$D$32</f>
        <v>0</v>
      </c>
      <c r="EE240" s="102"/>
      <c r="EF240" s="69"/>
      <c r="EG240" s="70">
        <f>COUNTIF($M$240:$M$241,EF240)*$D$32</f>
        <v>0</v>
      </c>
      <c r="EH240" s="102"/>
      <c r="EI240" s="102"/>
    </row>
    <row r="241" spans="1:139">
      <c r="A241" s="711"/>
      <c r="B241" s="711"/>
      <c r="C241" s="805"/>
      <c r="D241" s="805"/>
      <c r="E241" s="805"/>
      <c r="F241" s="806">
        <f>$D$32</f>
        <v>7</v>
      </c>
      <c r="G241" s="806">
        <f ca="1">VLOOKUP(H241,Equipos!$Q$1:$R$25,2,0)</f>
        <v>23</v>
      </c>
      <c r="H241" s="800" t="str">
        <f>Idiomas!$D$263</f>
        <v>Semifinales</v>
      </c>
      <c r="I241" s="800"/>
      <c r="J241" s="860"/>
      <c r="K241" s="107" t="str">
        <f>Idiomas!$D$203&amp;"-"&amp;ROWS($L$240:L241)</f>
        <v>Finalista-2</v>
      </c>
      <c r="L241" s="107"/>
      <c r="M241" s="108" t="str">
        <f>WORLDCUP!AF147</f>
        <v>W102</v>
      </c>
      <c r="N241" s="711"/>
      <c r="O241" s="711"/>
      <c r="P241" s="711"/>
      <c r="Q241" s="711"/>
      <c r="R241" s="711"/>
      <c r="S241" s="73" t="s">
        <v>1258</v>
      </c>
      <c r="T241" s="74">
        <f>COUNTIF($M$240:$M$241,S241)*$D$32</f>
        <v>0</v>
      </c>
      <c r="U241" s="102"/>
      <c r="V241" s="73" t="s">
        <v>1256</v>
      </c>
      <c r="W241" s="74">
        <f>COUNTIF($M$240:$M$241,V241)*$D$32</f>
        <v>0</v>
      </c>
      <c r="X241" s="102"/>
      <c r="Y241" s="73" t="s">
        <v>79</v>
      </c>
      <c r="Z241" s="74">
        <f>COUNTIF($M$240:$M$241,Y241)*$D$32</f>
        <v>0</v>
      </c>
      <c r="AA241" s="102"/>
      <c r="AB241" s="73" t="s">
        <v>1256</v>
      </c>
      <c r="AC241" s="74">
        <f>COUNTIF($M$240:$M$241,AB241)*$D$32</f>
        <v>0</v>
      </c>
      <c r="AD241" s="102"/>
      <c r="AE241" s="73" t="s">
        <v>1256</v>
      </c>
      <c r="AF241" s="74">
        <f>COUNTIF($M$240:$M$241,AE241)*$D$32</f>
        <v>0</v>
      </c>
      <c r="AG241" s="102"/>
      <c r="AH241" s="73" t="s">
        <v>76</v>
      </c>
      <c r="AI241" s="74">
        <f>COUNTIF($M$240:$M$241,AH241)*$D$32</f>
        <v>0</v>
      </c>
      <c r="AJ241" s="102"/>
      <c r="AK241" s="73" t="s">
        <v>1258</v>
      </c>
      <c r="AL241" s="74">
        <f>COUNTIF($M$240:$M$241,AK241)*$D$32</f>
        <v>0</v>
      </c>
      <c r="AM241" s="102"/>
      <c r="AN241" s="73" t="s">
        <v>1258</v>
      </c>
      <c r="AO241" s="74">
        <f>COUNTIF($M$240:$M$241,AN241)*$D$32</f>
        <v>0</v>
      </c>
      <c r="AP241" s="102"/>
      <c r="AQ241" s="73" t="s">
        <v>76</v>
      </c>
      <c r="AR241" s="74">
        <f>COUNTIF($M$240:$M$241,AQ241)*$D$32</f>
        <v>0</v>
      </c>
      <c r="AS241" s="102"/>
      <c r="AT241" s="73" t="s">
        <v>79</v>
      </c>
      <c r="AU241" s="74">
        <f>COUNTIF($M$240:$M$241,AT241)*$D$32</f>
        <v>0</v>
      </c>
      <c r="AV241" s="102"/>
      <c r="AW241" s="73" t="s">
        <v>79</v>
      </c>
      <c r="AX241" s="74">
        <f>COUNTIF($M$240:$M$241,AW241)*$D$32</f>
        <v>0</v>
      </c>
      <c r="AY241" s="102"/>
      <c r="AZ241" s="73" t="s">
        <v>76</v>
      </c>
      <c r="BA241" s="74">
        <f>COUNTIF($M$240:$M$241,AZ241)*$D$32</f>
        <v>0</v>
      </c>
      <c r="BB241" s="102"/>
      <c r="BC241" s="73" t="s">
        <v>78</v>
      </c>
      <c r="BD241" s="74">
        <f>COUNTIF($M$240:$M$241,BC241)*$D$32</f>
        <v>0</v>
      </c>
      <c r="BE241" s="102"/>
      <c r="BF241" s="73" t="s">
        <v>79</v>
      </c>
      <c r="BG241" s="74">
        <f>COUNTIF($M$240:$M$241,BF241)*$D$32</f>
        <v>0</v>
      </c>
      <c r="BH241" s="102"/>
      <c r="BI241" s="73" t="s">
        <v>1258</v>
      </c>
      <c r="BJ241" s="74">
        <f>COUNTIF($M$240:$M$241,BI241)*$D$32</f>
        <v>0</v>
      </c>
      <c r="BK241" s="102"/>
      <c r="BL241" s="73" t="s">
        <v>76</v>
      </c>
      <c r="BM241" s="74">
        <f>COUNTIF($M$240:$M$241,BL241)*$D$32</f>
        <v>0</v>
      </c>
      <c r="BN241" s="102"/>
      <c r="BO241" s="73" t="s">
        <v>1256</v>
      </c>
      <c r="BP241" s="74">
        <f>COUNTIF($M$240:$M$241,BO241)*$D$32</f>
        <v>0</v>
      </c>
      <c r="BQ241" s="102"/>
      <c r="BR241" s="73" t="s">
        <v>1256</v>
      </c>
      <c r="BS241" s="74">
        <f>COUNTIF($M$240:$M$241,BR241)*$D$32</f>
        <v>0</v>
      </c>
      <c r="BT241" s="102"/>
      <c r="BU241" s="73"/>
      <c r="BV241" s="74">
        <f>COUNTIF($M$240:$M$241,BU241)*$D$32</f>
        <v>0</v>
      </c>
      <c r="BW241" s="102"/>
      <c r="BX241" s="73"/>
      <c r="BY241" s="74">
        <f>COUNTIF($M$240:$M$241,BX241)*$D$32</f>
        <v>0</v>
      </c>
      <c r="BZ241" s="102"/>
      <c r="CA241" s="73"/>
      <c r="CB241" s="74">
        <f>COUNTIF($M$240:$M$241,CA241)*$D$32</f>
        <v>0</v>
      </c>
      <c r="CC241" s="102"/>
      <c r="CD241" s="73"/>
      <c r="CE241" s="74">
        <f>COUNTIF($M$240:$M$241,CD241)*$D$32</f>
        <v>0</v>
      </c>
      <c r="CF241" s="102"/>
      <c r="CG241" s="73"/>
      <c r="CH241" s="74">
        <f>COUNTIF($M$240:$M$241,CG241)*$D$32</f>
        <v>0</v>
      </c>
      <c r="CI241" s="102"/>
      <c r="CJ241" s="73"/>
      <c r="CK241" s="74">
        <f>COUNTIF($M$240:$M$241,CJ241)*$D$32</f>
        <v>0</v>
      </c>
      <c r="CL241" s="102"/>
      <c r="CM241" s="73"/>
      <c r="CN241" s="74">
        <f>COUNTIF($M$240:$M$241,CM241)*$D$32</f>
        <v>0</v>
      </c>
      <c r="CO241" s="102"/>
      <c r="CP241" s="73"/>
      <c r="CQ241" s="74">
        <f>COUNTIF($M$240:$M$241,CP241)*$D$32</f>
        <v>0</v>
      </c>
      <c r="CR241" s="102"/>
      <c r="CS241" s="73"/>
      <c r="CT241" s="74">
        <f>COUNTIF($M$240:$M$241,CS241)*$D$32</f>
        <v>0</v>
      </c>
      <c r="CU241" s="102"/>
      <c r="CV241" s="73"/>
      <c r="CW241" s="74">
        <f>COUNTIF($M$240:$M$241,CV241)*$D$32</f>
        <v>0</v>
      </c>
      <c r="CX241" s="102"/>
      <c r="CY241" s="73"/>
      <c r="CZ241" s="74">
        <f>COUNTIF($M$240:$M$241,CY241)*$D$32</f>
        <v>0</v>
      </c>
      <c r="DA241" s="102"/>
      <c r="DB241" s="73"/>
      <c r="DC241" s="74">
        <f>COUNTIF($M$240:$M$241,DB241)*$D$32</f>
        <v>0</v>
      </c>
      <c r="DD241" s="102"/>
      <c r="DE241" s="73"/>
      <c r="DF241" s="74">
        <f>COUNTIF($M$240:$M$241,DE241)*$D$32</f>
        <v>0</v>
      </c>
      <c r="DG241" s="102"/>
      <c r="DH241" s="73"/>
      <c r="DI241" s="74">
        <f>COUNTIF($M$240:$M$241,DH241)*$D$32</f>
        <v>0</v>
      </c>
      <c r="DJ241" s="102"/>
      <c r="DK241" s="73"/>
      <c r="DL241" s="74">
        <f>COUNTIF($M$240:$M$241,DK241)*$D$32</f>
        <v>0</v>
      </c>
      <c r="DM241" s="102"/>
      <c r="DN241" s="73"/>
      <c r="DO241" s="74">
        <f>COUNTIF($M$240:$M$241,DN241)*$D$32</f>
        <v>0</v>
      </c>
      <c r="DP241" s="102"/>
      <c r="DQ241" s="73"/>
      <c r="DR241" s="74">
        <f>COUNTIF($M$240:$M$241,DQ241)*$D$32</f>
        <v>0</v>
      </c>
      <c r="DS241" s="102"/>
      <c r="DT241" s="73"/>
      <c r="DU241" s="74">
        <f>COUNTIF($M$240:$M$241,DT241)*$D$32</f>
        <v>0</v>
      </c>
      <c r="DV241" s="102"/>
      <c r="DW241" s="73"/>
      <c r="DX241" s="74">
        <f>COUNTIF($M$240:$M$241,DW241)*$D$32</f>
        <v>0</v>
      </c>
      <c r="DY241" s="102"/>
      <c r="DZ241" s="73"/>
      <c r="EA241" s="74">
        <f>COUNTIF($M$240:$M$241,DZ241)*$D$32</f>
        <v>0</v>
      </c>
      <c r="EB241" s="102"/>
      <c r="EC241" s="73"/>
      <c r="ED241" s="74">
        <f>COUNTIF($M$240:$M$241,EC241)*$D$32</f>
        <v>0</v>
      </c>
      <c r="EE241" s="102"/>
      <c r="EF241" s="73"/>
      <c r="EG241" s="74">
        <f>COUNTIF($M$240:$M$241,EF241)*$D$32</f>
        <v>0</v>
      </c>
      <c r="EH241" s="102"/>
      <c r="EI241" s="102"/>
    </row>
    <row r="242" spans="1:139">
      <c r="A242" s="711"/>
      <c r="B242" s="711"/>
      <c r="C242" s="805"/>
      <c r="D242" s="805"/>
      <c r="E242" s="805"/>
      <c r="F242" s="806"/>
      <c r="G242" s="806"/>
      <c r="H242" s="800"/>
      <c r="I242" s="800"/>
      <c r="J242" s="86"/>
      <c r="K242" s="416" t="str">
        <f>Idiomas!D466</f>
        <v>Equipos Final</v>
      </c>
      <c r="L242" s="417"/>
      <c r="M242" s="416" t="str">
        <f>"Max: "&amp;$D$32*COUNT(T240:T241)</f>
        <v>Max: 14</v>
      </c>
      <c r="N242" s="711"/>
      <c r="O242" s="711"/>
      <c r="P242" s="711"/>
      <c r="Q242" s="711"/>
      <c r="R242" s="711"/>
      <c r="S242" s="77"/>
      <c r="T242" s="64">
        <f>SUM(T240:T241)</f>
        <v>0</v>
      </c>
      <c r="U242" s="43"/>
      <c r="V242" s="77"/>
      <c r="W242" s="64">
        <f>SUM(W240:W241)</f>
        <v>0</v>
      </c>
      <c r="X242" s="43"/>
      <c r="Y242" s="77"/>
      <c r="Z242" s="64">
        <f>SUM(Z240:Z241)</f>
        <v>0</v>
      </c>
      <c r="AA242" s="43"/>
      <c r="AB242" s="77"/>
      <c r="AC242" s="64">
        <f>SUM(AC240:AC241)</f>
        <v>0</v>
      </c>
      <c r="AD242" s="43"/>
      <c r="AE242" s="77"/>
      <c r="AF242" s="64">
        <f>SUM(AF240:AF241)</f>
        <v>0</v>
      </c>
      <c r="AG242" s="43"/>
      <c r="AH242" s="77"/>
      <c r="AI242" s="64">
        <f>SUM(AI240:AI241)</f>
        <v>0</v>
      </c>
      <c r="AJ242" s="43"/>
      <c r="AK242" s="77"/>
      <c r="AL242" s="64">
        <f>SUM(AL240:AL241)</f>
        <v>0</v>
      </c>
      <c r="AM242" s="43"/>
      <c r="AN242" s="77"/>
      <c r="AO242" s="64">
        <f>SUM(AO240:AO241)</f>
        <v>0</v>
      </c>
      <c r="AP242" s="43"/>
      <c r="AQ242" s="77"/>
      <c r="AR242" s="64">
        <f>SUM(AR240:AR241)</f>
        <v>0</v>
      </c>
      <c r="AS242" s="43"/>
      <c r="AT242" s="77"/>
      <c r="AU242" s="64">
        <f>SUM(AU240:AU241)</f>
        <v>0</v>
      </c>
      <c r="AV242" s="43"/>
      <c r="AW242" s="77"/>
      <c r="AX242" s="64">
        <f>SUM(AX240:AX241)</f>
        <v>0</v>
      </c>
      <c r="AY242" s="43"/>
      <c r="AZ242" s="77"/>
      <c r="BA242" s="64">
        <f>SUM(BA240:BA241)</f>
        <v>0</v>
      </c>
      <c r="BB242" s="43"/>
      <c r="BC242" s="77"/>
      <c r="BD242" s="64">
        <f>SUM(BD240:BD241)</f>
        <v>0</v>
      </c>
      <c r="BE242" s="43"/>
      <c r="BF242" s="77"/>
      <c r="BG242" s="64">
        <f>SUM(BG240:BG241)</f>
        <v>0</v>
      </c>
      <c r="BH242" s="43"/>
      <c r="BI242" s="77"/>
      <c r="BJ242" s="64">
        <f>SUM(BJ240:BJ241)</f>
        <v>0</v>
      </c>
      <c r="BK242" s="43"/>
      <c r="BL242" s="77"/>
      <c r="BM242" s="64">
        <f>SUM(BM240:BM241)</f>
        <v>0</v>
      </c>
      <c r="BN242" s="43"/>
      <c r="BO242" s="77"/>
      <c r="BP242" s="64">
        <f>SUM(BP240:BP241)</f>
        <v>0</v>
      </c>
      <c r="BQ242" s="43"/>
      <c r="BR242" s="77"/>
      <c r="BS242" s="64">
        <f>SUM(BS240:BS241)</f>
        <v>0</v>
      </c>
      <c r="BT242" s="43"/>
      <c r="BU242" s="77"/>
      <c r="BV242" s="64">
        <f>SUM(BV240:BV241)</f>
        <v>0</v>
      </c>
      <c r="BW242" s="43"/>
      <c r="BX242" s="77"/>
      <c r="BY242" s="64">
        <f>SUM(BY240:BY241)</f>
        <v>0</v>
      </c>
      <c r="BZ242" s="43"/>
      <c r="CA242" s="77"/>
      <c r="CB242" s="64">
        <f>SUM(CB240:CB241)</f>
        <v>0</v>
      </c>
      <c r="CC242" s="43"/>
      <c r="CD242" s="77"/>
      <c r="CE242" s="64">
        <f>SUM(CE240:CE241)</f>
        <v>0</v>
      </c>
      <c r="CF242" s="43"/>
      <c r="CG242" s="77"/>
      <c r="CH242" s="64">
        <f>SUM(CH240:CH241)</f>
        <v>0</v>
      </c>
      <c r="CI242" s="43"/>
      <c r="CJ242" s="77"/>
      <c r="CK242" s="64">
        <f>SUM(CK240:CK241)</f>
        <v>0</v>
      </c>
      <c r="CL242" s="43"/>
      <c r="CM242" s="77"/>
      <c r="CN242" s="64">
        <f>SUM(CN240:CN241)</f>
        <v>0</v>
      </c>
      <c r="CO242" s="43"/>
      <c r="CP242" s="77"/>
      <c r="CQ242" s="64">
        <f>SUM(CQ240:CQ241)</f>
        <v>0</v>
      </c>
      <c r="CR242" s="43"/>
      <c r="CS242" s="77"/>
      <c r="CT242" s="64">
        <f>SUM(CT240:CT241)</f>
        <v>0</v>
      </c>
      <c r="CU242" s="43"/>
      <c r="CV242" s="77"/>
      <c r="CW242" s="64">
        <f>SUM(CW240:CW241)</f>
        <v>0</v>
      </c>
      <c r="CX242" s="43"/>
      <c r="CY242" s="77"/>
      <c r="CZ242" s="64">
        <f>SUM(CZ240:CZ241)</f>
        <v>0</v>
      </c>
      <c r="DA242" s="43"/>
      <c r="DB242" s="77"/>
      <c r="DC242" s="64">
        <f>SUM(DC240:DC241)</f>
        <v>0</v>
      </c>
      <c r="DD242" s="43"/>
      <c r="DE242" s="77"/>
      <c r="DF242" s="64">
        <f>SUM(DF240:DF241)</f>
        <v>0</v>
      </c>
      <c r="DG242" s="43"/>
      <c r="DH242" s="77"/>
      <c r="DI242" s="64">
        <f>SUM(DI240:DI241)</f>
        <v>0</v>
      </c>
      <c r="DJ242" s="43"/>
      <c r="DK242" s="77"/>
      <c r="DL242" s="64">
        <f>SUM(DL240:DL241)</f>
        <v>0</v>
      </c>
      <c r="DM242" s="43"/>
      <c r="DN242" s="77"/>
      <c r="DO242" s="64">
        <f>SUM(DO240:DO241)</f>
        <v>0</v>
      </c>
      <c r="DP242" s="43"/>
      <c r="DQ242" s="77"/>
      <c r="DR242" s="64">
        <f>SUM(DR240:DR241)</f>
        <v>0</v>
      </c>
      <c r="DS242" s="43"/>
      <c r="DT242" s="77"/>
      <c r="DU242" s="64">
        <f>SUM(DU240:DU241)</f>
        <v>0</v>
      </c>
      <c r="DV242" s="43"/>
      <c r="DW242" s="77"/>
      <c r="DX242" s="64">
        <f>SUM(DX240:DX241)</f>
        <v>0</v>
      </c>
      <c r="DY242" s="43"/>
      <c r="DZ242" s="77"/>
      <c r="EA242" s="64">
        <f>SUM(EA240:EA241)</f>
        <v>0</v>
      </c>
      <c r="EB242" s="43"/>
      <c r="EC242" s="77"/>
      <c r="ED242" s="64">
        <f>SUM(ED240:ED241)</f>
        <v>0</v>
      </c>
      <c r="EE242" s="43"/>
      <c r="EF242" s="77"/>
      <c r="EG242" s="64">
        <f>SUM(EG240:EG241)</f>
        <v>0</v>
      </c>
      <c r="EH242" s="43"/>
      <c r="EI242" s="43"/>
    </row>
    <row r="243" spans="1:139">
      <c r="A243" s="711"/>
      <c r="B243" s="711"/>
      <c r="C243" s="805"/>
      <c r="D243" s="805"/>
      <c r="E243" s="805"/>
      <c r="F243" s="806"/>
      <c r="G243" s="806"/>
      <c r="H243" s="800"/>
      <c r="I243" s="804" t="s">
        <v>1573</v>
      </c>
      <c r="J243" s="86"/>
      <c r="K243" s="105" t="str">
        <f>UPPER(Idiomas!D147)</f>
        <v>3º-4º PUESTO</v>
      </c>
      <c r="L243" s="44"/>
      <c r="M243" s="64"/>
      <c r="N243" s="711"/>
      <c r="O243" s="711"/>
      <c r="P243" s="711"/>
      <c r="Q243" s="711"/>
      <c r="R243" s="711"/>
      <c r="S243" s="77"/>
      <c r="T243" s="104"/>
      <c r="U243" s="43"/>
      <c r="V243" s="77"/>
      <c r="W243" s="104"/>
      <c r="X243" s="43"/>
      <c r="Y243" s="77"/>
      <c r="Z243" s="104"/>
      <c r="AA243" s="43"/>
      <c r="AB243" s="77"/>
      <c r="AC243" s="104"/>
      <c r="AD243" s="43"/>
      <c r="AE243" s="77"/>
      <c r="AF243" s="104"/>
      <c r="AG243" s="43"/>
      <c r="AH243" s="77"/>
      <c r="AI243" s="104"/>
      <c r="AJ243" s="43"/>
      <c r="AK243" s="77"/>
      <c r="AL243" s="104"/>
      <c r="AM243" s="43"/>
      <c r="AN243" s="77"/>
      <c r="AO243" s="104"/>
      <c r="AP243" s="43"/>
      <c r="AQ243" s="77"/>
      <c r="AR243" s="104"/>
      <c r="AS243" s="43"/>
      <c r="AT243" s="77"/>
      <c r="AU243" s="104"/>
      <c r="AV243" s="43"/>
      <c r="AW243" s="77"/>
      <c r="AX243" s="104"/>
      <c r="AY243" s="43"/>
      <c r="AZ243" s="77"/>
      <c r="BA243" s="104"/>
      <c r="BB243" s="43"/>
      <c r="BC243" s="77"/>
      <c r="BD243" s="104"/>
      <c r="BE243" s="43"/>
      <c r="BF243" s="77"/>
      <c r="BG243" s="104"/>
      <c r="BH243" s="43"/>
      <c r="BI243" s="77"/>
      <c r="BJ243" s="104"/>
      <c r="BK243" s="43"/>
      <c r="BL243" s="77"/>
      <c r="BM243" s="104"/>
      <c r="BN243" s="43"/>
      <c r="BO243" s="77"/>
      <c r="BP243" s="104"/>
      <c r="BQ243" s="43"/>
      <c r="BR243" s="77"/>
      <c r="BS243" s="104"/>
      <c r="BT243" s="43"/>
      <c r="BU243" s="77"/>
      <c r="BV243" s="104"/>
      <c r="BW243" s="43"/>
      <c r="BX243" s="77"/>
      <c r="BY243" s="104"/>
      <c r="BZ243" s="43"/>
      <c r="CA243" s="77"/>
      <c r="CB243" s="104"/>
      <c r="CC243" s="43"/>
      <c r="CD243" s="77"/>
      <c r="CE243" s="104"/>
      <c r="CF243" s="43"/>
      <c r="CG243" s="77"/>
      <c r="CH243" s="104"/>
      <c r="CI243" s="43"/>
      <c r="CJ243" s="77"/>
      <c r="CK243" s="104"/>
      <c r="CL243" s="43"/>
      <c r="CM243" s="77"/>
      <c r="CN243" s="104"/>
      <c r="CO243" s="43"/>
      <c r="CP243" s="77"/>
      <c r="CQ243" s="104"/>
      <c r="CR243" s="43"/>
      <c r="CS243" s="77"/>
      <c r="CT243" s="104"/>
      <c r="CU243" s="43"/>
      <c r="CV243" s="77"/>
      <c r="CW243" s="104"/>
      <c r="CX243" s="43"/>
      <c r="CY243" s="77"/>
      <c r="CZ243" s="104"/>
      <c r="DA243" s="43"/>
      <c r="DB243" s="77"/>
      <c r="DC243" s="104"/>
      <c r="DD243" s="43"/>
      <c r="DE243" s="77"/>
      <c r="DF243" s="104"/>
      <c r="DG243" s="43"/>
      <c r="DH243" s="77"/>
      <c r="DI243" s="104"/>
      <c r="DJ243" s="43"/>
      <c r="DK243" s="77"/>
      <c r="DL243" s="104"/>
      <c r="DM243" s="43"/>
      <c r="DN243" s="77"/>
      <c r="DO243" s="104"/>
      <c r="DP243" s="43"/>
      <c r="DQ243" s="77"/>
      <c r="DR243" s="104"/>
      <c r="DS243" s="43"/>
      <c r="DT243" s="77"/>
      <c r="DU243" s="104"/>
      <c r="DV243" s="43"/>
      <c r="DW243" s="77"/>
      <c r="DX243" s="104"/>
      <c r="DY243" s="43"/>
      <c r="DZ243" s="77"/>
      <c r="EA243" s="104"/>
      <c r="EB243" s="43"/>
      <c r="EC243" s="77"/>
      <c r="ED243" s="104"/>
      <c r="EE243" s="43"/>
      <c r="EF243" s="77"/>
      <c r="EG243" s="104"/>
      <c r="EH243" s="43"/>
      <c r="EI243" s="43"/>
    </row>
    <row r="244" spans="1:139" ht="20.25">
      <c r="A244" s="711">
        <f>WORLDCUP!AD143</f>
        <v>0</v>
      </c>
      <c r="B244" s="711">
        <f>WORLDCUP!AC143</f>
        <v>0</v>
      </c>
      <c r="C244" s="805" t="str">
        <f>CONCATENATE(WORLDCUP!AF143,"-",WORLDCUP!AA143)</f>
        <v>L102-L101</v>
      </c>
      <c r="D244" s="805" t="str">
        <f>IF(WORLDCUP!AC143&gt;WORLDCUP!AD143,2,IF(WORLDCUP!AC143&lt;WORLDCUP!AD143,1,IF(AND(WORLDCUP!AC143=WORLDCUP!AD143,WORLDCUP!AC143&lt;&gt;"",WORLDCUP!AD143&lt;&gt;""),0,"PD")))</f>
        <v>PD</v>
      </c>
      <c r="E244" s="805" t="str">
        <f>IF(OR(WORLDCUP!AD143="",WORLDCUP!AC143=""),"-",A244&amp;"-"&amp;B244)</f>
        <v>-</v>
      </c>
      <c r="F244" s="806">
        <f>SUM($D$33:$D$35)*$I$244</f>
        <v>17</v>
      </c>
      <c r="G244" s="806">
        <f ca="1">VLOOKUP(H244,Equipos!$Q$1:$R$25,2,0)</f>
        <v>24</v>
      </c>
      <c r="H244" s="800" t="str">
        <f>Idiomas!$D$264</f>
        <v>3-4 &amp; Final</v>
      </c>
      <c r="I244" s="808">
        <v>1</v>
      </c>
      <c r="J244" s="90" t="s">
        <v>493</v>
      </c>
      <c r="K244" s="106" t="str">
        <f>CONCATENATE(WORLDCUP!AA143,"-",WORLDCUP!AF143)</f>
        <v>L101-L102</v>
      </c>
      <c r="L244" s="106" t="str">
        <f>IF(OR(WORLDCUP!AC143="",WORLDCUP!AD143=""),"PD",IF(WORLDCUP!AC143&gt;WORLDCUP!AD143,1,IF(WORLDCUP!AC143&lt;WORLDCUP!AD143,2,0)))</f>
        <v>PD</v>
      </c>
      <c r="M244" s="48" t="str">
        <f>IF(OR(WORLDCUP!AC143="",WORLDCUP!AD143=""),"-",N244&amp;"|"&amp;O244&amp;"-"&amp;P244)</f>
        <v>-</v>
      </c>
      <c r="N244" s="711" t="str">
        <f>IF(OR(WORLDCUP!AC143="",WORLDCUP!AD143=""),"",IF(WORLDCUP!AC143&gt;WORLDCUP!AD143,"1",IF(WORLDCUP!AC143&lt;WORLDCUP!AD143,"2","X")))</f>
        <v/>
      </c>
      <c r="O244" s="711">
        <f>WORLDCUP!AC143</f>
        <v>0</v>
      </c>
      <c r="P244" s="711">
        <f>WORLDCUP!AD143</f>
        <v>0</v>
      </c>
      <c r="Q244" s="711">
        <f>ABS(O244-P244)</f>
        <v>0</v>
      </c>
      <c r="R244" s="711"/>
      <c r="S244" s="59" t="s">
        <v>1947</v>
      </c>
      <c r="T244" s="66">
        <f>IFERROR(IF($M244=S244,($D$8+$D$9+$D$10)*$I244,IF($N244=LEFT(S244,1),($D$8+MAX(0,IF($D$50=1,$D$9*(1-(ABS($Q244-ABS(VALUE(MID(S244,FIND("|",S244)+1,FIND("-",S244)-FIND("|",S244)-1))-VALUE(MID(S244,FIND("-",S244)+1,10)))))*$D$50),$D$9*(1-(IF($N244="X",ABS($O244-VALUE(MID(S244,FIND("|",S244)+1,FIND("-",S244)-FIND("|",S244)-1))),ABS($Q244-ABS(VALUE(MID(S244,FIND("|",S244)+1,FIND("-",S244)-FIND("|",S244)-1))-VALUE(MID(S244,FIND("-",S244)+1,10)))))*$D$50)))))*$I244,0)),0)</f>
        <v>0</v>
      </c>
      <c r="U244" s="425"/>
      <c r="V244" s="59" t="s">
        <v>1963</v>
      </c>
      <c r="W244" s="66">
        <f>IFERROR(IF($M244=V244,($D$8+$D$9+$D$10)*$I244,IF($N244=LEFT(V244,1),($D$8+MAX(0,IF($D$50=1,$D$9*(1-(ABS($Q244-ABS(VALUE(MID(V244,FIND("|",V244)+1,FIND("-",V244)-FIND("|",V244)-1))-VALUE(MID(V244,FIND("-",V244)+1,10)))))*$D$50),$D$9*(1-(IF($N244="X",ABS($O244-VALUE(MID(V244,FIND("|",V244)+1,FIND("-",V244)-FIND("|",V244)-1))),ABS($Q244-ABS(VALUE(MID(V244,FIND("|",V244)+1,FIND("-",V244)-FIND("|",V244)-1))-VALUE(MID(V244,FIND("-",V244)+1,10)))))*$D$50)))))*$I244,0)),0)</f>
        <v>0</v>
      </c>
      <c r="X244" s="102"/>
      <c r="Y244" s="59" t="s">
        <v>1960</v>
      </c>
      <c r="Z244" s="66">
        <f>IFERROR(IF($M244=Y244,($D$8+$D$9+$D$10)*$I244,IF($N244=LEFT(Y244,1),($D$8+MAX(0,IF($D$50=1,$D$9*(1-(ABS($Q244-ABS(VALUE(MID(Y244,FIND("|",Y244)+1,FIND("-",Y244)-FIND("|",Y244)-1))-VALUE(MID(Y244,FIND("-",Y244)+1,10)))))*$D$50),$D$9*(1-(IF($N244="X",ABS($O244-VALUE(MID(Y244,FIND("|",Y244)+1,FIND("-",Y244)-FIND("|",Y244)-1))),ABS($Q244-ABS(VALUE(MID(Y244,FIND("|",Y244)+1,FIND("-",Y244)-FIND("|",Y244)-1))-VALUE(MID(Y244,FIND("-",Y244)+1,10)))))*$D$50)))))*$I244,0)),0)</f>
        <v>0</v>
      </c>
      <c r="AA244" s="102"/>
      <c r="AB244" s="59" t="s">
        <v>1956</v>
      </c>
      <c r="AC244" s="66">
        <f>IFERROR(IF($M244=AB244,($D$8+$D$9+$D$10)*$I244,IF($N244=LEFT(AB244,1),($D$8+MAX(0,IF($D$50=1,$D$9*(1-(ABS($Q244-ABS(VALUE(MID(AB244,FIND("|",AB244)+1,FIND("-",AB244)-FIND("|",AB244)-1))-VALUE(MID(AB244,FIND("-",AB244)+1,10)))))*$D$50),$D$9*(1-(IF($N244="X",ABS($O244-VALUE(MID(AB244,FIND("|",AB244)+1,FIND("-",AB244)-FIND("|",AB244)-1))),ABS($Q244-ABS(VALUE(MID(AB244,FIND("|",AB244)+1,FIND("-",AB244)-FIND("|",AB244)-1))-VALUE(MID(AB244,FIND("-",AB244)+1,10)))))*$D$50)))))*$I244,0)),0)</f>
        <v>0</v>
      </c>
      <c r="AD244" s="102"/>
      <c r="AE244" s="59" t="s">
        <v>1956</v>
      </c>
      <c r="AF244" s="66">
        <f>IFERROR(IF($M244=AE244,($D$8+$D$9+$D$10)*$I244,IF($N244=LEFT(AE244,1),($D$8+MAX(0,IF($D$50=1,$D$9*(1-(ABS($Q244-ABS(VALUE(MID(AE244,FIND("|",AE244)+1,FIND("-",AE244)-FIND("|",AE244)-1))-VALUE(MID(AE244,FIND("-",AE244)+1,10)))))*$D$50),$D$9*(1-(IF($N244="X",ABS($O244-VALUE(MID(AE244,FIND("|",AE244)+1,FIND("-",AE244)-FIND("|",AE244)-1))),ABS($Q244-ABS(VALUE(MID(AE244,FIND("|",AE244)+1,FIND("-",AE244)-FIND("|",AE244)-1))-VALUE(MID(AE244,FIND("-",AE244)+1,10)))))*$D$50)))))*$I244,0)),0)</f>
        <v>0</v>
      </c>
      <c r="AG244" s="102"/>
      <c r="AH244" s="59" t="s">
        <v>1947</v>
      </c>
      <c r="AI244" s="66">
        <f>IFERROR(IF($M244=AH244,($D$8+$D$9+$D$10)*$I244,IF($N244=LEFT(AH244,1),($D$8+MAX(0,IF($D$50=1,$D$9*(1-(ABS($Q244-ABS(VALUE(MID(AH244,FIND("|",AH244)+1,FIND("-",AH244)-FIND("|",AH244)-1))-VALUE(MID(AH244,FIND("-",AH244)+1,10)))))*$D$50),$D$9*(1-(IF($N244="X",ABS($O244-VALUE(MID(AH244,FIND("|",AH244)+1,FIND("-",AH244)-FIND("|",AH244)-1))),ABS($Q244-ABS(VALUE(MID(AH244,FIND("|",AH244)+1,FIND("-",AH244)-FIND("|",AH244)-1))-VALUE(MID(AH244,FIND("-",AH244)+1,10)))))*$D$50)))))*$I244,0)),0)</f>
        <v>0</v>
      </c>
      <c r="AJ244" s="425"/>
      <c r="AK244" s="59" t="s">
        <v>1947</v>
      </c>
      <c r="AL244" s="66">
        <f>IFERROR(IF($M244=AK244,($D$8+$D$9+$D$10)*$I244,IF($N244=LEFT(AK244,1),($D$8+MAX(0,IF($D$50=1,$D$9*(1-(ABS($Q244-ABS(VALUE(MID(AK244,FIND("|",AK244)+1,FIND("-",AK244)-FIND("|",AK244)-1))-VALUE(MID(AK244,FIND("-",AK244)+1,10)))))*$D$50),$D$9*(1-(IF($N244="X",ABS($O244-VALUE(MID(AK244,FIND("|",AK244)+1,FIND("-",AK244)-FIND("|",AK244)-1))),ABS($Q244-ABS(VALUE(MID(AK244,FIND("|",AK244)+1,FIND("-",AK244)-FIND("|",AK244)-1))-VALUE(MID(AK244,FIND("-",AK244)+1,10)))))*$D$50)))))*$I244,0)),0)</f>
        <v>0</v>
      </c>
      <c r="AM244" s="102"/>
      <c r="AN244" s="59" t="s">
        <v>1953</v>
      </c>
      <c r="AO244" s="66">
        <f>IFERROR(IF($M244=AN244,($D$8+$D$9+$D$10)*$I244,IF($N244=LEFT(AN244,1),($D$8+MAX(0,IF($D$50=1,$D$9*(1-(ABS($Q244-ABS(VALUE(MID(AN244,FIND("|",AN244)+1,FIND("-",AN244)-FIND("|",AN244)-1))-VALUE(MID(AN244,FIND("-",AN244)+1,10)))))*$D$50),$D$9*(1-(IF($N244="X",ABS($O244-VALUE(MID(AN244,FIND("|",AN244)+1,FIND("-",AN244)-FIND("|",AN244)-1))),ABS($Q244-ABS(VALUE(MID(AN244,FIND("|",AN244)+1,FIND("-",AN244)-FIND("|",AN244)-1))-VALUE(MID(AN244,FIND("-",AN244)+1,10)))))*$D$50)))))*$I244,0)),0)</f>
        <v>0</v>
      </c>
      <c r="AP244" s="102"/>
      <c r="AQ244" s="59" t="s">
        <v>1947</v>
      </c>
      <c r="AR244" s="66">
        <f>IFERROR(IF($M244=AQ244,($D$8+$D$9+$D$10)*$I244,IF($N244=LEFT(AQ244,1),($D$8+MAX(0,IF($D$50=1,$D$9*(1-(ABS($Q244-ABS(VALUE(MID(AQ244,FIND("|",AQ244)+1,FIND("-",AQ244)-FIND("|",AQ244)-1))-VALUE(MID(AQ244,FIND("-",AQ244)+1,10)))))*$D$50),$D$9*(1-(IF($N244="X",ABS($O244-VALUE(MID(AQ244,FIND("|",AQ244)+1,FIND("-",AQ244)-FIND("|",AQ244)-1))),ABS($Q244-ABS(VALUE(MID(AQ244,FIND("|",AQ244)+1,FIND("-",AQ244)-FIND("|",AQ244)-1))-VALUE(MID(AQ244,FIND("-",AQ244)+1,10)))))*$D$50)))))*$I244,0)),0)</f>
        <v>0</v>
      </c>
      <c r="AS244" s="102"/>
      <c r="AT244" s="59" t="s">
        <v>1954</v>
      </c>
      <c r="AU244" s="66">
        <f>IFERROR(IF($M244=AT244,($D$8+$D$9+$D$10)*$I244,IF($N244=LEFT(AT244,1),($D$8+MAX(0,IF($D$50=1,$D$9*(1-(ABS($Q244-ABS(VALUE(MID(AT244,FIND("|",AT244)+1,FIND("-",AT244)-FIND("|",AT244)-1))-VALUE(MID(AT244,FIND("-",AT244)+1,10)))))*$D$50),$D$9*(1-(IF($N244="X",ABS($O244-VALUE(MID(AT244,FIND("|",AT244)+1,FIND("-",AT244)-FIND("|",AT244)-1))),ABS($Q244-ABS(VALUE(MID(AT244,FIND("|",AT244)+1,FIND("-",AT244)-FIND("|",AT244)-1))-VALUE(MID(AT244,FIND("-",AT244)+1,10)))))*$D$50)))))*$I244,0)),0)</f>
        <v>0</v>
      </c>
      <c r="AV244" s="102"/>
      <c r="AW244" s="59" t="s">
        <v>1955</v>
      </c>
      <c r="AX244" s="66">
        <f>IFERROR(IF($M244=AW244,($D$8+$D$9+$D$10)*$I244,IF($N244=LEFT(AW244,1),($D$8+MAX(0,IF($D$50=1,$D$9*(1-(ABS($Q244-ABS(VALUE(MID(AW244,FIND("|",AW244)+1,FIND("-",AW244)-FIND("|",AW244)-1))-VALUE(MID(AW244,FIND("-",AW244)+1,10)))))*$D$50),$D$9*(1-(IF($N244="X",ABS($O244-VALUE(MID(AW244,FIND("|",AW244)+1,FIND("-",AW244)-FIND("|",AW244)-1))),ABS($Q244-ABS(VALUE(MID(AW244,FIND("|",AW244)+1,FIND("-",AW244)-FIND("|",AW244)-1))-VALUE(MID(AW244,FIND("-",AW244)+1,10)))))*$D$50)))))*$I244,0)),0)</f>
        <v>0</v>
      </c>
      <c r="AY244" s="425"/>
      <c r="AZ244" s="59" t="s">
        <v>1953</v>
      </c>
      <c r="BA244" s="66">
        <f>IFERROR(IF($M244=AZ244,($D$8+$D$9+$D$10)*$I244,IF($N244=LEFT(AZ244,1),($D$8+MAX(0,IF($D$50=1,$D$9*(1-(ABS($Q244-ABS(VALUE(MID(AZ244,FIND("|",AZ244)+1,FIND("-",AZ244)-FIND("|",AZ244)-1))-VALUE(MID(AZ244,FIND("-",AZ244)+1,10)))))*$D$50),$D$9*(1-(IF($N244="X",ABS($O244-VALUE(MID(AZ244,FIND("|",AZ244)+1,FIND("-",AZ244)-FIND("|",AZ244)-1))),ABS($Q244-ABS(VALUE(MID(AZ244,FIND("|",AZ244)+1,FIND("-",AZ244)-FIND("|",AZ244)-1))-VALUE(MID(AZ244,FIND("-",AZ244)+1,10)))))*$D$50)))))*$I244,0)),0)</f>
        <v>0</v>
      </c>
      <c r="BB244" s="102"/>
      <c r="BC244" s="59" t="s">
        <v>1959</v>
      </c>
      <c r="BD244" s="66">
        <f>IFERROR(IF($M244=BC244,($D$8+$D$9+$D$10)*$I244,IF($N244=LEFT(BC244,1),($D$8+MAX(0,IF($D$50=1,$D$9*(1-(ABS($Q244-ABS(VALUE(MID(BC244,FIND("|",BC244)+1,FIND("-",BC244)-FIND("|",BC244)-1))-VALUE(MID(BC244,FIND("-",BC244)+1,10)))))*$D$50),$D$9*(1-(IF($N244="X",ABS($O244-VALUE(MID(BC244,FIND("|",BC244)+1,FIND("-",BC244)-FIND("|",BC244)-1))),ABS($Q244-ABS(VALUE(MID(BC244,FIND("|",BC244)+1,FIND("-",BC244)-FIND("|",BC244)-1))-VALUE(MID(BC244,FIND("-",BC244)+1,10)))))*$D$50)))))*$I244,0)),0)</f>
        <v>0</v>
      </c>
      <c r="BE244" s="102"/>
      <c r="BF244" s="59" t="s">
        <v>1947</v>
      </c>
      <c r="BG244" s="66">
        <f>IFERROR(IF($M244=BF244,($D$8+$D$9+$D$10)*$I244,IF($N244=LEFT(BF244,1),($D$8+MAX(0,IF($D$50=1,$D$9*(1-(ABS($Q244-ABS(VALUE(MID(BF244,FIND("|",BF244)+1,FIND("-",BF244)-FIND("|",BF244)-1))-VALUE(MID(BF244,FIND("-",BF244)+1,10)))))*$D$50),$D$9*(1-(IF($N244="X",ABS($O244-VALUE(MID(BF244,FIND("|",BF244)+1,FIND("-",BF244)-FIND("|",BF244)-1))),ABS($Q244-ABS(VALUE(MID(BF244,FIND("|",BF244)+1,FIND("-",BF244)-FIND("|",BF244)-1))-VALUE(MID(BF244,FIND("-",BF244)+1,10)))))*$D$50)))))*$I244,0)),0)</f>
        <v>0</v>
      </c>
      <c r="BH244" s="102"/>
      <c r="BI244" s="59" t="s">
        <v>1947</v>
      </c>
      <c r="BJ244" s="66">
        <f>IFERROR(IF($M244=BI244,($D$8+$D$9+$D$10)*$I244,IF($N244=LEFT(BI244,1),($D$8+MAX(0,IF($D$50=1,$D$9*(1-(ABS($Q244-ABS(VALUE(MID(BI244,FIND("|",BI244)+1,FIND("-",BI244)-FIND("|",BI244)-1))-VALUE(MID(BI244,FIND("-",BI244)+1,10)))))*$D$50),$D$9*(1-(IF($N244="X",ABS($O244-VALUE(MID(BI244,FIND("|",BI244)+1,FIND("-",BI244)-FIND("|",BI244)-1))),ABS($Q244-ABS(VALUE(MID(BI244,FIND("|",BI244)+1,FIND("-",BI244)-FIND("|",BI244)-1))-VALUE(MID(BI244,FIND("-",BI244)+1,10)))))*$D$50)))))*$I244,0)),0)</f>
        <v>0</v>
      </c>
      <c r="BK244" s="102"/>
      <c r="BL244" s="59" t="s">
        <v>1954</v>
      </c>
      <c r="BM244" s="66">
        <f>IFERROR(IF($M244=BL244,($D$8+$D$9+$D$10)*$I244,IF($N244=LEFT(BL244,1),($D$8+MAX(0,IF($D$50=1,$D$9*(1-(ABS($Q244-ABS(VALUE(MID(BL244,FIND("|",BL244)+1,FIND("-",BL244)-FIND("|",BL244)-1))-VALUE(MID(BL244,FIND("-",BL244)+1,10)))))*$D$50),$D$9*(1-(IF($N244="X",ABS($O244-VALUE(MID(BL244,FIND("|",BL244)+1,FIND("-",BL244)-FIND("|",BL244)-1))),ABS($Q244-ABS(VALUE(MID(BL244,FIND("|",BL244)+1,FIND("-",BL244)-FIND("|",BL244)-1))-VALUE(MID(BL244,FIND("-",BL244)+1,10)))))*$D$50)))))*$I244,0)),0)</f>
        <v>0</v>
      </c>
      <c r="BN244" s="425"/>
      <c r="BO244" s="59" t="s">
        <v>1947</v>
      </c>
      <c r="BP244" s="66">
        <f>IFERROR(IF($M244=BO244,($D$8+$D$9+$D$10)*$I244,IF($N244=LEFT(BO244,1),($D$8+MAX(0,IF($D$50=1,$D$9*(1-(ABS($Q244-ABS(VALUE(MID(BO244,FIND("|",BO244)+1,FIND("-",BO244)-FIND("|",BO244)-1))-VALUE(MID(BO244,FIND("-",BO244)+1,10)))))*$D$50),$D$9*(1-(IF($N244="X",ABS($O244-VALUE(MID(BO244,FIND("|",BO244)+1,FIND("-",BO244)-FIND("|",BO244)-1))),ABS($Q244-ABS(VALUE(MID(BO244,FIND("|",BO244)+1,FIND("-",BO244)-FIND("|",BO244)-1))-VALUE(MID(BO244,FIND("-",BO244)+1,10)))))*$D$50)))))*$I244,0)),0)</f>
        <v>0</v>
      </c>
      <c r="BQ244" s="102"/>
      <c r="BR244" s="59" t="s">
        <v>1947</v>
      </c>
      <c r="BS244" s="66">
        <f>IFERROR(IF($M244=BR244,($D$8+$D$9+$D$10)*$I244,IF($N244=LEFT(BR244,1),($D$8+MAX(0,IF($D$50=1,$D$9*(1-(ABS($Q244-ABS(VALUE(MID(BR244,FIND("|",BR244)+1,FIND("-",BR244)-FIND("|",BR244)-1))-VALUE(MID(BR244,FIND("-",BR244)+1,10)))))*$D$50),$D$9*(1-(IF($N244="X",ABS($O244-VALUE(MID(BR244,FIND("|",BR244)+1,FIND("-",BR244)-FIND("|",BR244)-1))),ABS($Q244-ABS(VALUE(MID(BR244,FIND("|",BR244)+1,FIND("-",BR244)-FIND("|",BR244)-1))-VALUE(MID(BR244,FIND("-",BR244)+1,10)))))*$D$50)))))*$I244,0)),0)</f>
        <v>0</v>
      </c>
      <c r="BT244" s="102"/>
      <c r="BU244" s="59" t="str">
        <f>Idiomas!$D$371</f>
        <v>Pegar valores 3º-4º puesto y Final</v>
      </c>
      <c r="BV244" s="66">
        <f>IFERROR(IF($M244=BU244,($D$8+$D$9+$D$10)*$I244,IF($N244=LEFT(BU244,1),($D$8+MAX(0,IF($D$50=1,$D$9*(1-(ABS($Q244-ABS(VALUE(MID(BU244,FIND("|",BU244)+1,FIND("-",BU244)-FIND("|",BU244)-1))-VALUE(MID(BU244,FIND("-",BU244)+1,10)))))*$D$50),$D$9*(1-(IF($N244="X",ABS($O244-VALUE(MID(BU244,FIND("|",BU244)+1,FIND("-",BU244)-FIND("|",BU244)-1))),ABS($Q244-ABS(VALUE(MID(BU244,FIND("|",BU244)+1,FIND("-",BU244)-FIND("|",BU244)-1))-VALUE(MID(BU244,FIND("-",BU244)+1,10)))))*$D$50)))))*$I244,0)),0)</f>
        <v>0</v>
      </c>
      <c r="BW244" s="102"/>
      <c r="BX244" s="59" t="str">
        <f>Idiomas!$D$371</f>
        <v>Pegar valores 3º-4º puesto y Final</v>
      </c>
      <c r="BY244" s="66">
        <f>IFERROR(IF($M244=BX244,($D$8+$D$9+$D$10)*$I244,IF($N244=LEFT(BX244,1),($D$8+MAX(0,IF($D$50=1,$D$9*(1-(ABS($Q244-ABS(VALUE(MID(BX244,FIND("|",BX244)+1,FIND("-",BX244)-FIND("|",BX244)-1))-VALUE(MID(BX244,FIND("-",BX244)+1,10)))))*$D$50),$D$9*(1-(IF($N244="X",ABS($O244-VALUE(MID(BX244,FIND("|",BX244)+1,FIND("-",BX244)-FIND("|",BX244)-1))),ABS($Q244-ABS(VALUE(MID(BX244,FIND("|",BX244)+1,FIND("-",BX244)-FIND("|",BX244)-1))-VALUE(MID(BX244,FIND("-",BX244)+1,10)))))*$D$50)))))*$I244,0)),0)</f>
        <v>0</v>
      </c>
      <c r="BZ244" s="102"/>
      <c r="CA244" s="59" t="str">
        <f>Idiomas!$D$371</f>
        <v>Pegar valores 3º-4º puesto y Final</v>
      </c>
      <c r="CB244" s="66">
        <f>IFERROR(IF($M244=CA244,($D$8+$D$9+$D$10)*$I244,IF($N244=LEFT(CA244,1),($D$8+MAX(0,IF($D$50=1,$D$9*(1-(ABS($Q244-ABS(VALUE(MID(CA244,FIND("|",CA244)+1,FIND("-",CA244)-FIND("|",CA244)-1))-VALUE(MID(CA244,FIND("-",CA244)+1,10)))))*$D$50),$D$9*(1-(IF($N244="X",ABS($O244-VALUE(MID(CA244,FIND("|",CA244)+1,FIND("-",CA244)-FIND("|",CA244)-1))),ABS($Q244-ABS(VALUE(MID(CA244,FIND("|",CA244)+1,FIND("-",CA244)-FIND("|",CA244)-1))-VALUE(MID(CA244,FIND("-",CA244)+1,10)))))*$D$50)))))*$I244,0)),0)</f>
        <v>0</v>
      </c>
      <c r="CC244" s="425"/>
      <c r="CD244" s="59" t="str">
        <f>Idiomas!$D$371</f>
        <v>Pegar valores 3º-4º puesto y Final</v>
      </c>
      <c r="CE244" s="66">
        <f>IFERROR(IF($M244=CD244,($D$8+$D$9+$D$10)*$I244,IF($N244=LEFT(CD244,1),($D$8+MAX(0,IF($D$50=1,$D$9*(1-(ABS($Q244-ABS(VALUE(MID(CD244,FIND("|",CD244)+1,FIND("-",CD244)-FIND("|",CD244)-1))-VALUE(MID(CD244,FIND("-",CD244)+1,10)))))*$D$50),$D$9*(1-(IF($N244="X",ABS($O244-VALUE(MID(CD244,FIND("|",CD244)+1,FIND("-",CD244)-FIND("|",CD244)-1))),ABS($Q244-ABS(VALUE(MID(CD244,FIND("|",CD244)+1,FIND("-",CD244)-FIND("|",CD244)-1))-VALUE(MID(CD244,FIND("-",CD244)+1,10)))))*$D$50)))))*$I244,0)),0)</f>
        <v>0</v>
      </c>
      <c r="CF244" s="102"/>
      <c r="CG244" s="59" t="str">
        <f>Idiomas!$D$371</f>
        <v>Pegar valores 3º-4º puesto y Final</v>
      </c>
      <c r="CH244" s="66">
        <f>IFERROR(IF($M244=CG244,($D$8+$D$9+$D$10)*$I244,IF($N244=LEFT(CG244,1),($D$8+MAX(0,IF($D$50=1,$D$9*(1-(ABS($Q244-ABS(VALUE(MID(CG244,FIND("|",CG244)+1,FIND("-",CG244)-FIND("|",CG244)-1))-VALUE(MID(CG244,FIND("-",CG244)+1,10)))))*$D$50),$D$9*(1-(IF($N244="X",ABS($O244-VALUE(MID(CG244,FIND("|",CG244)+1,FIND("-",CG244)-FIND("|",CG244)-1))),ABS($Q244-ABS(VALUE(MID(CG244,FIND("|",CG244)+1,FIND("-",CG244)-FIND("|",CG244)-1))-VALUE(MID(CG244,FIND("-",CG244)+1,10)))))*$D$50)))))*$I244,0)),0)</f>
        <v>0</v>
      </c>
      <c r="CI244" s="102"/>
      <c r="CJ244" s="59" t="str">
        <f>Idiomas!$D$371</f>
        <v>Pegar valores 3º-4º puesto y Final</v>
      </c>
      <c r="CK244" s="66">
        <f>IFERROR(IF($M244=CJ244,($D$8+$D$9+$D$10)*$I244,IF($N244=LEFT(CJ244,1),($D$8+MAX(0,IF($D$50=1,$D$9*(1-(ABS($Q244-ABS(VALUE(MID(CJ244,FIND("|",CJ244)+1,FIND("-",CJ244)-FIND("|",CJ244)-1))-VALUE(MID(CJ244,FIND("-",CJ244)+1,10)))))*$D$50),$D$9*(1-(IF($N244="X",ABS($O244-VALUE(MID(CJ244,FIND("|",CJ244)+1,FIND("-",CJ244)-FIND("|",CJ244)-1))),ABS($Q244-ABS(VALUE(MID(CJ244,FIND("|",CJ244)+1,FIND("-",CJ244)-FIND("|",CJ244)-1))-VALUE(MID(CJ244,FIND("-",CJ244)+1,10)))))*$D$50)))))*$I244,0)),0)</f>
        <v>0</v>
      </c>
      <c r="CL244" s="102"/>
      <c r="CM244" s="59" t="str">
        <f>Idiomas!$D$371</f>
        <v>Pegar valores 3º-4º puesto y Final</v>
      </c>
      <c r="CN244" s="66">
        <f>IFERROR(IF($M244=CM244,($D$8+$D$9+$D$10)*$I244,IF($N244=LEFT(CM244,1),($D$8+MAX(0,IF($D$50=1,$D$9*(1-(ABS($Q244-ABS(VALUE(MID(CM244,FIND("|",CM244)+1,FIND("-",CM244)-FIND("|",CM244)-1))-VALUE(MID(CM244,FIND("-",CM244)+1,10)))))*$D$50),$D$9*(1-(IF($N244="X",ABS($O244-VALUE(MID(CM244,FIND("|",CM244)+1,FIND("-",CM244)-FIND("|",CM244)-1))),ABS($Q244-ABS(VALUE(MID(CM244,FIND("|",CM244)+1,FIND("-",CM244)-FIND("|",CM244)-1))-VALUE(MID(CM244,FIND("-",CM244)+1,10)))))*$D$50)))))*$I244,0)),0)</f>
        <v>0</v>
      </c>
      <c r="CO244" s="102"/>
      <c r="CP244" s="59" t="str">
        <f>Idiomas!$D$371</f>
        <v>Pegar valores 3º-4º puesto y Final</v>
      </c>
      <c r="CQ244" s="66">
        <f>IFERROR(IF($M244=CP244,($D$8+$D$9+$D$10)*$I244,IF($N244=LEFT(CP244,1),($D$8+MAX(0,IF($D$50=1,$D$9*(1-(ABS($Q244-ABS(VALUE(MID(CP244,FIND("|",CP244)+1,FIND("-",CP244)-FIND("|",CP244)-1))-VALUE(MID(CP244,FIND("-",CP244)+1,10)))))*$D$50),$D$9*(1-(IF($N244="X",ABS($O244-VALUE(MID(CP244,FIND("|",CP244)+1,FIND("-",CP244)-FIND("|",CP244)-1))),ABS($Q244-ABS(VALUE(MID(CP244,FIND("|",CP244)+1,FIND("-",CP244)-FIND("|",CP244)-1))-VALUE(MID(CP244,FIND("-",CP244)+1,10)))))*$D$50)))))*$I244,0)),0)</f>
        <v>0</v>
      </c>
      <c r="CR244" s="425"/>
      <c r="CS244" s="59" t="str">
        <f>Idiomas!$D$371</f>
        <v>Pegar valores 3º-4º puesto y Final</v>
      </c>
      <c r="CT244" s="66">
        <f>IFERROR(IF($M244=CS244,($D$8+$D$9+$D$10)*$I244,IF($N244=LEFT(CS244,1),($D$8+MAX(0,IF($D$50=1,$D$9*(1-(ABS($Q244-ABS(VALUE(MID(CS244,FIND("|",CS244)+1,FIND("-",CS244)-FIND("|",CS244)-1))-VALUE(MID(CS244,FIND("-",CS244)+1,10)))))*$D$50),$D$9*(1-(IF($N244="X",ABS($O244-VALUE(MID(CS244,FIND("|",CS244)+1,FIND("-",CS244)-FIND("|",CS244)-1))),ABS($Q244-ABS(VALUE(MID(CS244,FIND("|",CS244)+1,FIND("-",CS244)-FIND("|",CS244)-1))-VALUE(MID(CS244,FIND("-",CS244)+1,10)))))*$D$50)))))*$I244,0)),0)</f>
        <v>0</v>
      </c>
      <c r="CU244" s="102"/>
      <c r="CV244" s="59" t="str">
        <f>Idiomas!$D$371</f>
        <v>Pegar valores 3º-4º puesto y Final</v>
      </c>
      <c r="CW244" s="66">
        <f>IFERROR(IF($M244=CV244,($D$8+$D$9+$D$10)*$I244,IF($N244=LEFT(CV244,1),($D$8+MAX(0,IF($D$50=1,$D$9*(1-(ABS($Q244-ABS(VALUE(MID(CV244,FIND("|",CV244)+1,FIND("-",CV244)-FIND("|",CV244)-1))-VALUE(MID(CV244,FIND("-",CV244)+1,10)))))*$D$50),$D$9*(1-(IF($N244="X",ABS($O244-VALUE(MID(CV244,FIND("|",CV244)+1,FIND("-",CV244)-FIND("|",CV244)-1))),ABS($Q244-ABS(VALUE(MID(CV244,FIND("|",CV244)+1,FIND("-",CV244)-FIND("|",CV244)-1))-VALUE(MID(CV244,FIND("-",CV244)+1,10)))))*$D$50)))))*$I244,0)),0)</f>
        <v>0</v>
      </c>
      <c r="CX244" s="102"/>
      <c r="CY244" s="59" t="str">
        <f>Idiomas!$D$371</f>
        <v>Pegar valores 3º-4º puesto y Final</v>
      </c>
      <c r="CZ244" s="66">
        <f>IFERROR(IF($M244=CY244,($D$8+$D$9+$D$10)*$I244,IF($N244=LEFT(CY244,1),($D$8+MAX(0,IF($D$50=1,$D$9*(1-(ABS($Q244-ABS(VALUE(MID(CY244,FIND("|",CY244)+1,FIND("-",CY244)-FIND("|",CY244)-1))-VALUE(MID(CY244,FIND("-",CY244)+1,10)))))*$D$50),$D$9*(1-(IF($N244="X",ABS($O244-VALUE(MID(CY244,FIND("|",CY244)+1,FIND("-",CY244)-FIND("|",CY244)-1))),ABS($Q244-ABS(VALUE(MID(CY244,FIND("|",CY244)+1,FIND("-",CY244)-FIND("|",CY244)-1))-VALUE(MID(CY244,FIND("-",CY244)+1,10)))))*$D$50)))))*$I244,0)),0)</f>
        <v>0</v>
      </c>
      <c r="DA244" s="102"/>
      <c r="DB244" s="59" t="str">
        <f>Idiomas!$D$371</f>
        <v>Pegar valores 3º-4º puesto y Final</v>
      </c>
      <c r="DC244" s="66">
        <f>IFERROR(IF($M244=DB244,($D$8+$D$9+$D$10)*$I244,IF($N244=LEFT(DB244,1),($D$8+MAX(0,IF($D$50=1,$D$9*(1-(ABS($Q244-ABS(VALUE(MID(DB244,FIND("|",DB244)+1,FIND("-",DB244)-FIND("|",DB244)-1))-VALUE(MID(DB244,FIND("-",DB244)+1,10)))))*$D$50),$D$9*(1-(IF($N244="X",ABS($O244-VALUE(MID(DB244,FIND("|",DB244)+1,FIND("-",DB244)-FIND("|",DB244)-1))),ABS($Q244-ABS(VALUE(MID(DB244,FIND("|",DB244)+1,FIND("-",DB244)-FIND("|",DB244)-1))-VALUE(MID(DB244,FIND("-",DB244)+1,10)))))*$D$50)))))*$I244,0)),0)</f>
        <v>0</v>
      </c>
      <c r="DD244" s="102"/>
      <c r="DE244" s="59" t="str">
        <f>Idiomas!$D$371</f>
        <v>Pegar valores 3º-4º puesto y Final</v>
      </c>
      <c r="DF244" s="66">
        <f>IFERROR(IF($M244=DE244,($D$8+$D$9+$D$10)*$I244,IF($N244=LEFT(DE244,1),($D$8+MAX(0,IF($D$50=1,$D$9*(1-(ABS($Q244-ABS(VALUE(MID(DE244,FIND("|",DE244)+1,FIND("-",DE244)-FIND("|",DE244)-1))-VALUE(MID(DE244,FIND("-",DE244)+1,10)))))*$D$50),$D$9*(1-(IF($N244="X",ABS($O244-VALUE(MID(DE244,FIND("|",DE244)+1,FIND("-",DE244)-FIND("|",DE244)-1))),ABS($Q244-ABS(VALUE(MID(DE244,FIND("|",DE244)+1,FIND("-",DE244)-FIND("|",DE244)-1))-VALUE(MID(DE244,FIND("-",DE244)+1,10)))))*$D$50)))))*$I244,0)),0)</f>
        <v>0</v>
      </c>
      <c r="DG244" s="425"/>
      <c r="DH244" s="59" t="str">
        <f>Idiomas!$D$371</f>
        <v>Pegar valores 3º-4º puesto y Final</v>
      </c>
      <c r="DI244" s="66">
        <f>IFERROR(IF($M244=DH244,($D$8+$D$9+$D$10)*$I244,IF($N244=LEFT(DH244,1),($D$8+MAX(0,IF($D$50=1,$D$9*(1-(ABS($Q244-ABS(VALUE(MID(DH244,FIND("|",DH244)+1,FIND("-",DH244)-FIND("|",DH244)-1))-VALUE(MID(DH244,FIND("-",DH244)+1,10)))))*$D$50),$D$9*(1-(IF($N244="X",ABS($O244-VALUE(MID(DH244,FIND("|",DH244)+1,FIND("-",DH244)-FIND("|",DH244)-1))),ABS($Q244-ABS(VALUE(MID(DH244,FIND("|",DH244)+1,FIND("-",DH244)-FIND("|",DH244)-1))-VALUE(MID(DH244,FIND("-",DH244)+1,10)))))*$D$50)))))*$I244,0)),0)</f>
        <v>0</v>
      </c>
      <c r="DJ244" s="102"/>
      <c r="DK244" s="59" t="str">
        <f>Idiomas!$D$371</f>
        <v>Pegar valores 3º-4º puesto y Final</v>
      </c>
      <c r="DL244" s="66">
        <f>IFERROR(IF($M244=DK244,($D$8+$D$9+$D$10)*$I244,IF($N244=LEFT(DK244,1),($D$8+MAX(0,IF($D$50=1,$D$9*(1-(ABS($Q244-ABS(VALUE(MID(DK244,FIND("|",DK244)+1,FIND("-",DK244)-FIND("|",DK244)-1))-VALUE(MID(DK244,FIND("-",DK244)+1,10)))))*$D$50),$D$9*(1-(IF($N244="X",ABS($O244-VALUE(MID(DK244,FIND("|",DK244)+1,FIND("-",DK244)-FIND("|",DK244)-1))),ABS($Q244-ABS(VALUE(MID(DK244,FIND("|",DK244)+1,FIND("-",DK244)-FIND("|",DK244)-1))-VALUE(MID(DK244,FIND("-",DK244)+1,10)))))*$D$50)))))*$I244,0)),0)</f>
        <v>0</v>
      </c>
      <c r="DM244" s="102"/>
      <c r="DN244" s="59" t="str">
        <f>Idiomas!$D$371</f>
        <v>Pegar valores 3º-4º puesto y Final</v>
      </c>
      <c r="DO244" s="66">
        <f>IFERROR(IF($M244=DN244,($D$8+$D$9+$D$10)*$I244,IF($N244=LEFT(DN244,1),($D$8+MAX(0,IF($D$50=1,$D$9*(1-(ABS($Q244-ABS(VALUE(MID(DN244,FIND("|",DN244)+1,FIND("-",DN244)-FIND("|",DN244)-1))-VALUE(MID(DN244,FIND("-",DN244)+1,10)))))*$D$50),$D$9*(1-(IF($N244="X",ABS($O244-VALUE(MID(DN244,FIND("|",DN244)+1,FIND("-",DN244)-FIND("|",DN244)-1))),ABS($Q244-ABS(VALUE(MID(DN244,FIND("|",DN244)+1,FIND("-",DN244)-FIND("|",DN244)-1))-VALUE(MID(DN244,FIND("-",DN244)+1,10)))))*$D$50)))))*$I244,0)),0)</f>
        <v>0</v>
      </c>
      <c r="DP244" s="102"/>
      <c r="DQ244" s="59" t="str">
        <f>Idiomas!$D$371</f>
        <v>Pegar valores 3º-4º puesto y Final</v>
      </c>
      <c r="DR244" s="66">
        <f>IFERROR(IF($M244=DQ244,($D$8+$D$9+$D$10)*$I244,IF($N244=LEFT(DQ244,1),($D$8+MAX(0,IF($D$50=1,$D$9*(1-(ABS($Q244-ABS(VALUE(MID(DQ244,FIND("|",DQ244)+1,FIND("-",DQ244)-FIND("|",DQ244)-1))-VALUE(MID(DQ244,FIND("-",DQ244)+1,10)))))*$D$50),$D$9*(1-(IF($N244="X",ABS($O244-VALUE(MID(DQ244,FIND("|",DQ244)+1,FIND("-",DQ244)-FIND("|",DQ244)-1))),ABS($Q244-ABS(VALUE(MID(DQ244,FIND("|",DQ244)+1,FIND("-",DQ244)-FIND("|",DQ244)-1))-VALUE(MID(DQ244,FIND("-",DQ244)+1,10)))))*$D$50)))))*$I244,0)),0)</f>
        <v>0</v>
      </c>
      <c r="DS244" s="102"/>
      <c r="DT244" s="59" t="str">
        <f>Idiomas!$D$371</f>
        <v>Pegar valores 3º-4º puesto y Final</v>
      </c>
      <c r="DU244" s="66">
        <f>IFERROR(IF($M244=DT244,($D$8+$D$9+$D$10)*$I244,IF($N244=LEFT(DT244,1),($D$8+MAX(0,IF($D$50=1,$D$9*(1-(ABS($Q244-ABS(VALUE(MID(DT244,FIND("|",DT244)+1,FIND("-",DT244)-FIND("|",DT244)-1))-VALUE(MID(DT244,FIND("-",DT244)+1,10)))))*$D$50),$D$9*(1-(IF($N244="X",ABS($O244-VALUE(MID(DT244,FIND("|",DT244)+1,FIND("-",DT244)-FIND("|",DT244)-1))),ABS($Q244-ABS(VALUE(MID(DT244,FIND("|",DT244)+1,FIND("-",DT244)-FIND("|",DT244)-1))-VALUE(MID(DT244,FIND("-",DT244)+1,10)))))*$D$50)))))*$I244,0)),0)</f>
        <v>0</v>
      </c>
      <c r="DV244" s="425"/>
      <c r="DW244" s="59" t="str">
        <f>Idiomas!$D$371</f>
        <v>Pegar valores 3º-4º puesto y Final</v>
      </c>
      <c r="DX244" s="66">
        <f>IFERROR(IF($M244=DW244,($D$8+$D$9+$D$10)*$I244,IF($N244=LEFT(DW244,1),($D$8+MAX(0,IF($D$50=1,$D$9*(1-(ABS($Q244-ABS(VALUE(MID(DW244,FIND("|",DW244)+1,FIND("-",DW244)-FIND("|",DW244)-1))-VALUE(MID(DW244,FIND("-",DW244)+1,10)))))*$D$50),$D$9*(1-(IF($N244="X",ABS($O244-VALUE(MID(DW244,FIND("|",DW244)+1,FIND("-",DW244)-FIND("|",DW244)-1))),ABS($Q244-ABS(VALUE(MID(DW244,FIND("|",DW244)+1,FIND("-",DW244)-FIND("|",DW244)-1))-VALUE(MID(DW244,FIND("-",DW244)+1,10)))))*$D$50)))))*$I244,0)),0)</f>
        <v>0</v>
      </c>
      <c r="DY244" s="102"/>
      <c r="DZ244" s="59" t="str">
        <f>Idiomas!$D$371</f>
        <v>Pegar valores 3º-4º puesto y Final</v>
      </c>
      <c r="EA244" s="66">
        <f>IFERROR(IF($M244=DZ244,($D$8+$D$9+$D$10)*$I244,IF($N244=LEFT(DZ244,1),($D$8+MAX(0,IF($D$50=1,$D$9*(1-(ABS($Q244-ABS(VALUE(MID(DZ244,FIND("|",DZ244)+1,FIND("-",DZ244)-FIND("|",DZ244)-1))-VALUE(MID(DZ244,FIND("-",DZ244)+1,10)))))*$D$50),$D$9*(1-(IF($N244="X",ABS($O244-VALUE(MID(DZ244,FIND("|",DZ244)+1,FIND("-",DZ244)-FIND("|",DZ244)-1))),ABS($Q244-ABS(VALUE(MID(DZ244,FIND("|",DZ244)+1,FIND("-",DZ244)-FIND("|",DZ244)-1))-VALUE(MID(DZ244,FIND("-",DZ244)+1,10)))))*$D$50)))))*$I244,0)),0)</f>
        <v>0</v>
      </c>
      <c r="EB244" s="102"/>
      <c r="EC244" s="59" t="str">
        <f>Idiomas!$D$371</f>
        <v>Pegar valores 3º-4º puesto y Final</v>
      </c>
      <c r="ED244" s="66">
        <f>IFERROR(IF($M244=EC244,($D$8+$D$9+$D$10)*$I244,IF($N244=LEFT(EC244,1),($D$8+MAX(0,IF($D$50=1,$D$9*(1-(ABS($Q244-ABS(VALUE(MID(EC244,FIND("|",EC244)+1,FIND("-",EC244)-FIND("|",EC244)-1))-VALUE(MID(EC244,FIND("-",EC244)+1,10)))))*$D$50),$D$9*(1-(IF($N244="X",ABS($O244-VALUE(MID(EC244,FIND("|",EC244)+1,FIND("-",EC244)-FIND("|",EC244)-1))),ABS($Q244-ABS(VALUE(MID(EC244,FIND("|",EC244)+1,FIND("-",EC244)-FIND("|",EC244)-1))-VALUE(MID(EC244,FIND("-",EC244)+1,10)))))*$D$50)))))*$I244,0)),0)</f>
        <v>0</v>
      </c>
      <c r="EE244" s="102"/>
      <c r="EF244" s="59" t="str">
        <f>Idiomas!$D$371</f>
        <v>Pegar valores 3º-4º puesto y Final</v>
      </c>
      <c r="EG244" s="66">
        <f>IFERROR(IF($M244=EF244,($D$8+$D$9+$D$10)*$I244,IF($N244=LEFT(EF244,1),($D$8+MAX(0,IF($D$50=1,$D$9*(1-(ABS($Q244-ABS(VALUE(MID(EF244,FIND("|",EF244)+1,FIND("-",EF244)-FIND("|",EF244)-1))-VALUE(MID(EF244,FIND("-",EF244)+1,10)))))*$D$50),$D$9*(1-(IF($N244="X",ABS($O244-VALUE(MID(EF244,FIND("|",EF244)+1,FIND("-",EF244)-FIND("|",EF244)-1))),ABS($Q244-ABS(VALUE(MID(EF244,FIND("|",EF244)+1,FIND("-",EF244)-FIND("|",EF244)-1))-VALUE(MID(EF244,FIND("-",EF244)+1,10)))))*$D$50)))))*$I244,0)),0)</f>
        <v>0</v>
      </c>
      <c r="EH244" s="102"/>
      <c r="EI244" s="102"/>
    </row>
    <row r="245" spans="1:139">
      <c r="A245" s="711"/>
      <c r="B245" s="711"/>
      <c r="C245" s="805"/>
      <c r="D245" s="805"/>
      <c r="E245" s="805"/>
      <c r="F245" s="806"/>
      <c r="G245" s="806"/>
      <c r="H245" s="800"/>
      <c r="I245" s="800"/>
      <c r="J245" s="91"/>
      <c r="K245" s="416" t="str">
        <f>Idiomas!D467</f>
        <v>Partido 3-4</v>
      </c>
      <c r="L245" s="417"/>
      <c r="M245" s="416" t="str">
        <f>"Max: "&amp;SUM($D$33:$D$35)*$I$244</f>
        <v>Max: 17</v>
      </c>
      <c r="N245" s="711"/>
      <c r="O245" s="711"/>
      <c r="P245" s="711"/>
      <c r="Q245" s="711"/>
      <c r="R245" s="711"/>
      <c r="S245" s="77"/>
      <c r="T245" s="76">
        <f>T244</f>
        <v>0</v>
      </c>
      <c r="U245" s="102"/>
      <c r="V245" s="77"/>
      <c r="W245" s="76">
        <f>W244</f>
        <v>0</v>
      </c>
      <c r="X245" s="102"/>
      <c r="Y245" s="77"/>
      <c r="Z245" s="76">
        <f>Z244</f>
        <v>0</v>
      </c>
      <c r="AA245" s="102"/>
      <c r="AB245" s="75"/>
      <c r="AC245" s="76">
        <f>AC244</f>
        <v>0</v>
      </c>
      <c r="AD245" s="102"/>
      <c r="AE245" s="77"/>
      <c r="AF245" s="76">
        <f>AF244</f>
        <v>0</v>
      </c>
      <c r="AG245" s="102"/>
      <c r="AH245" s="77"/>
      <c r="AI245" s="76">
        <f>AI244</f>
        <v>0</v>
      </c>
      <c r="AJ245" s="102"/>
      <c r="AK245" s="77"/>
      <c r="AL245" s="76">
        <f>AL244</f>
        <v>0</v>
      </c>
      <c r="AM245" s="102"/>
      <c r="AN245" s="77"/>
      <c r="AO245" s="76">
        <f>AO244</f>
        <v>0</v>
      </c>
      <c r="AP245" s="102"/>
      <c r="AQ245" s="75"/>
      <c r="AR245" s="76">
        <f>AR244</f>
        <v>0</v>
      </c>
      <c r="AS245" s="102"/>
      <c r="AT245" s="77"/>
      <c r="AU245" s="76">
        <f>AU244</f>
        <v>0</v>
      </c>
      <c r="AV245" s="102"/>
      <c r="AW245" s="77"/>
      <c r="AX245" s="76">
        <f>AX244</f>
        <v>0</v>
      </c>
      <c r="AY245" s="102"/>
      <c r="AZ245" s="77"/>
      <c r="BA245" s="76">
        <f>BA244</f>
        <v>0</v>
      </c>
      <c r="BB245" s="102"/>
      <c r="BC245" s="77"/>
      <c r="BD245" s="76">
        <f>BD244</f>
        <v>0</v>
      </c>
      <c r="BE245" s="102"/>
      <c r="BF245" s="75"/>
      <c r="BG245" s="76">
        <f>BG244</f>
        <v>0</v>
      </c>
      <c r="BH245" s="102"/>
      <c r="BI245" s="77"/>
      <c r="BJ245" s="76">
        <f>BJ244</f>
        <v>0</v>
      </c>
      <c r="BK245" s="102"/>
      <c r="BL245" s="77"/>
      <c r="BM245" s="76">
        <f>BM244</f>
        <v>0</v>
      </c>
      <c r="BN245" s="102"/>
      <c r="BO245" s="77"/>
      <c r="BP245" s="76">
        <f>BP244</f>
        <v>0</v>
      </c>
      <c r="BQ245" s="102"/>
      <c r="BR245" s="77"/>
      <c r="BS245" s="76">
        <f>BS244</f>
        <v>0</v>
      </c>
      <c r="BT245" s="102"/>
      <c r="BU245" s="75"/>
      <c r="BV245" s="76">
        <f>BV244</f>
        <v>0</v>
      </c>
      <c r="BW245" s="102"/>
      <c r="BX245" s="77"/>
      <c r="BY245" s="76">
        <f>BY244</f>
        <v>0</v>
      </c>
      <c r="BZ245" s="102"/>
      <c r="CA245" s="77"/>
      <c r="CB245" s="76">
        <f>CB244</f>
        <v>0</v>
      </c>
      <c r="CC245" s="102"/>
      <c r="CD245" s="77"/>
      <c r="CE245" s="76">
        <f>CE244</f>
        <v>0</v>
      </c>
      <c r="CF245" s="102"/>
      <c r="CG245" s="77"/>
      <c r="CH245" s="76">
        <f>CH244</f>
        <v>0</v>
      </c>
      <c r="CI245" s="102"/>
      <c r="CJ245" s="75"/>
      <c r="CK245" s="76">
        <f>CK244</f>
        <v>0</v>
      </c>
      <c r="CL245" s="102"/>
      <c r="CM245" s="77"/>
      <c r="CN245" s="76">
        <f>CN244</f>
        <v>0</v>
      </c>
      <c r="CO245" s="102"/>
      <c r="CP245" s="77"/>
      <c r="CQ245" s="76">
        <f>CQ244</f>
        <v>0</v>
      </c>
      <c r="CR245" s="102"/>
      <c r="CS245" s="77"/>
      <c r="CT245" s="76">
        <f>CT244</f>
        <v>0</v>
      </c>
      <c r="CU245" s="102"/>
      <c r="CV245" s="77"/>
      <c r="CW245" s="76">
        <f>CW244</f>
        <v>0</v>
      </c>
      <c r="CX245" s="102"/>
      <c r="CY245" s="75"/>
      <c r="CZ245" s="76">
        <f>CZ244</f>
        <v>0</v>
      </c>
      <c r="DA245" s="102"/>
      <c r="DB245" s="77"/>
      <c r="DC245" s="76">
        <f>DC244</f>
        <v>0</v>
      </c>
      <c r="DD245" s="102"/>
      <c r="DE245" s="77"/>
      <c r="DF245" s="76">
        <f>DF244</f>
        <v>0</v>
      </c>
      <c r="DG245" s="102"/>
      <c r="DH245" s="77"/>
      <c r="DI245" s="76">
        <f>DI244</f>
        <v>0</v>
      </c>
      <c r="DJ245" s="102"/>
      <c r="DK245" s="77"/>
      <c r="DL245" s="76">
        <f>DL244</f>
        <v>0</v>
      </c>
      <c r="DM245" s="102"/>
      <c r="DN245" s="75"/>
      <c r="DO245" s="76">
        <f>DO244</f>
        <v>0</v>
      </c>
      <c r="DP245" s="102"/>
      <c r="DQ245" s="77"/>
      <c r="DR245" s="76">
        <f>DR244</f>
        <v>0</v>
      </c>
      <c r="DS245" s="102"/>
      <c r="DT245" s="77"/>
      <c r="DU245" s="76">
        <f>DU244</f>
        <v>0</v>
      </c>
      <c r="DV245" s="102"/>
      <c r="DW245" s="77"/>
      <c r="DX245" s="76">
        <f>DX244</f>
        <v>0</v>
      </c>
      <c r="DY245" s="102"/>
      <c r="DZ245" s="77"/>
      <c r="EA245" s="76">
        <f>EA244</f>
        <v>0</v>
      </c>
      <c r="EB245" s="102"/>
      <c r="EC245" s="75"/>
      <c r="ED245" s="76">
        <f>ED244</f>
        <v>0</v>
      </c>
      <c r="EE245" s="102"/>
      <c r="EF245" s="77"/>
      <c r="EG245" s="76">
        <f>EG244</f>
        <v>0</v>
      </c>
      <c r="EH245" s="102"/>
      <c r="EI245" s="102"/>
    </row>
    <row r="246" spans="1:139">
      <c r="A246" s="711"/>
      <c r="B246" s="711"/>
      <c r="C246" s="805"/>
      <c r="D246" s="805"/>
      <c r="E246" s="805"/>
      <c r="F246" s="806"/>
      <c r="G246" s="806"/>
      <c r="H246" s="800"/>
      <c r="I246" s="804" t="s">
        <v>1573</v>
      </c>
      <c r="J246" s="91"/>
      <c r="K246" s="105" t="str">
        <f>Idiomas!D148</f>
        <v>ENFRENTAMIENTO FINAL</v>
      </c>
      <c r="L246" s="44"/>
      <c r="M246" s="64"/>
      <c r="N246" s="711"/>
      <c r="O246" s="711"/>
      <c r="P246" s="711"/>
      <c r="Q246" s="711"/>
      <c r="R246" s="711"/>
      <c r="S246" s="77"/>
      <c r="T246" s="76"/>
      <c r="U246" s="102"/>
      <c r="V246" s="77"/>
      <c r="W246" s="76"/>
      <c r="X246" s="102"/>
      <c r="Y246" s="77"/>
      <c r="Z246" s="76"/>
      <c r="AA246" s="102"/>
      <c r="AB246" s="77"/>
      <c r="AC246" s="76"/>
      <c r="AD246" s="102"/>
      <c r="AE246" s="77"/>
      <c r="AF246" s="76"/>
      <c r="AG246" s="102"/>
      <c r="AH246" s="77"/>
      <c r="AI246" s="76"/>
      <c r="AJ246" s="102"/>
      <c r="AK246" s="77"/>
      <c r="AL246" s="76"/>
      <c r="AM246" s="102"/>
      <c r="AN246" s="77"/>
      <c r="AO246" s="76"/>
      <c r="AP246" s="102"/>
      <c r="AQ246" s="77"/>
      <c r="AR246" s="76"/>
      <c r="AS246" s="102"/>
      <c r="AT246" s="77"/>
      <c r="AU246" s="76"/>
      <c r="AV246" s="102"/>
      <c r="AW246" s="77"/>
      <c r="AX246" s="76"/>
      <c r="AY246" s="102"/>
      <c r="AZ246" s="77"/>
      <c r="BA246" s="76"/>
      <c r="BB246" s="102"/>
      <c r="BC246" s="77"/>
      <c r="BD246" s="76"/>
      <c r="BE246" s="102"/>
      <c r="BF246" s="77"/>
      <c r="BG246" s="76"/>
      <c r="BH246" s="102"/>
      <c r="BI246" s="77"/>
      <c r="BJ246" s="76"/>
      <c r="BK246" s="102"/>
      <c r="BL246" s="77"/>
      <c r="BM246" s="76"/>
      <c r="BN246" s="102"/>
      <c r="BO246" s="77"/>
      <c r="BP246" s="76"/>
      <c r="BQ246" s="102"/>
      <c r="BR246" s="77"/>
      <c r="BS246" s="76"/>
      <c r="BT246" s="102"/>
      <c r="BU246" s="77"/>
      <c r="BV246" s="76"/>
      <c r="BW246" s="102"/>
      <c r="BX246" s="77"/>
      <c r="BY246" s="76"/>
      <c r="BZ246" s="102"/>
      <c r="CA246" s="77"/>
      <c r="CB246" s="76"/>
      <c r="CC246" s="102"/>
      <c r="CD246" s="77"/>
      <c r="CE246" s="76"/>
      <c r="CF246" s="102"/>
      <c r="CG246" s="77"/>
      <c r="CH246" s="76"/>
      <c r="CI246" s="102"/>
      <c r="CJ246" s="77"/>
      <c r="CK246" s="76"/>
      <c r="CL246" s="102"/>
      <c r="CM246" s="77"/>
      <c r="CN246" s="76"/>
      <c r="CO246" s="102"/>
      <c r="CP246" s="77"/>
      <c r="CQ246" s="76"/>
      <c r="CR246" s="102"/>
      <c r="CS246" s="77"/>
      <c r="CT246" s="76"/>
      <c r="CU246" s="102"/>
      <c r="CV246" s="77"/>
      <c r="CW246" s="76"/>
      <c r="CX246" s="102"/>
      <c r="CY246" s="77"/>
      <c r="CZ246" s="76"/>
      <c r="DA246" s="102"/>
      <c r="DB246" s="77"/>
      <c r="DC246" s="76"/>
      <c r="DD246" s="102"/>
      <c r="DE246" s="77"/>
      <c r="DF246" s="76"/>
      <c r="DG246" s="102"/>
      <c r="DH246" s="77"/>
      <c r="DI246" s="76"/>
      <c r="DJ246" s="102"/>
      <c r="DK246" s="77"/>
      <c r="DL246" s="76"/>
      <c r="DM246" s="102"/>
      <c r="DN246" s="77"/>
      <c r="DO246" s="76"/>
      <c r="DP246" s="102"/>
      <c r="DQ246" s="77"/>
      <c r="DR246" s="76"/>
      <c r="DS246" s="102"/>
      <c r="DT246" s="77"/>
      <c r="DU246" s="76"/>
      <c r="DV246" s="102"/>
      <c r="DW246" s="77"/>
      <c r="DX246" s="76"/>
      <c r="DY246" s="102"/>
      <c r="DZ246" s="77"/>
      <c r="EA246" s="76"/>
      <c r="EB246" s="102"/>
      <c r="EC246" s="77"/>
      <c r="ED246" s="76"/>
      <c r="EE246" s="102"/>
      <c r="EF246" s="77"/>
      <c r="EG246" s="76"/>
      <c r="EH246" s="102"/>
      <c r="EI246" s="102"/>
    </row>
    <row r="247" spans="1:139" ht="20.25">
      <c r="A247" s="711">
        <f>WORLDCUP!AD147</f>
        <v>0</v>
      </c>
      <c r="B247" s="711">
        <f>WORLDCUP!AC147</f>
        <v>0</v>
      </c>
      <c r="C247" s="805" t="str">
        <f>CONCATENATE(WORLDCUP!AF147,"-",WORLDCUP!AA147)</f>
        <v>W102-W101</v>
      </c>
      <c r="D247" s="805" t="str">
        <f>IF(WORLDCUP!AC147&gt;WORLDCUP!AD147,2,IF(WORLDCUP!AC147&lt;WORLDCUP!AD147,1,IF(AND(WORLDCUP!AC147=WORLDCUP!AD147,WORLDCUP!AC147&lt;&gt;"",WORLDCUP!AD147&lt;&gt;""),0,"PD")))</f>
        <v>PD</v>
      </c>
      <c r="E247" s="805" t="str">
        <f>IF(OR(WORLDCUP!AD147="",WORLDCUP!AC147=""),"-",A247&amp;"-"&amp;B247)</f>
        <v>-</v>
      </c>
      <c r="F247" s="806">
        <f>SUM($D$36:$D$38)*$I$247</f>
        <v>17</v>
      </c>
      <c r="G247" s="806">
        <f ca="1">VLOOKUP(H247,Equipos!$Q$1:$R$25,2,0)</f>
        <v>24</v>
      </c>
      <c r="H247" s="800" t="str">
        <f>Idiomas!$D$264</f>
        <v>3-4 &amp; Final</v>
      </c>
      <c r="I247" s="808">
        <v>1</v>
      </c>
      <c r="J247" s="90" t="s">
        <v>4</v>
      </c>
      <c r="K247" s="106" t="str">
        <f>CONCATENATE(WORLDCUP!AA147,"-",WORLDCUP!AF147)</f>
        <v>W101-W102</v>
      </c>
      <c r="L247" s="106" t="str">
        <f>IF(OR(WORLDCUP!AC147="",WORLDCUP!AD147=""),"PD",IF(WORLDCUP!AC147&gt;WORLDCUP!AD147,1,IF(WORLDCUP!AC147&lt;WORLDCUP!AD147,2,0)))</f>
        <v>PD</v>
      </c>
      <c r="M247" s="48" t="str">
        <f>IF(OR(WORLDCUP!AC147="",WORLDCUP!AD147=""),"-",N247&amp;"|"&amp;O247&amp;"-"&amp;P247)</f>
        <v>-</v>
      </c>
      <c r="N247" s="711" t="str">
        <f>IF(OR(WORLDCUP!AC147="",WORLDCUP!AD147=""),"",IF(WORLDCUP!AC147&gt;WORLDCUP!AD147,"1",IF(WORLDCUP!AC147&lt;WORLDCUP!AD147,"2","X")))</f>
        <v/>
      </c>
      <c r="O247" s="711">
        <f>WORLDCUP!AC147</f>
        <v>0</v>
      </c>
      <c r="P247" s="711">
        <f>WORLDCUP!AD147</f>
        <v>0</v>
      </c>
      <c r="Q247" s="711">
        <f>ABS(O247-P247)</f>
        <v>0</v>
      </c>
      <c r="R247" s="711"/>
      <c r="S247" s="59" t="s">
        <v>1951</v>
      </c>
      <c r="T247" s="66">
        <f>IFERROR(IF($M247=S247,($D$8+$D$9+$D$10)*$I247,IF($N247=LEFT(S247,1),($D$8+MAX(0,IF($D$50=1,$D$9*(1-(ABS($Q247-ABS(VALUE(MID(S247,FIND("|",S247)+1,FIND("-",S247)-FIND("|",S247)-1))-VALUE(MID(S247,FIND("-",S247)+1,10)))))*$D$50),$D$9*(1-(IF($N247="X",ABS($O247-VALUE(MID(S247,FIND("|",S247)+1,FIND("-",S247)-FIND("|",S247)-1))),ABS($Q247-ABS(VALUE(MID(S247,FIND("|",S247)+1,FIND("-",S247)-FIND("|",S247)-1))-VALUE(MID(S247,FIND("-",S247)+1,10)))))*$D$50)))))*$I247,0)),0)</f>
        <v>0</v>
      </c>
      <c r="U247" s="102"/>
      <c r="V247" s="59" t="s">
        <v>1948</v>
      </c>
      <c r="W247" s="66">
        <f>IFERROR(IF($M247=V247,($D$8+$D$9+$D$10)*$I247,IF($N247=LEFT(V247,1),($D$8+MAX(0,IF($D$50=1,$D$9*(1-(ABS($Q247-ABS(VALUE(MID(V247,FIND("|",V247)+1,FIND("-",V247)-FIND("|",V247)-1))-VALUE(MID(V247,FIND("-",V247)+1,10)))))*$D$50),$D$9*(1-(IF($N247="X",ABS($O247-VALUE(MID(V247,FIND("|",V247)+1,FIND("-",V247)-FIND("|",V247)-1))),ABS($Q247-ABS(VALUE(MID(V247,FIND("|",V247)+1,FIND("-",V247)-FIND("|",V247)-1))-VALUE(MID(V247,FIND("-",V247)+1,10)))))*$D$50)))))*$I247,0)),0)</f>
        <v>0</v>
      </c>
      <c r="X247" s="102"/>
      <c r="Y247" s="59" t="s">
        <v>1955</v>
      </c>
      <c r="Z247" s="66">
        <f>IFERROR(IF($M247=Y247,($D$8+$D$9+$D$10)*$I247,IF($N247=LEFT(Y247,1),($D$8+MAX(0,IF($D$50=1,$D$9*(1-(ABS($Q247-ABS(VALUE(MID(Y247,FIND("|",Y247)+1,FIND("-",Y247)-FIND("|",Y247)-1))-VALUE(MID(Y247,FIND("-",Y247)+1,10)))))*$D$50),$D$9*(1-(IF($N247="X",ABS($O247-VALUE(MID(Y247,FIND("|",Y247)+1,FIND("-",Y247)-FIND("|",Y247)-1))),ABS($Q247-ABS(VALUE(MID(Y247,FIND("|",Y247)+1,FIND("-",Y247)-FIND("|",Y247)-1))-VALUE(MID(Y247,FIND("-",Y247)+1,10)))))*$D$50)))))*$I247,0)),0)</f>
        <v>0</v>
      </c>
      <c r="AA247" s="102"/>
      <c r="AB247" s="59" t="s">
        <v>1947</v>
      </c>
      <c r="AC247" s="66">
        <f>IFERROR(IF($M247=AB247,($D$8+$D$9+$D$10)*$I247,IF($N247=LEFT(AB247,1),($D$8+MAX(0,IF($D$50=1,$D$9*(1-(ABS($Q247-ABS(VALUE(MID(AB247,FIND("|",AB247)+1,FIND("-",AB247)-FIND("|",AB247)-1))-VALUE(MID(AB247,FIND("-",AB247)+1,10)))))*$D$50),$D$9*(1-(IF($N247="X",ABS($O247-VALUE(MID(AB247,FIND("|",AB247)+1,FIND("-",AB247)-FIND("|",AB247)-1))),ABS($Q247-ABS(VALUE(MID(AB247,FIND("|",AB247)+1,FIND("-",AB247)-FIND("|",AB247)-1))-VALUE(MID(AB247,FIND("-",AB247)+1,10)))))*$D$50)))))*$I247,0)),0)</f>
        <v>0</v>
      </c>
      <c r="AD247" s="102"/>
      <c r="AE247" s="59" t="s">
        <v>1953</v>
      </c>
      <c r="AF247" s="66">
        <f>IFERROR(IF($M247=AE247,($D$8+$D$9+$D$10)*$I247,IF($N247=LEFT(AE247,1),($D$8+MAX(0,IF($D$50=1,$D$9*(1-(ABS($Q247-ABS(VALUE(MID(AE247,FIND("|",AE247)+1,FIND("-",AE247)-FIND("|",AE247)-1))-VALUE(MID(AE247,FIND("-",AE247)+1,10)))))*$D$50),$D$9*(1-(IF($N247="X",ABS($O247-VALUE(MID(AE247,FIND("|",AE247)+1,FIND("-",AE247)-FIND("|",AE247)-1))),ABS($Q247-ABS(VALUE(MID(AE247,FIND("|",AE247)+1,FIND("-",AE247)-FIND("|",AE247)-1))-VALUE(MID(AE247,FIND("-",AE247)+1,10)))))*$D$50)))))*$I247,0)),0)</f>
        <v>0</v>
      </c>
      <c r="AG247" s="102"/>
      <c r="AH247" s="59" t="s">
        <v>1954</v>
      </c>
      <c r="AI247" s="66">
        <f>IFERROR(IF($M247=AH247,($D$8+$D$9+$D$10)*$I247,IF($N247=LEFT(AH247,1),($D$8+MAX(0,IF($D$50=1,$D$9*(1-(ABS($Q247-ABS(VALUE(MID(AH247,FIND("|",AH247)+1,FIND("-",AH247)-FIND("|",AH247)-1))-VALUE(MID(AH247,FIND("-",AH247)+1,10)))))*$D$50),$D$9*(1-(IF($N247="X",ABS($O247-VALUE(MID(AH247,FIND("|",AH247)+1,FIND("-",AH247)-FIND("|",AH247)-1))),ABS($Q247-ABS(VALUE(MID(AH247,FIND("|",AH247)+1,FIND("-",AH247)-FIND("|",AH247)-1))-VALUE(MID(AH247,FIND("-",AH247)+1,10)))))*$D$50)))))*$I247,0)),0)</f>
        <v>0</v>
      </c>
      <c r="AJ247" s="102"/>
      <c r="AK247" s="59" t="s">
        <v>1955</v>
      </c>
      <c r="AL247" s="66">
        <f>IFERROR(IF($M247=AK247,($D$8+$D$9+$D$10)*$I247,IF($N247=LEFT(AK247,1),($D$8+MAX(0,IF($D$50=1,$D$9*(1-(ABS($Q247-ABS(VALUE(MID(AK247,FIND("|",AK247)+1,FIND("-",AK247)-FIND("|",AK247)-1))-VALUE(MID(AK247,FIND("-",AK247)+1,10)))))*$D$50),$D$9*(1-(IF($N247="X",ABS($O247-VALUE(MID(AK247,FIND("|",AK247)+1,FIND("-",AK247)-FIND("|",AK247)-1))),ABS($Q247-ABS(VALUE(MID(AK247,FIND("|",AK247)+1,FIND("-",AK247)-FIND("|",AK247)-1))-VALUE(MID(AK247,FIND("-",AK247)+1,10)))))*$D$50)))))*$I247,0)),0)</f>
        <v>0</v>
      </c>
      <c r="AM247" s="102"/>
      <c r="AN247" s="59" t="s">
        <v>1947</v>
      </c>
      <c r="AO247" s="66">
        <f>IFERROR(IF($M247=AN247,($D$8+$D$9+$D$10)*$I247,IF($N247=LEFT(AN247,1),($D$8+MAX(0,IF($D$50=1,$D$9*(1-(ABS($Q247-ABS(VALUE(MID(AN247,FIND("|",AN247)+1,FIND("-",AN247)-FIND("|",AN247)-1))-VALUE(MID(AN247,FIND("-",AN247)+1,10)))))*$D$50),$D$9*(1-(IF($N247="X",ABS($O247-VALUE(MID(AN247,FIND("|",AN247)+1,FIND("-",AN247)-FIND("|",AN247)-1))),ABS($Q247-ABS(VALUE(MID(AN247,FIND("|",AN247)+1,FIND("-",AN247)-FIND("|",AN247)-1))-VALUE(MID(AN247,FIND("-",AN247)+1,10)))))*$D$50)))))*$I247,0)),0)</f>
        <v>0</v>
      </c>
      <c r="AP247" s="102"/>
      <c r="AQ247" s="59" t="s">
        <v>1956</v>
      </c>
      <c r="AR247" s="66">
        <f>IFERROR(IF($M247=AQ247,($D$8+$D$9+$D$10)*$I247,IF($N247=LEFT(AQ247,1),($D$8+MAX(0,IF($D$50=1,$D$9*(1-(ABS($Q247-ABS(VALUE(MID(AQ247,FIND("|",AQ247)+1,FIND("-",AQ247)-FIND("|",AQ247)-1))-VALUE(MID(AQ247,FIND("-",AQ247)+1,10)))))*$D$50),$D$9*(1-(IF($N247="X",ABS($O247-VALUE(MID(AQ247,FIND("|",AQ247)+1,FIND("-",AQ247)-FIND("|",AQ247)-1))),ABS($Q247-ABS(VALUE(MID(AQ247,FIND("|",AQ247)+1,FIND("-",AQ247)-FIND("|",AQ247)-1))-VALUE(MID(AQ247,FIND("-",AQ247)+1,10)))))*$D$50)))))*$I247,0)),0)</f>
        <v>0</v>
      </c>
      <c r="AS247" s="102"/>
      <c r="AT247" s="59" t="s">
        <v>1953</v>
      </c>
      <c r="AU247" s="66">
        <f>IFERROR(IF($M247=AT247,($D$8+$D$9+$D$10)*$I247,IF($N247=LEFT(AT247,1),($D$8+MAX(0,IF($D$50=1,$D$9*(1-(ABS($Q247-ABS(VALUE(MID(AT247,FIND("|",AT247)+1,FIND("-",AT247)-FIND("|",AT247)-1))-VALUE(MID(AT247,FIND("-",AT247)+1,10)))))*$D$50),$D$9*(1-(IF($N247="X",ABS($O247-VALUE(MID(AT247,FIND("|",AT247)+1,FIND("-",AT247)-FIND("|",AT247)-1))),ABS($Q247-ABS(VALUE(MID(AT247,FIND("|",AT247)+1,FIND("-",AT247)-FIND("|",AT247)-1))-VALUE(MID(AT247,FIND("-",AT247)+1,10)))))*$D$50)))))*$I247,0)),0)</f>
        <v>0</v>
      </c>
      <c r="AV247" s="102"/>
      <c r="AW247" s="59" t="s">
        <v>1956</v>
      </c>
      <c r="AX247" s="66">
        <f>IFERROR(IF($M247=AW247,($D$8+$D$9+$D$10)*$I247,IF($N247=LEFT(AW247,1),($D$8+MAX(0,IF($D$50=1,$D$9*(1-(ABS($Q247-ABS(VALUE(MID(AW247,FIND("|",AW247)+1,FIND("-",AW247)-FIND("|",AW247)-1))-VALUE(MID(AW247,FIND("-",AW247)+1,10)))))*$D$50),$D$9*(1-(IF($N247="X",ABS($O247-VALUE(MID(AW247,FIND("|",AW247)+1,FIND("-",AW247)-FIND("|",AW247)-1))),ABS($Q247-ABS(VALUE(MID(AW247,FIND("|",AW247)+1,FIND("-",AW247)-FIND("|",AW247)-1))-VALUE(MID(AW247,FIND("-",AW247)+1,10)))))*$D$50)))))*$I247,0)),0)</f>
        <v>0</v>
      </c>
      <c r="AY247" s="102"/>
      <c r="AZ247" s="59" t="s">
        <v>1956</v>
      </c>
      <c r="BA247" s="66">
        <f>IFERROR(IF($M247=AZ247,($D$8+$D$9+$D$10)*$I247,IF($N247=LEFT(AZ247,1),($D$8+MAX(0,IF($D$50=1,$D$9*(1-(ABS($Q247-ABS(VALUE(MID(AZ247,FIND("|",AZ247)+1,FIND("-",AZ247)-FIND("|",AZ247)-1))-VALUE(MID(AZ247,FIND("-",AZ247)+1,10)))))*$D$50),$D$9*(1-(IF($N247="X",ABS($O247-VALUE(MID(AZ247,FIND("|",AZ247)+1,FIND("-",AZ247)-FIND("|",AZ247)-1))),ABS($Q247-ABS(VALUE(MID(AZ247,FIND("|",AZ247)+1,FIND("-",AZ247)-FIND("|",AZ247)-1))-VALUE(MID(AZ247,FIND("-",AZ247)+1,10)))))*$D$50)))))*$I247,0)),0)</f>
        <v>0</v>
      </c>
      <c r="BB247" s="102"/>
      <c r="BC247" s="59" t="s">
        <v>1953</v>
      </c>
      <c r="BD247" s="66">
        <f>IFERROR(IF($M247=BC247,($D$8+$D$9+$D$10)*$I247,IF($N247=LEFT(BC247,1),($D$8+MAX(0,IF($D$50=1,$D$9*(1-(ABS($Q247-ABS(VALUE(MID(BC247,FIND("|",BC247)+1,FIND("-",BC247)-FIND("|",BC247)-1))-VALUE(MID(BC247,FIND("-",BC247)+1,10)))))*$D$50),$D$9*(1-(IF($N247="X",ABS($O247-VALUE(MID(BC247,FIND("|",BC247)+1,FIND("-",BC247)-FIND("|",BC247)-1))),ABS($Q247-ABS(VALUE(MID(BC247,FIND("|",BC247)+1,FIND("-",BC247)-FIND("|",BC247)-1))-VALUE(MID(BC247,FIND("-",BC247)+1,10)))))*$D$50)))))*$I247,0)),0)</f>
        <v>0</v>
      </c>
      <c r="BE247" s="102"/>
      <c r="BF247" s="59" t="s">
        <v>1956</v>
      </c>
      <c r="BG247" s="66">
        <f>IFERROR(IF($M247=BF247,($D$8+$D$9+$D$10)*$I247,IF($N247=LEFT(BF247,1),($D$8+MAX(0,IF($D$50=1,$D$9*(1-(ABS($Q247-ABS(VALUE(MID(BF247,FIND("|",BF247)+1,FIND("-",BF247)-FIND("|",BF247)-1))-VALUE(MID(BF247,FIND("-",BF247)+1,10)))))*$D$50),$D$9*(1-(IF($N247="X",ABS($O247-VALUE(MID(BF247,FIND("|",BF247)+1,FIND("-",BF247)-FIND("|",BF247)-1))),ABS($Q247-ABS(VALUE(MID(BF247,FIND("|",BF247)+1,FIND("-",BF247)-FIND("|",BF247)-1))-VALUE(MID(BF247,FIND("-",BF247)+1,10)))))*$D$50)))))*$I247,0)),0)</f>
        <v>0</v>
      </c>
      <c r="BH247" s="102"/>
      <c r="BI247" s="59" t="s">
        <v>1947</v>
      </c>
      <c r="BJ247" s="66">
        <f>IFERROR(IF($M247=BI247,($D$8+$D$9+$D$10)*$I247,IF($N247=LEFT(BI247,1),($D$8+MAX(0,IF($D$50=1,$D$9*(1-(ABS($Q247-ABS(VALUE(MID(BI247,FIND("|",BI247)+1,FIND("-",BI247)-FIND("|",BI247)-1))-VALUE(MID(BI247,FIND("-",BI247)+1,10)))))*$D$50),$D$9*(1-(IF($N247="X",ABS($O247-VALUE(MID(BI247,FIND("|",BI247)+1,FIND("-",BI247)-FIND("|",BI247)-1))),ABS($Q247-ABS(VALUE(MID(BI247,FIND("|",BI247)+1,FIND("-",BI247)-FIND("|",BI247)-1))-VALUE(MID(BI247,FIND("-",BI247)+1,10)))))*$D$50)))))*$I247,0)),0)</f>
        <v>0</v>
      </c>
      <c r="BK247" s="102"/>
      <c r="BL247" s="59" t="s">
        <v>1948</v>
      </c>
      <c r="BM247" s="66">
        <f>IFERROR(IF($M247=BL247,($D$8+$D$9+$D$10)*$I247,IF($N247=LEFT(BL247,1),($D$8+MAX(0,IF($D$50=1,$D$9*(1-(ABS($Q247-ABS(VALUE(MID(BL247,FIND("|",BL247)+1,FIND("-",BL247)-FIND("|",BL247)-1))-VALUE(MID(BL247,FIND("-",BL247)+1,10)))))*$D$50),$D$9*(1-(IF($N247="X",ABS($O247-VALUE(MID(BL247,FIND("|",BL247)+1,FIND("-",BL247)-FIND("|",BL247)-1))),ABS($Q247-ABS(VALUE(MID(BL247,FIND("|",BL247)+1,FIND("-",BL247)-FIND("|",BL247)-1))-VALUE(MID(BL247,FIND("-",BL247)+1,10)))))*$D$50)))))*$I247,0)),0)</f>
        <v>0</v>
      </c>
      <c r="BN247" s="102"/>
      <c r="BO247" s="59" t="s">
        <v>1947</v>
      </c>
      <c r="BP247" s="66">
        <f>IFERROR(IF($M247=BO247,($D$8+$D$9+$D$10)*$I247,IF($N247=LEFT(BO247,1),($D$8+MAX(0,IF($D$50=1,$D$9*(1-(ABS($Q247-ABS(VALUE(MID(BO247,FIND("|",BO247)+1,FIND("-",BO247)-FIND("|",BO247)-1))-VALUE(MID(BO247,FIND("-",BO247)+1,10)))))*$D$50),$D$9*(1-(IF($N247="X",ABS($O247-VALUE(MID(BO247,FIND("|",BO247)+1,FIND("-",BO247)-FIND("|",BO247)-1))),ABS($Q247-ABS(VALUE(MID(BO247,FIND("|",BO247)+1,FIND("-",BO247)-FIND("|",BO247)-1))-VALUE(MID(BO247,FIND("-",BO247)+1,10)))))*$D$50)))))*$I247,0)),0)</f>
        <v>0</v>
      </c>
      <c r="BQ247" s="102"/>
      <c r="BR247" s="59" t="s">
        <v>1955</v>
      </c>
      <c r="BS247" s="66">
        <f>IFERROR(IF($M247=BR247,($D$8+$D$9+$D$10)*$I247,IF($N247=LEFT(BR247,1),($D$8+MAX(0,IF($D$50=1,$D$9*(1-(ABS($Q247-ABS(VALUE(MID(BR247,FIND("|",BR247)+1,FIND("-",BR247)-FIND("|",BR247)-1))-VALUE(MID(BR247,FIND("-",BR247)+1,10)))))*$D$50),$D$9*(1-(IF($N247="X",ABS($O247-VALUE(MID(BR247,FIND("|",BR247)+1,FIND("-",BR247)-FIND("|",BR247)-1))),ABS($Q247-ABS(VALUE(MID(BR247,FIND("|",BR247)+1,FIND("-",BR247)-FIND("|",BR247)-1))-VALUE(MID(BR247,FIND("-",BR247)+1,10)))))*$D$50)))))*$I247,0)),0)</f>
        <v>0</v>
      </c>
      <c r="BT247" s="102"/>
      <c r="BU247" s="59"/>
      <c r="BV247" s="66">
        <f>IFERROR(IF($M247=BU247,($D$8+$D$9+$D$10)*$I247,IF($N247=LEFT(BU247,1),($D$8+MAX(0,IF($D$50=1,$D$9*(1-(ABS($Q247-ABS(VALUE(MID(BU247,FIND("|",BU247)+1,FIND("-",BU247)-FIND("|",BU247)-1))-VALUE(MID(BU247,FIND("-",BU247)+1,10)))))*$D$50),$D$9*(1-(IF($N247="X",ABS($O247-VALUE(MID(BU247,FIND("|",BU247)+1,FIND("-",BU247)-FIND("|",BU247)-1))),ABS($Q247-ABS(VALUE(MID(BU247,FIND("|",BU247)+1,FIND("-",BU247)-FIND("|",BU247)-1))-VALUE(MID(BU247,FIND("-",BU247)+1,10)))))*$D$50)))))*$I247,0)),0)</f>
        <v>0</v>
      </c>
      <c r="BW247" s="102"/>
      <c r="BX247" s="59"/>
      <c r="BY247" s="66">
        <f>IFERROR(IF($M247=BX247,($D$8+$D$9+$D$10)*$I247,IF($N247=LEFT(BX247,1),($D$8+MAX(0,IF($D$50=1,$D$9*(1-(ABS($Q247-ABS(VALUE(MID(BX247,FIND("|",BX247)+1,FIND("-",BX247)-FIND("|",BX247)-1))-VALUE(MID(BX247,FIND("-",BX247)+1,10)))))*$D$50),$D$9*(1-(IF($N247="X",ABS($O247-VALUE(MID(BX247,FIND("|",BX247)+1,FIND("-",BX247)-FIND("|",BX247)-1))),ABS($Q247-ABS(VALUE(MID(BX247,FIND("|",BX247)+1,FIND("-",BX247)-FIND("|",BX247)-1))-VALUE(MID(BX247,FIND("-",BX247)+1,10)))))*$D$50)))))*$I247,0)),0)</f>
        <v>0</v>
      </c>
      <c r="BZ247" s="102"/>
      <c r="CA247" s="59"/>
      <c r="CB247" s="66">
        <f>IFERROR(IF($M247=CA247,($D$8+$D$9+$D$10)*$I247,IF($N247=LEFT(CA247,1),($D$8+MAX(0,IF($D$50=1,$D$9*(1-(ABS($Q247-ABS(VALUE(MID(CA247,FIND("|",CA247)+1,FIND("-",CA247)-FIND("|",CA247)-1))-VALUE(MID(CA247,FIND("-",CA247)+1,10)))))*$D$50),$D$9*(1-(IF($N247="X",ABS($O247-VALUE(MID(CA247,FIND("|",CA247)+1,FIND("-",CA247)-FIND("|",CA247)-1))),ABS($Q247-ABS(VALUE(MID(CA247,FIND("|",CA247)+1,FIND("-",CA247)-FIND("|",CA247)-1))-VALUE(MID(CA247,FIND("-",CA247)+1,10)))))*$D$50)))))*$I247,0)),0)</f>
        <v>0</v>
      </c>
      <c r="CC247" s="102"/>
      <c r="CD247" s="59"/>
      <c r="CE247" s="66">
        <f>IFERROR(IF($M247=CD247,($D$8+$D$9+$D$10)*$I247,IF($N247=LEFT(CD247,1),($D$8+MAX(0,IF($D$50=1,$D$9*(1-(ABS($Q247-ABS(VALUE(MID(CD247,FIND("|",CD247)+1,FIND("-",CD247)-FIND("|",CD247)-1))-VALUE(MID(CD247,FIND("-",CD247)+1,10)))))*$D$50),$D$9*(1-(IF($N247="X",ABS($O247-VALUE(MID(CD247,FIND("|",CD247)+1,FIND("-",CD247)-FIND("|",CD247)-1))),ABS($Q247-ABS(VALUE(MID(CD247,FIND("|",CD247)+1,FIND("-",CD247)-FIND("|",CD247)-1))-VALUE(MID(CD247,FIND("-",CD247)+1,10)))))*$D$50)))))*$I247,0)),0)</f>
        <v>0</v>
      </c>
      <c r="CF247" s="102"/>
      <c r="CG247" s="59"/>
      <c r="CH247" s="66">
        <f>IFERROR(IF($M247=CG247,($D$8+$D$9+$D$10)*$I247,IF($N247=LEFT(CG247,1),($D$8+MAX(0,IF($D$50=1,$D$9*(1-(ABS($Q247-ABS(VALUE(MID(CG247,FIND("|",CG247)+1,FIND("-",CG247)-FIND("|",CG247)-1))-VALUE(MID(CG247,FIND("-",CG247)+1,10)))))*$D$50),$D$9*(1-(IF($N247="X",ABS($O247-VALUE(MID(CG247,FIND("|",CG247)+1,FIND("-",CG247)-FIND("|",CG247)-1))),ABS($Q247-ABS(VALUE(MID(CG247,FIND("|",CG247)+1,FIND("-",CG247)-FIND("|",CG247)-1))-VALUE(MID(CG247,FIND("-",CG247)+1,10)))))*$D$50)))))*$I247,0)),0)</f>
        <v>0</v>
      </c>
      <c r="CI247" s="102"/>
      <c r="CJ247" s="59"/>
      <c r="CK247" s="66">
        <f>IFERROR(IF($M247=CJ247,($D$8+$D$9+$D$10)*$I247,IF($N247=LEFT(CJ247,1),($D$8+MAX(0,IF($D$50=1,$D$9*(1-(ABS($Q247-ABS(VALUE(MID(CJ247,FIND("|",CJ247)+1,FIND("-",CJ247)-FIND("|",CJ247)-1))-VALUE(MID(CJ247,FIND("-",CJ247)+1,10)))))*$D$50),$D$9*(1-(IF($N247="X",ABS($O247-VALUE(MID(CJ247,FIND("|",CJ247)+1,FIND("-",CJ247)-FIND("|",CJ247)-1))),ABS($Q247-ABS(VALUE(MID(CJ247,FIND("|",CJ247)+1,FIND("-",CJ247)-FIND("|",CJ247)-1))-VALUE(MID(CJ247,FIND("-",CJ247)+1,10)))))*$D$50)))))*$I247,0)),0)</f>
        <v>0</v>
      </c>
      <c r="CL247" s="102"/>
      <c r="CM247" s="59"/>
      <c r="CN247" s="66">
        <f>IFERROR(IF($M247=CM247,($D$8+$D$9+$D$10)*$I247,IF($N247=LEFT(CM247,1),($D$8+MAX(0,IF($D$50=1,$D$9*(1-(ABS($Q247-ABS(VALUE(MID(CM247,FIND("|",CM247)+1,FIND("-",CM247)-FIND("|",CM247)-1))-VALUE(MID(CM247,FIND("-",CM247)+1,10)))))*$D$50),$D$9*(1-(IF($N247="X",ABS($O247-VALUE(MID(CM247,FIND("|",CM247)+1,FIND("-",CM247)-FIND("|",CM247)-1))),ABS($Q247-ABS(VALUE(MID(CM247,FIND("|",CM247)+1,FIND("-",CM247)-FIND("|",CM247)-1))-VALUE(MID(CM247,FIND("-",CM247)+1,10)))))*$D$50)))))*$I247,0)),0)</f>
        <v>0</v>
      </c>
      <c r="CO247" s="102"/>
      <c r="CP247" s="59"/>
      <c r="CQ247" s="66">
        <f>IFERROR(IF($M247=CP247,($D$8+$D$9+$D$10)*$I247,IF($N247=LEFT(CP247,1),($D$8+MAX(0,IF($D$50=1,$D$9*(1-(ABS($Q247-ABS(VALUE(MID(CP247,FIND("|",CP247)+1,FIND("-",CP247)-FIND("|",CP247)-1))-VALUE(MID(CP247,FIND("-",CP247)+1,10)))))*$D$50),$D$9*(1-(IF($N247="X",ABS($O247-VALUE(MID(CP247,FIND("|",CP247)+1,FIND("-",CP247)-FIND("|",CP247)-1))),ABS($Q247-ABS(VALUE(MID(CP247,FIND("|",CP247)+1,FIND("-",CP247)-FIND("|",CP247)-1))-VALUE(MID(CP247,FIND("-",CP247)+1,10)))))*$D$50)))))*$I247,0)),0)</f>
        <v>0</v>
      </c>
      <c r="CR247" s="102"/>
      <c r="CS247" s="59"/>
      <c r="CT247" s="66">
        <f>IFERROR(IF($M247=CS247,($D$8+$D$9+$D$10)*$I247,IF($N247=LEFT(CS247,1),($D$8+MAX(0,IF($D$50=1,$D$9*(1-(ABS($Q247-ABS(VALUE(MID(CS247,FIND("|",CS247)+1,FIND("-",CS247)-FIND("|",CS247)-1))-VALUE(MID(CS247,FIND("-",CS247)+1,10)))))*$D$50),$D$9*(1-(IF($N247="X",ABS($O247-VALUE(MID(CS247,FIND("|",CS247)+1,FIND("-",CS247)-FIND("|",CS247)-1))),ABS($Q247-ABS(VALUE(MID(CS247,FIND("|",CS247)+1,FIND("-",CS247)-FIND("|",CS247)-1))-VALUE(MID(CS247,FIND("-",CS247)+1,10)))))*$D$50)))))*$I247,0)),0)</f>
        <v>0</v>
      </c>
      <c r="CU247" s="102"/>
      <c r="CV247" s="59"/>
      <c r="CW247" s="66">
        <f>IFERROR(IF($M247=CV247,($D$8+$D$9+$D$10)*$I247,IF($N247=LEFT(CV247,1),($D$8+MAX(0,IF($D$50=1,$D$9*(1-(ABS($Q247-ABS(VALUE(MID(CV247,FIND("|",CV247)+1,FIND("-",CV247)-FIND("|",CV247)-1))-VALUE(MID(CV247,FIND("-",CV247)+1,10)))))*$D$50),$D$9*(1-(IF($N247="X",ABS($O247-VALUE(MID(CV247,FIND("|",CV247)+1,FIND("-",CV247)-FIND("|",CV247)-1))),ABS($Q247-ABS(VALUE(MID(CV247,FIND("|",CV247)+1,FIND("-",CV247)-FIND("|",CV247)-1))-VALUE(MID(CV247,FIND("-",CV247)+1,10)))))*$D$50)))))*$I247,0)),0)</f>
        <v>0</v>
      </c>
      <c r="CX247" s="102"/>
      <c r="CY247" s="59"/>
      <c r="CZ247" s="66">
        <f>IFERROR(IF($M247=CY247,($D$8+$D$9+$D$10)*$I247,IF($N247=LEFT(CY247,1),($D$8+MAX(0,IF($D$50=1,$D$9*(1-(ABS($Q247-ABS(VALUE(MID(CY247,FIND("|",CY247)+1,FIND("-",CY247)-FIND("|",CY247)-1))-VALUE(MID(CY247,FIND("-",CY247)+1,10)))))*$D$50),$D$9*(1-(IF($N247="X",ABS($O247-VALUE(MID(CY247,FIND("|",CY247)+1,FIND("-",CY247)-FIND("|",CY247)-1))),ABS($Q247-ABS(VALUE(MID(CY247,FIND("|",CY247)+1,FIND("-",CY247)-FIND("|",CY247)-1))-VALUE(MID(CY247,FIND("-",CY247)+1,10)))))*$D$50)))))*$I247,0)),0)</f>
        <v>0</v>
      </c>
      <c r="DA247" s="102"/>
      <c r="DB247" s="59"/>
      <c r="DC247" s="66">
        <f>IFERROR(IF($M247=DB247,($D$8+$D$9+$D$10)*$I247,IF($N247=LEFT(DB247,1),($D$8+MAX(0,IF($D$50=1,$D$9*(1-(ABS($Q247-ABS(VALUE(MID(DB247,FIND("|",DB247)+1,FIND("-",DB247)-FIND("|",DB247)-1))-VALUE(MID(DB247,FIND("-",DB247)+1,10)))))*$D$50),$D$9*(1-(IF($N247="X",ABS($O247-VALUE(MID(DB247,FIND("|",DB247)+1,FIND("-",DB247)-FIND("|",DB247)-1))),ABS($Q247-ABS(VALUE(MID(DB247,FIND("|",DB247)+1,FIND("-",DB247)-FIND("|",DB247)-1))-VALUE(MID(DB247,FIND("-",DB247)+1,10)))))*$D$50)))))*$I247,0)),0)</f>
        <v>0</v>
      </c>
      <c r="DD247" s="102"/>
      <c r="DE247" s="59"/>
      <c r="DF247" s="66">
        <f>IFERROR(IF($M247=DE247,($D$8+$D$9+$D$10)*$I247,IF($N247=LEFT(DE247,1),($D$8+MAX(0,IF($D$50=1,$D$9*(1-(ABS($Q247-ABS(VALUE(MID(DE247,FIND("|",DE247)+1,FIND("-",DE247)-FIND("|",DE247)-1))-VALUE(MID(DE247,FIND("-",DE247)+1,10)))))*$D$50),$D$9*(1-(IF($N247="X",ABS($O247-VALUE(MID(DE247,FIND("|",DE247)+1,FIND("-",DE247)-FIND("|",DE247)-1))),ABS($Q247-ABS(VALUE(MID(DE247,FIND("|",DE247)+1,FIND("-",DE247)-FIND("|",DE247)-1))-VALUE(MID(DE247,FIND("-",DE247)+1,10)))))*$D$50)))))*$I247,0)),0)</f>
        <v>0</v>
      </c>
      <c r="DG247" s="102"/>
      <c r="DH247" s="59"/>
      <c r="DI247" s="66">
        <f>IFERROR(IF($M247=DH247,($D$8+$D$9+$D$10)*$I247,IF($N247=LEFT(DH247,1),($D$8+MAX(0,IF($D$50=1,$D$9*(1-(ABS($Q247-ABS(VALUE(MID(DH247,FIND("|",DH247)+1,FIND("-",DH247)-FIND("|",DH247)-1))-VALUE(MID(DH247,FIND("-",DH247)+1,10)))))*$D$50),$D$9*(1-(IF($N247="X",ABS($O247-VALUE(MID(DH247,FIND("|",DH247)+1,FIND("-",DH247)-FIND("|",DH247)-1))),ABS($Q247-ABS(VALUE(MID(DH247,FIND("|",DH247)+1,FIND("-",DH247)-FIND("|",DH247)-1))-VALUE(MID(DH247,FIND("-",DH247)+1,10)))))*$D$50)))))*$I247,0)),0)</f>
        <v>0</v>
      </c>
      <c r="DJ247" s="102"/>
      <c r="DK247" s="59"/>
      <c r="DL247" s="66">
        <f>IFERROR(IF($M247=DK247,($D$8+$D$9+$D$10)*$I247,IF($N247=LEFT(DK247,1),($D$8+MAX(0,IF($D$50=1,$D$9*(1-(ABS($Q247-ABS(VALUE(MID(DK247,FIND("|",DK247)+1,FIND("-",DK247)-FIND("|",DK247)-1))-VALUE(MID(DK247,FIND("-",DK247)+1,10)))))*$D$50),$D$9*(1-(IF($N247="X",ABS($O247-VALUE(MID(DK247,FIND("|",DK247)+1,FIND("-",DK247)-FIND("|",DK247)-1))),ABS($Q247-ABS(VALUE(MID(DK247,FIND("|",DK247)+1,FIND("-",DK247)-FIND("|",DK247)-1))-VALUE(MID(DK247,FIND("-",DK247)+1,10)))))*$D$50)))))*$I247,0)),0)</f>
        <v>0</v>
      </c>
      <c r="DM247" s="102"/>
      <c r="DN247" s="59"/>
      <c r="DO247" s="66">
        <f>IFERROR(IF($M247=DN247,($D$8+$D$9+$D$10)*$I247,IF($N247=LEFT(DN247,1),($D$8+MAX(0,IF($D$50=1,$D$9*(1-(ABS($Q247-ABS(VALUE(MID(DN247,FIND("|",DN247)+1,FIND("-",DN247)-FIND("|",DN247)-1))-VALUE(MID(DN247,FIND("-",DN247)+1,10)))))*$D$50),$D$9*(1-(IF($N247="X",ABS($O247-VALUE(MID(DN247,FIND("|",DN247)+1,FIND("-",DN247)-FIND("|",DN247)-1))),ABS($Q247-ABS(VALUE(MID(DN247,FIND("|",DN247)+1,FIND("-",DN247)-FIND("|",DN247)-1))-VALUE(MID(DN247,FIND("-",DN247)+1,10)))))*$D$50)))))*$I247,0)),0)</f>
        <v>0</v>
      </c>
      <c r="DP247" s="102"/>
      <c r="DQ247" s="59"/>
      <c r="DR247" s="66">
        <f>IFERROR(IF($M247=DQ247,($D$8+$D$9+$D$10)*$I247,IF($N247=LEFT(DQ247,1),($D$8+MAX(0,IF($D$50=1,$D$9*(1-(ABS($Q247-ABS(VALUE(MID(DQ247,FIND("|",DQ247)+1,FIND("-",DQ247)-FIND("|",DQ247)-1))-VALUE(MID(DQ247,FIND("-",DQ247)+1,10)))))*$D$50),$D$9*(1-(IF($N247="X",ABS($O247-VALUE(MID(DQ247,FIND("|",DQ247)+1,FIND("-",DQ247)-FIND("|",DQ247)-1))),ABS($Q247-ABS(VALUE(MID(DQ247,FIND("|",DQ247)+1,FIND("-",DQ247)-FIND("|",DQ247)-1))-VALUE(MID(DQ247,FIND("-",DQ247)+1,10)))))*$D$50)))))*$I247,0)),0)</f>
        <v>0</v>
      </c>
      <c r="DS247" s="102"/>
      <c r="DT247" s="59"/>
      <c r="DU247" s="66">
        <f>IFERROR(IF($M247=DT247,($D$8+$D$9+$D$10)*$I247,IF($N247=LEFT(DT247,1),($D$8+MAX(0,IF($D$50=1,$D$9*(1-(ABS($Q247-ABS(VALUE(MID(DT247,FIND("|",DT247)+1,FIND("-",DT247)-FIND("|",DT247)-1))-VALUE(MID(DT247,FIND("-",DT247)+1,10)))))*$D$50),$D$9*(1-(IF($N247="X",ABS($O247-VALUE(MID(DT247,FIND("|",DT247)+1,FIND("-",DT247)-FIND("|",DT247)-1))),ABS($Q247-ABS(VALUE(MID(DT247,FIND("|",DT247)+1,FIND("-",DT247)-FIND("|",DT247)-1))-VALUE(MID(DT247,FIND("-",DT247)+1,10)))))*$D$50)))))*$I247,0)),0)</f>
        <v>0</v>
      </c>
      <c r="DV247" s="102"/>
      <c r="DW247" s="59"/>
      <c r="DX247" s="66">
        <f>IFERROR(IF($M247=DW247,($D$8+$D$9+$D$10)*$I247,IF($N247=LEFT(DW247,1),($D$8+MAX(0,IF($D$50=1,$D$9*(1-(ABS($Q247-ABS(VALUE(MID(DW247,FIND("|",DW247)+1,FIND("-",DW247)-FIND("|",DW247)-1))-VALUE(MID(DW247,FIND("-",DW247)+1,10)))))*$D$50),$D$9*(1-(IF($N247="X",ABS($O247-VALUE(MID(DW247,FIND("|",DW247)+1,FIND("-",DW247)-FIND("|",DW247)-1))),ABS($Q247-ABS(VALUE(MID(DW247,FIND("|",DW247)+1,FIND("-",DW247)-FIND("|",DW247)-1))-VALUE(MID(DW247,FIND("-",DW247)+1,10)))))*$D$50)))))*$I247,0)),0)</f>
        <v>0</v>
      </c>
      <c r="DY247" s="102"/>
      <c r="DZ247" s="59"/>
      <c r="EA247" s="66">
        <f>IFERROR(IF($M247=DZ247,($D$8+$D$9+$D$10)*$I247,IF($N247=LEFT(DZ247,1),($D$8+MAX(0,IF($D$50=1,$D$9*(1-(ABS($Q247-ABS(VALUE(MID(DZ247,FIND("|",DZ247)+1,FIND("-",DZ247)-FIND("|",DZ247)-1))-VALUE(MID(DZ247,FIND("-",DZ247)+1,10)))))*$D$50),$D$9*(1-(IF($N247="X",ABS($O247-VALUE(MID(DZ247,FIND("|",DZ247)+1,FIND("-",DZ247)-FIND("|",DZ247)-1))),ABS($Q247-ABS(VALUE(MID(DZ247,FIND("|",DZ247)+1,FIND("-",DZ247)-FIND("|",DZ247)-1))-VALUE(MID(DZ247,FIND("-",DZ247)+1,10)))))*$D$50)))))*$I247,0)),0)</f>
        <v>0</v>
      </c>
      <c r="EB247" s="102"/>
      <c r="EC247" s="59"/>
      <c r="ED247" s="66">
        <f>IFERROR(IF($M247=EC247,($D$8+$D$9+$D$10)*$I247,IF($N247=LEFT(EC247,1),($D$8+MAX(0,IF($D$50=1,$D$9*(1-(ABS($Q247-ABS(VALUE(MID(EC247,FIND("|",EC247)+1,FIND("-",EC247)-FIND("|",EC247)-1))-VALUE(MID(EC247,FIND("-",EC247)+1,10)))))*$D$50),$D$9*(1-(IF($N247="X",ABS($O247-VALUE(MID(EC247,FIND("|",EC247)+1,FIND("-",EC247)-FIND("|",EC247)-1))),ABS($Q247-ABS(VALUE(MID(EC247,FIND("|",EC247)+1,FIND("-",EC247)-FIND("|",EC247)-1))-VALUE(MID(EC247,FIND("-",EC247)+1,10)))))*$D$50)))))*$I247,0)),0)</f>
        <v>0</v>
      </c>
      <c r="EE247" s="102"/>
      <c r="EF247" s="59"/>
      <c r="EG247" s="66">
        <f>IFERROR(IF($M247=EF247,($D$8+$D$9+$D$10)*$I247,IF($N247=LEFT(EF247,1),($D$8+MAX(0,IF($D$50=1,$D$9*(1-(ABS($Q247-ABS(VALUE(MID(EF247,FIND("|",EF247)+1,FIND("-",EF247)-FIND("|",EF247)-1))-VALUE(MID(EF247,FIND("-",EF247)+1,10)))))*$D$50),$D$9*(1-(IF($N247="X",ABS($O247-VALUE(MID(EF247,FIND("|",EF247)+1,FIND("-",EF247)-FIND("|",EF247)-1))),ABS($Q247-ABS(VALUE(MID(EF247,FIND("|",EF247)+1,FIND("-",EF247)-FIND("|",EF247)-1))-VALUE(MID(EF247,FIND("-",EF247)+1,10)))))*$D$50)))))*$I247,0)),0)</f>
        <v>0</v>
      </c>
      <c r="EH247" s="102"/>
      <c r="EI247" s="102"/>
    </row>
    <row r="248" spans="1:139">
      <c r="A248" s="711"/>
      <c r="B248" s="711"/>
      <c r="C248" s="805"/>
      <c r="D248" s="805"/>
      <c r="E248" s="805"/>
      <c r="F248" s="806"/>
      <c r="G248" s="806"/>
      <c r="H248" s="800"/>
      <c r="I248" s="800"/>
      <c r="J248" s="86"/>
      <c r="K248" s="416" t="str">
        <f>Idiomas!D468</f>
        <v>Partido Final</v>
      </c>
      <c r="L248" s="417"/>
      <c r="M248" s="416" t="str">
        <f>"Max: "&amp;SUM($D$36:$D$38)*$I$247</f>
        <v>Max: 17</v>
      </c>
      <c r="N248" s="711"/>
      <c r="O248" s="711"/>
      <c r="P248" s="711"/>
      <c r="Q248" s="711"/>
      <c r="R248" s="711"/>
      <c r="S248" s="77"/>
      <c r="T248" s="64">
        <f>T247</f>
        <v>0</v>
      </c>
      <c r="U248" s="58"/>
      <c r="V248" s="77"/>
      <c r="W248" s="64">
        <f>W247</f>
        <v>0</v>
      </c>
      <c r="X248" s="58"/>
      <c r="Y248" s="77"/>
      <c r="Z248" s="64">
        <f>Z247</f>
        <v>0</v>
      </c>
      <c r="AA248" s="58"/>
      <c r="AB248" s="77"/>
      <c r="AC248" s="64">
        <f>AC247</f>
        <v>0</v>
      </c>
      <c r="AD248" s="58"/>
      <c r="AE248" s="77"/>
      <c r="AF248" s="64">
        <f>AF247</f>
        <v>0</v>
      </c>
      <c r="AG248" s="58"/>
      <c r="AH248" s="77"/>
      <c r="AI248" s="64">
        <f>AI247</f>
        <v>0</v>
      </c>
      <c r="AJ248" s="58"/>
      <c r="AK248" s="77"/>
      <c r="AL248" s="64">
        <f>AL247</f>
        <v>0</v>
      </c>
      <c r="AM248" s="58"/>
      <c r="AN248" s="77"/>
      <c r="AO248" s="64">
        <f>AO247</f>
        <v>0</v>
      </c>
      <c r="AP248" s="58"/>
      <c r="AQ248" s="77"/>
      <c r="AR248" s="64">
        <f>AR247</f>
        <v>0</v>
      </c>
      <c r="AS248" s="58"/>
      <c r="AT248" s="77"/>
      <c r="AU248" s="64">
        <f>AU247</f>
        <v>0</v>
      </c>
      <c r="AV248" s="58"/>
      <c r="AW248" s="77"/>
      <c r="AX248" s="64">
        <f>AX247</f>
        <v>0</v>
      </c>
      <c r="AY248" s="58"/>
      <c r="AZ248" s="77"/>
      <c r="BA248" s="64">
        <f>BA247</f>
        <v>0</v>
      </c>
      <c r="BB248" s="58"/>
      <c r="BC248" s="77"/>
      <c r="BD248" s="64">
        <f>BD247</f>
        <v>0</v>
      </c>
      <c r="BE248" s="58"/>
      <c r="BF248" s="77"/>
      <c r="BG248" s="64">
        <f>BG247</f>
        <v>0</v>
      </c>
      <c r="BH248" s="58"/>
      <c r="BI248" s="77"/>
      <c r="BJ248" s="64">
        <f>BJ247</f>
        <v>0</v>
      </c>
      <c r="BK248" s="58"/>
      <c r="BL248" s="77"/>
      <c r="BM248" s="64">
        <f>BM247</f>
        <v>0</v>
      </c>
      <c r="BN248" s="58"/>
      <c r="BO248" s="77"/>
      <c r="BP248" s="64">
        <f>BP247</f>
        <v>0</v>
      </c>
      <c r="BQ248" s="58"/>
      <c r="BR248" s="77"/>
      <c r="BS248" s="64">
        <f>BS247</f>
        <v>0</v>
      </c>
      <c r="BT248" s="58"/>
      <c r="BU248" s="77"/>
      <c r="BV248" s="64">
        <f>BV247</f>
        <v>0</v>
      </c>
      <c r="BW248" s="58"/>
      <c r="BX248" s="77"/>
      <c r="BY248" s="64">
        <f>BY247</f>
        <v>0</v>
      </c>
      <c r="BZ248" s="58"/>
      <c r="CA248" s="77"/>
      <c r="CB248" s="64">
        <f>CB247</f>
        <v>0</v>
      </c>
      <c r="CC248" s="58"/>
      <c r="CD248" s="77"/>
      <c r="CE248" s="64">
        <f>CE247</f>
        <v>0</v>
      </c>
      <c r="CF248" s="58"/>
      <c r="CG248" s="77"/>
      <c r="CH248" s="64">
        <f>CH247</f>
        <v>0</v>
      </c>
      <c r="CI248" s="58"/>
      <c r="CJ248" s="77"/>
      <c r="CK248" s="64">
        <f>CK247</f>
        <v>0</v>
      </c>
      <c r="CL248" s="58"/>
      <c r="CM248" s="77"/>
      <c r="CN248" s="64">
        <f>CN247</f>
        <v>0</v>
      </c>
      <c r="CO248" s="58"/>
      <c r="CP248" s="77"/>
      <c r="CQ248" s="64">
        <f>CQ247</f>
        <v>0</v>
      </c>
      <c r="CR248" s="58"/>
      <c r="CS248" s="77"/>
      <c r="CT248" s="64">
        <f>CT247</f>
        <v>0</v>
      </c>
      <c r="CU248" s="58"/>
      <c r="CV248" s="77"/>
      <c r="CW248" s="64">
        <f>CW247</f>
        <v>0</v>
      </c>
      <c r="CX248" s="58"/>
      <c r="CY248" s="77"/>
      <c r="CZ248" s="64">
        <f>CZ247</f>
        <v>0</v>
      </c>
      <c r="DA248" s="58"/>
      <c r="DB248" s="77"/>
      <c r="DC248" s="64">
        <f>DC247</f>
        <v>0</v>
      </c>
      <c r="DD248" s="58"/>
      <c r="DE248" s="77"/>
      <c r="DF248" s="64">
        <f>DF247</f>
        <v>0</v>
      </c>
      <c r="DG248" s="58"/>
      <c r="DH248" s="77"/>
      <c r="DI248" s="64">
        <f>DI247</f>
        <v>0</v>
      </c>
      <c r="DJ248" s="58"/>
      <c r="DK248" s="77"/>
      <c r="DL248" s="64">
        <f>DL247</f>
        <v>0</v>
      </c>
      <c r="DM248" s="58"/>
      <c r="DN248" s="77"/>
      <c r="DO248" s="64">
        <f>DO247</f>
        <v>0</v>
      </c>
      <c r="DP248" s="58"/>
      <c r="DQ248" s="77"/>
      <c r="DR248" s="64">
        <f>DR247</f>
        <v>0</v>
      </c>
      <c r="DS248" s="58"/>
      <c r="DT248" s="77"/>
      <c r="DU248" s="64">
        <f>DU247</f>
        <v>0</v>
      </c>
      <c r="DV248" s="58"/>
      <c r="DW248" s="77"/>
      <c r="DX248" s="64">
        <f>DX247</f>
        <v>0</v>
      </c>
      <c r="DY248" s="58"/>
      <c r="DZ248" s="77"/>
      <c r="EA248" s="64">
        <f>EA247</f>
        <v>0</v>
      </c>
      <c r="EB248" s="58"/>
      <c r="EC248" s="77"/>
      <c r="ED248" s="64">
        <f>ED247</f>
        <v>0</v>
      </c>
      <c r="EE248" s="58"/>
      <c r="EF248" s="77"/>
      <c r="EG248" s="64">
        <f>EG247</f>
        <v>0</v>
      </c>
      <c r="EH248" s="58"/>
      <c r="EI248" s="58"/>
    </row>
    <row r="249" spans="1:139">
      <c r="A249" s="711"/>
      <c r="B249" s="711"/>
      <c r="C249" s="805"/>
      <c r="D249" s="805"/>
      <c r="E249" s="805"/>
      <c r="F249" s="806"/>
      <c r="G249" s="806"/>
      <c r="H249" s="800"/>
      <c r="I249" s="800"/>
      <c r="J249" s="86"/>
      <c r="K249" s="105" t="str">
        <f>Idiomas!D149</f>
        <v>CUADRO DE HONOR</v>
      </c>
      <c r="L249" s="44"/>
      <c r="M249" s="64"/>
      <c r="N249" s="711"/>
      <c r="O249" s="711"/>
      <c r="P249" s="711"/>
      <c r="Q249" s="711"/>
      <c r="R249" s="711"/>
      <c r="S249" s="77"/>
      <c r="T249" s="64"/>
      <c r="U249" s="58"/>
      <c r="V249" s="77"/>
      <c r="W249" s="64"/>
      <c r="X249" s="58"/>
      <c r="Y249" s="77"/>
      <c r="Z249" s="64"/>
      <c r="AA249" s="58"/>
      <c r="AB249" s="77"/>
      <c r="AC249" s="64"/>
      <c r="AD249" s="58"/>
      <c r="AE249" s="77"/>
      <c r="AF249" s="64"/>
      <c r="AG249" s="58"/>
      <c r="AH249" s="77"/>
      <c r="AI249" s="64"/>
      <c r="AJ249" s="58"/>
      <c r="AK249" s="77"/>
      <c r="AL249" s="64"/>
      <c r="AM249" s="58"/>
      <c r="AN249" s="77"/>
      <c r="AO249" s="64"/>
      <c r="AP249" s="58"/>
      <c r="AQ249" s="77"/>
      <c r="AR249" s="64"/>
      <c r="AS249" s="58"/>
      <c r="AT249" s="77"/>
      <c r="AU249" s="64"/>
      <c r="AV249" s="58"/>
      <c r="AW249" s="77"/>
      <c r="AX249" s="64"/>
      <c r="AY249" s="58"/>
      <c r="AZ249" s="77"/>
      <c r="BA249" s="64"/>
      <c r="BB249" s="58"/>
      <c r="BC249" s="77"/>
      <c r="BD249" s="64"/>
      <c r="BE249" s="58"/>
      <c r="BF249" s="77"/>
      <c r="BG249" s="64"/>
      <c r="BH249" s="58"/>
      <c r="BI249" s="77"/>
      <c r="BJ249" s="64"/>
      <c r="BK249" s="58"/>
      <c r="BL249" s="77"/>
      <c r="BM249" s="64"/>
      <c r="BN249" s="58"/>
      <c r="BO249" s="77"/>
      <c r="BP249" s="64"/>
      <c r="BQ249" s="58"/>
      <c r="BR249" s="77"/>
      <c r="BS249" s="64"/>
      <c r="BT249" s="58"/>
      <c r="BU249" s="77"/>
      <c r="BV249" s="64"/>
      <c r="BW249" s="58"/>
      <c r="BX249" s="77"/>
      <c r="BY249" s="64"/>
      <c r="BZ249" s="58"/>
      <c r="CA249" s="77"/>
      <c r="CB249" s="64"/>
      <c r="CC249" s="58"/>
      <c r="CD249" s="77"/>
      <c r="CE249" s="64"/>
      <c r="CF249" s="58"/>
      <c r="CG249" s="77"/>
      <c r="CH249" s="64"/>
      <c r="CI249" s="58"/>
      <c r="CJ249" s="77"/>
      <c r="CK249" s="64"/>
      <c r="CL249" s="58"/>
      <c r="CM249" s="77"/>
      <c r="CN249" s="64"/>
      <c r="CO249" s="58"/>
      <c r="CP249" s="77"/>
      <c r="CQ249" s="64"/>
      <c r="CR249" s="58"/>
      <c r="CS249" s="77"/>
      <c r="CT249" s="64"/>
      <c r="CU249" s="58"/>
      <c r="CV249" s="77"/>
      <c r="CW249" s="64"/>
      <c r="CX249" s="58"/>
      <c r="CY249" s="77"/>
      <c r="CZ249" s="64"/>
      <c r="DA249" s="58"/>
      <c r="DB249" s="77"/>
      <c r="DC249" s="64"/>
      <c r="DD249" s="58"/>
      <c r="DE249" s="77"/>
      <c r="DF249" s="64"/>
      <c r="DG249" s="58"/>
      <c r="DH249" s="77"/>
      <c r="DI249" s="64"/>
      <c r="DJ249" s="58"/>
      <c r="DK249" s="77"/>
      <c r="DL249" s="64"/>
      <c r="DM249" s="58"/>
      <c r="DN249" s="77"/>
      <c r="DO249" s="64"/>
      <c r="DP249" s="58"/>
      <c r="DQ249" s="77"/>
      <c r="DR249" s="64"/>
      <c r="DS249" s="58"/>
      <c r="DT249" s="77"/>
      <c r="DU249" s="64"/>
      <c r="DV249" s="58"/>
      <c r="DW249" s="77"/>
      <c r="DX249" s="64"/>
      <c r="DY249" s="58"/>
      <c r="DZ249" s="77"/>
      <c r="EA249" s="64"/>
      <c r="EB249" s="58"/>
      <c r="EC249" s="77"/>
      <c r="ED249" s="64"/>
      <c r="EE249" s="58"/>
      <c r="EF249" s="77"/>
      <c r="EG249" s="64"/>
      <c r="EH249" s="58"/>
      <c r="EI249" s="58"/>
    </row>
    <row r="250" spans="1:139" ht="15.95" customHeight="1">
      <c r="A250" s="711"/>
      <c r="B250" s="711"/>
      <c r="C250" s="805"/>
      <c r="D250" s="805"/>
      <c r="E250" s="805"/>
      <c r="F250" s="806">
        <f t="shared" ref="F250:F253" si="2171">D39</f>
        <v>25</v>
      </c>
      <c r="G250" s="806">
        <f ca="1">VLOOKUP(H250,Equipos!$Q$1:$R$25,2,0)</f>
        <v>24</v>
      </c>
      <c r="H250" s="800" t="str">
        <f>Idiomas!$D$264</f>
        <v>3-4 &amp; Final</v>
      </c>
      <c r="I250" s="800"/>
      <c r="J250" s="92"/>
      <c r="K250" s="46" t="str">
        <f>WORLDCUP!W150</f>
        <v>🥇Campeón</v>
      </c>
      <c r="L250" s="46"/>
      <c r="M250" s="48" t="str">
        <f>WORLDCUP!AA150</f>
        <v>WF</v>
      </c>
      <c r="N250" s="711"/>
      <c r="O250" s="711"/>
      <c r="P250" s="711"/>
      <c r="Q250" s="711"/>
      <c r="R250" s="711"/>
      <c r="S250" s="69" t="s">
        <v>1258</v>
      </c>
      <c r="T250" s="70">
        <f>COUNTIF($M$250,S250)*$D$39</f>
        <v>0</v>
      </c>
      <c r="U250" s="57"/>
      <c r="V250" s="69" t="s">
        <v>74</v>
      </c>
      <c r="W250" s="70">
        <f>COUNTIF($M$250,V250)*$D$39</f>
        <v>0</v>
      </c>
      <c r="X250" s="57"/>
      <c r="Y250" s="69" t="s">
        <v>79</v>
      </c>
      <c r="Z250" s="70">
        <f>COUNTIF($M$250,Y250)*$D$39</f>
        <v>0</v>
      </c>
      <c r="AA250" s="57"/>
      <c r="AB250" s="69" t="s">
        <v>74</v>
      </c>
      <c r="AC250" s="70">
        <f>COUNTIF($M$250,AB250)*$D$39</f>
        <v>0</v>
      </c>
      <c r="AD250" s="57"/>
      <c r="AE250" s="69" t="s">
        <v>38</v>
      </c>
      <c r="AF250" s="70">
        <f>COUNTIF($M$250,AE250)*$D$39</f>
        <v>0</v>
      </c>
      <c r="AG250" s="57"/>
      <c r="AH250" s="69" t="s">
        <v>38</v>
      </c>
      <c r="AI250" s="70">
        <f>COUNTIF($M$250,AH250)*$D$39</f>
        <v>0</v>
      </c>
      <c r="AJ250" s="57"/>
      <c r="AK250" s="69" t="s">
        <v>1258</v>
      </c>
      <c r="AL250" s="70">
        <f>COUNTIF($M$250,AK250)*$D$39</f>
        <v>0</v>
      </c>
      <c r="AM250" s="57"/>
      <c r="AN250" s="69" t="s">
        <v>38</v>
      </c>
      <c r="AO250" s="70">
        <f>COUNTIF($M$250,AN250)*$D$39</f>
        <v>0</v>
      </c>
      <c r="AP250" s="57"/>
      <c r="AQ250" s="69" t="s">
        <v>38</v>
      </c>
      <c r="AR250" s="70">
        <f>COUNTIF($M$250,AQ250)*$D$39</f>
        <v>0</v>
      </c>
      <c r="AS250" s="57"/>
      <c r="AT250" s="69" t="s">
        <v>38</v>
      </c>
      <c r="AU250" s="70">
        <f>COUNTIF($M$250,AT250)*$D$39</f>
        <v>0</v>
      </c>
      <c r="AV250" s="57"/>
      <c r="AW250" s="69" t="s">
        <v>74</v>
      </c>
      <c r="AX250" s="70">
        <f>COUNTIF($M$250,AW250)*$D$39</f>
        <v>0</v>
      </c>
      <c r="AY250" s="57"/>
      <c r="AZ250" s="69" t="s">
        <v>74</v>
      </c>
      <c r="BA250" s="70">
        <f>COUNTIF($M$250,AZ250)*$D$39</f>
        <v>0</v>
      </c>
      <c r="BB250" s="57"/>
      <c r="BC250" s="69" t="s">
        <v>111</v>
      </c>
      <c r="BD250" s="70">
        <f>COUNTIF($M$250,BC250)*$D$39</f>
        <v>0</v>
      </c>
      <c r="BE250" s="57"/>
      <c r="BF250" s="69" t="s">
        <v>38</v>
      </c>
      <c r="BG250" s="70">
        <f>COUNTIF($M$250,BF250)*$D$39</f>
        <v>0</v>
      </c>
      <c r="BH250" s="57"/>
      <c r="BI250" s="69" t="s">
        <v>38</v>
      </c>
      <c r="BJ250" s="70">
        <f>COUNTIF($M$250,BI250)*$D$39</f>
        <v>0</v>
      </c>
      <c r="BK250" s="57"/>
      <c r="BL250" s="69" t="s">
        <v>38</v>
      </c>
      <c r="BM250" s="70">
        <f>COUNTIF($M$250,BL250)*$D$39</f>
        <v>0</v>
      </c>
      <c r="BN250" s="57"/>
      <c r="BO250" s="69" t="s">
        <v>38</v>
      </c>
      <c r="BP250" s="70">
        <f>COUNTIF($M$250,BO250)*$D$39</f>
        <v>0</v>
      </c>
      <c r="BQ250" s="57"/>
      <c r="BR250" s="69" t="s">
        <v>1256</v>
      </c>
      <c r="BS250" s="70">
        <f>COUNTIF($M$250,BR250)*$D$39</f>
        <v>0</v>
      </c>
      <c r="BT250" s="57"/>
      <c r="BU250" s="69"/>
      <c r="BV250" s="70">
        <f>COUNTIF($M$250,BU250)*$D$39</f>
        <v>0</v>
      </c>
      <c r="BW250" s="57"/>
      <c r="BX250" s="69"/>
      <c r="BY250" s="70">
        <f>COUNTIF($M$250,BX250)*$D$39</f>
        <v>0</v>
      </c>
      <c r="BZ250" s="57"/>
      <c r="CA250" s="69"/>
      <c r="CB250" s="70">
        <f>COUNTIF($M$250,CA250)*$D$39</f>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250" s="57"/>
      <c r="CP250" s="69"/>
      <c r="CQ250" s="70">
        <f>COUNTIF($M$250,CP250)*$D$39</f>
        <v>0</v>
      </c>
      <c r="CR250" s="57"/>
      <c r="CS250" s="69"/>
      <c r="CT250" s="70">
        <f>COUNTIF($M$250,CS250)*$D$39</f>
        <v>0</v>
      </c>
      <c r="CU250" s="57"/>
      <c r="CV250" s="69"/>
      <c r="CW250" s="70">
        <f>COUNTIF($M$250,CV250)*$D$39</f>
        <v>0</v>
      </c>
      <c r="CX250" s="57"/>
      <c r="CY250" s="69"/>
      <c r="CZ250" s="70">
        <f>COUNTIF($M$250,CY250)*$D$39</f>
        <v>0</v>
      </c>
      <c r="DA250" s="57"/>
      <c r="DB250" s="69"/>
      <c r="DC250" s="70">
        <f>COUNTIF($M$250,DB250)*$D$39</f>
        <v>0</v>
      </c>
      <c r="DD250" s="57"/>
      <c r="DE250" s="69"/>
      <c r="DF250" s="70">
        <f>COUNTIF($M$250,DE250)*$D$39</f>
        <v>0</v>
      </c>
      <c r="DG250" s="57"/>
      <c r="DH250" s="69"/>
      <c r="DI250" s="70">
        <f>COUNTIF($M$250,DH250)*$D$39</f>
        <v>0</v>
      </c>
      <c r="DJ250" s="57"/>
      <c r="DK250" s="69"/>
      <c r="DL250" s="70">
        <f>COUNTIF($M$250,DK250)*$D$39</f>
        <v>0</v>
      </c>
      <c r="DM250" s="57"/>
      <c r="DN250" s="69"/>
      <c r="DO250" s="70">
        <f>COUNTIF($M$250,DN250)*$D$39</f>
        <v>0</v>
      </c>
      <c r="DP250" s="57"/>
      <c r="DQ250" s="69"/>
      <c r="DR250" s="70">
        <f>COUNTIF($M$250,DQ250)*$D$39</f>
        <v>0</v>
      </c>
      <c r="DS250" s="57"/>
      <c r="DT250" s="69"/>
      <c r="DU250" s="70">
        <f>COUNTIF($M$250,DT250)*$D$39</f>
        <v>0</v>
      </c>
      <c r="DV250" s="57"/>
      <c r="DW250" s="69"/>
      <c r="DX250" s="70">
        <f>COUNTIF($M$250,DW250)*$D$39</f>
        <v>0</v>
      </c>
      <c r="DY250" s="57"/>
      <c r="DZ250" s="69"/>
      <c r="EA250" s="70">
        <f>COUNTIF($M$250,DZ250)*$D$39</f>
        <v>0</v>
      </c>
      <c r="EB250" s="57"/>
      <c r="EC250" s="69"/>
      <c r="ED250" s="70">
        <f>COUNTIF($M$250,EC250)*$D$39</f>
        <v>0</v>
      </c>
      <c r="EE250" s="57"/>
      <c r="EF250" s="69"/>
      <c r="EG250" s="70">
        <f>COUNTIF($M$250,EF250)*$D$39</f>
        <v>0</v>
      </c>
      <c r="EH250" s="57"/>
      <c r="EI250" s="57"/>
    </row>
    <row r="251" spans="1:139" ht="15.95" customHeight="1">
      <c r="A251" s="711"/>
      <c r="B251" s="711"/>
      <c r="C251" s="805"/>
      <c r="D251" s="805"/>
      <c r="E251" s="805"/>
      <c r="F251" s="806">
        <f t="shared" si="2171"/>
        <v>20</v>
      </c>
      <c r="G251" s="806">
        <f ca="1">VLOOKUP(H251,Equipos!$Q$1:$R$25,2,0)</f>
        <v>24</v>
      </c>
      <c r="H251" s="800" t="str">
        <f>Idiomas!$D$264</f>
        <v>3-4 &amp; Final</v>
      </c>
      <c r="I251" s="800"/>
      <c r="J251" s="93"/>
      <c r="K251" s="49" t="str">
        <f>WORLDCUP!W151</f>
        <v>🥈Subcampeón</v>
      </c>
      <c r="L251" s="46"/>
      <c r="M251" s="48" t="str">
        <f>WORLDCUP!AA151</f>
        <v>LF</v>
      </c>
      <c r="N251" s="711"/>
      <c r="O251" s="711"/>
      <c r="P251" s="711"/>
      <c r="Q251" s="711"/>
      <c r="R251" s="711"/>
      <c r="S251" s="67" t="s">
        <v>77</v>
      </c>
      <c r="T251" s="66">
        <f>COUNTIF($M$251,S251)*$D$40</f>
        <v>0</v>
      </c>
      <c r="U251" s="57"/>
      <c r="V251" s="67" t="s">
        <v>1256</v>
      </c>
      <c r="W251" s="66">
        <f>COUNTIF($M$251,V251)*$D$40</f>
        <v>0</v>
      </c>
      <c r="X251" s="57"/>
      <c r="Y251" s="67" t="s">
        <v>38</v>
      </c>
      <c r="Z251" s="66">
        <f>COUNTIF($M$251,Y251)*$D$40</f>
        <v>0</v>
      </c>
      <c r="AA251" s="57"/>
      <c r="AB251" s="67" t="s">
        <v>1256</v>
      </c>
      <c r="AC251" s="66">
        <f>COUNTIF($M$251,AB251)*$D$40</f>
        <v>0</v>
      </c>
      <c r="AD251" s="57"/>
      <c r="AE251" s="67" t="s">
        <v>1256</v>
      </c>
      <c r="AF251" s="66">
        <f>COUNTIF($M$251,AE251)*$D$40</f>
        <v>0</v>
      </c>
      <c r="AG251" s="57"/>
      <c r="AH251" s="67" t="s">
        <v>76</v>
      </c>
      <c r="AI251" s="66">
        <f>COUNTIF($M$251,AH251)*$D$40</f>
        <v>0</v>
      </c>
      <c r="AJ251" s="57"/>
      <c r="AK251" s="67" t="s">
        <v>38</v>
      </c>
      <c r="AL251" s="66">
        <f>COUNTIF($M$251,AK251)*$D$40</f>
        <v>0</v>
      </c>
      <c r="AM251" s="57"/>
      <c r="AN251" s="67" t="s">
        <v>1258</v>
      </c>
      <c r="AO251" s="66">
        <f>COUNTIF($M$251,AN251)*$D$40</f>
        <v>0</v>
      </c>
      <c r="AP251" s="57"/>
      <c r="AQ251" s="67" t="s">
        <v>76</v>
      </c>
      <c r="AR251" s="66">
        <f>COUNTIF($M$251,AQ251)*$D$40</f>
        <v>0</v>
      </c>
      <c r="AS251" s="57"/>
      <c r="AT251" s="67" t="s">
        <v>79</v>
      </c>
      <c r="AU251" s="66">
        <f>COUNTIF($M$251,AT251)*$D$40</f>
        <v>0</v>
      </c>
      <c r="AV251" s="57"/>
      <c r="AW251" s="67" t="s">
        <v>79</v>
      </c>
      <c r="AX251" s="66">
        <f>COUNTIF($M$251,AW251)*$D$40</f>
        <v>0</v>
      </c>
      <c r="AY251" s="57"/>
      <c r="AZ251" s="67" t="s">
        <v>76</v>
      </c>
      <c r="BA251" s="66">
        <f>COUNTIF($M$251,AZ251)*$D$40</f>
        <v>0</v>
      </c>
      <c r="BB251" s="57"/>
      <c r="BC251" s="67" t="s">
        <v>78</v>
      </c>
      <c r="BD251" s="66">
        <f>COUNTIF($M$251,BC251)*$D$40</f>
        <v>0</v>
      </c>
      <c r="BE251" s="57"/>
      <c r="BF251" s="67" t="s">
        <v>79</v>
      </c>
      <c r="BG251" s="66">
        <f>COUNTIF($M$251,BF251)*$D$40</f>
        <v>0</v>
      </c>
      <c r="BH251" s="57"/>
      <c r="BI251" s="67" t="s">
        <v>1258</v>
      </c>
      <c r="BJ251" s="66">
        <f>COUNTIF($M$251,BI251)*$D$40</f>
        <v>0</v>
      </c>
      <c r="BK251" s="57"/>
      <c r="BL251" s="67" t="s">
        <v>76</v>
      </c>
      <c r="BM251" s="66">
        <f>COUNTIF($M$251,BL251)*$D$40</f>
        <v>0</v>
      </c>
      <c r="BN251" s="57"/>
      <c r="BO251" s="67" t="s">
        <v>1256</v>
      </c>
      <c r="BP251" s="66">
        <f>COUNTIF($M$251,BO251)*$D$40</f>
        <v>0</v>
      </c>
      <c r="BQ251" s="57"/>
      <c r="BR251" s="67" t="s">
        <v>74</v>
      </c>
      <c r="BS251" s="66">
        <f>COUNTIF($M$251,BR251)*$D$40</f>
        <v>0</v>
      </c>
      <c r="BT251" s="57"/>
      <c r="BU251" s="67"/>
      <c r="BV251" s="66">
        <f>COUNTIF($M$251,BU251)*$D$40</f>
        <v>0</v>
      </c>
      <c r="BW251" s="57"/>
      <c r="BX251" s="67"/>
      <c r="BY251" s="66">
        <f>COUNTIF($M$251,BX251)*$D$40</f>
        <v>0</v>
      </c>
      <c r="BZ251" s="57"/>
      <c r="CA251" s="67"/>
      <c r="CB251" s="66">
        <f>COUNTIF($M$251,CA251)*$D$40</f>
        <v>0</v>
      </c>
      <c r="CC251" s="57"/>
      <c r="CD251" s="67"/>
      <c r="CE251" s="66">
        <f>COUNTIF($M$251,CD251)*$D$40</f>
        <v>0</v>
      </c>
      <c r="CF251" s="57"/>
      <c r="CG251" s="67"/>
      <c r="CH251" s="66">
        <f>COUNTIF($M$251,CG251)*$D$40</f>
        <v>0</v>
      </c>
      <c r="CI251" s="57"/>
      <c r="CJ251" s="67"/>
      <c r="CK251" s="66">
        <f>COUNTIF($M$251,CJ251)*$D$40</f>
        <v>0</v>
      </c>
      <c r="CL251" s="57"/>
      <c r="CM251" s="67"/>
      <c r="CN251" s="66">
        <f>COUNTIF($M$251,CM251)*$D$40</f>
        <v>0</v>
      </c>
      <c r="CO251" s="57"/>
      <c r="CP251" s="67"/>
      <c r="CQ251" s="66">
        <f>COUNTIF($M$251,CP251)*$D$40</f>
        <v>0</v>
      </c>
      <c r="CR251" s="57"/>
      <c r="CS251" s="67"/>
      <c r="CT251" s="66">
        <f>COUNTIF($M$251,CS251)*$D$40</f>
        <v>0</v>
      </c>
      <c r="CU251" s="57"/>
      <c r="CV251" s="67"/>
      <c r="CW251" s="66">
        <f>COUNTIF($M$251,CV251)*$D$40</f>
        <v>0</v>
      </c>
      <c r="CX251" s="57"/>
      <c r="CY251" s="67"/>
      <c r="CZ251" s="66">
        <f>COUNTIF($M$251,CY251)*$D$40</f>
        <v>0</v>
      </c>
      <c r="DA251" s="57"/>
      <c r="DB251" s="67"/>
      <c r="DC251" s="66">
        <f>COUNTIF($M$251,DB251)*$D$40</f>
        <v>0</v>
      </c>
      <c r="DD251" s="57"/>
      <c r="DE251" s="67"/>
      <c r="DF251" s="66">
        <f>COUNTIF($M$251,DE251)*$D$40</f>
        <v>0</v>
      </c>
      <c r="DG251" s="57"/>
      <c r="DH251" s="67"/>
      <c r="DI251" s="66">
        <f>COUNTIF($M$251,DH251)*$D$40</f>
        <v>0</v>
      </c>
      <c r="DJ251" s="57"/>
      <c r="DK251" s="67"/>
      <c r="DL251" s="66">
        <f>COUNTIF($M$251,DK251)*$D$40</f>
        <v>0</v>
      </c>
      <c r="DM251" s="57"/>
      <c r="DN251" s="67"/>
      <c r="DO251" s="66">
        <f>COUNTIF($M$251,DN251)*$D$40</f>
        <v>0</v>
      </c>
      <c r="DP251" s="57"/>
      <c r="DQ251" s="67"/>
      <c r="DR251" s="66">
        <f>COUNTIF($M$251,DQ251)*$D$40</f>
        <v>0</v>
      </c>
      <c r="DS251" s="57"/>
      <c r="DT251" s="67"/>
      <c r="DU251" s="66">
        <f>COUNTIF($M$251,DT251)*$D$40</f>
        <v>0</v>
      </c>
      <c r="DV251" s="57"/>
      <c r="DW251" s="67"/>
      <c r="DX251" s="66">
        <f>COUNTIF($M$251,DW251)*$D$40</f>
        <v>0</v>
      </c>
      <c r="DY251" s="57"/>
      <c r="DZ251" s="67"/>
      <c r="EA251" s="66">
        <f>COUNTIF($M$251,DZ251)*$D$40</f>
        <v>0</v>
      </c>
      <c r="EB251" s="57"/>
      <c r="EC251" s="67"/>
      <c r="ED251" s="66">
        <f>COUNTIF($M$251,EC251)*$D$40</f>
        <v>0</v>
      </c>
      <c r="EE251" s="57"/>
      <c r="EF251" s="67"/>
      <c r="EG251" s="66">
        <f>COUNTIF($M$251,EF251)*$D$40</f>
        <v>0</v>
      </c>
      <c r="EH251" s="57"/>
      <c r="EI251" s="57"/>
    </row>
    <row r="252" spans="1:139" ht="15.95" customHeight="1">
      <c r="A252" s="711"/>
      <c r="B252" s="711"/>
      <c r="C252" s="805"/>
      <c r="D252" s="805"/>
      <c r="E252" s="805"/>
      <c r="F252" s="806">
        <f t="shared" si="2171"/>
        <v>15</v>
      </c>
      <c r="G252" s="806">
        <f ca="1">VLOOKUP(H252,Equipos!$Q$1:$R$25,2,0)</f>
        <v>24</v>
      </c>
      <c r="H252" s="800" t="str">
        <f>Idiomas!$D$264</f>
        <v>3-4 &amp; Final</v>
      </c>
      <c r="I252" s="800"/>
      <c r="J252" s="93"/>
      <c r="K252" s="49" t="str">
        <f>WORLDCUP!W152</f>
        <v>🥉3º puesto</v>
      </c>
      <c r="L252" s="46"/>
      <c r="M252" s="48" t="str">
        <f>WORLDCUP!AA152</f>
        <v>W34</v>
      </c>
      <c r="N252" s="711"/>
      <c r="O252" s="711"/>
      <c r="P252" s="711"/>
      <c r="Q252" s="711"/>
      <c r="R252" s="711"/>
      <c r="S252" s="67" t="s">
        <v>38</v>
      </c>
      <c r="T252" s="66">
        <f>COUNTIF($M$252,S252)*$D$41</f>
        <v>0</v>
      </c>
      <c r="U252" s="57"/>
      <c r="V252" s="67" t="s">
        <v>38</v>
      </c>
      <c r="W252" s="66">
        <f>COUNTIF($M$252,V252)*$D$41</f>
        <v>0</v>
      </c>
      <c r="X252" s="57"/>
      <c r="Y252" s="67" t="s">
        <v>1258</v>
      </c>
      <c r="Z252" s="66">
        <f>COUNTIF($M$252,Y252)*$D$41</f>
        <v>0</v>
      </c>
      <c r="AA252" s="57"/>
      <c r="AB252" s="67" t="s">
        <v>110</v>
      </c>
      <c r="AC252" s="66">
        <f>COUNTIF($M$252,AB252)*$D$41</f>
        <v>0</v>
      </c>
      <c r="AD252" s="57"/>
      <c r="AE252" s="67" t="s">
        <v>74</v>
      </c>
      <c r="AF252" s="66">
        <f>COUNTIF($M$252,AE252)*$D$41</f>
        <v>0</v>
      </c>
      <c r="AG252" s="57"/>
      <c r="AH252" s="67" t="s">
        <v>74</v>
      </c>
      <c r="AI252" s="66">
        <f>COUNTIF($M$252,AH252)*$D$41</f>
        <v>0</v>
      </c>
      <c r="AJ252" s="57"/>
      <c r="AK252" s="67" t="s">
        <v>74</v>
      </c>
      <c r="AL252" s="66">
        <f>COUNTIF($M$252,AK252)*$D$41</f>
        <v>0</v>
      </c>
      <c r="AM252" s="57"/>
      <c r="AN252" s="67" t="s">
        <v>77</v>
      </c>
      <c r="AO252" s="66">
        <f>COUNTIF($M$252,AN252)*$D$41</f>
        <v>0</v>
      </c>
      <c r="AP252" s="57"/>
      <c r="AQ252" s="67" t="s">
        <v>1258</v>
      </c>
      <c r="AR252" s="66">
        <f>COUNTIF($M$252,AQ252)*$D$41</f>
        <v>0</v>
      </c>
      <c r="AS252" s="57"/>
      <c r="AT252" s="67" t="s">
        <v>74</v>
      </c>
      <c r="AU252" s="66">
        <f>COUNTIF($M$252,AT252)*$D$41</f>
        <v>0</v>
      </c>
      <c r="AV252" s="57"/>
      <c r="AW252" s="67" t="s">
        <v>1258</v>
      </c>
      <c r="AX252" s="66">
        <f>COUNTIF($M$252,AW252)*$D$41</f>
        <v>0</v>
      </c>
      <c r="AY252" s="57"/>
      <c r="AZ252" s="67" t="s">
        <v>38</v>
      </c>
      <c r="BA252" s="66">
        <f>COUNTIF($M$252,AZ252)*$D$41</f>
        <v>0</v>
      </c>
      <c r="BB252" s="57"/>
      <c r="BC252" s="67" t="s">
        <v>38</v>
      </c>
      <c r="BD252" s="66">
        <f>COUNTIF($M$252,BC252)*$D$41</f>
        <v>0</v>
      </c>
      <c r="BE252" s="57"/>
      <c r="BF252" s="67" t="s">
        <v>74</v>
      </c>
      <c r="BG252" s="66">
        <f>COUNTIF($M$252,BF252)*$D$41</f>
        <v>0</v>
      </c>
      <c r="BH252" s="57"/>
      <c r="BI252" s="67" t="s">
        <v>74</v>
      </c>
      <c r="BJ252" s="66">
        <f>COUNTIF($M$252,BI252)*$D$41</f>
        <v>0</v>
      </c>
      <c r="BK252" s="57"/>
      <c r="BL252" s="67" t="s">
        <v>74</v>
      </c>
      <c r="BM252" s="66">
        <f>COUNTIF($M$252,BL252)*$D$41</f>
        <v>0</v>
      </c>
      <c r="BN252" s="57"/>
      <c r="BO252" s="67" t="s">
        <v>74</v>
      </c>
      <c r="BP252" s="66">
        <f>COUNTIF($M$252,BO252)*$D$41</f>
        <v>0</v>
      </c>
      <c r="BQ252" s="57"/>
      <c r="BR252" s="67" t="s">
        <v>38</v>
      </c>
      <c r="BS252" s="66">
        <f>COUNTIF($M$252,BR252)*$D$41</f>
        <v>0</v>
      </c>
      <c r="BT252" s="57"/>
      <c r="BU252" s="67"/>
      <c r="BV252" s="66">
        <f>COUNTIF($M$252,BU252)*$D$41</f>
        <v>0</v>
      </c>
      <c r="BW252" s="57"/>
      <c r="BX252" s="67"/>
      <c r="BY252" s="66">
        <f>COUNTIF($M$252,BX252)*$D$41</f>
        <v>0</v>
      </c>
      <c r="BZ252" s="57"/>
      <c r="CA252" s="67"/>
      <c r="CB252" s="66">
        <f>COUNTIF($M$252,CA252)*$D$41</f>
        <v>0</v>
      </c>
      <c r="CC252" s="57"/>
      <c r="CD252" s="67"/>
      <c r="CE252" s="66">
        <f>COUNTIF($M$252,CD252)*$D$41</f>
        <v>0</v>
      </c>
      <c r="CF252" s="57"/>
      <c r="CG252" s="67"/>
      <c r="CH252" s="66">
        <f>COUNTIF($M$252,CG252)*$D$41</f>
        <v>0</v>
      </c>
      <c r="CI252" s="57"/>
      <c r="CJ252" s="67"/>
      <c r="CK252" s="66">
        <f>COUNTIF($M$252,CJ252)*$D$41</f>
        <v>0</v>
      </c>
      <c r="CL252" s="57"/>
      <c r="CM252" s="67"/>
      <c r="CN252" s="66">
        <f>COUNTIF($M$252,CM252)*$D$41</f>
        <v>0</v>
      </c>
      <c r="CO252" s="57"/>
      <c r="CP252" s="67"/>
      <c r="CQ252" s="66">
        <f>COUNTIF($M$252,CP252)*$D$41</f>
        <v>0</v>
      </c>
      <c r="CR252" s="57"/>
      <c r="CS252" s="67"/>
      <c r="CT252" s="66">
        <f>COUNTIF($M$252,CS252)*$D$41</f>
        <v>0</v>
      </c>
      <c r="CU252" s="57"/>
      <c r="CV252" s="67"/>
      <c r="CW252" s="66">
        <f>COUNTIF($M$252,CV252)*$D$41</f>
        <v>0</v>
      </c>
      <c r="CX252" s="57"/>
      <c r="CY252" s="67"/>
      <c r="CZ252" s="66">
        <f>COUNTIF($M$252,CY252)*$D$41</f>
        <v>0</v>
      </c>
      <c r="DA252" s="57"/>
      <c r="DB252" s="67"/>
      <c r="DC252" s="66">
        <f>COUNTIF($M$252,DB252)*$D$41</f>
        <v>0</v>
      </c>
      <c r="DD252" s="57"/>
      <c r="DE252" s="67"/>
      <c r="DF252" s="66">
        <f>COUNTIF($M$252,DE252)*$D$41</f>
        <v>0</v>
      </c>
      <c r="DG252" s="57"/>
      <c r="DH252" s="67"/>
      <c r="DI252" s="66">
        <f>COUNTIF($M$252,DH252)*$D$41</f>
        <v>0</v>
      </c>
      <c r="DJ252" s="57"/>
      <c r="DK252" s="67"/>
      <c r="DL252" s="66">
        <f>COUNTIF($M$252,DK252)*$D$41</f>
        <v>0</v>
      </c>
      <c r="DM252" s="57"/>
      <c r="DN252" s="67"/>
      <c r="DO252" s="66">
        <f>COUNTIF($M$252,DN252)*$D$41</f>
        <v>0</v>
      </c>
      <c r="DP252" s="57"/>
      <c r="DQ252" s="67"/>
      <c r="DR252" s="66">
        <f>COUNTIF($M$252,DQ252)*$D$41</f>
        <v>0</v>
      </c>
      <c r="DS252" s="57"/>
      <c r="DT252" s="67"/>
      <c r="DU252" s="66">
        <f>COUNTIF($M$252,DT252)*$D$41</f>
        <v>0</v>
      </c>
      <c r="DV252" s="57"/>
      <c r="DW252" s="67"/>
      <c r="DX252" s="66">
        <f>COUNTIF($M$252,DW252)*$D$41</f>
        <v>0</v>
      </c>
      <c r="DY252" s="57"/>
      <c r="DZ252" s="67"/>
      <c r="EA252" s="66">
        <f>COUNTIF($M$252,DZ252)*$D$41</f>
        <v>0</v>
      </c>
      <c r="EB252" s="57"/>
      <c r="EC252" s="67"/>
      <c r="ED252" s="66">
        <f>COUNTIF($M$252,EC252)*$D$41</f>
        <v>0</v>
      </c>
      <c r="EE252" s="57"/>
      <c r="EF252" s="67"/>
      <c r="EG252" s="66">
        <f>COUNTIF($M$252,EF252)*$D$41</f>
        <v>0</v>
      </c>
      <c r="EH252" s="57"/>
      <c r="EI252" s="57"/>
    </row>
    <row r="253" spans="1:139" ht="15.95" customHeight="1">
      <c r="A253" s="711"/>
      <c r="B253" s="711"/>
      <c r="C253" s="805"/>
      <c r="D253" s="805"/>
      <c r="E253" s="805"/>
      <c r="F253" s="806">
        <f t="shared" si="2171"/>
        <v>20</v>
      </c>
      <c r="G253" s="806">
        <f ca="1">VLOOKUP(H253,Equipos!$Q$1:$R$25,2,0)</f>
        <v>24</v>
      </c>
      <c r="H253" s="800" t="str">
        <f>Idiomas!$D$264</f>
        <v>3-4 &amp; Final</v>
      </c>
      <c r="I253" s="800"/>
      <c r="J253" s="94"/>
      <c r="K253" s="49" t="str">
        <f>WORLDCUP!W154</f>
        <v>Bota de Oro  (máximo goleador)</v>
      </c>
      <c r="L253" s="46"/>
      <c r="M253" s="48" t="str">
        <f>WORLDCUP!AA154</f>
        <v>Escribe el jugador Bota de Oro</v>
      </c>
      <c r="N253" s="711"/>
      <c r="O253" s="711"/>
      <c r="P253" s="711"/>
      <c r="Q253" s="711"/>
      <c r="R253" s="711"/>
      <c r="S253" s="67" t="str">
        <f>+V253</f>
        <v>Mbappé</v>
      </c>
      <c r="T253" s="66">
        <f>Goleadores!K2</f>
        <v>0</v>
      </c>
      <c r="U253" s="57"/>
      <c r="V253" s="67" t="s">
        <v>1968</v>
      </c>
      <c r="W253" s="66">
        <f>T253</f>
        <v>0</v>
      </c>
      <c r="X253" s="57"/>
      <c r="Y253" s="67" t="str">
        <f>V253</f>
        <v>Mbappé</v>
      </c>
      <c r="Z253" s="66">
        <f>W253</f>
        <v>0</v>
      </c>
      <c r="AA253" s="57"/>
      <c r="AB253" s="67" t="s">
        <v>1977</v>
      </c>
      <c r="AC253" s="66">
        <f>Goleadores!K8</f>
        <v>0</v>
      </c>
      <c r="AD253" s="57"/>
      <c r="AE253" s="67" t="s">
        <v>1981</v>
      </c>
      <c r="AF253" s="66">
        <f>Goleadores!K10</f>
        <v>0</v>
      </c>
      <c r="AG253" s="57"/>
      <c r="AH253" s="67" t="s">
        <v>1983</v>
      </c>
      <c r="AI253" s="66">
        <f>Goleadores!K2</f>
        <v>0</v>
      </c>
      <c r="AJ253" s="57"/>
      <c r="AK253" s="67" t="str">
        <f>AH253</f>
        <v>Mbappe</v>
      </c>
      <c r="AL253" s="66">
        <f>AI253</f>
        <v>0</v>
      </c>
      <c r="AM253" s="57"/>
      <c r="AN253" s="67" t="str">
        <f>AK253</f>
        <v>Mbappe</v>
      </c>
      <c r="AO253" s="66">
        <f>AL253</f>
        <v>0</v>
      </c>
      <c r="AP253" s="57"/>
      <c r="AQ253" s="67" t="s">
        <v>1990</v>
      </c>
      <c r="AR253" s="66">
        <f>+Goleadores!K12</f>
        <v>0</v>
      </c>
      <c r="AS253" s="57"/>
      <c r="AT253" s="67" t="s">
        <v>1983</v>
      </c>
      <c r="AU253" s="66">
        <f>+AO253</f>
        <v>0</v>
      </c>
      <c r="AV253" s="57"/>
      <c r="AW253" s="67" t="str">
        <f>+AT253</f>
        <v>Mbappe</v>
      </c>
      <c r="AX253" s="66">
        <f>+Goleadores!K2</f>
        <v>0</v>
      </c>
      <c r="AY253" s="57"/>
      <c r="AZ253" s="67" t="s">
        <v>1983</v>
      </c>
      <c r="BA253" s="66">
        <f>+AX253</f>
        <v>0</v>
      </c>
      <c r="BB253" s="57"/>
      <c r="BC253" s="67" t="s">
        <v>1970</v>
      </c>
      <c r="BD253" s="66">
        <f>+Goleadores!K3</f>
        <v>0</v>
      </c>
      <c r="BE253" s="57"/>
      <c r="BF253" s="67" t="s">
        <v>1970</v>
      </c>
      <c r="BG253" s="66">
        <f>+BD253</f>
        <v>0</v>
      </c>
      <c r="BH253" s="57"/>
      <c r="BI253" s="67" t="str">
        <f>+BC254</f>
        <v>Mbappe</v>
      </c>
      <c r="BJ253" s="66">
        <f>+BD254</f>
        <v>0</v>
      </c>
      <c r="BK253" s="57"/>
      <c r="BL253" s="67" t="str">
        <f>+BI253</f>
        <v>Mbappe</v>
      </c>
      <c r="BM253" s="66">
        <f>+BJ253</f>
        <v>0</v>
      </c>
      <c r="BN253" s="57"/>
      <c r="BO253" s="67" t="s">
        <v>1983</v>
      </c>
      <c r="BP253" s="66">
        <f>+BM253</f>
        <v>0</v>
      </c>
      <c r="BQ253" s="57"/>
      <c r="BR253" s="67" t="s">
        <v>1968</v>
      </c>
      <c r="BS253" s="66">
        <f>+BP253</f>
        <v>0</v>
      </c>
      <c r="BT253" s="57"/>
      <c r="BU253" s="67" t="str">
        <f>Idiomas!$D$373</f>
        <v>Pegar Valores Cuadro de Honor</v>
      </c>
      <c r="BV253" s="66">
        <f>COUNTIF($M$253,BU253)*$D$42</f>
        <v>0</v>
      </c>
      <c r="BW253" s="57"/>
      <c r="BX253" s="67" t="str">
        <f>Idiomas!$D$373</f>
        <v>Pegar Valores Cuadro de Honor</v>
      </c>
      <c r="BY253" s="66">
        <f>COUNTIF($M$253,BX253)*$D$42</f>
        <v>0</v>
      </c>
      <c r="BZ253" s="57"/>
      <c r="CA253" s="67" t="str">
        <f>Idiomas!$D$373</f>
        <v>Pegar Valores Cuadro de Honor</v>
      </c>
      <c r="CB253" s="66">
        <f>COUNTIF($M$253,CA253)*$D$42</f>
        <v>0</v>
      </c>
      <c r="CC253" s="57"/>
      <c r="CD253" s="67" t="str">
        <f>Idiomas!$D$373</f>
        <v>Pegar Valores Cuadro de Honor</v>
      </c>
      <c r="CE253" s="66">
        <f>COUNTIF($M$253,CD253)*$D$42</f>
        <v>0</v>
      </c>
      <c r="CF253" s="57"/>
      <c r="CG253" s="67" t="str">
        <f>Idiomas!$D$373</f>
        <v>Pegar Valores Cuadro de Honor</v>
      </c>
      <c r="CH253" s="66">
        <f>COUNTIF($M$253,CG253)*$D$42</f>
        <v>0</v>
      </c>
      <c r="CI253" s="57"/>
      <c r="CJ253" s="67" t="str">
        <f>Idiomas!$D$373</f>
        <v>Pegar Valores Cuadro de Honor</v>
      </c>
      <c r="CK253" s="66">
        <f>COUNTIF($M$253,CJ253)*$D$42</f>
        <v>0</v>
      </c>
      <c r="CL253" s="57"/>
      <c r="CM253" s="67" t="str">
        <f>Idiomas!$D$373</f>
        <v>Pegar Valores Cuadro de Honor</v>
      </c>
      <c r="CN253" s="66">
        <f>COUNTIF($M$253,CM253)*$D$42</f>
        <v>0</v>
      </c>
      <c r="CO253" s="57"/>
      <c r="CP253" s="67" t="str">
        <f>Idiomas!$D$373</f>
        <v>Pegar Valores Cuadro de Honor</v>
      </c>
      <c r="CQ253" s="66">
        <f>COUNTIF($M$253,CP253)*$D$42</f>
        <v>0</v>
      </c>
      <c r="CR253" s="57"/>
      <c r="CS253" s="67" t="str">
        <f>Idiomas!$D$373</f>
        <v>Pegar Valores Cuadro de Honor</v>
      </c>
      <c r="CT253" s="66">
        <f>COUNTIF($M$253,CS253)*$D$42</f>
        <v>0</v>
      </c>
      <c r="CU253" s="57"/>
      <c r="CV253" s="67" t="str">
        <f>Idiomas!$D$373</f>
        <v>Pegar Valores Cuadro de Honor</v>
      </c>
      <c r="CW253" s="66">
        <f>COUNTIF($M$253,CV253)*$D$42</f>
        <v>0</v>
      </c>
      <c r="CX253" s="57"/>
      <c r="CY253" s="67" t="str">
        <f>Idiomas!$D$373</f>
        <v>Pegar Valores Cuadro de Honor</v>
      </c>
      <c r="CZ253" s="66">
        <f>COUNTIF($M$253,CY253)*$D$42</f>
        <v>0</v>
      </c>
      <c r="DA253" s="57"/>
      <c r="DB253" s="67" t="str">
        <f>Idiomas!$D$373</f>
        <v>Pegar Valores Cuadro de Honor</v>
      </c>
      <c r="DC253" s="66">
        <f>COUNTIF($M$253,DB253)*$D$42</f>
        <v>0</v>
      </c>
      <c r="DD253" s="57"/>
      <c r="DE253" s="67" t="str">
        <f>Idiomas!$D$373</f>
        <v>Pegar Valores Cuadro de Honor</v>
      </c>
      <c r="DF253" s="66">
        <f>COUNTIF($M$253,DE253)*$D$42</f>
        <v>0</v>
      </c>
      <c r="DG253" s="57"/>
      <c r="DH253" s="67" t="str">
        <f>Idiomas!$D$373</f>
        <v>Pegar Valores Cuadro de Honor</v>
      </c>
      <c r="DI253" s="66">
        <f>COUNTIF($M$253,DH253)*$D$42</f>
        <v>0</v>
      </c>
      <c r="DJ253" s="57"/>
      <c r="DK253" s="67" t="str">
        <f>Idiomas!$D$373</f>
        <v>Pegar Valores Cuadro de Honor</v>
      </c>
      <c r="DL253" s="66">
        <f>COUNTIF($M$253,DK253)*$D$42</f>
        <v>0</v>
      </c>
      <c r="DM253" s="57"/>
      <c r="DN253" s="67" t="str">
        <f>Idiomas!$D$373</f>
        <v>Pegar Valores Cuadro de Honor</v>
      </c>
      <c r="DO253" s="66">
        <f>COUNTIF($M$253,DN253)*$D$42</f>
        <v>0</v>
      </c>
      <c r="DP253" s="57"/>
      <c r="DQ253" s="67" t="str">
        <f>Idiomas!$D$373</f>
        <v>Pegar Valores Cuadro de Honor</v>
      </c>
      <c r="DR253" s="66">
        <f>COUNTIF($M$253,DQ253)*$D$42</f>
        <v>0</v>
      </c>
      <c r="DS253" s="57"/>
      <c r="DT253" s="67" t="str">
        <f>Idiomas!$D$373</f>
        <v>Pegar Valores Cuadro de Honor</v>
      </c>
      <c r="DU253" s="66">
        <f>COUNTIF($M$253,DT253)*$D$42</f>
        <v>0</v>
      </c>
      <c r="DV253" s="57"/>
      <c r="DW253" s="67" t="str">
        <f>Idiomas!$D$373</f>
        <v>Pegar Valores Cuadro de Honor</v>
      </c>
      <c r="DX253" s="66">
        <f>COUNTIF($M$253,DW253)*$D$42</f>
        <v>0</v>
      </c>
      <c r="DY253" s="57"/>
      <c r="DZ253" s="67" t="str">
        <f>Idiomas!$D$373</f>
        <v>Pegar Valores Cuadro de Honor</v>
      </c>
      <c r="EA253" s="66">
        <f>COUNTIF($M$253,DZ253)*$D$42</f>
        <v>0</v>
      </c>
      <c r="EB253" s="57"/>
      <c r="EC253" s="67" t="str">
        <f>Idiomas!$D$373</f>
        <v>Pegar Valores Cuadro de Honor</v>
      </c>
      <c r="ED253" s="66">
        <f>COUNTIF($M$253,EC253)*$D$42</f>
        <v>0</v>
      </c>
      <c r="EE253" s="57"/>
      <c r="EF253" s="67" t="str">
        <f>Idiomas!$D$373</f>
        <v>Pegar Valores Cuadro de Honor</v>
      </c>
      <c r="EG253" s="66">
        <f>COUNTIF($M$253,EF253)*$D$42</f>
        <v>0</v>
      </c>
      <c r="EH253" s="57"/>
      <c r="EI253" s="57"/>
    </row>
    <row r="254" spans="1:139" ht="15.95" customHeight="1">
      <c r="A254" s="711"/>
      <c r="B254" s="711"/>
      <c r="C254" s="805"/>
      <c r="D254" s="805"/>
      <c r="E254" s="805"/>
      <c r="F254" s="806">
        <f>D43</f>
        <v>20</v>
      </c>
      <c r="G254" s="806">
        <f ca="1">VLOOKUP(H254,Equipos!$Q$1:$R$25,2,0)</f>
        <v>24</v>
      </c>
      <c r="H254" s="800" t="str">
        <f>Idiomas!$D$264</f>
        <v>3-4 &amp; Final</v>
      </c>
      <c r="I254" s="800"/>
      <c r="J254" s="95"/>
      <c r="K254" s="49" t="str">
        <f>WORLDCUP!W155</f>
        <v>Bota de Oro  (máximo goleador)</v>
      </c>
      <c r="L254" s="46"/>
      <c r="M254" s="48" t="str">
        <f>WORLDCUP!AA155</f>
        <v>Escribe el jugador Bota de Oro</v>
      </c>
      <c r="N254" s="711"/>
      <c r="O254" s="711"/>
      <c r="P254" s="711"/>
      <c r="Q254" s="711"/>
      <c r="R254" s="711"/>
      <c r="S254" s="67" t="s">
        <v>1970</v>
      </c>
      <c r="T254" s="66">
        <f>Goleadores!K3</f>
        <v>0</v>
      </c>
      <c r="U254" s="57"/>
      <c r="V254" s="67" t="s">
        <v>1972</v>
      </c>
      <c r="W254" s="66">
        <f>Goleadores!K5</f>
        <v>0</v>
      </c>
      <c r="X254" s="57"/>
      <c r="Y254" s="67" t="s">
        <v>1975</v>
      </c>
      <c r="Z254" s="66">
        <f>Goleadores!K7</f>
        <v>0</v>
      </c>
      <c r="AA254" s="57"/>
      <c r="AB254" s="67" t="str">
        <f>Y255</f>
        <v>Julián Alvarez</v>
      </c>
      <c r="AC254" s="66">
        <f>Z255</f>
        <v>0</v>
      </c>
      <c r="AD254" s="57"/>
      <c r="AE254" s="67" t="str">
        <f>+Y253</f>
        <v>Mbappé</v>
      </c>
      <c r="AF254" s="66">
        <f>Z253</f>
        <v>0</v>
      </c>
      <c r="AG254" s="57"/>
      <c r="AH254" s="67" t="s">
        <v>1984</v>
      </c>
      <c r="AI254" s="66">
        <f>Goleadores!K11</f>
        <v>0</v>
      </c>
      <c r="AJ254" s="57"/>
      <c r="AK254" s="67" t="str">
        <f>Goleadores!B5</f>
        <v>Julián Alvarez</v>
      </c>
      <c r="AL254" s="66">
        <f>Goleadores!K5</f>
        <v>0</v>
      </c>
      <c r="AM254" s="57"/>
      <c r="AN254" s="67" t="str">
        <f>AK255</f>
        <v>Kane</v>
      </c>
      <c r="AO254" s="66">
        <f>AL255</f>
        <v>0</v>
      </c>
      <c r="AP254" s="57"/>
      <c r="AQ254" s="67" t="s">
        <v>1984</v>
      </c>
      <c r="AR254" s="66">
        <f>+Goleadores!K11</f>
        <v>0</v>
      </c>
      <c r="AS254" s="57"/>
      <c r="AT254" s="67" t="s">
        <v>1984</v>
      </c>
      <c r="AU254" s="66">
        <f>+AR254</f>
        <v>0</v>
      </c>
      <c r="AV254" s="57"/>
      <c r="AW254" s="67" t="str">
        <f>+Goleadores!L3</f>
        <v>Cristiano Ronaldo</v>
      </c>
      <c r="AX254" s="66">
        <f>+Goleadores!K3</f>
        <v>0</v>
      </c>
      <c r="AY254" s="57"/>
      <c r="AZ254" s="67" t="s">
        <v>1984</v>
      </c>
      <c r="BA254" s="66">
        <f>+AU254</f>
        <v>0</v>
      </c>
      <c r="BB254" s="57"/>
      <c r="BC254" s="67" t="s">
        <v>1983</v>
      </c>
      <c r="BD254" s="66">
        <f>+BA253</f>
        <v>0</v>
      </c>
      <c r="BE254" s="57"/>
      <c r="BF254" s="67" t="s">
        <v>1981</v>
      </c>
      <c r="BG254" s="66">
        <f>+AX255</f>
        <v>0</v>
      </c>
      <c r="BH254" s="57"/>
      <c r="BI254" s="67" t="s">
        <v>1971</v>
      </c>
      <c r="BJ254" s="66">
        <f>+Goleadores!K4</f>
        <v>0</v>
      </c>
      <c r="BK254" s="57"/>
      <c r="BL254" s="67" t="s">
        <v>1975</v>
      </c>
      <c r="BM254" s="66">
        <f>+Goleadores!K7</f>
        <v>0</v>
      </c>
      <c r="BN254" s="57"/>
      <c r="BO254" s="67" t="s">
        <v>2012</v>
      </c>
      <c r="BP254" s="66">
        <f>+Goleadores!K5</f>
        <v>0</v>
      </c>
      <c r="BQ254" s="57"/>
      <c r="BR254" s="67" t="s">
        <v>1984</v>
      </c>
      <c r="BS254" s="66">
        <f>+BP255</f>
        <v>0</v>
      </c>
      <c r="BT254" s="57"/>
      <c r="BU254" s="67"/>
      <c r="BV254" s="66">
        <f>COUNTIF($M$254,BU254)*$D$43</f>
        <v>0</v>
      </c>
      <c r="BW254" s="57"/>
      <c r="BX254" s="67"/>
      <c r="BY254" s="66">
        <f>COUNTIF($M$254,BX254)*$D$43</f>
        <v>0</v>
      </c>
      <c r="BZ254" s="57"/>
      <c r="CA254" s="67"/>
      <c r="CB254" s="66">
        <f>COUNTIF($M$254,CA254)*$D$43</f>
        <v>0</v>
      </c>
      <c r="CC254" s="57"/>
      <c r="CD254" s="67"/>
      <c r="CE254" s="66">
        <f>COUNTIF($M$254,CD254)*$D$43</f>
        <v>0</v>
      </c>
      <c r="CF254" s="57"/>
      <c r="CG254" s="67"/>
      <c r="CH254" s="66">
        <f>COUNTIF($M$254,CG254)*$D$43</f>
        <v>0</v>
      </c>
      <c r="CI254" s="57"/>
      <c r="CJ254" s="67"/>
      <c r="CK254" s="66">
        <f>COUNTIF($M$254,CJ254)*$D$43</f>
        <v>0</v>
      </c>
      <c r="CL254" s="57"/>
      <c r="CM254" s="67"/>
      <c r="CN254" s="66">
        <f>COUNTIF($M$254,CM254)*$D$43</f>
        <v>0</v>
      </c>
      <c r="CO254" s="57"/>
      <c r="CP254" s="67"/>
      <c r="CQ254" s="66">
        <f>COUNTIF($M$254,CP254)*$D$43</f>
        <v>0</v>
      </c>
      <c r="CR254" s="57"/>
      <c r="CS254" s="67"/>
      <c r="CT254" s="66">
        <f>COUNTIF($M$254,CS254)*$D$43</f>
        <v>0</v>
      </c>
      <c r="CU254" s="57"/>
      <c r="CV254" s="67"/>
      <c r="CW254" s="66">
        <f>COUNTIF($M$254,CV254)*$D$43</f>
        <v>0</v>
      </c>
      <c r="CX254" s="57"/>
      <c r="CY254" s="67"/>
      <c r="CZ254" s="66">
        <f>COUNTIF($M$254,CY254)*$D$43</f>
        <v>0</v>
      </c>
      <c r="DA254" s="57"/>
      <c r="DB254" s="67"/>
      <c r="DC254" s="66">
        <f>COUNTIF($M$254,DB254)*$D$43</f>
        <v>0</v>
      </c>
      <c r="DD254" s="57"/>
      <c r="DE254" s="67"/>
      <c r="DF254" s="66">
        <f>COUNTIF($M$254,DE254)*$D$43</f>
        <v>0</v>
      </c>
      <c r="DG254" s="57"/>
      <c r="DH254" s="67"/>
      <c r="DI254" s="66">
        <f>COUNTIF($M$254,DH254)*$D$43</f>
        <v>0</v>
      </c>
      <c r="DJ254" s="57"/>
      <c r="DK254" s="67"/>
      <c r="DL254" s="66">
        <f>COUNTIF($M$254,DK254)*$D$43</f>
        <v>0</v>
      </c>
      <c r="DM254" s="57"/>
      <c r="DN254" s="67"/>
      <c r="DO254" s="66">
        <f>COUNTIF($M$254,DN254)*$D$43</f>
        <v>0</v>
      </c>
      <c r="DP254" s="57"/>
      <c r="DQ254" s="67"/>
      <c r="DR254" s="66">
        <f>COUNTIF($M$254,DQ254)*$D$43</f>
        <v>0</v>
      </c>
      <c r="DS254" s="57"/>
      <c r="DT254" s="67"/>
      <c r="DU254" s="66">
        <f>COUNTIF($M$254,DT254)*$D$43</f>
        <v>0</v>
      </c>
      <c r="DV254" s="57"/>
      <c r="DW254" s="67"/>
      <c r="DX254" s="66">
        <f>COUNTIF($M$254,DW254)*$D$43</f>
        <v>0</v>
      </c>
      <c r="DY254" s="57"/>
      <c r="DZ254" s="67"/>
      <c r="EA254" s="66">
        <f>COUNTIF($M$254,DZ254)*$D$43</f>
        <v>0</v>
      </c>
      <c r="EB254" s="57"/>
      <c r="EC254" s="67"/>
      <c r="ED254" s="66">
        <f>COUNTIF($M$254,EC254)*$D$43</f>
        <v>0</v>
      </c>
      <c r="EE254" s="57"/>
      <c r="EF254" s="67"/>
      <c r="EG254" s="66">
        <f>COUNTIF($M$254,EF254)*$D$43</f>
        <v>0</v>
      </c>
      <c r="EH254" s="57"/>
      <c r="EI254" s="57"/>
    </row>
    <row r="255" spans="1:139" ht="15.95" customHeight="1">
      <c r="A255" s="711"/>
      <c r="B255" s="711"/>
      <c r="C255" s="805"/>
      <c r="D255" s="805"/>
      <c r="E255" s="805"/>
      <c r="F255" s="806">
        <f>D44</f>
        <v>20</v>
      </c>
      <c r="G255" s="806">
        <f ca="1">VLOOKUP(H255,Equipos!$Q$1:$R$25,2,0)</f>
        <v>24</v>
      </c>
      <c r="H255" s="800" t="str">
        <f>Idiomas!$D$264</f>
        <v>3-4 &amp; Final</v>
      </c>
      <c r="I255" s="800"/>
      <c r="J255" s="95"/>
      <c r="K255" s="49" t="str">
        <f>WORLDCUP!W156</f>
        <v>Bota de Oro  (máximo goleador)</v>
      </c>
      <c r="L255" s="46"/>
      <c r="M255" s="48" t="str">
        <f>WORLDCUP!AA156</f>
        <v>Escribe el jugador Bota de Oro</v>
      </c>
      <c r="N255" s="711"/>
      <c r="O255" s="711"/>
      <c r="P255" s="711"/>
      <c r="Q255" s="711"/>
      <c r="R255" s="711"/>
      <c r="S255" s="67" t="s">
        <v>1971</v>
      </c>
      <c r="T255" s="66">
        <f>Goleadores!K4</f>
        <v>0</v>
      </c>
      <c r="U255" s="57"/>
      <c r="V255" s="67" t="s">
        <v>1969</v>
      </c>
      <c r="W255" s="66">
        <f>Goleadores!K6</f>
        <v>0</v>
      </c>
      <c r="X255" s="57"/>
      <c r="Y255" s="67" t="str">
        <f>V254</f>
        <v>Julián Alvarez</v>
      </c>
      <c r="Z255" s="66">
        <f>W254</f>
        <v>0</v>
      </c>
      <c r="AA255" s="57"/>
      <c r="AB255" s="67" t="s">
        <v>1978</v>
      </c>
      <c r="AC255" s="66">
        <f>Goleadores!K9</f>
        <v>0</v>
      </c>
      <c r="AD255" s="57"/>
      <c r="AE255" s="67" t="str">
        <f>+Y254</f>
        <v>Oyarzabal</v>
      </c>
      <c r="AF255" s="66">
        <f>Z254</f>
        <v>0</v>
      </c>
      <c r="AG255" s="57"/>
      <c r="AH255" s="67" t="str">
        <f>S254</f>
        <v>Cristiano Ronaldo</v>
      </c>
      <c r="AI255" s="66">
        <f>Goleadores!K3</f>
        <v>0</v>
      </c>
      <c r="AJ255" s="57"/>
      <c r="AK255" s="67" t="str">
        <f>AH254</f>
        <v>Kane</v>
      </c>
      <c r="AL255" s="66">
        <f>AI254</f>
        <v>0</v>
      </c>
      <c r="AM255" s="57"/>
      <c r="AN255" s="67" t="s">
        <v>1981</v>
      </c>
      <c r="AO255" s="66">
        <f>AF253</f>
        <v>0</v>
      </c>
      <c r="AP255" s="57"/>
      <c r="AQ255" s="67" t="s">
        <v>1991</v>
      </c>
      <c r="AR255" s="66">
        <f>+Goleadores!K13</f>
        <v>0</v>
      </c>
      <c r="AS255" s="57"/>
      <c r="AT255" s="67" t="s">
        <v>1994</v>
      </c>
      <c r="AU255" s="66">
        <f>+Goleadores!K14</f>
        <v>0</v>
      </c>
      <c r="AV255" s="57"/>
      <c r="AW255" s="67" t="str">
        <f>+Goleadores!L10</f>
        <v>Messi</v>
      </c>
      <c r="AX255" s="66">
        <f>+Goleadores!K10</f>
        <v>0</v>
      </c>
      <c r="AY255" s="57"/>
      <c r="AZ255" s="67" t="s">
        <v>1975</v>
      </c>
      <c r="BA255" s="66">
        <f>+Goleadores!K7</f>
        <v>0</v>
      </c>
      <c r="BB255" s="57"/>
      <c r="BC255" s="67" t="s">
        <v>2001</v>
      </c>
      <c r="BD255" s="66">
        <f>+Goleadores!K15</f>
        <v>0</v>
      </c>
      <c r="BE255" s="57"/>
      <c r="BF255" s="67" t="s">
        <v>1975</v>
      </c>
      <c r="BG255" s="66">
        <f>+BA255</f>
        <v>0</v>
      </c>
      <c r="BH255" s="57"/>
      <c r="BI255" s="67" t="str">
        <f>+AZ254</f>
        <v>Kane</v>
      </c>
      <c r="BJ255" s="66">
        <f>+BA254</f>
        <v>0</v>
      </c>
      <c r="BK255" s="57"/>
      <c r="BL255" s="67" t="s">
        <v>1984</v>
      </c>
      <c r="BM255" s="66">
        <f>+BJ255</f>
        <v>0</v>
      </c>
      <c r="BN255" s="57"/>
      <c r="BO255" s="67" t="s">
        <v>1984</v>
      </c>
      <c r="BP255" s="66">
        <f>+BM255</f>
        <v>0</v>
      </c>
      <c r="BQ255" s="57"/>
      <c r="BR255" s="67" t="s">
        <v>2014</v>
      </c>
      <c r="BS255" s="66">
        <f>+Goleadores!K14</f>
        <v>0</v>
      </c>
      <c r="BT255" s="57"/>
      <c r="BU255" s="67"/>
      <c r="BV255" s="66">
        <f>COUNTIF($M$255,BU255)*$D$44</f>
        <v>0</v>
      </c>
      <c r="BW255" s="57"/>
      <c r="BX255" s="67"/>
      <c r="BY255" s="66">
        <f>COUNTIF($M$255,BX255)*$D$44</f>
        <v>0</v>
      </c>
      <c r="BZ255" s="57"/>
      <c r="CA255" s="67"/>
      <c r="CB255" s="66">
        <f>COUNTIF($M$255,CA255)*$D$44</f>
        <v>0</v>
      </c>
      <c r="CC255" s="57"/>
      <c r="CD255" s="67"/>
      <c r="CE255" s="66">
        <f>COUNTIF($M$255,CD255)*$D$44</f>
        <v>0</v>
      </c>
      <c r="CF255" s="57"/>
      <c r="CG255" s="67"/>
      <c r="CH255" s="66">
        <f>COUNTIF($M$255,CG255)*$D$44</f>
        <v>0</v>
      </c>
      <c r="CI255" s="57"/>
      <c r="CJ255" s="67"/>
      <c r="CK255" s="66">
        <f>COUNTIF($M$255,CJ255)*$D$44</f>
        <v>0</v>
      </c>
      <c r="CL255" s="57"/>
      <c r="CM255" s="67"/>
      <c r="CN255" s="66">
        <f>COUNTIF($M$255,CM255)*$D$44</f>
        <v>0</v>
      </c>
      <c r="CO255" s="57"/>
      <c r="CP255" s="67"/>
      <c r="CQ255" s="66">
        <f>COUNTIF($M$255,CP255)*$D$44</f>
        <v>0</v>
      </c>
      <c r="CR255" s="57"/>
      <c r="CS255" s="67"/>
      <c r="CT255" s="66">
        <f>COUNTIF($M$255,CS255)*$D$44</f>
        <v>0</v>
      </c>
      <c r="CU255" s="57"/>
      <c r="CV255" s="67"/>
      <c r="CW255" s="66">
        <f>COUNTIF($M$255,CV255)*$D$44</f>
        <v>0</v>
      </c>
      <c r="CX255" s="57"/>
      <c r="CY255" s="67"/>
      <c r="CZ255" s="66">
        <f>COUNTIF($M$255,CY255)*$D$44</f>
        <v>0</v>
      </c>
      <c r="DA255" s="57"/>
      <c r="DB255" s="67"/>
      <c r="DC255" s="66">
        <f>COUNTIF($M$255,DB255)*$D$44</f>
        <v>0</v>
      </c>
      <c r="DD255" s="57"/>
      <c r="DE255" s="67"/>
      <c r="DF255" s="66">
        <f>COUNTIF($M$255,DE255)*$D$44</f>
        <v>0</v>
      </c>
      <c r="DG255" s="57"/>
      <c r="DH255" s="67"/>
      <c r="DI255" s="66">
        <f>COUNTIF($M$255,DH255)*$D$44</f>
        <v>0</v>
      </c>
      <c r="DJ255" s="57"/>
      <c r="DK255" s="67"/>
      <c r="DL255" s="66">
        <f>COUNTIF($M$255,DK255)*$D$44</f>
        <v>0</v>
      </c>
      <c r="DM255" s="57"/>
      <c r="DN255" s="67"/>
      <c r="DO255" s="66">
        <f>COUNTIF($M$255,DN255)*$D$44</f>
        <v>0</v>
      </c>
      <c r="DP255" s="57"/>
      <c r="DQ255" s="67"/>
      <c r="DR255" s="66">
        <f>COUNTIF($M$255,DQ255)*$D$44</f>
        <v>0</v>
      </c>
      <c r="DS255" s="57"/>
      <c r="DT255" s="67"/>
      <c r="DU255" s="66">
        <f>COUNTIF($M$255,DT255)*$D$44</f>
        <v>0</v>
      </c>
      <c r="DV255" s="57"/>
      <c r="DW255" s="67"/>
      <c r="DX255" s="66">
        <f>COUNTIF($M$255,DW255)*$D$44</f>
        <v>0</v>
      </c>
      <c r="DY255" s="57"/>
      <c r="DZ255" s="67"/>
      <c r="EA255" s="66">
        <f>COUNTIF($M$255,DZ255)*$D$44</f>
        <v>0</v>
      </c>
      <c r="EB255" s="57"/>
      <c r="EC255" s="67"/>
      <c r="ED255" s="66">
        <f>COUNTIF($M$255,EC255)*$D$44</f>
        <v>0</v>
      </c>
      <c r="EE255" s="57"/>
      <c r="EF255" s="67"/>
      <c r="EG255" s="66">
        <f>COUNTIF($M$255,EF255)*$D$44</f>
        <v>0</v>
      </c>
      <c r="EH255" s="57"/>
      <c r="EI255" s="57"/>
    </row>
    <row r="256" spans="1:139" ht="15.95" customHeight="1">
      <c r="A256" s="711"/>
      <c r="B256" s="711"/>
      <c r="C256" s="805"/>
      <c r="D256" s="805"/>
      <c r="E256" s="805"/>
      <c r="F256" s="806">
        <f>D45</f>
        <v>20</v>
      </c>
      <c r="G256" s="806">
        <f ca="1">VLOOKUP(H256,Equipos!$Q$1:$R$25,2,0)</f>
        <v>24</v>
      </c>
      <c r="H256" s="800" t="str">
        <f>Idiomas!$D$264</f>
        <v>3-4 &amp; Final</v>
      </c>
      <c r="I256" s="800"/>
      <c r="J256" s="92"/>
      <c r="K256" s="49" t="str">
        <f>WORLDCUP!W158</f>
        <v>Equipo máximo goleador</v>
      </c>
      <c r="L256" s="46"/>
      <c r="M256" s="48" t="str">
        <f>WORLDCUP!AA158</f>
        <v>Escribe el equipo máximo goleador</v>
      </c>
      <c r="N256" s="711"/>
      <c r="O256" s="711"/>
      <c r="P256" s="711"/>
      <c r="Q256" s="711"/>
      <c r="R256" s="711"/>
      <c r="S256" s="67" t="s">
        <v>1258</v>
      </c>
      <c r="T256" s="66">
        <f>Goleadores!K27</f>
        <v>0</v>
      </c>
      <c r="U256" s="57"/>
      <c r="V256" s="67" t="s">
        <v>74</v>
      </c>
      <c r="W256" s="66">
        <f>T258</f>
        <v>0</v>
      </c>
      <c r="X256" s="57"/>
      <c r="Y256" s="67" t="s">
        <v>38</v>
      </c>
      <c r="Z256" s="66">
        <f>W258</f>
        <v>0</v>
      </c>
      <c r="AA256" s="57"/>
      <c r="AB256" s="67" t="s">
        <v>74</v>
      </c>
      <c r="AC256" s="66">
        <f>Goleadores!K41</f>
        <v>0</v>
      </c>
      <c r="AD256" s="57"/>
      <c r="AE256" s="67" t="s">
        <v>38</v>
      </c>
      <c r="AF256" s="66">
        <f>Z256</f>
        <v>0</v>
      </c>
      <c r="AG256" s="57"/>
      <c r="AH256" s="67" t="s">
        <v>38</v>
      </c>
      <c r="AI256" s="66">
        <f>AF256</f>
        <v>0</v>
      </c>
      <c r="AJ256" s="57"/>
      <c r="AK256" s="67" t="s">
        <v>1258</v>
      </c>
      <c r="AL256" s="66">
        <f>Goleadores!K27</f>
        <v>0</v>
      </c>
      <c r="AM256" s="57"/>
      <c r="AN256" s="67" t="s">
        <v>1258</v>
      </c>
      <c r="AO256" s="66">
        <f>AL256</f>
        <v>0</v>
      </c>
      <c r="AP256" s="57"/>
      <c r="AQ256" s="67" t="s">
        <v>38</v>
      </c>
      <c r="AR256" s="66">
        <f>+Goleadores!K39</f>
        <v>0</v>
      </c>
      <c r="AS256" s="57"/>
      <c r="AT256" s="67" t="s">
        <v>77</v>
      </c>
      <c r="AU256" s="66">
        <f>+AR258</f>
        <v>0</v>
      </c>
      <c r="AV256" s="57"/>
      <c r="AW256" s="67" t="s">
        <v>79</v>
      </c>
      <c r="AX256" s="66">
        <f>+Goleadores!K55</f>
        <v>0</v>
      </c>
      <c r="AY256" s="57"/>
      <c r="AZ256" s="67" t="s">
        <v>74</v>
      </c>
      <c r="BA256" s="66">
        <f>+AX257</f>
        <v>0</v>
      </c>
      <c r="BB256" s="57"/>
      <c r="BC256" s="67" t="s">
        <v>2002</v>
      </c>
      <c r="BD256" s="66">
        <f>+AX256</f>
        <v>0</v>
      </c>
      <c r="BE256" s="57"/>
      <c r="BF256" s="67" t="s">
        <v>1256</v>
      </c>
      <c r="BG256" s="66">
        <f>+Goleadores!K23</f>
        <v>0</v>
      </c>
      <c r="BH256" s="57"/>
      <c r="BI256" s="67" t="s">
        <v>74</v>
      </c>
      <c r="BJ256" s="66">
        <f>+BA256</f>
        <v>0</v>
      </c>
      <c r="BK256" s="57"/>
      <c r="BL256" s="67" t="s">
        <v>74</v>
      </c>
      <c r="BM256" s="66">
        <f>COUNTIF($M$256,BL256)*$D$45</f>
        <v>0</v>
      </c>
      <c r="BN256" s="57"/>
      <c r="BO256" s="67" t="s">
        <v>74</v>
      </c>
      <c r="BP256" s="66">
        <f>+BM256</f>
        <v>0</v>
      </c>
      <c r="BQ256" s="57"/>
      <c r="BR256" s="67" t="s">
        <v>38</v>
      </c>
      <c r="BS256" s="66">
        <f>+BP257</f>
        <v>0</v>
      </c>
      <c r="BT256" s="57"/>
      <c r="BU256" s="67"/>
      <c r="BV256" s="66">
        <f>COUNTIF($M$256,BU256)*$D$45</f>
        <v>0</v>
      </c>
      <c r="BW256" s="57"/>
      <c r="BX256" s="67"/>
      <c r="BY256" s="66">
        <f>COUNTIF($M$256,BX256)*$D$45</f>
        <v>0</v>
      </c>
      <c r="BZ256" s="57"/>
      <c r="CA256" s="67"/>
      <c r="CB256" s="66">
        <f>COUNTIF($M$256,CA256)*$D$45</f>
        <v>0</v>
      </c>
      <c r="CC256" s="57"/>
      <c r="CD256" s="67"/>
      <c r="CE256" s="66">
        <f>COUNTIF($M$256,CD256)*$D$45</f>
        <v>0</v>
      </c>
      <c r="CF256" s="57"/>
      <c r="CG256" s="67"/>
      <c r="CH256" s="66">
        <f>COUNTIF($M$256,CG256)*$D$45</f>
        <v>0</v>
      </c>
      <c r="CI256" s="57"/>
      <c r="CJ256" s="67"/>
      <c r="CK256" s="66">
        <f>COUNTIF($M$256,CJ256)*$D$45</f>
        <v>0</v>
      </c>
      <c r="CL256" s="57"/>
      <c r="CM256" s="67"/>
      <c r="CN256" s="66">
        <f>COUNTIF($M$256,CM256)*$D$45</f>
        <v>0</v>
      </c>
      <c r="CO256" s="57"/>
      <c r="CP256" s="67"/>
      <c r="CQ256" s="66">
        <f>COUNTIF($M$256,CP256)*$D$45</f>
        <v>0</v>
      </c>
      <c r="CR256" s="57"/>
      <c r="CS256" s="67"/>
      <c r="CT256" s="66">
        <f>COUNTIF($M$256,CS256)*$D$45</f>
        <v>0</v>
      </c>
      <c r="CU256" s="57"/>
      <c r="CV256" s="67"/>
      <c r="CW256" s="66">
        <f>COUNTIF($M$256,CV256)*$D$45</f>
        <v>0</v>
      </c>
      <c r="CX256" s="57"/>
      <c r="CY256" s="67"/>
      <c r="CZ256" s="66">
        <f>COUNTIF($M$256,CY256)*$D$45</f>
        <v>0</v>
      </c>
      <c r="DA256" s="57"/>
      <c r="DB256" s="67"/>
      <c r="DC256" s="66">
        <f>COUNTIF($M$256,DB256)*$D$45</f>
        <v>0</v>
      </c>
      <c r="DD256" s="57"/>
      <c r="DE256" s="67"/>
      <c r="DF256" s="66">
        <f>COUNTIF($M$256,DE256)*$D$45</f>
        <v>0</v>
      </c>
      <c r="DG256" s="57"/>
      <c r="DH256" s="67"/>
      <c r="DI256" s="66">
        <f>COUNTIF($M$256,DH256)*$D$45</f>
        <v>0</v>
      </c>
      <c r="DJ256" s="57"/>
      <c r="DK256" s="67"/>
      <c r="DL256" s="66">
        <f>COUNTIF($M$256,DK256)*$D$45</f>
        <v>0</v>
      </c>
      <c r="DM256" s="57"/>
      <c r="DN256" s="67"/>
      <c r="DO256" s="66">
        <f>COUNTIF($M$256,DN256)*$D$45</f>
        <v>0</v>
      </c>
      <c r="DP256" s="57"/>
      <c r="DQ256" s="67"/>
      <c r="DR256" s="66">
        <f>COUNTIF($M$256,DQ256)*$D$45</f>
        <v>0</v>
      </c>
      <c r="DS256" s="57"/>
      <c r="DT256" s="67"/>
      <c r="DU256" s="66">
        <f>COUNTIF($M$256,DT256)*$D$45</f>
        <v>0</v>
      </c>
      <c r="DV256" s="57"/>
      <c r="DW256" s="67"/>
      <c r="DX256" s="66">
        <f>COUNTIF($M$256,DW256)*$D$45</f>
        <v>0</v>
      </c>
      <c r="DY256" s="57"/>
      <c r="DZ256" s="67"/>
      <c r="EA256" s="66">
        <f>COUNTIF($M$256,DZ256)*$D$45</f>
        <v>0</v>
      </c>
      <c r="EB256" s="57"/>
      <c r="EC256" s="67"/>
      <c r="ED256" s="66">
        <f>COUNTIF($M$256,EC256)*$D$45</f>
        <v>0</v>
      </c>
      <c r="EE256" s="57"/>
      <c r="EF256" s="67"/>
      <c r="EG256" s="66">
        <f>COUNTIF($M$256,EF256)*$D$45</f>
        <v>0</v>
      </c>
      <c r="EH256" s="57"/>
      <c r="EI256" s="57"/>
    </row>
    <row r="257" spans="1:139" ht="15.95" customHeight="1">
      <c r="A257" s="711"/>
      <c r="B257" s="711"/>
      <c r="C257" s="805"/>
      <c r="D257" s="805"/>
      <c r="E257" s="805"/>
      <c r="F257" s="806">
        <f>D46</f>
        <v>20</v>
      </c>
      <c r="G257" s="806">
        <f ca="1">VLOOKUP(H257,Equipos!$Q$1:$R$25,2,0)</f>
        <v>24</v>
      </c>
      <c r="H257" s="800" t="str">
        <f>Idiomas!$D$264</f>
        <v>3-4 &amp; Final</v>
      </c>
      <c r="I257" s="800"/>
      <c r="J257" s="93"/>
      <c r="K257" s="49" t="str">
        <f>WORLDCUP!W159</f>
        <v>Equipo máximo goleador</v>
      </c>
      <c r="L257" s="46"/>
      <c r="M257" s="48" t="str">
        <f>WORLDCUP!AA159</f>
        <v>Escribe el equipo máximo goleador</v>
      </c>
      <c r="N257" s="711"/>
      <c r="O257" s="711"/>
      <c r="P257" s="711"/>
      <c r="Q257" s="711"/>
      <c r="R257" s="711"/>
      <c r="S257" s="67" t="s">
        <v>79</v>
      </c>
      <c r="T257" s="66">
        <f>Goleadores!K55</f>
        <v>0</v>
      </c>
      <c r="U257" s="57"/>
      <c r="V257" s="67" t="s">
        <v>1258</v>
      </c>
      <c r="W257" s="66">
        <f>T256</f>
        <v>0</v>
      </c>
      <c r="X257" s="57"/>
      <c r="Y257" s="67" t="s">
        <v>79</v>
      </c>
      <c r="Z257" s="66">
        <f>T257</f>
        <v>0</v>
      </c>
      <c r="AA257" s="57"/>
      <c r="AB257" s="67" t="s">
        <v>1256</v>
      </c>
      <c r="AC257" s="66">
        <f>Goleadores!K23</f>
        <v>0</v>
      </c>
      <c r="AD257" s="57"/>
      <c r="AE257" s="67" t="s">
        <v>1256</v>
      </c>
      <c r="AF257" s="66">
        <f>AC257</f>
        <v>0</v>
      </c>
      <c r="AG257" s="57"/>
      <c r="AH257" s="67" t="s">
        <v>79</v>
      </c>
      <c r="AI257" s="66">
        <f>Z257</f>
        <v>0</v>
      </c>
      <c r="AJ257" s="57"/>
      <c r="AK257" s="67" t="s">
        <v>38</v>
      </c>
      <c r="AL257" s="66">
        <f>AI256</f>
        <v>0</v>
      </c>
      <c r="AM257" s="57"/>
      <c r="AN257" s="67" t="s">
        <v>77</v>
      </c>
      <c r="AO257" s="66">
        <f>Goleadores!K20</f>
        <v>0</v>
      </c>
      <c r="AP257" s="57"/>
      <c r="AQ257" s="67" t="s">
        <v>110</v>
      </c>
      <c r="AR257" s="66">
        <f>+Goleadores!K26</f>
        <v>0</v>
      </c>
      <c r="AS257" s="57"/>
      <c r="AT257" s="67" t="s">
        <v>79</v>
      </c>
      <c r="AU257" s="66">
        <f>+AI257</f>
        <v>0</v>
      </c>
      <c r="AV257" s="57"/>
      <c r="AW257" s="67" t="s">
        <v>74</v>
      </c>
      <c r="AX257" s="66">
        <f>+Goleadores!K41</f>
        <v>0</v>
      </c>
      <c r="AY257" s="57"/>
      <c r="AZ257" s="67" t="s">
        <v>76</v>
      </c>
      <c r="BA257" s="66">
        <f>+Goleadores!K44</f>
        <v>0</v>
      </c>
      <c r="BB257" s="57"/>
      <c r="BC257" s="67" t="s">
        <v>1258</v>
      </c>
      <c r="BD257" s="66">
        <f>+Goleadores!K27</f>
        <v>0</v>
      </c>
      <c r="BE257" s="57"/>
      <c r="BF257" s="67" t="s">
        <v>38</v>
      </c>
      <c r="BG257" s="66">
        <f>+BA258</f>
        <v>0</v>
      </c>
      <c r="BH257" s="57"/>
      <c r="BI257" s="67" t="s">
        <v>38</v>
      </c>
      <c r="BJ257" s="66">
        <f>+BG257</f>
        <v>0</v>
      </c>
      <c r="BK257" s="57"/>
      <c r="BL257" s="67" t="s">
        <v>38</v>
      </c>
      <c r="BM257" s="66">
        <f>COUNTIF($M$257,BL257)*$D$46</f>
        <v>0</v>
      </c>
      <c r="BN257" s="57"/>
      <c r="BO257" s="67" t="s">
        <v>38</v>
      </c>
      <c r="BP257" s="66">
        <f>+BM257</f>
        <v>0</v>
      </c>
      <c r="BQ257" s="57"/>
      <c r="BR257" s="67" t="s">
        <v>74</v>
      </c>
      <c r="BS257" s="66">
        <f>+BP256</f>
        <v>0</v>
      </c>
      <c r="BT257" s="57"/>
      <c r="BU257" s="67"/>
      <c r="BV257" s="66">
        <f>COUNTIF($M$257,BU257)*$D$46</f>
        <v>0</v>
      </c>
      <c r="BW257" s="57"/>
      <c r="BX257" s="67"/>
      <c r="BY257" s="66">
        <f>COUNTIF($M$257,BX257)*$D$46</f>
        <v>0</v>
      </c>
      <c r="BZ257" s="57"/>
      <c r="CA257" s="67"/>
      <c r="CB257" s="66">
        <f>COUNTIF($M$257,CA257)*$D$46</f>
        <v>0</v>
      </c>
      <c r="CC257" s="57"/>
      <c r="CD257" s="67"/>
      <c r="CE257" s="66">
        <f>COUNTIF($M$257,CD257)*$D$46</f>
        <v>0</v>
      </c>
      <c r="CF257" s="57"/>
      <c r="CG257" s="67"/>
      <c r="CH257" s="66">
        <f>COUNTIF($M$257,CG257)*$D$46</f>
        <v>0</v>
      </c>
      <c r="CI257" s="57"/>
      <c r="CJ257" s="67"/>
      <c r="CK257" s="66">
        <f>COUNTIF($M$257,CJ257)*$D$46</f>
        <v>0</v>
      </c>
      <c r="CL257" s="57"/>
      <c r="CM257" s="67"/>
      <c r="CN257" s="66">
        <f>COUNTIF($M$257,CM257)*$D$46</f>
        <v>0</v>
      </c>
      <c r="CO257" s="57"/>
      <c r="CP257" s="67"/>
      <c r="CQ257" s="66">
        <f>COUNTIF($M$257,CP257)*$D$46</f>
        <v>0</v>
      </c>
      <c r="CR257" s="57"/>
      <c r="CS257" s="67"/>
      <c r="CT257" s="66">
        <f>COUNTIF($M$257,CS257)*$D$46</f>
        <v>0</v>
      </c>
      <c r="CU257" s="57"/>
      <c r="CV257" s="67"/>
      <c r="CW257" s="66">
        <f>COUNTIF($M$257,CV257)*$D$46</f>
        <v>0</v>
      </c>
      <c r="CX257" s="57"/>
      <c r="CY257" s="67"/>
      <c r="CZ257" s="66">
        <f>COUNTIF($M$257,CY257)*$D$46</f>
        <v>0</v>
      </c>
      <c r="DA257" s="57"/>
      <c r="DB257" s="67"/>
      <c r="DC257" s="66">
        <f>COUNTIF($M$257,DB257)*$D$46</f>
        <v>0</v>
      </c>
      <c r="DD257" s="57"/>
      <c r="DE257" s="67"/>
      <c r="DF257" s="66">
        <f>COUNTIF($M$257,DE257)*$D$46</f>
        <v>0</v>
      </c>
      <c r="DG257" s="57"/>
      <c r="DH257" s="67"/>
      <c r="DI257" s="66">
        <f>COUNTIF($M$257,DH257)*$D$46</f>
        <v>0</v>
      </c>
      <c r="DJ257" s="57"/>
      <c r="DK257" s="67"/>
      <c r="DL257" s="66">
        <f>COUNTIF($M$257,DK257)*$D$46</f>
        <v>0</v>
      </c>
      <c r="DM257" s="57"/>
      <c r="DN257" s="67"/>
      <c r="DO257" s="66">
        <f>COUNTIF($M$257,DN257)*$D$46</f>
        <v>0</v>
      </c>
      <c r="DP257" s="57"/>
      <c r="DQ257" s="67"/>
      <c r="DR257" s="66">
        <f>COUNTIF($M$257,DQ257)*$D$46</f>
        <v>0</v>
      </c>
      <c r="DS257" s="57"/>
      <c r="DT257" s="67"/>
      <c r="DU257" s="66">
        <f>COUNTIF($M$257,DT257)*$D$46</f>
        <v>0</v>
      </c>
      <c r="DV257" s="57"/>
      <c r="DW257" s="67"/>
      <c r="DX257" s="66">
        <f>COUNTIF($M$257,DW257)*$D$46</f>
        <v>0</v>
      </c>
      <c r="DY257" s="57"/>
      <c r="DZ257" s="67"/>
      <c r="EA257" s="66">
        <f>COUNTIF($M$257,DZ257)*$D$46</f>
        <v>0</v>
      </c>
      <c r="EB257" s="57"/>
      <c r="EC257" s="67"/>
      <c r="ED257" s="66">
        <f>COUNTIF($M$257,EC257)*$D$46</f>
        <v>0</v>
      </c>
      <c r="EE257" s="57"/>
      <c r="EF257" s="67"/>
      <c r="EG257" s="66">
        <f>COUNTIF($M$257,EF257)*$D$46</f>
        <v>0</v>
      </c>
      <c r="EH257" s="57"/>
      <c r="EI257" s="57"/>
    </row>
    <row r="258" spans="1:139" ht="15.95" customHeight="1">
      <c r="A258" s="711"/>
      <c r="B258" s="711"/>
      <c r="C258" s="805"/>
      <c r="D258" s="805"/>
      <c r="E258" s="805"/>
      <c r="F258" s="806">
        <f>D47</f>
        <v>20</v>
      </c>
      <c r="G258" s="806">
        <f ca="1">VLOOKUP(H258,Equipos!$Q$1:$R$25,2,0)</f>
        <v>24</v>
      </c>
      <c r="H258" s="800" t="str">
        <f>Idiomas!$D$264</f>
        <v>3-4 &amp; Final</v>
      </c>
      <c r="I258" s="800"/>
      <c r="J258" s="93"/>
      <c r="K258" s="107" t="str">
        <f>WORLDCUP!W160</f>
        <v>Equipo máximo goleador</v>
      </c>
      <c r="L258" s="107"/>
      <c r="M258" s="108" t="str">
        <f>WORLDCUP!AA160</f>
        <v>Escribe el equipo máximo goleador</v>
      </c>
      <c r="N258" s="711"/>
      <c r="O258" s="711"/>
      <c r="P258" s="711"/>
      <c r="Q258" s="711"/>
      <c r="R258" s="711"/>
      <c r="S258" s="73" t="s">
        <v>74</v>
      </c>
      <c r="T258" s="74">
        <f>Goleadores!K41</f>
        <v>0</v>
      </c>
      <c r="U258" s="57"/>
      <c r="V258" s="73" t="s">
        <v>38</v>
      </c>
      <c r="W258" s="74">
        <f>Goleadores!K39</f>
        <v>0</v>
      </c>
      <c r="X258" s="57"/>
      <c r="Y258" s="73" t="s">
        <v>1258</v>
      </c>
      <c r="Z258" s="74">
        <f>W257</f>
        <v>0</v>
      </c>
      <c r="AA258" s="57"/>
      <c r="AB258" s="73" t="s">
        <v>110</v>
      </c>
      <c r="AC258" s="74">
        <f>Goleadores!K26</f>
        <v>0</v>
      </c>
      <c r="AD258" s="57"/>
      <c r="AE258" s="73" t="s">
        <v>74</v>
      </c>
      <c r="AF258" s="74">
        <f>AC256</f>
        <v>0</v>
      </c>
      <c r="AG258" s="57"/>
      <c r="AH258" s="73" t="s">
        <v>76</v>
      </c>
      <c r="AI258" s="74">
        <f>Goleadores!K44</f>
        <v>0</v>
      </c>
      <c r="AJ258" s="57"/>
      <c r="AK258" s="73" t="s">
        <v>74</v>
      </c>
      <c r="AL258" s="74">
        <f>AF258</f>
        <v>0</v>
      </c>
      <c r="AM258" s="57"/>
      <c r="AN258" s="73" t="s">
        <v>38</v>
      </c>
      <c r="AO258" s="74">
        <f>AL257</f>
        <v>0</v>
      </c>
      <c r="AP258" s="57"/>
      <c r="AQ258" s="73" t="s">
        <v>77</v>
      </c>
      <c r="AR258" s="74">
        <f>+Goleadores!K20</f>
        <v>0</v>
      </c>
      <c r="AS258" s="57"/>
      <c r="AT258" s="73" t="s">
        <v>38</v>
      </c>
      <c r="AU258" s="74">
        <f>+AR256</f>
        <v>0</v>
      </c>
      <c r="AV258" s="57"/>
      <c r="AW258" s="73" t="s">
        <v>38</v>
      </c>
      <c r="AX258" s="74">
        <f>+Goleadores!K39</f>
        <v>0</v>
      </c>
      <c r="AY258" s="57"/>
      <c r="AZ258" s="73" t="s">
        <v>38</v>
      </c>
      <c r="BA258" s="74">
        <f>+AX258</f>
        <v>0</v>
      </c>
      <c r="BB258" s="57"/>
      <c r="BC258" s="73" t="s">
        <v>77</v>
      </c>
      <c r="BD258" s="74">
        <f>+Goleadores!K20</f>
        <v>0</v>
      </c>
      <c r="BE258" s="57"/>
      <c r="BF258" s="73" t="s">
        <v>79</v>
      </c>
      <c r="BG258" s="74">
        <f>+BD256</f>
        <v>0</v>
      </c>
      <c r="BH258" s="57"/>
      <c r="BI258" s="73" t="s">
        <v>1258</v>
      </c>
      <c r="BJ258" s="74">
        <f>+BD257</f>
        <v>0</v>
      </c>
      <c r="BK258" s="57"/>
      <c r="BL258" s="73" t="s">
        <v>76</v>
      </c>
      <c r="BM258" s="74">
        <f>COUNTIF($M$258,BL258)*$D$47</f>
        <v>0</v>
      </c>
      <c r="BN258" s="57"/>
      <c r="BO258" s="73" t="s">
        <v>1258</v>
      </c>
      <c r="BP258" s="74">
        <f>+Goleadores!K27</f>
        <v>0</v>
      </c>
      <c r="BQ258" s="57"/>
      <c r="BR258" s="73" t="s">
        <v>76</v>
      </c>
      <c r="BS258" s="74">
        <f>+BM258</f>
        <v>0</v>
      </c>
      <c r="BT258" s="57"/>
      <c r="BU258" s="73"/>
      <c r="BV258" s="74">
        <f>COUNTIF($M$258,BU258)*$D$47</f>
        <v>0</v>
      </c>
      <c r="BW258" s="57"/>
      <c r="BX258" s="73"/>
      <c r="BY258" s="74">
        <f>COUNTIF($M$258,BX258)*$D$47</f>
        <v>0</v>
      </c>
      <c r="BZ258" s="57"/>
      <c r="CA258" s="73"/>
      <c r="CB258" s="74">
        <f>COUNTIF($M$258,CA258)*$D$47</f>
        <v>0</v>
      </c>
      <c r="CC258" s="57"/>
      <c r="CD258" s="73"/>
      <c r="CE258" s="74">
        <f>COUNTIF($M$258,CD258)*$D$47</f>
        <v>0</v>
      </c>
      <c r="CF258" s="57"/>
      <c r="CG258" s="73"/>
      <c r="CH258" s="74">
        <f>COUNTIF($M$258,CG258)*$D$47</f>
        <v>0</v>
      </c>
      <c r="CI258" s="57"/>
      <c r="CJ258" s="73"/>
      <c r="CK258" s="74">
        <f>COUNTIF($M$258,CJ258)*$D$47</f>
        <v>0</v>
      </c>
      <c r="CL258" s="57"/>
      <c r="CM258" s="73"/>
      <c r="CN258" s="74">
        <f>COUNTIF($M$258,CM258)*$D$47</f>
        <v>0</v>
      </c>
      <c r="CO258" s="57"/>
      <c r="CP258" s="73"/>
      <c r="CQ258" s="74">
        <f>COUNTIF($M$258,CP258)*$D$47</f>
        <v>0</v>
      </c>
      <c r="CR258" s="57"/>
      <c r="CS258" s="73"/>
      <c r="CT258" s="74">
        <f>COUNTIF($M$258,CS258)*$D$47</f>
        <v>0</v>
      </c>
      <c r="CU258" s="57"/>
      <c r="CV258" s="73"/>
      <c r="CW258" s="74">
        <f>COUNTIF($M$258,CV258)*$D$47</f>
        <v>0</v>
      </c>
      <c r="CX258" s="57"/>
      <c r="CY258" s="73"/>
      <c r="CZ258" s="74">
        <f>COUNTIF($M$258,CY258)*$D$47</f>
        <v>0</v>
      </c>
      <c r="DA258" s="57"/>
      <c r="DB258" s="73"/>
      <c r="DC258" s="74">
        <f>COUNTIF($M$258,DB258)*$D$47</f>
        <v>0</v>
      </c>
      <c r="DD258" s="57"/>
      <c r="DE258" s="73"/>
      <c r="DF258" s="74">
        <f>COUNTIF($M$258,DE258)*$D$47</f>
        <v>0</v>
      </c>
      <c r="DG258" s="57"/>
      <c r="DH258" s="73"/>
      <c r="DI258" s="74">
        <f>COUNTIF($M$258,DH258)*$D$47</f>
        <v>0</v>
      </c>
      <c r="DJ258" s="57"/>
      <c r="DK258" s="73"/>
      <c r="DL258" s="74">
        <f>COUNTIF($M$258,DK258)*$D$47</f>
        <v>0</v>
      </c>
      <c r="DM258" s="57"/>
      <c r="DN258" s="73"/>
      <c r="DO258" s="74">
        <f>COUNTIF($M$258,DN258)*$D$47</f>
        <v>0</v>
      </c>
      <c r="DP258" s="57"/>
      <c r="DQ258" s="73"/>
      <c r="DR258" s="74">
        <f>COUNTIF($M$258,DQ258)*$D$47</f>
        <v>0</v>
      </c>
      <c r="DS258" s="57"/>
      <c r="DT258" s="73"/>
      <c r="DU258" s="74">
        <f>COUNTIF($M$258,DT258)*$D$47</f>
        <v>0</v>
      </c>
      <c r="DV258" s="57"/>
      <c r="DW258" s="73"/>
      <c r="DX258" s="74">
        <f>COUNTIF($M$258,DW258)*$D$47</f>
        <v>0</v>
      </c>
      <c r="DY258" s="57"/>
      <c r="DZ258" s="73"/>
      <c r="EA258" s="74">
        <f>COUNTIF($M$258,DZ258)*$D$47</f>
        <v>0</v>
      </c>
      <c r="EB258" s="57"/>
      <c r="EC258" s="73"/>
      <c r="ED258" s="74">
        <f>COUNTIF($M$258,EC258)*$D$47</f>
        <v>0</v>
      </c>
      <c r="EE258" s="57"/>
      <c r="EF258" s="73"/>
      <c r="EG258" s="74">
        <f>COUNTIF($M$258,EF258)*$D$47</f>
        <v>0</v>
      </c>
      <c r="EH258" s="57"/>
      <c r="EI258" s="57"/>
    </row>
    <row r="259" spans="1:139">
      <c r="A259" s="43"/>
      <c r="B259" s="43"/>
      <c r="C259" s="800"/>
      <c r="D259" s="800"/>
      <c r="E259" s="800"/>
      <c r="F259" s="801"/>
      <c r="G259" s="802"/>
      <c r="H259" s="800"/>
      <c r="I259" s="800"/>
      <c r="J259" s="86"/>
      <c r="K259" s="416" t="str">
        <f>Idiomas!D469</f>
        <v xml:space="preserve">Cuadro de Honor </v>
      </c>
      <c r="L259" s="417"/>
      <c r="M259" s="416" t="str">
        <f>"Max: "&amp;SUM($D$39:$D$47)</f>
        <v>Max: 180</v>
      </c>
      <c r="N259" s="772"/>
      <c r="O259" s="772"/>
      <c r="P259" s="772"/>
      <c r="Q259" s="772"/>
      <c r="R259" s="772"/>
      <c r="S259" s="64"/>
      <c r="T259" s="64">
        <f>SUM(T250:T258)</f>
        <v>0</v>
      </c>
      <c r="U259" s="58"/>
      <c r="V259" s="64"/>
      <c r="W259" s="64">
        <f>SUM(W250:W258)</f>
        <v>0</v>
      </c>
      <c r="X259" s="58"/>
      <c r="Y259" s="64"/>
      <c r="Z259" s="64">
        <f>SUM(Z250:Z258)</f>
        <v>0</v>
      </c>
      <c r="AA259" s="58"/>
      <c r="AB259" s="64"/>
      <c r="AC259" s="64">
        <f>SUM(AC250:AC258)</f>
        <v>0</v>
      </c>
      <c r="AD259" s="58"/>
      <c r="AE259" s="64"/>
      <c r="AF259" s="64">
        <f>SUM(AF250:AF258)</f>
        <v>0</v>
      </c>
      <c r="AG259" s="58"/>
      <c r="AH259" s="64"/>
      <c r="AI259" s="64">
        <f>SUM(AI250:AI258)</f>
        <v>0</v>
      </c>
      <c r="AJ259" s="58"/>
      <c r="AK259" s="64"/>
      <c r="AL259" s="64">
        <f>SUM(AL250:AL258)</f>
        <v>0</v>
      </c>
      <c r="AM259" s="58"/>
      <c r="AN259" s="64"/>
      <c r="AO259" s="64">
        <f>SUM(AO250:AO258)</f>
        <v>0</v>
      </c>
      <c r="AP259" s="58"/>
      <c r="AQ259" s="64"/>
      <c r="AR259" s="64">
        <f>SUM(AR250:AR258)</f>
        <v>0</v>
      </c>
      <c r="AS259" s="58"/>
      <c r="AT259" s="64"/>
      <c r="AU259" s="64">
        <f>SUM(AU250:AU258)</f>
        <v>0</v>
      </c>
      <c r="AV259" s="58"/>
      <c r="AW259" s="64"/>
      <c r="AX259" s="64">
        <f>SUM(AX250:AX258)</f>
        <v>0</v>
      </c>
      <c r="AY259" s="58"/>
      <c r="AZ259" s="64"/>
      <c r="BA259" s="64">
        <f>SUM(BA250:BA258)</f>
        <v>0</v>
      </c>
      <c r="BB259" s="58"/>
      <c r="BC259" s="64"/>
      <c r="BD259" s="64">
        <f>SUM(BD250:BD258)</f>
        <v>0</v>
      </c>
      <c r="BE259" s="58"/>
      <c r="BF259" s="64"/>
      <c r="BG259" s="64">
        <f>SUM(BG250:BG258)</f>
        <v>0</v>
      </c>
      <c r="BH259" s="58"/>
      <c r="BI259" s="64"/>
      <c r="BJ259" s="64">
        <f>SUM(BJ250:BJ258)</f>
        <v>0</v>
      </c>
      <c r="BK259" s="58"/>
      <c r="BL259" s="64"/>
      <c r="BM259" s="64">
        <f>SUM(BM250:BM258)</f>
        <v>0</v>
      </c>
      <c r="BN259" s="58"/>
      <c r="BO259" s="64"/>
      <c r="BP259" s="64">
        <f>SUM(BP250:BP258)</f>
        <v>0</v>
      </c>
      <c r="BQ259" s="58"/>
      <c r="BR259" s="64"/>
      <c r="BS259" s="64">
        <f>SUM(BS250:BS258)</f>
        <v>0</v>
      </c>
      <c r="BT259" s="58"/>
      <c r="BU259" s="64"/>
      <c r="BV259" s="64">
        <f>SUM(BV250:BV258)</f>
        <v>0</v>
      </c>
      <c r="BW259" s="58"/>
      <c r="BX259" s="64"/>
      <c r="BY259" s="64">
        <f>SUM(BY250:BY258)</f>
        <v>0</v>
      </c>
      <c r="BZ259" s="58"/>
      <c r="CA259" s="64"/>
      <c r="CB259" s="64">
        <f>SUM(CB250:CB258)</f>
        <v>0</v>
      </c>
      <c r="CC259" s="58"/>
      <c r="CD259" s="64"/>
      <c r="CE259" s="64">
        <f>SUM(CE250:CE258)</f>
        <v>0</v>
      </c>
      <c r="CF259" s="58"/>
      <c r="CG259" s="64"/>
      <c r="CH259" s="64">
        <f>SUM(CH250:CH258)</f>
        <v>0</v>
      </c>
      <c r="CI259" s="58"/>
      <c r="CJ259" s="64"/>
      <c r="CK259" s="64">
        <f>SUM(CK250:CK258)</f>
        <v>0</v>
      </c>
      <c r="CL259" s="58"/>
      <c r="CM259" s="64"/>
      <c r="CN259" s="64">
        <f>SUM(CN250:CN258)</f>
        <v>0</v>
      </c>
      <c r="CO259" s="58"/>
      <c r="CP259" s="64"/>
      <c r="CQ259" s="64">
        <f>SUM(CQ250:CQ258)</f>
        <v>0</v>
      </c>
      <c r="CR259" s="58"/>
      <c r="CS259" s="64"/>
      <c r="CT259" s="64">
        <f>SUM(CT250:CT258)</f>
        <v>0</v>
      </c>
      <c r="CU259" s="58"/>
      <c r="CV259" s="64"/>
      <c r="CW259" s="64">
        <f>SUM(CW250:CW258)</f>
        <v>0</v>
      </c>
      <c r="CX259" s="58"/>
      <c r="CY259" s="64"/>
      <c r="CZ259" s="64">
        <f>SUM(CZ250:CZ258)</f>
        <v>0</v>
      </c>
      <c r="DA259" s="58"/>
      <c r="DB259" s="64"/>
      <c r="DC259" s="64">
        <f>SUM(DC250:DC258)</f>
        <v>0</v>
      </c>
      <c r="DD259" s="58"/>
      <c r="DE259" s="64"/>
      <c r="DF259" s="64">
        <f>SUM(DF250:DF258)</f>
        <v>0</v>
      </c>
      <c r="DG259" s="58"/>
      <c r="DH259" s="64"/>
      <c r="DI259" s="64">
        <f>SUM(DI250:DI258)</f>
        <v>0</v>
      </c>
      <c r="DJ259" s="58"/>
      <c r="DK259" s="64"/>
      <c r="DL259" s="64">
        <f>SUM(DL250:DL258)</f>
        <v>0</v>
      </c>
      <c r="DM259" s="58"/>
      <c r="DN259" s="64"/>
      <c r="DO259" s="64">
        <f>SUM(DO250:DO258)</f>
        <v>0</v>
      </c>
      <c r="DP259" s="58"/>
      <c r="DQ259" s="64"/>
      <c r="DR259" s="64">
        <f>SUM(DR250:DR258)</f>
        <v>0</v>
      </c>
      <c r="DS259" s="58"/>
      <c r="DT259" s="64"/>
      <c r="DU259" s="64">
        <f>SUM(DU250:DU258)</f>
        <v>0</v>
      </c>
      <c r="DV259" s="58"/>
      <c r="DW259" s="64"/>
      <c r="DX259" s="64">
        <f>SUM(DX250:DX258)</f>
        <v>0</v>
      </c>
      <c r="DY259" s="58"/>
      <c r="DZ259" s="64"/>
      <c r="EA259" s="64">
        <f>SUM(EA250:EA258)</f>
        <v>0</v>
      </c>
      <c r="EB259" s="58"/>
      <c r="EC259" s="64"/>
      <c r="ED259" s="64">
        <f>SUM(ED250:ED258)</f>
        <v>0</v>
      </c>
      <c r="EE259" s="58"/>
      <c r="EF259" s="64"/>
      <c r="EG259" s="64">
        <f>SUM(EG250:EG258)</f>
        <v>0</v>
      </c>
      <c r="EH259" s="58"/>
      <c r="EI259" s="58"/>
    </row>
    <row r="260" spans="1:139">
      <c r="A260" s="43"/>
      <c r="B260" s="43"/>
      <c r="C260" s="800"/>
      <c r="D260" s="800"/>
      <c r="E260" s="800"/>
      <c r="F260" s="801"/>
      <c r="G260" s="800"/>
      <c r="H260" s="800"/>
      <c r="I260" s="800"/>
      <c r="J260" s="86"/>
      <c r="K260" s="64"/>
      <c r="L260" s="44"/>
      <c r="M260" s="64"/>
      <c r="N260" s="711"/>
      <c r="O260" s="711"/>
      <c r="P260" s="711"/>
      <c r="Q260" s="711"/>
      <c r="R260" s="711"/>
      <c r="S260" s="64"/>
      <c r="T260" s="64"/>
      <c r="U260" s="58"/>
      <c r="V260" s="64"/>
      <c r="W260" s="64"/>
      <c r="X260" s="58"/>
      <c r="Y260" s="64"/>
      <c r="Z260" s="64"/>
      <c r="AA260" s="58"/>
      <c r="AB260" s="64"/>
      <c r="AC260" s="64"/>
      <c r="AD260" s="58"/>
      <c r="AE260" s="64"/>
      <c r="AF260" s="64"/>
      <c r="AG260" s="58"/>
      <c r="AH260" s="64"/>
      <c r="AI260" s="64"/>
      <c r="AJ260" s="58"/>
      <c r="AK260" s="64"/>
      <c r="AL260" s="64"/>
      <c r="AM260" s="58"/>
      <c r="AN260" s="64"/>
      <c r="AO260" s="64"/>
      <c r="AP260" s="58"/>
      <c r="AQ260" s="64"/>
      <c r="AR260" s="64"/>
      <c r="AS260" s="58"/>
      <c r="AT260" s="64"/>
      <c r="AU260" s="64"/>
      <c r="AV260" s="58"/>
      <c r="AW260" s="64"/>
      <c r="AX260" s="64"/>
      <c r="AY260" s="58"/>
      <c r="AZ260" s="64"/>
      <c r="BA260" s="64"/>
      <c r="BB260" s="58"/>
      <c r="BC260" s="64"/>
      <c r="BD260" s="64"/>
      <c r="BE260" s="58"/>
      <c r="BF260" s="64"/>
      <c r="BG260" s="64"/>
      <c r="BH260" s="58"/>
      <c r="BI260" s="64"/>
      <c r="BJ260" s="64"/>
      <c r="BK260" s="58"/>
      <c r="BL260" s="64"/>
      <c r="BM260" s="64"/>
      <c r="BN260" s="58"/>
      <c r="BO260" s="64"/>
      <c r="BP260" s="64"/>
      <c r="BQ260" s="58"/>
      <c r="BR260" s="64"/>
      <c r="BS260" s="64"/>
      <c r="BT260" s="58"/>
      <c r="BU260" s="64"/>
      <c r="BV260" s="64"/>
      <c r="BW260" s="58"/>
      <c r="BX260" s="64"/>
      <c r="BY260" s="64"/>
      <c r="BZ260" s="58"/>
      <c r="CA260" s="64"/>
      <c r="CB260" s="64"/>
      <c r="CC260" s="58"/>
      <c r="CD260" s="64"/>
      <c r="CE260" s="64"/>
      <c r="CF260" s="58"/>
      <c r="CG260" s="64"/>
      <c r="CH260" s="64"/>
      <c r="CI260" s="58"/>
      <c r="CJ260" s="64"/>
      <c r="CK260" s="64"/>
      <c r="CL260" s="58"/>
      <c r="CM260" s="64"/>
      <c r="CN260" s="64"/>
      <c r="CO260" s="58"/>
      <c r="CP260" s="64"/>
      <c r="CQ260" s="64"/>
      <c r="CR260" s="58"/>
      <c r="CS260" s="64"/>
      <c r="CT260" s="64"/>
      <c r="CU260" s="58"/>
      <c r="CV260" s="64"/>
      <c r="CW260" s="64"/>
      <c r="CX260" s="58"/>
      <c r="CY260" s="64"/>
      <c r="CZ260" s="64"/>
      <c r="DA260" s="58"/>
      <c r="DB260" s="64"/>
      <c r="DC260" s="64"/>
      <c r="DD260" s="58"/>
      <c r="DE260" s="64"/>
      <c r="DF260" s="64"/>
      <c r="DG260" s="58"/>
      <c r="DH260" s="64"/>
      <c r="DI260" s="64"/>
      <c r="DJ260" s="58"/>
      <c r="DK260" s="64"/>
      <c r="DL260" s="64"/>
      <c r="DM260" s="58"/>
      <c r="DN260" s="64"/>
      <c r="DO260" s="64"/>
      <c r="DP260" s="58"/>
      <c r="DQ260" s="64"/>
      <c r="DR260" s="64"/>
      <c r="DS260" s="58"/>
      <c r="DT260" s="64"/>
      <c r="DU260" s="64"/>
      <c r="DV260" s="58"/>
      <c r="DW260" s="64"/>
      <c r="DX260" s="64"/>
      <c r="DY260" s="58"/>
      <c r="DZ260" s="64"/>
      <c r="EA260" s="64"/>
      <c r="EB260" s="58"/>
      <c r="EC260" s="64"/>
      <c r="ED260" s="64"/>
      <c r="EE260" s="58"/>
      <c r="EF260" s="64"/>
      <c r="EG260" s="64"/>
      <c r="EH260" s="58"/>
      <c r="EI260" s="58"/>
    </row>
    <row r="261" spans="1:139" customFormat="1">
      <c r="A261" s="711"/>
      <c r="B261" s="711"/>
      <c r="C261" s="805"/>
      <c r="D261" s="805"/>
      <c r="E261" s="805"/>
      <c r="F261" s="805"/>
      <c r="G261" s="805"/>
      <c r="H261" s="805"/>
      <c r="I261" s="805"/>
      <c r="J261" s="13"/>
      <c r="K261" s="13"/>
      <c r="L261" s="13"/>
      <c r="M261" s="13"/>
      <c r="N261" s="711"/>
      <c r="O261" s="711"/>
      <c r="P261" s="711"/>
      <c r="Q261" s="711"/>
      <c r="R261" s="711"/>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c r="BZ261" s="13"/>
      <c r="CA261" s="13"/>
      <c r="CB261" s="13"/>
      <c r="CC261" s="13"/>
      <c r="CD261" s="13"/>
      <c r="CE261" s="13"/>
      <c r="CF261" s="13"/>
      <c r="CG261" s="13"/>
      <c r="CH261" s="13"/>
      <c r="CI261" s="13"/>
      <c r="CJ261" s="13"/>
      <c r="CK261" s="13"/>
      <c r="CL261" s="13"/>
      <c r="CM261" s="13"/>
      <c r="CN261" s="13"/>
      <c r="CO261" s="13"/>
      <c r="CP261" s="13"/>
      <c r="CQ261" s="13"/>
      <c r="CR261" s="13"/>
      <c r="CS261" s="13"/>
      <c r="CT261" s="13"/>
      <c r="CU261" s="13"/>
      <c r="CV261" s="13"/>
      <c r="CW261" s="13"/>
      <c r="CX261" s="13"/>
      <c r="CY261" s="13"/>
      <c r="CZ261" s="13"/>
      <c r="DA261" s="13"/>
      <c r="DB261" s="13"/>
      <c r="DC261" s="13"/>
      <c r="DD261" s="13"/>
      <c r="DE261" s="13"/>
      <c r="DF261" s="13"/>
      <c r="DG261" s="13"/>
      <c r="DH261" s="13"/>
      <c r="DI261" s="13"/>
      <c r="DJ261" s="13"/>
      <c r="DK261" s="13"/>
      <c r="DL261" s="13"/>
      <c r="DM261" s="13"/>
      <c r="DN261" s="13"/>
      <c r="DO261" s="13"/>
      <c r="DP261" s="13"/>
      <c r="DQ261" s="13"/>
      <c r="DR261" s="13"/>
      <c r="DS261" s="13"/>
      <c r="DT261" s="13"/>
      <c r="DU261" s="13"/>
      <c r="DV261" s="13"/>
      <c r="DW261" s="13"/>
      <c r="DX261" s="13"/>
      <c r="DY261" s="13"/>
      <c r="DZ261" s="13"/>
      <c r="EA261" s="13"/>
      <c r="EB261" s="13"/>
      <c r="EC261" s="13"/>
      <c r="ED261" s="13"/>
      <c r="EE261" s="13"/>
      <c r="EF261" s="13"/>
      <c r="EG261" s="13"/>
      <c r="EH261" s="13"/>
      <c r="EI261" s="13"/>
    </row>
    <row r="262" spans="1:139" customFormat="1">
      <c r="A262" s="711"/>
      <c r="B262" s="711"/>
      <c r="C262" s="805"/>
      <c r="D262" s="805"/>
      <c r="E262" s="805"/>
      <c r="F262" s="805"/>
      <c r="G262" s="805"/>
      <c r="H262" s="805"/>
      <c r="I262" s="805"/>
      <c r="J262" s="21" t="s">
        <v>1701</v>
      </c>
      <c r="K262" s="21"/>
      <c r="L262" s="21"/>
      <c r="M262" s="21">
        <f>DailyClas!I1</f>
        <v>46186</v>
      </c>
      <c r="N262" s="711"/>
      <c r="O262" s="711"/>
      <c r="P262" s="711"/>
      <c r="Q262" s="711"/>
      <c r="R262" s="711"/>
      <c r="S262" s="21"/>
      <c r="T262" s="21"/>
      <c r="U262" s="21"/>
      <c r="V262" s="21"/>
      <c r="W262" s="21"/>
      <c r="X262" s="21"/>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AV262" s="21"/>
      <c r="AW262" s="21"/>
      <c r="AX262" s="21"/>
      <c r="AY262" s="21"/>
      <c r="AZ262" s="21"/>
      <c r="BA262" s="21"/>
      <c r="BB262" s="21"/>
      <c r="BC262" s="21"/>
      <c r="BD262" s="21"/>
      <c r="BE262" s="21"/>
      <c r="BF262" s="21"/>
      <c r="BG262" s="21"/>
      <c r="BH262" s="21"/>
      <c r="BI262" s="21"/>
      <c r="BJ262" s="21"/>
      <c r="BK262" s="21"/>
      <c r="BL262" s="21"/>
      <c r="BM262" s="21"/>
      <c r="BN262" s="21"/>
      <c r="BO262" s="21"/>
      <c r="BP262" s="21"/>
      <c r="BQ262" s="21"/>
      <c r="BR262" s="21"/>
      <c r="BS262" s="21"/>
      <c r="BT262" s="21"/>
      <c r="BU262" s="21"/>
      <c r="BV262" s="21"/>
      <c r="BW262" s="21"/>
      <c r="BX262" s="21"/>
      <c r="BY262" s="21"/>
      <c r="BZ262" s="21"/>
      <c r="CA262" s="21"/>
      <c r="CB262" s="21"/>
      <c r="CC262" s="21"/>
      <c r="CD262" s="21"/>
      <c r="CE262" s="21"/>
      <c r="CF262" s="21"/>
      <c r="CG262" s="21"/>
      <c r="CH262" s="21"/>
      <c r="CI262" s="21"/>
      <c r="CJ262" s="21"/>
      <c r="CK262" s="21"/>
      <c r="CL262" s="21"/>
      <c r="CM262" s="21"/>
      <c r="CN262" s="21"/>
      <c r="CO262" s="21"/>
      <c r="CP262" s="21"/>
      <c r="CQ262" s="21"/>
      <c r="CR262" s="21"/>
      <c r="CS262" s="21"/>
      <c r="CT262" s="21"/>
      <c r="CU262" s="21"/>
      <c r="CV262" s="21"/>
      <c r="CW262" s="21"/>
      <c r="CX262" s="21"/>
      <c r="CY262" s="21"/>
      <c r="CZ262" s="21"/>
      <c r="DA262" s="21"/>
      <c r="DB262" s="21"/>
      <c r="DC262" s="21"/>
      <c r="DD262" s="21"/>
      <c r="DE262" s="21"/>
      <c r="DF262" s="21"/>
      <c r="DG262" s="21"/>
      <c r="DH262" s="21"/>
      <c r="DI262" s="21"/>
      <c r="DJ262" s="21"/>
      <c r="DK262" s="21"/>
      <c r="DL262" s="21"/>
      <c r="DM262" s="21"/>
      <c r="DN262" s="21"/>
      <c r="DO262" s="21"/>
      <c r="DP262" s="21"/>
      <c r="DQ262" s="21"/>
      <c r="DR262" s="21"/>
      <c r="DS262" s="21"/>
      <c r="DT262" s="21"/>
      <c r="DU262" s="21"/>
      <c r="DV262" s="21"/>
      <c r="DW262" s="21"/>
      <c r="DX262" s="21"/>
      <c r="DY262" s="21"/>
      <c r="DZ262" s="21"/>
      <c r="EA262" s="21"/>
      <c r="EB262" s="21"/>
      <c r="EC262" s="21"/>
      <c r="ED262" s="21"/>
      <c r="EE262" s="21"/>
      <c r="EF262" s="21"/>
      <c r="EG262" s="21"/>
      <c r="EH262" s="21"/>
      <c r="EI262" s="13"/>
    </row>
    <row r="263" spans="1:139" customFormat="1">
      <c r="A263" s="711"/>
      <c r="B263" s="711"/>
      <c r="C263" s="711"/>
      <c r="D263" s="711"/>
      <c r="E263" s="711"/>
      <c r="F263" s="711"/>
      <c r="G263" s="711"/>
      <c r="H263" s="711"/>
      <c r="I263" s="13"/>
      <c r="J263" s="21"/>
      <c r="K263" s="21"/>
      <c r="L263" s="21"/>
      <c r="M263" s="21" t="s">
        <v>1702</v>
      </c>
      <c r="N263" s="711"/>
      <c r="O263" s="711"/>
      <c r="P263" s="711"/>
      <c r="Q263" s="711"/>
      <c r="R263" s="711"/>
      <c r="S263" s="21">
        <f ca="1">RANK(S264,OFFSET($S$264,0,0,1,$D$5*3),0)</f>
        <v>1</v>
      </c>
      <c r="T263" s="21"/>
      <c r="U263" s="21"/>
      <c r="V263" s="21">
        <f ca="1">RANK(V264,OFFSET($S$264,0,0,1,$D$5*3),0)</f>
        <v>2</v>
      </c>
      <c r="W263" s="21"/>
      <c r="X263" s="21"/>
      <c r="Y263" s="21">
        <f ca="1">RANK(Y264,OFFSET($S$264,0,0,1,$D$5*3),0)</f>
        <v>3</v>
      </c>
      <c r="Z263" s="21"/>
      <c r="AA263" s="21"/>
      <c r="AB263" s="21">
        <f ca="1">RANK(AB264,OFFSET($S$264,0,0,1,$D$5*3),0)</f>
        <v>4</v>
      </c>
      <c r="AC263" s="21"/>
      <c r="AD263" s="21"/>
      <c r="AE263" s="21">
        <f ca="1">RANK(AE264,OFFSET($S$264,0,0,1,$D$5*3),0)</f>
        <v>5</v>
      </c>
      <c r="AF263" s="21"/>
      <c r="AG263" s="21"/>
      <c r="AH263" s="21">
        <f ca="1">RANK(AH264,OFFSET($S$264,0,0,1,$D$5*3),0)</f>
        <v>6</v>
      </c>
      <c r="AI263" s="21"/>
      <c r="AJ263" s="21"/>
      <c r="AK263" s="21">
        <f ca="1">RANK(AK264,OFFSET($S$264,0,0,1,$D$5*3),0)</f>
        <v>7</v>
      </c>
      <c r="AL263" s="21"/>
      <c r="AM263" s="21"/>
      <c r="AN263" s="21">
        <f ca="1">RANK(AN264,OFFSET($S$264,0,0,1,$D$5*3),0)</f>
        <v>8</v>
      </c>
      <c r="AO263" s="21"/>
      <c r="AP263" s="21"/>
      <c r="AQ263" s="21">
        <f ca="1">RANK(AQ264,OFFSET($S$264,0,0,1,$D$5*3),0)</f>
        <v>9</v>
      </c>
      <c r="AR263" s="21"/>
      <c r="AS263" s="21"/>
      <c r="AT263" s="21">
        <f ca="1">RANK(AT264,OFFSET($S$264,0,0,1,$D$5*3),0)</f>
        <v>10</v>
      </c>
      <c r="AU263" s="21"/>
      <c r="AV263" s="21"/>
      <c r="AW263" s="21">
        <f ca="1">RANK(AW264,OFFSET($S$264,0,0,1,$D$5*3),0)</f>
        <v>11</v>
      </c>
      <c r="AX263" s="21"/>
      <c r="AY263" s="21"/>
      <c r="AZ263" s="21">
        <f ca="1">RANK(AZ264,OFFSET($S$264,0,0,1,$D$5*3),0)</f>
        <v>12</v>
      </c>
      <c r="BA263" s="21"/>
      <c r="BB263" s="21"/>
      <c r="BC263" s="21">
        <f ca="1">RANK(BC264,OFFSET($S$264,0,0,1,$D$5*3),0)</f>
        <v>13</v>
      </c>
      <c r="BD263" s="21"/>
      <c r="BE263" s="21"/>
      <c r="BF263" s="21">
        <f ca="1">RANK(BF264,OFFSET($S$264,0,0,1,$D$5*3),0)</f>
        <v>14</v>
      </c>
      <c r="BG263" s="21"/>
      <c r="BH263" s="21"/>
      <c r="BI263" s="21">
        <f ca="1">RANK(BI264,OFFSET($S$264,0,0,1,$D$5*3),0)</f>
        <v>15</v>
      </c>
      <c r="BJ263" s="21"/>
      <c r="BK263" s="21"/>
      <c r="BL263" s="21">
        <f ca="1">RANK(BL264,OFFSET($S$264,0,0,1,$D$5*3),0)</f>
        <v>16</v>
      </c>
      <c r="BM263" s="21"/>
      <c r="BN263" s="21"/>
      <c r="BO263" s="21">
        <f ca="1">RANK(BO264,OFFSET($S$264,0,0,1,$D$5*3),0)</f>
        <v>17</v>
      </c>
      <c r="BP263" s="21"/>
      <c r="BQ263" s="21"/>
      <c r="BR263" s="21">
        <f ca="1">RANK(BR264,OFFSET($S$264,0,0,1,$D$5*3),0)</f>
        <v>18</v>
      </c>
      <c r="BS263" s="21"/>
      <c r="BT263" s="21"/>
      <c r="BU263" s="21">
        <f ca="1">RANK(BU264,OFFSET($S$264,0,0,1,$D$5*3),0)</f>
        <v>19</v>
      </c>
      <c r="BV263" s="21"/>
      <c r="BW263" s="21"/>
      <c r="BX263" s="21">
        <f ca="1">RANK(BX264,OFFSET($S$264,0,0,1,$D$5*3),0)</f>
        <v>20</v>
      </c>
      <c r="BY263" s="21"/>
      <c r="BZ263" s="21"/>
      <c r="CA263" s="21">
        <f ca="1">RANK(CA264,OFFSET($S$264,0,0,1,$D$5*3),0)</f>
        <v>21</v>
      </c>
      <c r="CB263" s="21"/>
      <c r="CC263" s="21"/>
      <c r="CD263" s="21">
        <f ca="1">RANK(CD264,OFFSET($S$264,0,0,1,$D$5*3),0)</f>
        <v>22</v>
      </c>
      <c r="CE263" s="21"/>
      <c r="CF263" s="21"/>
      <c r="CG263" s="21">
        <f ca="1">RANK(CG264,OFFSET($S$264,0,0,1,$D$5*3),0)</f>
        <v>23</v>
      </c>
      <c r="CH263" s="21"/>
      <c r="CI263" s="21"/>
      <c r="CJ263" s="21">
        <f ca="1">RANK(CJ264,OFFSET($S$264,0,0,1,$D$5*3),0)</f>
        <v>24</v>
      </c>
      <c r="CK263" s="21"/>
      <c r="CL263" s="21"/>
      <c r="CM263" s="21">
        <f ca="1">RANK(CM264,OFFSET($S$264,0,0,1,$D$5*3),0)</f>
        <v>25</v>
      </c>
      <c r="CN263" s="21"/>
      <c r="CO263" s="21"/>
      <c r="CP263" s="21">
        <f ca="1">RANK(CP264,OFFSET($S$264,0,0,1,$D$5*3),0)</f>
        <v>26</v>
      </c>
      <c r="CQ263" s="21"/>
      <c r="CR263" s="21"/>
      <c r="CS263" s="21">
        <f ca="1">RANK(CS264,OFFSET($S$264,0,0,1,$D$5*3),0)</f>
        <v>27</v>
      </c>
      <c r="CT263" s="21"/>
      <c r="CU263" s="21"/>
      <c r="CV263" s="21">
        <f ca="1">RANK(CV264,OFFSET($S$264,0,0,1,$D$5*3),0)</f>
        <v>28</v>
      </c>
      <c r="CW263" s="21"/>
      <c r="CX263" s="21"/>
      <c r="CY263" s="21">
        <f ca="1">RANK(CY264,OFFSET($S$264,0,0,1,$D$5*3),0)</f>
        <v>29</v>
      </c>
      <c r="CZ263" s="21"/>
      <c r="DA263" s="21"/>
      <c r="DB263" s="21">
        <f ca="1">RANK(DB264,OFFSET($S$264,0,0,1,$D$5*3),0)</f>
        <v>30</v>
      </c>
      <c r="DC263" s="21"/>
      <c r="DD263" s="21"/>
      <c r="DE263" s="21">
        <f ca="1">RANK(DE264,OFFSET($S$264,0,0,1,$D$5*3),0)</f>
        <v>31</v>
      </c>
      <c r="DF263" s="21"/>
      <c r="DG263" s="21"/>
      <c r="DH263" s="21">
        <f ca="1">RANK(DH264,OFFSET($S$264,0,0,1,$D$5*3),0)</f>
        <v>32</v>
      </c>
      <c r="DI263" s="21"/>
      <c r="DJ263" s="21"/>
      <c r="DK263" s="21">
        <f ca="1">RANK(DK264,OFFSET($S$264,0,0,1,$D$5*3),0)</f>
        <v>33</v>
      </c>
      <c r="DL263" s="21"/>
      <c r="DM263" s="21"/>
      <c r="DN263" s="21">
        <f ca="1">RANK(DN264,OFFSET($S$264,0,0,1,$D$5*3),0)</f>
        <v>34</v>
      </c>
      <c r="DO263" s="21"/>
      <c r="DP263" s="21"/>
      <c r="DQ263" s="21">
        <f ca="1">RANK(DQ264,OFFSET($S$264,0,0,1,$D$5*3),0)</f>
        <v>35</v>
      </c>
      <c r="DR263" s="21"/>
      <c r="DS263" s="21"/>
      <c r="DT263" s="21">
        <f ca="1">RANK(DT264,OFFSET($S$264,0,0,1,$D$5*3),0)</f>
        <v>36</v>
      </c>
      <c r="DU263" s="21"/>
      <c r="DV263" s="21"/>
      <c r="DW263" s="21">
        <f ca="1">RANK(DW264,OFFSET($S$264,0,0,1,$D$5*3),0)</f>
        <v>37</v>
      </c>
      <c r="DX263" s="21"/>
      <c r="DY263" s="21"/>
      <c r="DZ263" s="21">
        <f ca="1">RANK(DZ264,OFFSET($S$264,0,0,1,$D$5*3),0)</f>
        <v>38</v>
      </c>
      <c r="EA263" s="21"/>
      <c r="EB263" s="21"/>
      <c r="EC263" s="21">
        <f ca="1">RANK(EC264,OFFSET($S$264,0,0,1,$D$5*3),0)</f>
        <v>39</v>
      </c>
      <c r="ED263" s="21"/>
      <c r="EE263" s="21"/>
      <c r="EF263" s="21">
        <f ca="1">RANK(EF264,OFFSET($S$264,0,0,1,$D$5*3),0)</f>
        <v>40</v>
      </c>
      <c r="EG263" s="21"/>
      <c r="EH263" s="21"/>
      <c r="EI263" s="13"/>
    </row>
    <row r="264" spans="1:139" customFormat="1">
      <c r="A264" s="711"/>
      <c r="B264" s="711"/>
      <c r="C264" s="711"/>
      <c r="D264" s="711"/>
      <c r="E264" s="711"/>
      <c r="F264" s="711"/>
      <c r="G264" s="711"/>
      <c r="H264" s="711"/>
      <c r="I264" s="13"/>
      <c r="J264" s="21"/>
      <c r="K264" s="21"/>
      <c r="L264" s="21"/>
      <c r="M264" s="21" t="s">
        <v>1704</v>
      </c>
      <c r="N264" s="711"/>
      <c r="O264" s="711"/>
      <c r="P264" s="711"/>
      <c r="Q264" s="711"/>
      <c r="R264" s="711"/>
      <c r="S264" s="21">
        <f ca="1">S266-(COLUMN()/10000)</f>
        <v>-1.9E-3</v>
      </c>
      <c r="T264" s="21"/>
      <c r="U264" s="21"/>
      <c r="V264" s="21">
        <f t="shared" ref="V264" ca="1" si="2172">V266-(COLUMN()/10000)</f>
        <v>-2.2000000000000001E-3</v>
      </c>
      <c r="W264" s="21"/>
      <c r="X264" s="21"/>
      <c r="Y264" s="21">
        <f t="shared" ref="Y264" ca="1" si="2173">Y266-(COLUMN()/10000)</f>
        <v>-2.5000000000000001E-3</v>
      </c>
      <c r="Z264" s="21"/>
      <c r="AA264" s="21"/>
      <c r="AB264" s="21">
        <f t="shared" ref="AB264" ca="1" si="2174">AB266-(COLUMN()/10000)</f>
        <v>-2.8E-3</v>
      </c>
      <c r="AC264" s="21"/>
      <c r="AD264" s="21"/>
      <c r="AE264" s="21">
        <f t="shared" ref="AE264" ca="1" si="2175">AE266-(COLUMN()/10000)</f>
        <v>-3.0999999999999999E-3</v>
      </c>
      <c r="AF264" s="21"/>
      <c r="AG264" s="21"/>
      <c r="AH264" s="21">
        <f ca="1">AH266-(COLUMN()/10000)</f>
        <v>-3.3999999999999998E-3</v>
      </c>
      <c r="AI264" s="21"/>
      <c r="AJ264" s="21"/>
      <c r="AK264" s="21">
        <f t="shared" ref="AK264" ca="1" si="2176">AK266-(COLUMN()/10000)</f>
        <v>-3.7000000000000002E-3</v>
      </c>
      <c r="AL264" s="21"/>
      <c r="AM264" s="21"/>
      <c r="AN264" s="21">
        <f t="shared" ref="AN264" ca="1" si="2177">AN266-(COLUMN()/10000)</f>
        <v>-4.0000000000000001E-3</v>
      </c>
      <c r="AO264" s="21"/>
      <c r="AP264" s="21"/>
      <c r="AQ264" s="21">
        <f t="shared" ref="AQ264" ca="1" si="2178">AQ266-(COLUMN()/10000)</f>
        <v>-4.3E-3</v>
      </c>
      <c r="AR264" s="21"/>
      <c r="AS264" s="21"/>
      <c r="AT264" s="21">
        <f t="shared" ref="AT264" ca="1" si="2179">AT266-(COLUMN()/10000)</f>
        <v>-4.5999999999999999E-3</v>
      </c>
      <c r="AU264" s="21"/>
      <c r="AV264" s="21"/>
      <c r="AW264" s="21">
        <f ca="1">AW266-(COLUMN()/10000)</f>
        <v>-4.8999999999999998E-3</v>
      </c>
      <c r="AX264" s="21"/>
      <c r="AY264" s="21"/>
      <c r="AZ264" s="21">
        <f t="shared" ref="AZ264" ca="1" si="2180">AZ266-(COLUMN()/10000)</f>
        <v>-5.1999999999999998E-3</v>
      </c>
      <c r="BA264" s="21"/>
      <c r="BB264" s="21"/>
      <c r="BC264" s="21">
        <f t="shared" ref="BC264" ca="1" si="2181">BC266-(COLUMN()/10000)</f>
        <v>-5.4999999999999997E-3</v>
      </c>
      <c r="BD264" s="21"/>
      <c r="BE264" s="21"/>
      <c r="BF264" s="21">
        <f t="shared" ref="BF264" ca="1" si="2182">BF266-(COLUMN()/10000)</f>
        <v>-5.7999999999999996E-3</v>
      </c>
      <c r="BG264" s="21"/>
      <c r="BH264" s="21"/>
      <c r="BI264" s="21">
        <f t="shared" ref="BI264" ca="1" si="2183">BI266-(COLUMN()/10000)</f>
        <v>-6.1000000000000004E-3</v>
      </c>
      <c r="BJ264" s="21"/>
      <c r="BK264" s="21"/>
      <c r="BL264" s="21">
        <f ca="1">BL266-(COLUMN()/10000)</f>
        <v>-6.4000000000000003E-3</v>
      </c>
      <c r="BM264" s="21"/>
      <c r="BN264" s="21"/>
      <c r="BO264" s="21">
        <f t="shared" ref="BO264" ca="1" si="2184">BO266-(COLUMN()/10000)</f>
        <v>-6.7000000000000002E-3</v>
      </c>
      <c r="BP264" s="21"/>
      <c r="BQ264" s="21"/>
      <c r="BR264" s="21">
        <f t="shared" ref="BR264" ca="1" si="2185">BR266-(COLUMN()/10000)</f>
        <v>-7.0000000000000001E-3</v>
      </c>
      <c r="BS264" s="21"/>
      <c r="BT264" s="21"/>
      <c r="BU264" s="21">
        <f t="shared" ref="BU264" ca="1" si="2186">BU266-(COLUMN()/10000)</f>
        <v>-7.3000000000000001E-3</v>
      </c>
      <c r="BV264" s="21"/>
      <c r="BW264" s="21"/>
      <c r="BX264" s="21">
        <f t="shared" ref="BX264" ca="1" si="2187">BX266-(COLUMN()/10000)</f>
        <v>-7.6E-3</v>
      </c>
      <c r="BY264" s="21"/>
      <c r="BZ264" s="21"/>
      <c r="CA264" s="21">
        <f ca="1">CA266-(COLUMN()/10000)</f>
        <v>-7.9000000000000008E-3</v>
      </c>
      <c r="CB264" s="21"/>
      <c r="CC264" s="21"/>
      <c r="CD264" s="21">
        <f t="shared" ref="CD264" ca="1" si="2188">CD266-(COLUMN()/10000)</f>
        <v>-8.2000000000000007E-3</v>
      </c>
      <c r="CE264" s="21"/>
      <c r="CF264" s="21"/>
      <c r="CG264" s="21">
        <f t="shared" ref="CG264" ca="1" si="2189">CG266-(COLUMN()/10000)</f>
        <v>-8.5000000000000006E-3</v>
      </c>
      <c r="CH264" s="21"/>
      <c r="CI264" s="21"/>
      <c r="CJ264" s="21">
        <f t="shared" ref="CJ264" ca="1" si="2190">CJ266-(COLUMN()/10000)</f>
        <v>-8.8000000000000005E-3</v>
      </c>
      <c r="CK264" s="21"/>
      <c r="CL264" s="21"/>
      <c r="CM264" s="21">
        <f t="shared" ref="CM264" ca="1" si="2191">CM266-(COLUMN()/10000)</f>
        <v>-9.1000000000000004E-3</v>
      </c>
      <c r="CN264" s="21"/>
      <c r="CO264" s="21"/>
      <c r="CP264" s="21">
        <f ca="1">CP266-(COLUMN()/10000)</f>
        <v>-9.4000000000000004E-3</v>
      </c>
      <c r="CQ264" s="21"/>
      <c r="CR264" s="21"/>
      <c r="CS264" s="21">
        <f t="shared" ref="CS264" ca="1" si="2192">CS266-(COLUMN()/10000)</f>
        <v>-9.7000000000000003E-3</v>
      </c>
      <c r="CT264" s="21"/>
      <c r="CU264" s="21"/>
      <c r="CV264" s="21">
        <f t="shared" ref="CV264" ca="1" si="2193">CV266-(COLUMN()/10000)</f>
        <v>-0.01</v>
      </c>
      <c r="CW264" s="21"/>
      <c r="CX264" s="21"/>
      <c r="CY264" s="21">
        <f t="shared" ref="CY264" ca="1" si="2194">CY266-(COLUMN()/10000)</f>
        <v>-1.03E-2</v>
      </c>
      <c r="CZ264" s="21"/>
      <c r="DA264" s="21"/>
      <c r="DB264" s="21">
        <f t="shared" ref="DB264" ca="1" si="2195">DB266-(COLUMN()/10000)</f>
        <v>-1.06E-2</v>
      </c>
      <c r="DC264" s="21"/>
      <c r="DD264" s="21"/>
      <c r="DE264" s="21">
        <f ca="1">DE266-(COLUMN()/10000)</f>
        <v>-1.09E-2</v>
      </c>
      <c r="DF264" s="21"/>
      <c r="DG264" s="21"/>
      <c r="DH264" s="21">
        <f t="shared" ref="DH264" ca="1" si="2196">DH266-(COLUMN()/10000)</f>
        <v>-1.12E-2</v>
      </c>
      <c r="DI264" s="21"/>
      <c r="DJ264" s="21"/>
      <c r="DK264" s="21">
        <f t="shared" ref="DK264" ca="1" si="2197">DK266-(COLUMN()/10000)</f>
        <v>-1.15E-2</v>
      </c>
      <c r="DL264" s="21"/>
      <c r="DM264" s="21"/>
      <c r="DN264" s="21">
        <f t="shared" ref="DN264" ca="1" si="2198">DN266-(COLUMN()/10000)</f>
        <v>-1.18E-2</v>
      </c>
      <c r="DO264" s="21"/>
      <c r="DP264" s="21"/>
      <c r="DQ264" s="21">
        <f t="shared" ref="DQ264" ca="1" si="2199">DQ266-(COLUMN()/10000)</f>
        <v>-1.21E-2</v>
      </c>
      <c r="DR264" s="21"/>
      <c r="DS264" s="21"/>
      <c r="DT264" s="21">
        <f ca="1">DT266-(COLUMN()/10000)</f>
        <v>-1.24E-2</v>
      </c>
      <c r="DU264" s="21"/>
      <c r="DV264" s="21"/>
      <c r="DW264" s="21">
        <f t="shared" ref="DW264" ca="1" si="2200">DW266-(COLUMN()/10000)</f>
        <v>-1.2699999999999999E-2</v>
      </c>
      <c r="DX264" s="21"/>
      <c r="DY264" s="21"/>
      <c r="DZ264" s="21">
        <f t="shared" ref="DZ264" ca="1" si="2201">DZ266-(COLUMN()/10000)</f>
        <v>-1.2999999999999999E-2</v>
      </c>
      <c r="EA264" s="21"/>
      <c r="EB264" s="21"/>
      <c r="EC264" s="21">
        <f t="shared" ref="EC264" ca="1" si="2202">EC266-(COLUMN()/10000)</f>
        <v>-1.3299999999999999E-2</v>
      </c>
      <c r="ED264" s="21"/>
      <c r="EE264" s="21"/>
      <c r="EF264" s="21">
        <f t="shared" ref="EF264" ca="1" si="2203">EF266-(COLUMN()/10000)</f>
        <v>-1.3599999999999999E-2</v>
      </c>
      <c r="EG264" s="21"/>
      <c r="EH264" s="21"/>
      <c r="EI264" s="13"/>
    </row>
    <row r="265" spans="1:139" customFormat="1">
      <c r="A265" s="711"/>
      <c r="B265" s="711"/>
      <c r="C265" s="711"/>
      <c r="D265" s="711"/>
      <c r="E265" s="711"/>
      <c r="F265" s="711"/>
      <c r="G265" s="711"/>
      <c r="H265" s="711"/>
      <c r="I265" s="13"/>
      <c r="J265" s="21"/>
      <c r="K265" s="21"/>
      <c r="L265" s="21"/>
      <c r="M265" s="21" t="s">
        <v>1703</v>
      </c>
      <c r="N265" s="711"/>
      <c r="O265" s="711"/>
      <c r="P265" s="711"/>
      <c r="Q265" s="711"/>
      <c r="R265" s="711"/>
      <c r="S265" s="21">
        <f ca="1">RANK(S266,OFFSET($S$266,0,0,1,$D$5*3),0)</f>
        <v>1</v>
      </c>
      <c r="T265" s="21"/>
      <c r="U265" s="21"/>
      <c r="V265" s="21">
        <f ca="1">RANK(V266,OFFSET($S$266,0,0,1,$D$5*3),0)</f>
        <v>1</v>
      </c>
      <c r="W265" s="21"/>
      <c r="X265" s="21"/>
      <c r="Y265" s="21">
        <f ca="1">RANK(Y266,OFFSET($S$266,0,0,1,$D$5*3),0)</f>
        <v>1</v>
      </c>
      <c r="Z265" s="21"/>
      <c r="AA265" s="21"/>
      <c r="AB265" s="21">
        <f ca="1">RANK(AB266,OFFSET($S$266,0,0,1,$D$5*3),0)</f>
        <v>1</v>
      </c>
      <c r="AC265" s="21"/>
      <c r="AD265" s="21"/>
      <c r="AE265" s="21">
        <f ca="1">RANK(AE266,OFFSET($S$266,0,0,1,$D$5*3),0)</f>
        <v>1</v>
      </c>
      <c r="AF265" s="21"/>
      <c r="AG265" s="21"/>
      <c r="AH265" s="21">
        <f ca="1">RANK(AH266,OFFSET($S$266,0,0,1,$D$5*3),0)</f>
        <v>1</v>
      </c>
      <c r="AI265" s="21"/>
      <c r="AJ265" s="21"/>
      <c r="AK265" s="21">
        <f ca="1">RANK(AK266,OFFSET($S$266,0,0,1,$D$5*3),0)</f>
        <v>1</v>
      </c>
      <c r="AL265" s="21"/>
      <c r="AM265" s="21"/>
      <c r="AN265" s="21">
        <f ca="1">RANK(AN266,OFFSET($S$266,0,0,1,$D$5*3),0)</f>
        <v>1</v>
      </c>
      <c r="AO265" s="21"/>
      <c r="AP265" s="21"/>
      <c r="AQ265" s="21">
        <f ca="1">RANK(AQ266,OFFSET($S$266,0,0,1,$D$5*3),0)</f>
        <v>1</v>
      </c>
      <c r="AR265" s="21"/>
      <c r="AS265" s="21"/>
      <c r="AT265" s="21">
        <f ca="1">RANK(AT266,OFFSET($S$266,0,0,1,$D$5*3),0)</f>
        <v>1</v>
      </c>
      <c r="AU265" s="21"/>
      <c r="AV265" s="21"/>
      <c r="AW265" s="21">
        <f ca="1">RANK(AW266,OFFSET($S$266,0,0,1,$D$5*3),0)</f>
        <v>1</v>
      </c>
      <c r="AX265" s="21"/>
      <c r="AY265" s="21"/>
      <c r="AZ265" s="21">
        <f ca="1">RANK(AZ266,OFFSET($S$266,0,0,1,$D$5*3),0)</f>
        <v>1</v>
      </c>
      <c r="BA265" s="21"/>
      <c r="BB265" s="21"/>
      <c r="BC265" s="21">
        <f ca="1">RANK(BC266,OFFSET($S$266,0,0,1,$D$5*3),0)</f>
        <v>1</v>
      </c>
      <c r="BD265" s="21"/>
      <c r="BE265" s="21"/>
      <c r="BF265" s="21">
        <f ca="1">RANK(BF266,OFFSET($S$266,0,0,1,$D$5*3),0)</f>
        <v>1</v>
      </c>
      <c r="BG265" s="21"/>
      <c r="BH265" s="21"/>
      <c r="BI265" s="21">
        <f ca="1">RANK(BI266,OFFSET($S$266,0,0,1,$D$5*3),0)</f>
        <v>1</v>
      </c>
      <c r="BJ265" s="21"/>
      <c r="BK265" s="21"/>
      <c r="BL265" s="21">
        <f ca="1">RANK(BL266,OFFSET($S$266,0,0,1,$D$5*3),0)</f>
        <v>1</v>
      </c>
      <c r="BM265" s="21"/>
      <c r="BN265" s="21"/>
      <c r="BO265" s="21">
        <f ca="1">RANK(BO266,OFFSET($S$266,0,0,1,$D$5*3),0)</f>
        <v>1</v>
      </c>
      <c r="BP265" s="21"/>
      <c r="BQ265" s="21"/>
      <c r="BR265" s="21">
        <f ca="1">RANK(BR266,OFFSET($S$266,0,0,1,$D$5*3),0)</f>
        <v>1</v>
      </c>
      <c r="BS265" s="21"/>
      <c r="BT265" s="21"/>
      <c r="BU265" s="21">
        <f ca="1">RANK(BU266,OFFSET($S$266,0,0,1,$D$5*3),0)</f>
        <v>1</v>
      </c>
      <c r="BV265" s="21"/>
      <c r="BW265" s="21"/>
      <c r="BX265" s="21">
        <f ca="1">RANK(BX266,OFFSET($S$266,0,0,1,$D$5*3),0)</f>
        <v>1</v>
      </c>
      <c r="BY265" s="21"/>
      <c r="BZ265" s="21"/>
      <c r="CA265" s="21">
        <f ca="1">RANK(CA266,OFFSET($S$266,0,0,1,$D$5*3),0)</f>
        <v>1</v>
      </c>
      <c r="CB265" s="21"/>
      <c r="CC265" s="21"/>
      <c r="CD265" s="21">
        <f ca="1">RANK(CD266,OFFSET($S$266,0,0,1,$D$5*3),0)</f>
        <v>1</v>
      </c>
      <c r="CE265" s="21"/>
      <c r="CF265" s="21"/>
      <c r="CG265" s="21">
        <f ca="1">RANK(CG266,OFFSET($S$266,0,0,1,$D$5*3),0)</f>
        <v>1</v>
      </c>
      <c r="CH265" s="21"/>
      <c r="CI265" s="21"/>
      <c r="CJ265" s="21">
        <f ca="1">RANK(CJ266,OFFSET($S$266,0,0,1,$D$5*3),0)</f>
        <v>1</v>
      </c>
      <c r="CK265" s="21"/>
      <c r="CL265" s="21"/>
      <c r="CM265" s="21">
        <f ca="1">RANK(CM266,OFFSET($S$266,0,0,1,$D$5*3),0)</f>
        <v>1</v>
      </c>
      <c r="CN265" s="21"/>
      <c r="CO265" s="21"/>
      <c r="CP265" s="21">
        <f ca="1">RANK(CP266,OFFSET($S$266,0,0,1,$D$5*3),0)</f>
        <v>1</v>
      </c>
      <c r="CQ265" s="21"/>
      <c r="CR265" s="21"/>
      <c r="CS265" s="21">
        <f ca="1">RANK(CS266,OFFSET($S$266,0,0,1,$D$5*3),0)</f>
        <v>1</v>
      </c>
      <c r="CT265" s="21"/>
      <c r="CU265" s="21"/>
      <c r="CV265" s="21">
        <f ca="1">RANK(CV266,OFFSET($S$266,0,0,1,$D$5*3),0)</f>
        <v>1</v>
      </c>
      <c r="CW265" s="21"/>
      <c r="CX265" s="21"/>
      <c r="CY265" s="21">
        <f ca="1">RANK(CY266,OFFSET($S$266,0,0,1,$D$5*3),0)</f>
        <v>1</v>
      </c>
      <c r="CZ265" s="21"/>
      <c r="DA265" s="21"/>
      <c r="DB265" s="21">
        <f ca="1">RANK(DB266,OFFSET($S$266,0,0,1,$D$5*3),0)</f>
        <v>1</v>
      </c>
      <c r="DC265" s="21"/>
      <c r="DD265" s="21"/>
      <c r="DE265" s="21">
        <f ca="1">RANK(DE266,OFFSET($S$266,0,0,1,$D$5*3),0)</f>
        <v>1</v>
      </c>
      <c r="DF265" s="21"/>
      <c r="DG265" s="21"/>
      <c r="DH265" s="21">
        <f ca="1">RANK(DH266,OFFSET($S$266,0,0,1,$D$5*3),0)</f>
        <v>1</v>
      </c>
      <c r="DI265" s="21"/>
      <c r="DJ265" s="21"/>
      <c r="DK265" s="21">
        <f ca="1">RANK(DK266,OFFSET($S$266,0,0,1,$D$5*3),0)</f>
        <v>1</v>
      </c>
      <c r="DL265" s="21"/>
      <c r="DM265" s="21"/>
      <c r="DN265" s="21">
        <f ca="1">RANK(DN266,OFFSET($S$266,0,0,1,$D$5*3),0)</f>
        <v>1</v>
      </c>
      <c r="DO265" s="21"/>
      <c r="DP265" s="21"/>
      <c r="DQ265" s="21">
        <f ca="1">RANK(DQ266,OFFSET($S$266,0,0,1,$D$5*3),0)</f>
        <v>1</v>
      </c>
      <c r="DR265" s="21"/>
      <c r="DS265" s="21"/>
      <c r="DT265" s="21">
        <f ca="1">RANK(DT266,OFFSET($S$266,0,0,1,$D$5*3),0)</f>
        <v>1</v>
      </c>
      <c r="DU265" s="21"/>
      <c r="DV265" s="21"/>
      <c r="DW265" s="21">
        <f ca="1">RANK(DW266,OFFSET($S$266,0,0,1,$D$5*3),0)</f>
        <v>1</v>
      </c>
      <c r="DX265" s="21"/>
      <c r="DY265" s="21"/>
      <c r="DZ265" s="21">
        <f ca="1">RANK(DZ266,OFFSET($S$266,0,0,1,$D$5*3),0)</f>
        <v>1</v>
      </c>
      <c r="EA265" s="21"/>
      <c r="EB265" s="21"/>
      <c r="EC265" s="21">
        <f ca="1">RANK(EC266,OFFSET($S$266,0,0,1,$D$5*3),0)</f>
        <v>1</v>
      </c>
      <c r="ED265" s="21"/>
      <c r="EE265" s="21"/>
      <c r="EF265" s="21">
        <f ca="1">RANK(EF266,OFFSET($S$266,0,0,1,$D$5*3),0)</f>
        <v>1</v>
      </c>
      <c r="EG265" s="21"/>
      <c r="EH265" s="21"/>
      <c r="EI265" s="13"/>
    </row>
    <row r="266" spans="1:139" customFormat="1">
      <c r="A266" s="711"/>
      <c r="B266" s="711"/>
      <c r="C266" s="711"/>
      <c r="D266" s="711"/>
      <c r="E266" s="711"/>
      <c r="F266" s="711"/>
      <c r="G266" s="711"/>
      <c r="H266" s="711"/>
      <c r="I266" s="13"/>
      <c r="J266" s="21"/>
      <c r="K266" s="21"/>
      <c r="L266" s="21"/>
      <c r="M266" s="21" t="s">
        <v>614</v>
      </c>
      <c r="N266" s="711"/>
      <c r="O266" s="711"/>
      <c r="P266" s="711"/>
      <c r="Q266" s="711"/>
      <c r="R266" s="711"/>
      <c r="S266" s="21">
        <f ca="1">SUMIFS((T6:T259),$H$6:$H$259,$M$262)</f>
        <v>0</v>
      </c>
      <c r="T266" s="21"/>
      <c r="U266" s="21"/>
      <c r="V266" s="21">
        <f ca="1">SUMIFS((W6:W259),$H$6:$H$259,$M$262)</f>
        <v>0</v>
      </c>
      <c r="W266" s="21"/>
      <c r="X266" s="21"/>
      <c r="Y266" s="21">
        <f ca="1">SUMIFS((Z6:Z259),$H$6:$H$259,$M$262)</f>
        <v>0</v>
      </c>
      <c r="Z266" s="21"/>
      <c r="AA266" s="21"/>
      <c r="AB266" s="21">
        <f ca="1">SUMIFS((AC6:AC259),$H$6:$H$259,$M$262)</f>
        <v>0</v>
      </c>
      <c r="AC266" s="21"/>
      <c r="AD266" s="21"/>
      <c r="AE266" s="21">
        <f ca="1">SUMIFS((AF6:AF259),$H$6:$H$259,$M$262)</f>
        <v>0</v>
      </c>
      <c r="AF266" s="21"/>
      <c r="AG266" s="21"/>
      <c r="AH266" s="21">
        <f ca="1">SUMIFS((AI6:AI259),$H$6:$H$259,$M$262)</f>
        <v>0</v>
      </c>
      <c r="AI266" s="21"/>
      <c r="AJ266" s="21"/>
      <c r="AK266" s="21">
        <f ca="1">SUMIFS((AL6:AL259),$H$6:$H$259,$M$262)</f>
        <v>0</v>
      </c>
      <c r="AL266" s="21"/>
      <c r="AM266" s="21"/>
      <c r="AN266" s="21">
        <f ca="1">SUMIFS((AO6:AO259),$H$6:$H$259,$M$262)</f>
        <v>0</v>
      </c>
      <c r="AO266" s="21"/>
      <c r="AP266" s="21"/>
      <c r="AQ266" s="21">
        <f ca="1">SUMIFS((AR6:AR259),$H$6:$H$259,$M$262)</f>
        <v>0</v>
      </c>
      <c r="AR266" s="21"/>
      <c r="AS266" s="21"/>
      <c r="AT266" s="21">
        <f ca="1">SUMIFS((AU6:AU259),$H$6:$H$259,$M$262)</f>
        <v>0</v>
      </c>
      <c r="AU266" s="21"/>
      <c r="AV266" s="21"/>
      <c r="AW266" s="21">
        <f ca="1">SUMIFS((AX6:AX259),$H$6:$H$259,$M$262)</f>
        <v>0</v>
      </c>
      <c r="AX266" s="21"/>
      <c r="AY266" s="21"/>
      <c r="AZ266" s="21">
        <f ca="1">SUMIFS((BA6:BA259),$H$6:$H$259,$M$262)</f>
        <v>0</v>
      </c>
      <c r="BA266" s="21"/>
      <c r="BB266" s="21"/>
      <c r="BC266" s="21">
        <f ca="1">SUMIFS((BD6:BD259),$H$6:$H$259,$M$262)</f>
        <v>0</v>
      </c>
      <c r="BD266" s="21"/>
      <c r="BE266" s="21"/>
      <c r="BF266" s="21">
        <f ca="1">SUMIFS((BG6:BG259),$H$6:$H$259,$M$262)</f>
        <v>0</v>
      </c>
      <c r="BG266" s="21"/>
      <c r="BH266" s="21"/>
      <c r="BI266" s="21">
        <f ca="1">SUMIFS((BJ6:BJ259),$H$6:$H$259,$M$262)</f>
        <v>0</v>
      </c>
      <c r="BJ266" s="21"/>
      <c r="BK266" s="21"/>
      <c r="BL266" s="21">
        <f ca="1">SUMIFS((BM6:BM259),$H$6:$H$259,$M$262)</f>
        <v>0</v>
      </c>
      <c r="BM266" s="21"/>
      <c r="BN266" s="21"/>
      <c r="BO266" s="21">
        <f ca="1">SUMIFS((BP6:BP259),$H$6:$H$259,$M$262)</f>
        <v>0</v>
      </c>
      <c r="BP266" s="21"/>
      <c r="BQ266" s="21"/>
      <c r="BR266" s="21">
        <f ca="1">SUMIFS((BS6:BS259),$H$6:$H$259,$M$262)</f>
        <v>0</v>
      </c>
      <c r="BS266" s="21"/>
      <c r="BT266" s="21"/>
      <c r="BU266" s="21">
        <f ca="1">SUMIFS((BV6:BV259),$H$6:$H$259,$M$262)</f>
        <v>0</v>
      </c>
      <c r="BV266" s="21"/>
      <c r="BW266" s="21"/>
      <c r="BX266" s="21">
        <f ca="1">SUMIFS((BY6:BY259),$H$6:$H$259,$M$262)</f>
        <v>0</v>
      </c>
      <c r="BY266" s="21"/>
      <c r="BZ266" s="21"/>
      <c r="CA266" s="21">
        <f ca="1">SUMIFS((CB6:CB259),$H$6:$H$259,$M$262)</f>
        <v>0</v>
      </c>
      <c r="CB266" s="21"/>
      <c r="CC266" s="21"/>
      <c r="CD266" s="21">
        <f ca="1">SUMIFS((CE6:CE259),$H$6:$H$259,$M$262)</f>
        <v>0</v>
      </c>
      <c r="CE266" s="21"/>
      <c r="CF266" s="21"/>
      <c r="CG266" s="21">
        <f ca="1">SUMIFS((CH6:CH259),$H$6:$H$259,$M$262)</f>
        <v>0</v>
      </c>
      <c r="CH266" s="21"/>
      <c r="CI266" s="21"/>
      <c r="CJ266" s="21">
        <f ca="1">SUMIFS((CK6:CK259),$H$6:$H$259,$M$262)</f>
        <v>0</v>
      </c>
      <c r="CK266" s="21"/>
      <c r="CL266" s="21"/>
      <c r="CM266" s="21">
        <f ca="1">SUMIFS((CN6:CN259),$H$6:$H$259,$M$262)</f>
        <v>0</v>
      </c>
      <c r="CN266" s="21"/>
      <c r="CO266" s="21"/>
      <c r="CP266" s="21">
        <f ca="1">SUMIFS((CQ6:CQ259),$H$6:$H$259,$M$262)</f>
        <v>0</v>
      </c>
      <c r="CQ266" s="21"/>
      <c r="CR266" s="21"/>
      <c r="CS266" s="21">
        <f ca="1">SUMIFS((CT6:CT259),$H$6:$H$259,$M$262)</f>
        <v>0</v>
      </c>
      <c r="CT266" s="21"/>
      <c r="CU266" s="21"/>
      <c r="CV266" s="21">
        <f ca="1">SUMIFS((CW6:CW259),$H$6:$H$259,$M$262)</f>
        <v>0</v>
      </c>
      <c r="CW266" s="21"/>
      <c r="CX266" s="21"/>
      <c r="CY266" s="21">
        <f ca="1">SUMIFS((CZ6:CZ259),$H$6:$H$259,$M$262)</f>
        <v>0</v>
      </c>
      <c r="CZ266" s="21"/>
      <c r="DA266" s="21"/>
      <c r="DB266" s="21">
        <f ca="1">SUMIFS((DC6:DC259),$H$6:$H$259,$M$262)</f>
        <v>0</v>
      </c>
      <c r="DC266" s="21"/>
      <c r="DD266" s="21"/>
      <c r="DE266" s="21">
        <f ca="1">SUMIFS((DF6:DF259),$H$6:$H$259,$M$262)</f>
        <v>0</v>
      </c>
      <c r="DF266" s="21"/>
      <c r="DG266" s="21"/>
      <c r="DH266" s="21">
        <f ca="1">SUMIFS((DI6:DI259),$H$6:$H$259,$M$262)</f>
        <v>0</v>
      </c>
      <c r="DI266" s="21"/>
      <c r="DJ266" s="21"/>
      <c r="DK266" s="21">
        <f ca="1">SUMIFS((DL6:DL259),$H$6:$H$259,$M$262)</f>
        <v>0</v>
      </c>
      <c r="DL266" s="21"/>
      <c r="DM266" s="21"/>
      <c r="DN266" s="21">
        <f ca="1">SUMIFS((DO6:DO259),$H$6:$H$259,$M$262)</f>
        <v>0</v>
      </c>
      <c r="DO266" s="21"/>
      <c r="DP266" s="21"/>
      <c r="DQ266" s="21">
        <f ca="1">SUMIFS((DR6:DR259),$H$6:$H$259,$M$262)</f>
        <v>0</v>
      </c>
      <c r="DR266" s="21"/>
      <c r="DS266" s="21"/>
      <c r="DT266" s="21">
        <f ca="1">SUMIFS((DU6:DU259),$H$6:$H$259,$M$262)</f>
        <v>0</v>
      </c>
      <c r="DU266" s="21"/>
      <c r="DV266" s="21"/>
      <c r="DW266" s="21">
        <f ca="1">SUMIFS((DX6:DX259),$H$6:$H$259,$M$262)</f>
        <v>0</v>
      </c>
      <c r="DX266" s="21"/>
      <c r="DY266" s="21"/>
      <c r="DZ266" s="21">
        <f ca="1">SUMIFS((EA6:EA259),$H$6:$H$259,$M$262)</f>
        <v>0</v>
      </c>
      <c r="EA266" s="21"/>
      <c r="EB266" s="21"/>
      <c r="EC266" s="21">
        <f ca="1">SUMIFS((ED6:ED259),$H$6:$H$259,$M$262)</f>
        <v>0</v>
      </c>
      <c r="ED266" s="21"/>
      <c r="EE266" s="21"/>
      <c r="EF266" s="21">
        <f ca="1">SUMIFS((EG6:EG259),$H$6:$H$259,$M$262)</f>
        <v>0</v>
      </c>
      <c r="EG266" s="21"/>
      <c r="EH266" s="21"/>
      <c r="EI266" s="13"/>
    </row>
    <row r="267" spans="1:139" customFormat="1">
      <c r="A267" s="711"/>
      <c r="B267" s="13"/>
      <c r="C267" s="13"/>
      <c r="D267" s="13"/>
      <c r="E267" s="711"/>
      <c r="F267" s="711"/>
      <c r="G267" s="711"/>
      <c r="H267" s="711"/>
      <c r="I267" s="13"/>
      <c r="J267" s="21"/>
      <c r="K267" s="21"/>
      <c r="L267" s="21"/>
      <c r="M267" s="21" t="s">
        <v>268</v>
      </c>
      <c r="N267" s="711"/>
      <c r="O267" s="711"/>
      <c r="P267" s="711"/>
      <c r="Q267" s="711"/>
      <c r="R267" s="711"/>
      <c r="S267" s="21" t="str">
        <f>S5</f>
        <v>GORKA</v>
      </c>
      <c r="T267" s="21"/>
      <c r="U267" s="21"/>
      <c r="V267" s="21" t="str">
        <f t="shared" ref="V267" si="2204">V5</f>
        <v>NOVE</v>
      </c>
      <c r="W267" s="21"/>
      <c r="X267" s="21"/>
      <c r="Y267" s="21" t="str">
        <f t="shared" ref="Y267" si="2205">Y5</f>
        <v>SERGIO</v>
      </c>
      <c r="Z267" s="21"/>
      <c r="AA267" s="21"/>
      <c r="AB267" s="21" t="str">
        <f t="shared" ref="AB267" si="2206">AB5</f>
        <v>JUANJO</v>
      </c>
      <c r="AC267" s="21"/>
      <c r="AD267" s="21"/>
      <c r="AE267" s="21" t="str">
        <f t="shared" ref="AE267" si="2207">AE5</f>
        <v>GARBAN</v>
      </c>
      <c r="AF267" s="21"/>
      <c r="AG267" s="21"/>
      <c r="AH267" s="21" t="str">
        <f>AH5</f>
        <v>JAVI</v>
      </c>
      <c r="AI267" s="21"/>
      <c r="AJ267" s="21"/>
      <c r="AK267" s="21" t="str">
        <f t="shared" ref="AK267" si="2208">AK5</f>
        <v>LAURA</v>
      </c>
      <c r="AL267" s="21"/>
      <c r="AM267" s="21"/>
      <c r="AN267" s="21" t="str">
        <f t="shared" ref="AN267" si="2209">AN5</f>
        <v>JUANMI</v>
      </c>
      <c r="AO267" s="21"/>
      <c r="AP267" s="21"/>
      <c r="AQ267" s="21" t="str">
        <f t="shared" ref="AQ267" si="2210">AQ5</f>
        <v>JORGE</v>
      </c>
      <c r="AR267" s="21"/>
      <c r="AS267" s="21"/>
      <c r="AT267" s="21" t="str">
        <f t="shared" ref="AT267" si="2211">AT5</f>
        <v>ANDER</v>
      </c>
      <c r="AU267" s="21"/>
      <c r="AV267" s="21"/>
      <c r="AW267" s="21" t="str">
        <f>AW5</f>
        <v>BORJA</v>
      </c>
      <c r="AX267" s="21"/>
      <c r="AY267" s="21"/>
      <c r="AZ267" s="21" t="str">
        <f t="shared" ref="AZ267" si="2212">AZ5</f>
        <v>MIKEL</v>
      </c>
      <c r="BA267" s="21"/>
      <c r="BB267" s="21"/>
      <c r="BC267" s="21" t="str">
        <f t="shared" ref="BC267" si="2213">BC5</f>
        <v>JON</v>
      </c>
      <c r="BD267" s="21"/>
      <c r="BE267" s="21"/>
      <c r="BF267" s="21" t="str">
        <f t="shared" ref="BF267" si="2214">BF5</f>
        <v>GALDER</v>
      </c>
      <c r="BG267" s="21"/>
      <c r="BH267" s="21"/>
      <c r="BI267" s="21" t="str">
        <f t="shared" ref="BI267" si="2215">BI5</f>
        <v>ASIER</v>
      </c>
      <c r="BJ267" s="21"/>
      <c r="BK267" s="21"/>
      <c r="BL267" s="21" t="str">
        <f>BL5</f>
        <v>PEIO</v>
      </c>
      <c r="BM267" s="21"/>
      <c r="BN267" s="21"/>
      <c r="BO267" s="21" t="str">
        <f t="shared" ref="BO267" si="2216">BO5</f>
        <v>GANEKO</v>
      </c>
      <c r="BP267" s="21"/>
      <c r="BQ267" s="21"/>
      <c r="BR267" s="21" t="str">
        <f t="shared" ref="BR267" si="2217">BR5</f>
        <v>AITOR</v>
      </c>
      <c r="BS267" s="21"/>
      <c r="BT267" s="21"/>
      <c r="BU267" s="21" t="str">
        <f t="shared" ref="BU267" si="2218">BU5</f>
        <v>Pegar Valores Nombre J19</v>
      </c>
      <c r="BV267" s="21"/>
      <c r="BW267" s="21"/>
      <c r="BX267" s="21" t="str">
        <f t="shared" ref="BX267" si="2219">BX5</f>
        <v>Pegar Valores Nombre J20</v>
      </c>
      <c r="BY267" s="21"/>
      <c r="BZ267" s="21"/>
      <c r="CA267" s="21" t="str">
        <f>CA5</f>
        <v>Pegar Valores Nombre J21</v>
      </c>
      <c r="CB267" s="21"/>
      <c r="CC267" s="21"/>
      <c r="CD267" s="21" t="str">
        <f t="shared" ref="CD267" si="2220">CD5</f>
        <v>Pegar Valores Nombre J22</v>
      </c>
      <c r="CE267" s="21"/>
      <c r="CF267" s="21"/>
      <c r="CG267" s="21" t="str">
        <f t="shared" ref="CG267" si="2221">CG5</f>
        <v>Pegar Valores Nombre J23</v>
      </c>
      <c r="CH267" s="21"/>
      <c r="CI267" s="21"/>
      <c r="CJ267" s="21" t="str">
        <f t="shared" ref="CJ267" si="2222">CJ5</f>
        <v>Pegar Valores Nombre J24</v>
      </c>
      <c r="CK267" s="21"/>
      <c r="CL267" s="21"/>
      <c r="CM267" s="21" t="str">
        <f t="shared" ref="CM267" si="2223">CM5</f>
        <v>Pegar Valores Nombre J25</v>
      </c>
      <c r="CN267" s="21"/>
      <c r="CO267" s="21"/>
      <c r="CP267" s="21" t="str">
        <f>CP5</f>
        <v>Pegar Valores Nombre J26</v>
      </c>
      <c r="CQ267" s="21"/>
      <c r="CR267" s="21"/>
      <c r="CS267" s="21" t="str">
        <f t="shared" ref="CS267" si="2224">CS5</f>
        <v>Pegar Valores Nombre J27</v>
      </c>
      <c r="CT267" s="21"/>
      <c r="CU267" s="21"/>
      <c r="CV267" s="21" t="str">
        <f t="shared" ref="CV267" si="2225">CV5</f>
        <v>Pegar Valores Nombre J28</v>
      </c>
      <c r="CW267" s="21"/>
      <c r="CX267" s="21"/>
      <c r="CY267" s="21" t="str">
        <f t="shared" ref="CY267" si="2226">CY5</f>
        <v>Pegar Valores Nombre J29</v>
      </c>
      <c r="CZ267" s="21"/>
      <c r="DA267" s="21"/>
      <c r="DB267" s="21" t="str">
        <f t="shared" ref="DB267" si="2227">DB5</f>
        <v>Pegar Valores Nombre J30</v>
      </c>
      <c r="DC267" s="21"/>
      <c r="DD267" s="21"/>
      <c r="DE267" s="21" t="str">
        <f>DE5</f>
        <v>Pegar Valores Nombre J31</v>
      </c>
      <c r="DF267" s="21"/>
      <c r="DG267" s="21"/>
      <c r="DH267" s="21" t="str">
        <f t="shared" ref="DH267" si="2228">DH5</f>
        <v>Pegar Valores Nombre J32</v>
      </c>
      <c r="DI267" s="21"/>
      <c r="DJ267" s="21"/>
      <c r="DK267" s="21" t="str">
        <f t="shared" ref="DK267" si="2229">DK5</f>
        <v>Pegar Valores Nombre J33</v>
      </c>
      <c r="DL267" s="21"/>
      <c r="DM267" s="21"/>
      <c r="DN267" s="21" t="str">
        <f t="shared" ref="DN267" si="2230">DN5</f>
        <v>Pegar Valores Nombre J34</v>
      </c>
      <c r="DO267" s="21"/>
      <c r="DP267" s="21"/>
      <c r="DQ267" s="21" t="str">
        <f t="shared" ref="DQ267" si="2231">DQ5</f>
        <v>Pegar Valores Nombre J35</v>
      </c>
      <c r="DR267" s="21"/>
      <c r="DS267" s="21"/>
      <c r="DT267" s="21" t="str">
        <f>DT5</f>
        <v>Pegar Valores Nombre J36</v>
      </c>
      <c r="DU267" s="21"/>
      <c r="DV267" s="21"/>
      <c r="DW267" s="21" t="str">
        <f t="shared" ref="DW267" si="2232">DW5</f>
        <v>Pegar Valores Nombre J37</v>
      </c>
      <c r="DX267" s="21"/>
      <c r="DY267" s="21"/>
      <c r="DZ267" s="21" t="str">
        <f t="shared" ref="DZ267" si="2233">DZ5</f>
        <v>Pegar Valores Nombre J38</v>
      </c>
      <c r="EA267" s="21"/>
      <c r="EB267" s="21"/>
      <c r="EC267" s="21" t="str">
        <f t="shared" ref="EC267" si="2234">EC5</f>
        <v>Pegar Valores Nombre J39</v>
      </c>
      <c r="ED267" s="21"/>
      <c r="EE267" s="21"/>
      <c r="EF267" s="21" t="str">
        <f t="shared" ref="EF267" si="2235">EF5</f>
        <v>Pegar Valores Nombre J40</v>
      </c>
      <c r="EG267" s="21"/>
      <c r="EH267" s="21"/>
      <c r="EI267" s="13"/>
    </row>
    <row r="268" spans="1:139" customFormat="1">
      <c r="A268" s="711"/>
      <c r="B268" s="13"/>
      <c r="C268" s="13"/>
      <c r="D268" s="13"/>
      <c r="E268" s="711"/>
      <c r="F268" s="711"/>
      <c r="G268" s="711"/>
      <c r="H268" s="711"/>
      <c r="I268" s="13"/>
      <c r="J268" s="13"/>
      <c r="K268" s="13"/>
      <c r="L268" s="13"/>
      <c r="M268" s="13"/>
      <c r="N268" s="711"/>
      <c r="O268" s="711"/>
      <c r="P268" s="711"/>
      <c r="Q268" s="711"/>
      <c r="R268" s="711"/>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c r="BZ268" s="13"/>
      <c r="CA268" s="13"/>
      <c r="CB268" s="13"/>
      <c r="CC268" s="13"/>
      <c r="CD268" s="13"/>
      <c r="CE268" s="13"/>
      <c r="CF268" s="13"/>
      <c r="CG268" s="13"/>
      <c r="CH268" s="13"/>
      <c r="CI268" s="13"/>
      <c r="CJ268" s="13"/>
      <c r="CK268" s="13"/>
      <c r="CL268" s="13"/>
      <c r="CM268" s="13"/>
      <c r="CN268" s="13"/>
      <c r="CO268" s="13"/>
      <c r="CP268" s="13"/>
      <c r="CQ268" s="13"/>
      <c r="CR268" s="13"/>
      <c r="CS268" s="13"/>
      <c r="CT268" s="13"/>
      <c r="CU268" s="13"/>
      <c r="CV268" s="13"/>
      <c r="CW268" s="13"/>
      <c r="CX268" s="13"/>
      <c r="CY268" s="13"/>
      <c r="CZ268" s="13"/>
      <c r="DA268" s="13"/>
      <c r="DB268" s="13"/>
      <c r="DC268" s="13"/>
      <c r="DD268" s="13"/>
      <c r="DE268" s="13"/>
      <c r="DF268" s="13"/>
      <c r="DG268" s="13"/>
      <c r="DH268" s="13"/>
      <c r="DI268" s="13"/>
      <c r="DJ268" s="13"/>
      <c r="DK268" s="13"/>
      <c r="DL268" s="13"/>
      <c r="DM268" s="13"/>
      <c r="DN268" s="13"/>
      <c r="DO268" s="13"/>
      <c r="DP268" s="13"/>
      <c r="DQ268" s="13"/>
      <c r="DR268" s="13"/>
      <c r="DS268" s="13"/>
      <c r="DT268" s="13"/>
      <c r="DU268" s="13"/>
      <c r="DV268" s="13"/>
      <c r="DW268" s="13"/>
      <c r="DX268" s="13"/>
      <c r="DY268" s="13"/>
      <c r="DZ268" s="13"/>
      <c r="EA268" s="13"/>
      <c r="EB268" s="13"/>
      <c r="EC268" s="13"/>
      <c r="ED268" s="13"/>
      <c r="EE268" s="13"/>
      <c r="EF268" s="13"/>
      <c r="EG268" s="13"/>
      <c r="EH268" s="13"/>
      <c r="EI268" s="13"/>
    </row>
    <row r="269" spans="1:139" customFormat="1">
      <c r="A269" s="711"/>
      <c r="B269" s="13"/>
      <c r="C269" s="13"/>
      <c r="D269" s="13"/>
      <c r="E269" s="711"/>
      <c r="F269" s="711"/>
      <c r="G269" s="711"/>
      <c r="H269" s="711"/>
      <c r="I269" s="13"/>
      <c r="J269" s="13"/>
      <c r="K269" s="13"/>
      <c r="L269" s="13"/>
      <c r="M269" s="13"/>
      <c r="N269" s="711"/>
      <c r="O269" s="711"/>
      <c r="P269" s="711"/>
      <c r="Q269" s="711"/>
      <c r="R269" s="711"/>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c r="BZ269" s="13"/>
      <c r="CA269" s="13"/>
      <c r="CB269" s="13"/>
      <c r="CC269" s="13"/>
      <c r="CD269" s="13"/>
      <c r="CE269" s="13"/>
      <c r="CF269" s="13"/>
      <c r="CG269" s="13"/>
      <c r="CH269" s="13"/>
      <c r="CI269" s="13"/>
      <c r="CJ269" s="13"/>
      <c r="CK269" s="13"/>
      <c r="CL269" s="13"/>
      <c r="CM269" s="13"/>
      <c r="CN269" s="13"/>
      <c r="CO269" s="13"/>
      <c r="CP269" s="13"/>
      <c r="CQ269" s="13"/>
      <c r="CR269" s="13"/>
      <c r="CS269" s="13"/>
      <c r="CT269" s="13"/>
      <c r="CU269" s="13"/>
      <c r="CV269" s="13"/>
      <c r="CW269" s="13"/>
      <c r="CX269" s="13"/>
      <c r="CY269" s="13"/>
      <c r="CZ269" s="13"/>
      <c r="DA269" s="13"/>
      <c r="DB269" s="13"/>
      <c r="DC269" s="13"/>
      <c r="DD269" s="13"/>
      <c r="DE269" s="13"/>
      <c r="DF269" s="13"/>
      <c r="DG269" s="13"/>
      <c r="DH269" s="13"/>
      <c r="DI269" s="13"/>
      <c r="DJ269" s="13"/>
      <c r="DK269" s="13"/>
      <c r="DL269" s="13"/>
      <c r="DM269" s="13"/>
      <c r="DN269" s="13"/>
      <c r="DO269" s="13"/>
      <c r="DP269" s="13"/>
      <c r="DQ269" s="13"/>
      <c r="DR269" s="13"/>
      <c r="DS269" s="13"/>
      <c r="DT269" s="13"/>
      <c r="DU269" s="13"/>
      <c r="DV269" s="13"/>
      <c r="DW269" s="13"/>
      <c r="DX269" s="13"/>
      <c r="DY269" s="13"/>
      <c r="DZ269" s="13"/>
      <c r="EA269" s="13"/>
      <c r="EB269" s="13"/>
      <c r="EC269" s="13"/>
      <c r="ED269" s="13"/>
      <c r="EE269" s="13"/>
      <c r="EF269" s="13"/>
      <c r="EG269" s="13"/>
      <c r="EH269" s="13"/>
      <c r="EI269" s="13"/>
    </row>
  </sheetData>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I200:I207 I220:I223 I232:I233 I244 I247 K164:M179 K200:M207 K220:M223 K232:M233 K244:M244 K247:M247">
    <cfRule type="expression" dxfId="29" priority="1">
      <formula>IF($I6=3,1,0)</formula>
    </cfRule>
    <cfRule type="expression" dxfId="28" priority="2">
      <formula>IF($I6=2,1,0)</formula>
    </cfRule>
  </conditionalFormatting>
  <dataValidations count="1">
    <dataValidation type="whole" allowBlank="1" showInputMessage="1" showErrorMessage="1" sqref="D8:D47">
      <formula1>0</formula1>
      <formula2>10000</formula2>
    </dataValidation>
  </dataValidations>
  <pageMargins left="0.7" right="0.7" top="0.75" bottom="0.75" header="0.3" footer="0.3"/>
  <pageSetup paperSize="9" orientation="portrait" r:id="rId1"/>
  <ignoredErrors>
    <ignoredError sqref="S253" unlockedFormula="1"/>
  </ignoredErrors>
  <extLst>
    <ext xmlns:x14="http://schemas.microsoft.com/office/spreadsheetml/2009/9/main" uri="{CCE6A557-97BC-4b89-ADB6-D9C93CAAB3DF}">
      <x14:dataValidations xmlns:xm="http://schemas.microsoft.com/office/excel/2006/main" count="4">
        <x14:dataValidation type="list" allowBlank="1" showInputMessage="1" showErrorMessage="1">
          <x14:formula1>
            <xm:f>Equipos!$O$2:$O$41</xm:f>
          </x14:formula1>
          <xm:sqref>D5</xm:sqref>
        </x14:dataValidation>
        <x14:dataValidation type="list" allowBlank="1" showInputMessage="1" showErrorMessage="1">
          <x14:formula1>
            <xm:f>Equipos!$O$2:$O$4</xm:f>
          </x14:formula1>
          <xm:sqref>I247 I164:I179 I200:I207 I220:I223 I232:I233 I244 I6:I77</xm:sqref>
        </x14:dataValidation>
        <x14:dataValidation type="list" allowBlank="1" showInputMessage="1" showErrorMessage="1">
          <x14:formula1>
            <xm:f>Equipos!$T$1:$T$21</xm:f>
          </x14:formula1>
          <xm:sqref>D57</xm:sqref>
        </x14:dataValidation>
        <x14:dataValidation type="list" allowBlank="1" showInputMessage="1" showErrorMessage="1">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7"/>
  <sheetViews>
    <sheetView workbookViewId="0">
      <selection activeCell="E74" sqref="E74"/>
    </sheetView>
  </sheetViews>
  <sheetFormatPr baseColWidth="10" defaultRowHeight="15"/>
  <cols>
    <col min="2" max="2" width="28.5703125" customWidth="1"/>
    <col min="3" max="5" width="11.42578125" style="6"/>
    <col min="6" max="6" width="12.7109375" style="6" bestFit="1" customWidth="1"/>
    <col min="7" max="11" width="11.42578125" style="6"/>
    <col min="12" max="12" width="28.5703125" customWidth="1"/>
  </cols>
  <sheetData>
    <row r="1" spans="2:12" ht="15.75" thickBot="1">
      <c r="B1" s="781" t="s">
        <v>1936</v>
      </c>
      <c r="C1" s="797" t="s">
        <v>1937</v>
      </c>
      <c r="D1" s="798" t="s">
        <v>1938</v>
      </c>
      <c r="E1" s="798" t="s">
        <v>1939</v>
      </c>
      <c r="F1" s="798" t="s">
        <v>1940</v>
      </c>
      <c r="G1" s="798" t="s">
        <v>1941</v>
      </c>
      <c r="H1" s="798" t="s">
        <v>1942</v>
      </c>
      <c r="I1" s="798" t="s">
        <v>1943</v>
      </c>
      <c r="J1" s="799" t="s">
        <v>1944</v>
      </c>
      <c r="K1" s="781" t="s">
        <v>1945</v>
      </c>
      <c r="L1" s="782" t="str">
        <f>B1</f>
        <v>nombre</v>
      </c>
    </row>
    <row r="2" spans="2:12">
      <c r="B2" s="779" t="str">
        <f>+ADMIN!S253</f>
        <v>Mbappé</v>
      </c>
      <c r="C2" s="791"/>
      <c r="D2" s="792"/>
      <c r="E2" s="792"/>
      <c r="F2" s="792"/>
      <c r="G2" s="792"/>
      <c r="H2" s="792"/>
      <c r="I2" s="792"/>
      <c r="J2" s="793"/>
      <c r="K2" s="794">
        <f>SUM(C2:J2)</f>
        <v>0</v>
      </c>
      <c r="L2" s="780" t="str">
        <f>B2</f>
        <v>Mbappé</v>
      </c>
    </row>
    <row r="3" spans="2:12">
      <c r="B3" s="779" t="str">
        <f>+ADMIN!S254</f>
        <v>Cristiano Ronaldo</v>
      </c>
      <c r="C3" s="783"/>
      <c r="D3" s="784"/>
      <c r="E3" s="784"/>
      <c r="F3" s="784"/>
      <c r="G3" s="784"/>
      <c r="H3" s="784"/>
      <c r="I3" s="784"/>
      <c r="J3" s="785"/>
      <c r="K3" s="786">
        <f t="shared" ref="K3:K16" si="0">SUM(C3:J3)</f>
        <v>0</v>
      </c>
      <c r="L3" s="777" t="str">
        <f t="shared" ref="L3:L15" si="1">B3</f>
        <v>Cristiano Ronaldo</v>
      </c>
    </row>
    <row r="4" spans="2:12">
      <c r="B4" s="779" t="str">
        <f>+ADMIN!S255</f>
        <v>Lamine Yamal</v>
      </c>
      <c r="C4" s="783"/>
      <c r="D4" s="784"/>
      <c r="E4" s="784"/>
      <c r="F4" s="784"/>
      <c r="G4" s="784"/>
      <c r="H4" s="784"/>
      <c r="I4" s="784"/>
      <c r="J4" s="785"/>
      <c r="K4" s="786">
        <f t="shared" si="0"/>
        <v>0</v>
      </c>
      <c r="L4" s="777" t="str">
        <f t="shared" si="1"/>
        <v>Lamine Yamal</v>
      </c>
    </row>
    <row r="5" spans="2:12">
      <c r="B5" s="775" t="str">
        <f>ADMIN!V254</f>
        <v>Julián Alvarez</v>
      </c>
      <c r="C5" s="783"/>
      <c r="D5" s="784"/>
      <c r="E5" s="784"/>
      <c r="F5" s="784"/>
      <c r="G5" s="784"/>
      <c r="H5" s="784"/>
      <c r="I5" s="784"/>
      <c r="J5" s="785"/>
      <c r="K5" s="786">
        <f t="shared" si="0"/>
        <v>0</v>
      </c>
      <c r="L5" s="777" t="str">
        <f t="shared" si="1"/>
        <v>Julián Alvarez</v>
      </c>
    </row>
    <row r="6" spans="2:12">
      <c r="B6" s="775" t="str">
        <f>ADMIN!V255</f>
        <v>Havertz</v>
      </c>
      <c r="C6" s="783"/>
      <c r="D6" s="784"/>
      <c r="E6" s="784"/>
      <c r="F6" s="784"/>
      <c r="G6" s="784"/>
      <c r="H6" s="784"/>
      <c r="I6" s="784"/>
      <c r="J6" s="785"/>
      <c r="K6" s="786">
        <f t="shared" si="0"/>
        <v>0</v>
      </c>
      <c r="L6" s="777" t="str">
        <f t="shared" si="1"/>
        <v>Havertz</v>
      </c>
    </row>
    <row r="7" spans="2:12">
      <c r="B7" s="775" t="str">
        <f>ADMIN!Y254</f>
        <v>Oyarzabal</v>
      </c>
      <c r="C7" s="783"/>
      <c r="D7" s="784"/>
      <c r="E7" s="784"/>
      <c r="F7" s="784"/>
      <c r="G7" s="784"/>
      <c r="H7" s="784"/>
      <c r="I7" s="784"/>
      <c r="J7" s="785"/>
      <c r="K7" s="786">
        <f t="shared" si="0"/>
        <v>0</v>
      </c>
      <c r="L7" s="777" t="str">
        <f t="shared" si="1"/>
        <v>Oyarzabal</v>
      </c>
    </row>
    <row r="8" spans="2:12">
      <c r="B8" s="775" t="str">
        <f>ADMIN!AB253</f>
        <v>Dembelè</v>
      </c>
      <c r="C8" s="783"/>
      <c r="D8" s="784"/>
      <c r="E8" s="784"/>
      <c r="F8" s="784"/>
      <c r="G8" s="784"/>
      <c r="H8" s="784"/>
      <c r="I8" s="784"/>
      <c r="J8" s="785"/>
      <c r="K8" s="786">
        <f t="shared" si="0"/>
        <v>0</v>
      </c>
      <c r="L8" s="777" t="str">
        <f t="shared" si="1"/>
        <v>Dembelè</v>
      </c>
    </row>
    <row r="9" spans="2:12">
      <c r="B9" s="775" t="str">
        <f>ADMIN!AB255</f>
        <v>Oliseh</v>
      </c>
      <c r="C9" s="783"/>
      <c r="D9" s="784"/>
      <c r="E9" s="784"/>
      <c r="F9" s="784"/>
      <c r="G9" s="784"/>
      <c r="H9" s="784"/>
      <c r="I9" s="784"/>
      <c r="J9" s="785"/>
      <c r="K9" s="786">
        <f t="shared" si="0"/>
        <v>0</v>
      </c>
      <c r="L9" s="777" t="str">
        <f t="shared" si="1"/>
        <v>Oliseh</v>
      </c>
    </row>
    <row r="10" spans="2:12">
      <c r="B10" s="775" t="str">
        <f>ADMIN!AE253</f>
        <v>Messi</v>
      </c>
      <c r="C10" s="783"/>
      <c r="D10" s="784"/>
      <c r="E10" s="784"/>
      <c r="F10" s="784"/>
      <c r="G10" s="784"/>
      <c r="H10" s="784"/>
      <c r="I10" s="784"/>
      <c r="J10" s="785"/>
      <c r="K10" s="786">
        <f t="shared" si="0"/>
        <v>0</v>
      </c>
      <c r="L10" s="777" t="str">
        <f t="shared" si="1"/>
        <v>Messi</v>
      </c>
    </row>
    <row r="11" spans="2:12">
      <c r="B11" s="775" t="str">
        <f>ADMIN!AH254</f>
        <v>Kane</v>
      </c>
      <c r="C11" s="783"/>
      <c r="D11" s="784"/>
      <c r="E11" s="784"/>
      <c r="F11" s="784"/>
      <c r="G11" s="784"/>
      <c r="H11" s="784"/>
      <c r="I11" s="784"/>
      <c r="J11" s="785"/>
      <c r="K11" s="786">
        <f t="shared" si="0"/>
        <v>0</v>
      </c>
      <c r="L11" s="777" t="str">
        <f t="shared" si="1"/>
        <v>Kane</v>
      </c>
    </row>
    <row r="12" spans="2:12">
      <c r="B12" s="775" t="str">
        <f>ADMIN!AQ253</f>
        <v>Romelu Lukaku</v>
      </c>
      <c r="C12" s="783"/>
      <c r="D12" s="784"/>
      <c r="E12" s="784"/>
      <c r="F12" s="784"/>
      <c r="G12" s="784"/>
      <c r="H12" s="784"/>
      <c r="I12" s="784"/>
      <c r="J12" s="785"/>
      <c r="K12" s="786">
        <f t="shared" si="0"/>
        <v>0</v>
      </c>
      <c r="L12" s="777" t="str">
        <f t="shared" si="1"/>
        <v>Romelu Lukaku</v>
      </c>
    </row>
    <row r="13" spans="2:12">
      <c r="B13" s="775" t="str">
        <f>ADMIN!AQ255</f>
        <v>Woltemade</v>
      </c>
      <c r="C13" s="783"/>
      <c r="D13" s="784"/>
      <c r="E13" s="784"/>
      <c r="F13" s="784"/>
      <c r="G13" s="784"/>
      <c r="H13" s="784"/>
      <c r="I13" s="784"/>
      <c r="J13" s="785"/>
      <c r="K13" s="786">
        <f t="shared" si="0"/>
        <v>0</v>
      </c>
      <c r="L13" s="777" t="str">
        <f t="shared" si="1"/>
        <v>Woltemade</v>
      </c>
    </row>
    <row r="14" spans="2:12">
      <c r="B14" s="775" t="str">
        <f>+ADMIN!AT255</f>
        <v>Halland</v>
      </c>
      <c r="C14" s="783"/>
      <c r="D14" s="784"/>
      <c r="E14" s="784"/>
      <c r="F14" s="784"/>
      <c r="G14" s="784"/>
      <c r="H14" s="784"/>
      <c r="I14" s="784"/>
      <c r="J14" s="785"/>
      <c r="K14" s="786">
        <f t="shared" si="0"/>
        <v>0</v>
      </c>
      <c r="L14" s="777" t="str">
        <f t="shared" si="1"/>
        <v>Halland</v>
      </c>
    </row>
    <row r="15" spans="2:12">
      <c r="B15" s="775" t="str">
        <f>+ADMIN!BC255</f>
        <v>Dumfries</v>
      </c>
      <c r="C15" s="783"/>
      <c r="D15" s="784"/>
      <c r="E15" s="784"/>
      <c r="F15" s="784"/>
      <c r="G15" s="784"/>
      <c r="H15" s="784"/>
      <c r="I15" s="784"/>
      <c r="J15" s="785"/>
      <c r="K15" s="786">
        <f t="shared" si="0"/>
        <v>0</v>
      </c>
      <c r="L15" s="777" t="str">
        <f t="shared" si="1"/>
        <v>Dumfries</v>
      </c>
    </row>
    <row r="16" spans="2:12" ht="15.75" thickBot="1">
      <c r="B16" s="776"/>
      <c r="C16" s="787"/>
      <c r="D16" s="788"/>
      <c r="E16" s="788"/>
      <c r="F16" s="788"/>
      <c r="G16" s="788"/>
      <c r="H16" s="788"/>
      <c r="I16" s="788"/>
      <c r="J16" s="789"/>
      <c r="K16" s="790">
        <f t="shared" si="0"/>
        <v>0</v>
      </c>
      <c r="L16" s="778">
        <f>B16</f>
        <v>0</v>
      </c>
    </row>
    <row r="18" spans="2:12" ht="15.75" thickBot="1"/>
    <row r="19" spans="2:12" ht="15.75" thickBot="1">
      <c r="B19" s="781" t="str">
        <f>Equipos!K1</f>
        <v>Selección</v>
      </c>
      <c r="C19" s="797" t="s">
        <v>1937</v>
      </c>
      <c r="D19" s="798" t="s">
        <v>1938</v>
      </c>
      <c r="E19" s="798" t="s">
        <v>1939</v>
      </c>
      <c r="F19" s="798" t="s">
        <v>1940</v>
      </c>
      <c r="G19" s="798" t="s">
        <v>1941</v>
      </c>
      <c r="H19" s="798" t="s">
        <v>1942</v>
      </c>
      <c r="I19" s="798" t="s">
        <v>1943</v>
      </c>
      <c r="J19" s="799" t="s">
        <v>1944</v>
      </c>
      <c r="K19" s="781" t="s">
        <v>1945</v>
      </c>
      <c r="L19" s="782" t="str">
        <f>B19</f>
        <v>Selección</v>
      </c>
    </row>
    <row r="20" spans="2:12">
      <c r="B20" s="779" t="str">
        <f ca="1">Equipos!K2</f>
        <v>Alemania</v>
      </c>
      <c r="C20" s="791">
        <f>+WORLDCUP!AC36</f>
        <v>0</v>
      </c>
      <c r="D20" s="792">
        <f>+WORLDCUP!AC38</f>
        <v>0</v>
      </c>
      <c r="E20" s="792">
        <f>+WORLDCUP!AD41</f>
        <v>0</v>
      </c>
      <c r="F20" s="792"/>
      <c r="G20" s="792"/>
      <c r="H20" s="792"/>
      <c r="I20" s="792"/>
      <c r="J20" s="793"/>
      <c r="K20" s="794">
        <f>SUM(C20:J20)</f>
        <v>0</v>
      </c>
      <c r="L20" s="780" t="str">
        <f ca="1">B20</f>
        <v>Alemania</v>
      </c>
    </row>
    <row r="21" spans="2:12" hidden="1">
      <c r="B21" s="775" t="str">
        <f ca="1">Equipos!K3</f>
        <v>Arabia Saudita</v>
      </c>
      <c r="C21" s="783"/>
      <c r="D21" s="784"/>
      <c r="E21" s="784"/>
      <c r="F21" s="784"/>
      <c r="G21" s="784"/>
      <c r="H21" s="784"/>
      <c r="I21" s="784"/>
      <c r="J21" s="785"/>
      <c r="K21" s="794">
        <f t="shared" ref="K21:K67" si="2">SUM(C21:J21)</f>
        <v>0</v>
      </c>
      <c r="L21" s="780" t="str">
        <f t="shared" ref="L21:L67" ca="1" si="3">B21</f>
        <v>Arabia Saudita</v>
      </c>
    </row>
    <row r="22" spans="2:12" hidden="1">
      <c r="B22" s="775" t="str">
        <f ca="1">Equipos!K4</f>
        <v>Argelia</v>
      </c>
      <c r="C22" s="783"/>
      <c r="D22" s="784"/>
      <c r="E22" s="784"/>
      <c r="F22" s="784"/>
      <c r="G22" s="784"/>
      <c r="H22" s="784"/>
      <c r="I22" s="784"/>
      <c r="J22" s="785"/>
      <c r="K22" s="794">
        <f t="shared" si="2"/>
        <v>0</v>
      </c>
      <c r="L22" s="780" t="str">
        <f t="shared" ca="1" si="3"/>
        <v>Argelia</v>
      </c>
    </row>
    <row r="23" spans="2:12">
      <c r="B23" s="775" t="str">
        <f ca="1">Equipos!K5</f>
        <v>Argentina</v>
      </c>
      <c r="C23" s="783">
        <f>+WORLDCUP!AC76</f>
        <v>0</v>
      </c>
      <c r="D23" s="784">
        <f>+WORLDCUP!AC78</f>
        <v>0</v>
      </c>
      <c r="E23" s="784">
        <f>+WORLDCUP!AD81</f>
        <v>0</v>
      </c>
      <c r="F23" s="784"/>
      <c r="G23" s="784"/>
      <c r="H23" s="784"/>
      <c r="I23" s="784"/>
      <c r="J23" s="785"/>
      <c r="K23" s="794">
        <f t="shared" si="2"/>
        <v>0</v>
      </c>
      <c r="L23" s="780" t="str">
        <f t="shared" ca="1" si="3"/>
        <v>Argentina</v>
      </c>
    </row>
    <row r="24" spans="2:12" hidden="1">
      <c r="B24" s="775" t="str">
        <f ca="1">Equipos!K6</f>
        <v>Australia</v>
      </c>
      <c r="C24" s="783"/>
      <c r="D24" s="784"/>
      <c r="E24" s="784"/>
      <c r="F24" s="784"/>
      <c r="G24" s="784"/>
      <c r="H24" s="784"/>
      <c r="I24" s="784"/>
      <c r="J24" s="785"/>
      <c r="K24" s="794">
        <f t="shared" si="2"/>
        <v>0</v>
      </c>
      <c r="L24" s="780" t="str">
        <f t="shared" ca="1" si="3"/>
        <v>Australia</v>
      </c>
    </row>
    <row r="25" spans="2:12" hidden="1">
      <c r="B25" s="775" t="str">
        <f ca="1">Equipos!K7</f>
        <v>Austria</v>
      </c>
      <c r="C25" s="783"/>
      <c r="D25" s="784"/>
      <c r="E25" s="784"/>
      <c r="F25" s="784"/>
      <c r="G25" s="784"/>
      <c r="H25" s="784"/>
      <c r="I25" s="784"/>
      <c r="J25" s="785"/>
      <c r="K25" s="794">
        <f t="shared" si="2"/>
        <v>0</v>
      </c>
      <c r="L25" s="780" t="str">
        <f t="shared" ca="1" si="3"/>
        <v>Austria</v>
      </c>
    </row>
    <row r="26" spans="2:12">
      <c r="B26" s="775" t="str">
        <f ca="1">Equipos!K8</f>
        <v>Bélgica</v>
      </c>
      <c r="C26" s="783">
        <f>+WORLDCUP!AC52</f>
        <v>0</v>
      </c>
      <c r="D26" s="784">
        <f>+WORLDCUP!AC54</f>
        <v>0</v>
      </c>
      <c r="E26" s="784">
        <f>+WORLDCUP!AD57</f>
        <v>0</v>
      </c>
      <c r="F26" s="784"/>
      <c r="G26" s="784"/>
      <c r="H26" s="784"/>
      <c r="I26" s="784"/>
      <c r="J26" s="785"/>
      <c r="K26" s="794">
        <f t="shared" si="2"/>
        <v>0</v>
      </c>
      <c r="L26" s="780" t="str">
        <f t="shared" ca="1" si="3"/>
        <v>Bélgica</v>
      </c>
    </row>
    <row r="27" spans="2:12">
      <c r="B27" s="775" t="str">
        <f ca="1">Equipos!K9</f>
        <v>Brasil</v>
      </c>
      <c r="C27" s="783">
        <f>+WORLDCUP!AC20</f>
        <v>0</v>
      </c>
      <c r="D27" s="784">
        <f>+WORLDCUP!AC23</f>
        <v>0</v>
      </c>
      <c r="E27" s="784">
        <f>+WORLDCUP!AD24</f>
        <v>0</v>
      </c>
      <c r="F27" s="784"/>
      <c r="G27" s="784"/>
      <c r="H27" s="784"/>
      <c r="I27" s="784"/>
      <c r="J27" s="785"/>
      <c r="K27" s="794">
        <f t="shared" si="2"/>
        <v>0</v>
      </c>
      <c r="L27" s="780" t="str">
        <f t="shared" ca="1" si="3"/>
        <v>Brasil</v>
      </c>
    </row>
    <row r="28" spans="2:12" hidden="1">
      <c r="B28" s="775" t="str">
        <f ca="1">Equipos!K10</f>
        <v>Cabo Verde</v>
      </c>
      <c r="C28" s="783"/>
      <c r="D28" s="784"/>
      <c r="E28" s="784"/>
      <c r="F28" s="784"/>
      <c r="G28" s="784"/>
      <c r="H28" s="784"/>
      <c r="I28" s="784"/>
      <c r="J28" s="785"/>
      <c r="K28" s="794">
        <f t="shared" si="2"/>
        <v>0</v>
      </c>
      <c r="L28" s="780" t="str">
        <f t="shared" ca="1" si="3"/>
        <v>Cabo Verde</v>
      </c>
    </row>
    <row r="29" spans="2:12" hidden="1">
      <c r="B29" s="775" t="str">
        <f ca="1">Equipos!K11</f>
        <v>Canadá</v>
      </c>
      <c r="C29" s="783"/>
      <c r="D29" s="784"/>
      <c r="E29" s="784"/>
      <c r="F29" s="784"/>
      <c r="G29" s="784"/>
      <c r="H29" s="784"/>
      <c r="I29" s="784"/>
      <c r="J29" s="785"/>
      <c r="K29" s="794">
        <f t="shared" si="2"/>
        <v>0</v>
      </c>
      <c r="L29" s="780" t="str">
        <f t="shared" ca="1" si="3"/>
        <v>Canadá</v>
      </c>
    </row>
    <row r="30" spans="2:12" hidden="1">
      <c r="B30" s="775" t="str">
        <f ca="1">Equipos!K12</f>
        <v>Catar</v>
      </c>
      <c r="C30" s="783"/>
      <c r="D30" s="784"/>
      <c r="E30" s="784"/>
      <c r="F30" s="784"/>
      <c r="G30" s="784"/>
      <c r="H30" s="784"/>
      <c r="I30" s="784"/>
      <c r="J30" s="785"/>
      <c r="K30" s="794">
        <f t="shared" si="2"/>
        <v>0</v>
      </c>
      <c r="L30" s="780" t="str">
        <f t="shared" ca="1" si="3"/>
        <v>Catar</v>
      </c>
    </row>
    <row r="31" spans="2:12" hidden="1">
      <c r="B31" s="775" t="str">
        <f ca="1">Equipos!K13</f>
        <v>Colombia</v>
      </c>
      <c r="C31" s="783"/>
      <c r="D31" s="784"/>
      <c r="E31" s="784"/>
      <c r="F31" s="784"/>
      <c r="G31" s="784"/>
      <c r="H31" s="784"/>
      <c r="I31" s="784"/>
      <c r="J31" s="785"/>
      <c r="K31" s="794">
        <f t="shared" si="2"/>
        <v>0</v>
      </c>
      <c r="L31" s="780" t="str">
        <f t="shared" ca="1" si="3"/>
        <v>Colombia</v>
      </c>
    </row>
    <row r="32" spans="2:12" hidden="1">
      <c r="B32" s="775" t="str">
        <f ca="1">Equipos!K14</f>
        <v>Corea del Sur</v>
      </c>
      <c r="C32" s="783"/>
      <c r="D32" s="784"/>
      <c r="E32" s="784"/>
      <c r="F32" s="784"/>
      <c r="G32" s="784"/>
      <c r="H32" s="784"/>
      <c r="I32" s="784"/>
      <c r="J32" s="785"/>
      <c r="K32" s="794">
        <f t="shared" si="2"/>
        <v>0</v>
      </c>
      <c r="L32" s="780" t="str">
        <f t="shared" ca="1" si="3"/>
        <v>Corea del Sur</v>
      </c>
    </row>
    <row r="33" spans="2:12" hidden="1">
      <c r="B33" s="775" t="str">
        <f ca="1">Equipos!K15</f>
        <v>Costa de Marfil</v>
      </c>
      <c r="C33" s="783"/>
      <c r="D33" s="784"/>
      <c r="E33" s="784"/>
      <c r="F33" s="784"/>
      <c r="G33" s="784"/>
      <c r="H33" s="784"/>
      <c r="I33" s="784"/>
      <c r="J33" s="785"/>
      <c r="K33" s="794">
        <f t="shared" si="2"/>
        <v>0</v>
      </c>
      <c r="L33" s="780" t="str">
        <f t="shared" ca="1" si="3"/>
        <v>Costa de Marfil</v>
      </c>
    </row>
    <row r="34" spans="2:12" hidden="1">
      <c r="B34" s="775" t="str">
        <f ca="1">Equipos!K16</f>
        <v>Croacia</v>
      </c>
      <c r="C34" s="783"/>
      <c r="D34" s="784"/>
      <c r="E34" s="784"/>
      <c r="F34" s="784"/>
      <c r="G34" s="784"/>
      <c r="H34" s="784"/>
      <c r="I34" s="784"/>
      <c r="J34" s="785"/>
      <c r="K34" s="794">
        <f t="shared" si="2"/>
        <v>0</v>
      </c>
      <c r="L34" s="780" t="str">
        <f t="shared" ca="1" si="3"/>
        <v>Croacia</v>
      </c>
    </row>
    <row r="35" spans="2:12" hidden="1">
      <c r="B35" s="775" t="str">
        <f ca="1">Equipos!K17</f>
        <v>Curazao</v>
      </c>
      <c r="C35" s="783"/>
      <c r="D35" s="784"/>
      <c r="E35" s="784"/>
      <c r="F35" s="784"/>
      <c r="G35" s="784"/>
      <c r="H35" s="784"/>
      <c r="I35" s="784"/>
      <c r="J35" s="785"/>
      <c r="K35" s="794">
        <f t="shared" si="2"/>
        <v>0</v>
      </c>
      <c r="L35" s="780" t="str">
        <f t="shared" ca="1" si="3"/>
        <v>Curazao</v>
      </c>
    </row>
    <row r="36" spans="2:12" hidden="1">
      <c r="B36" s="775" t="str">
        <f ca="1">Equipos!K18</f>
        <v>Ecuador</v>
      </c>
      <c r="C36" s="783"/>
      <c r="D36" s="784"/>
      <c r="E36" s="784"/>
      <c r="F36" s="784"/>
      <c r="G36" s="784"/>
      <c r="H36" s="784"/>
      <c r="I36" s="784"/>
      <c r="J36" s="785"/>
      <c r="K36" s="794">
        <f t="shared" si="2"/>
        <v>0</v>
      </c>
      <c r="L36" s="780" t="str">
        <f t="shared" ca="1" si="3"/>
        <v>Ecuador</v>
      </c>
    </row>
    <row r="37" spans="2:12" hidden="1">
      <c r="B37" s="775" t="str">
        <f ca="1">Equipos!K19</f>
        <v>Egipto</v>
      </c>
      <c r="C37" s="783"/>
      <c r="D37" s="784"/>
      <c r="E37" s="784"/>
      <c r="F37" s="784"/>
      <c r="G37" s="784"/>
      <c r="H37" s="784"/>
      <c r="I37" s="784"/>
      <c r="J37" s="785"/>
      <c r="K37" s="794">
        <f t="shared" si="2"/>
        <v>0</v>
      </c>
      <c r="L37" s="780" t="str">
        <f t="shared" ca="1" si="3"/>
        <v>Egipto</v>
      </c>
    </row>
    <row r="38" spans="2:12" hidden="1">
      <c r="B38" s="775" t="str">
        <f ca="1">Equipos!K20</f>
        <v>Escocia</v>
      </c>
      <c r="C38" s="783"/>
      <c r="D38" s="784"/>
      <c r="E38" s="784"/>
      <c r="F38" s="784"/>
      <c r="G38" s="784"/>
      <c r="H38" s="784"/>
      <c r="I38" s="784"/>
      <c r="J38" s="785"/>
      <c r="K38" s="794">
        <f t="shared" si="2"/>
        <v>0</v>
      </c>
      <c r="L38" s="780" t="str">
        <f t="shared" ca="1" si="3"/>
        <v>Escocia</v>
      </c>
    </row>
    <row r="39" spans="2:12">
      <c r="B39" s="775" t="str">
        <f ca="1">Equipos!K21</f>
        <v>España</v>
      </c>
      <c r="C39" s="783">
        <f>+WORLDCUP!AC60</f>
        <v>0</v>
      </c>
      <c r="D39" s="784">
        <f>+WORLDCUP!AC62</f>
        <v>0</v>
      </c>
      <c r="E39" s="784">
        <f>+WORLDCUP!AD65</f>
        <v>0</v>
      </c>
      <c r="F39" s="784"/>
      <c r="G39" s="784"/>
      <c r="H39" s="784"/>
      <c r="I39" s="784"/>
      <c r="J39" s="785"/>
      <c r="K39" s="794">
        <f t="shared" si="2"/>
        <v>0</v>
      </c>
      <c r="L39" s="780" t="str">
        <f t="shared" ca="1" si="3"/>
        <v>España</v>
      </c>
    </row>
    <row r="40" spans="2:12" hidden="1">
      <c r="B40" s="775" t="str">
        <f ca="1">Equipos!K22</f>
        <v>Estados Unidos</v>
      </c>
      <c r="C40" s="783"/>
      <c r="D40" s="784"/>
      <c r="E40" s="784"/>
      <c r="F40" s="784"/>
      <c r="G40" s="784"/>
      <c r="H40" s="784"/>
      <c r="I40" s="784"/>
      <c r="J40" s="785"/>
      <c r="K40" s="794">
        <f t="shared" si="2"/>
        <v>0</v>
      </c>
      <c r="L40" s="780" t="str">
        <f t="shared" ca="1" si="3"/>
        <v>Estados Unidos</v>
      </c>
    </row>
    <row r="41" spans="2:12">
      <c r="B41" s="775" t="str">
        <f ca="1">Equipos!K23</f>
        <v>Francia</v>
      </c>
      <c r="C41" s="783">
        <f>+WORLDCUP!AC68</f>
        <v>0</v>
      </c>
      <c r="D41" s="784">
        <f>+WORLDCUP!AC70</f>
        <v>0</v>
      </c>
      <c r="E41" s="784">
        <f>+WORLDCUP!AD72</f>
        <v>0</v>
      </c>
      <c r="F41" s="784"/>
      <c r="G41" s="784"/>
      <c r="H41" s="784"/>
      <c r="I41" s="784"/>
      <c r="J41" s="785"/>
      <c r="K41" s="794">
        <f t="shared" si="2"/>
        <v>0</v>
      </c>
      <c r="L41" s="780" t="str">
        <f t="shared" ca="1" si="3"/>
        <v>Francia</v>
      </c>
    </row>
    <row r="42" spans="2:12" hidden="1">
      <c r="B42" s="775" t="str">
        <f ca="1">Equipos!K24</f>
        <v>Ghana</v>
      </c>
      <c r="C42" s="783"/>
      <c r="D42" s="784"/>
      <c r="E42" s="784"/>
      <c r="F42" s="784"/>
      <c r="G42" s="784"/>
      <c r="H42" s="784"/>
      <c r="I42" s="784"/>
      <c r="J42" s="785"/>
      <c r="K42" s="794">
        <f t="shared" si="2"/>
        <v>0</v>
      </c>
      <c r="L42" s="780" t="str">
        <f t="shared" ca="1" si="3"/>
        <v>Ghana</v>
      </c>
    </row>
    <row r="43" spans="2:12" hidden="1">
      <c r="B43" s="775" t="str">
        <f ca="1">Equipos!K25</f>
        <v>Haití</v>
      </c>
      <c r="C43" s="783"/>
      <c r="D43" s="784"/>
      <c r="E43" s="784"/>
      <c r="F43" s="784"/>
      <c r="G43" s="784"/>
      <c r="H43" s="784"/>
      <c r="I43" s="784"/>
      <c r="J43" s="785"/>
      <c r="K43" s="794">
        <f t="shared" si="2"/>
        <v>0</v>
      </c>
      <c r="L43" s="780" t="str">
        <f t="shared" ca="1" si="3"/>
        <v>Haití</v>
      </c>
    </row>
    <row r="44" spans="2:12">
      <c r="B44" s="775" t="str">
        <f ca="1">Equipos!K26</f>
        <v>Inglaterra</v>
      </c>
      <c r="C44" s="783">
        <f>+WORLDCUP!AC92</f>
        <v>0</v>
      </c>
      <c r="D44" s="784">
        <f>+WORLDCUP!AC94</f>
        <v>0</v>
      </c>
      <c r="E44" s="784">
        <f>+WORLDCUP!AD96</f>
        <v>0</v>
      </c>
      <c r="F44" s="784"/>
      <c r="G44" s="784"/>
      <c r="H44" s="784"/>
      <c r="I44" s="784"/>
      <c r="J44" s="785"/>
      <c r="K44" s="794">
        <f t="shared" si="2"/>
        <v>0</v>
      </c>
      <c r="L44" s="780" t="str">
        <f t="shared" ca="1" si="3"/>
        <v>Inglaterra</v>
      </c>
    </row>
    <row r="45" spans="2:12" hidden="1">
      <c r="B45" s="775" t="str">
        <f ca="1">Equipos!K27</f>
        <v>Irán</v>
      </c>
      <c r="C45" s="783"/>
      <c r="D45" s="784"/>
      <c r="E45" s="784"/>
      <c r="F45" s="784"/>
      <c r="G45" s="784"/>
      <c r="H45" s="784"/>
      <c r="I45" s="784"/>
      <c r="J45" s="785"/>
      <c r="K45" s="794">
        <f t="shared" si="2"/>
        <v>0</v>
      </c>
      <c r="L45" s="780" t="str">
        <f t="shared" ca="1" si="3"/>
        <v>Irán</v>
      </c>
    </row>
    <row r="46" spans="2:12" hidden="1">
      <c r="B46" s="775" t="str">
        <f ca="1">Equipos!K28</f>
        <v>Japón</v>
      </c>
      <c r="C46" s="783"/>
      <c r="D46" s="784"/>
      <c r="E46" s="784"/>
      <c r="F46" s="784"/>
      <c r="G46" s="784"/>
      <c r="H46" s="784"/>
      <c r="I46" s="784"/>
      <c r="J46" s="785"/>
      <c r="K46" s="794">
        <f t="shared" si="2"/>
        <v>0</v>
      </c>
      <c r="L46" s="780" t="str">
        <f t="shared" ca="1" si="3"/>
        <v>Japón</v>
      </c>
    </row>
    <row r="47" spans="2:12" hidden="1">
      <c r="B47" s="775" t="str">
        <f ca="1">Equipos!K29</f>
        <v>Jordania</v>
      </c>
      <c r="C47" s="783"/>
      <c r="D47" s="784"/>
      <c r="E47" s="784"/>
      <c r="F47" s="784"/>
      <c r="G47" s="784"/>
      <c r="H47" s="784"/>
      <c r="I47" s="784"/>
      <c r="J47" s="785"/>
      <c r="K47" s="794">
        <f t="shared" si="2"/>
        <v>0</v>
      </c>
      <c r="L47" s="780" t="str">
        <f t="shared" ca="1" si="3"/>
        <v>Jordania</v>
      </c>
    </row>
    <row r="48" spans="2:12" hidden="1">
      <c r="B48" s="775" t="str">
        <f ca="1">Equipos!K30</f>
        <v>Marruecos</v>
      </c>
      <c r="C48" s="783"/>
      <c r="D48" s="784"/>
      <c r="E48" s="784"/>
      <c r="F48" s="784"/>
      <c r="G48" s="784"/>
      <c r="H48" s="784"/>
      <c r="I48" s="784"/>
      <c r="J48" s="785"/>
      <c r="K48" s="794">
        <f t="shared" si="2"/>
        <v>0</v>
      </c>
      <c r="L48" s="780" t="str">
        <f t="shared" ca="1" si="3"/>
        <v>Marruecos</v>
      </c>
    </row>
    <row r="49" spans="2:12" hidden="1">
      <c r="B49" s="775" t="str">
        <f ca="1">Equipos!K31</f>
        <v>México</v>
      </c>
      <c r="C49" s="783"/>
      <c r="D49" s="784"/>
      <c r="E49" s="784"/>
      <c r="F49" s="784"/>
      <c r="G49" s="784"/>
      <c r="H49" s="784"/>
      <c r="I49" s="784"/>
      <c r="J49" s="785"/>
      <c r="K49" s="794">
        <f t="shared" si="2"/>
        <v>0</v>
      </c>
      <c r="L49" s="780" t="str">
        <f t="shared" ca="1" si="3"/>
        <v>México</v>
      </c>
    </row>
    <row r="50" spans="2:12" hidden="1">
      <c r="B50" s="775" t="str">
        <f ca="1">Equipos!K32</f>
        <v>Noruega</v>
      </c>
      <c r="C50" s="783"/>
      <c r="D50" s="784"/>
      <c r="E50" s="784"/>
      <c r="F50" s="784"/>
      <c r="G50" s="784"/>
      <c r="H50" s="784"/>
      <c r="I50" s="784"/>
      <c r="J50" s="785"/>
      <c r="K50" s="794">
        <f t="shared" si="2"/>
        <v>0</v>
      </c>
      <c r="L50" s="780" t="str">
        <f t="shared" ca="1" si="3"/>
        <v>Noruega</v>
      </c>
    </row>
    <row r="51" spans="2:12" hidden="1">
      <c r="B51" s="775" t="str">
        <f ca="1">Equipos!K33</f>
        <v>Nueva Zelanda</v>
      </c>
      <c r="C51" s="783"/>
      <c r="D51" s="784"/>
      <c r="E51" s="784"/>
      <c r="F51" s="784"/>
      <c r="G51" s="784"/>
      <c r="H51" s="784"/>
      <c r="I51" s="784"/>
      <c r="J51" s="785"/>
      <c r="K51" s="794">
        <f t="shared" si="2"/>
        <v>0</v>
      </c>
      <c r="L51" s="780" t="str">
        <f t="shared" ca="1" si="3"/>
        <v>Nueva Zelanda</v>
      </c>
    </row>
    <row r="52" spans="2:12" hidden="1">
      <c r="B52" s="775" t="str">
        <f ca="1">Equipos!K34</f>
        <v>Países Bajos</v>
      </c>
      <c r="C52" s="783"/>
      <c r="D52" s="784"/>
      <c r="E52" s="784"/>
      <c r="F52" s="784"/>
      <c r="G52" s="784"/>
      <c r="H52" s="784"/>
      <c r="I52" s="784"/>
      <c r="J52" s="785"/>
      <c r="K52" s="794">
        <f t="shared" si="2"/>
        <v>0</v>
      </c>
      <c r="L52" s="780" t="str">
        <f t="shared" ca="1" si="3"/>
        <v>Países Bajos</v>
      </c>
    </row>
    <row r="53" spans="2:12" hidden="1">
      <c r="B53" s="775" t="str">
        <f ca="1">Equipos!K35</f>
        <v>Panamá</v>
      </c>
      <c r="C53" s="783"/>
      <c r="D53" s="784"/>
      <c r="E53" s="784"/>
      <c r="F53" s="784"/>
      <c r="G53" s="784"/>
      <c r="H53" s="784"/>
      <c r="I53" s="784"/>
      <c r="J53" s="785"/>
      <c r="K53" s="794">
        <f t="shared" si="2"/>
        <v>0</v>
      </c>
      <c r="L53" s="780" t="str">
        <f t="shared" ca="1" si="3"/>
        <v>Panamá</v>
      </c>
    </row>
    <row r="54" spans="2:12" hidden="1">
      <c r="B54" s="775" t="str">
        <f ca="1">Equipos!K36</f>
        <v>Paraguay</v>
      </c>
      <c r="C54" s="783"/>
      <c r="D54" s="784"/>
      <c r="E54" s="784"/>
      <c r="F54" s="784"/>
      <c r="G54" s="784"/>
      <c r="H54" s="784"/>
      <c r="I54" s="784"/>
      <c r="J54" s="785"/>
      <c r="K54" s="794">
        <f t="shared" si="2"/>
        <v>0</v>
      </c>
      <c r="L54" s="780" t="str">
        <f t="shared" ca="1" si="3"/>
        <v>Paraguay</v>
      </c>
    </row>
    <row r="55" spans="2:12">
      <c r="B55" s="775" t="str">
        <f ca="1">Equipos!K37</f>
        <v>Portugal</v>
      </c>
      <c r="C55" s="783">
        <f>+WORLDCUP!AC84</f>
        <v>0</v>
      </c>
      <c r="D55" s="784">
        <f>+WORLDCUP!AC86</f>
        <v>0</v>
      </c>
      <c r="E55" s="784">
        <f>+WORLDCUP!AD88</f>
        <v>0</v>
      </c>
      <c r="F55" s="784"/>
      <c r="G55" s="784"/>
      <c r="H55" s="784"/>
      <c r="I55" s="784"/>
      <c r="J55" s="785"/>
      <c r="K55" s="794">
        <f t="shared" si="2"/>
        <v>0</v>
      </c>
      <c r="L55" s="780" t="str">
        <f t="shared" ca="1" si="3"/>
        <v>Portugal</v>
      </c>
    </row>
    <row r="56" spans="2:12" hidden="1">
      <c r="B56" s="775" t="str">
        <f ca="1">Equipos!K38</f>
        <v>Senegal</v>
      </c>
      <c r="C56" s="783"/>
      <c r="D56" s="784"/>
      <c r="E56" s="784"/>
      <c r="F56" s="784"/>
      <c r="G56" s="784"/>
      <c r="H56" s="784"/>
      <c r="I56" s="784"/>
      <c r="J56" s="785"/>
      <c r="K56" s="794">
        <f t="shared" si="2"/>
        <v>0</v>
      </c>
      <c r="L56" s="780" t="str">
        <f t="shared" ca="1" si="3"/>
        <v>Senegal</v>
      </c>
    </row>
    <row r="57" spans="2:12" hidden="1">
      <c r="B57" s="775" t="str">
        <f ca="1">Equipos!K39</f>
        <v>Sudáfrica</v>
      </c>
      <c r="C57" s="783"/>
      <c r="D57" s="784"/>
      <c r="E57" s="784"/>
      <c r="F57" s="784"/>
      <c r="G57" s="784"/>
      <c r="H57" s="784"/>
      <c r="I57" s="784"/>
      <c r="J57" s="785"/>
      <c r="K57" s="794">
        <f t="shared" si="2"/>
        <v>0</v>
      </c>
      <c r="L57" s="780" t="str">
        <f t="shared" ca="1" si="3"/>
        <v>Sudáfrica</v>
      </c>
    </row>
    <row r="58" spans="2:12" hidden="1">
      <c r="B58" s="775" t="str">
        <f ca="1">Equipos!K40</f>
        <v>Suiza</v>
      </c>
      <c r="C58" s="783"/>
      <c r="D58" s="784"/>
      <c r="E58" s="784"/>
      <c r="F58" s="784"/>
      <c r="G58" s="784"/>
      <c r="H58" s="784"/>
      <c r="I58" s="784"/>
      <c r="J58" s="785"/>
      <c r="K58" s="794">
        <f t="shared" si="2"/>
        <v>0</v>
      </c>
      <c r="L58" s="780" t="str">
        <f t="shared" ca="1" si="3"/>
        <v>Suiza</v>
      </c>
    </row>
    <row r="59" spans="2:12" hidden="1">
      <c r="B59" s="775" t="str">
        <f ca="1">Equipos!K41</f>
        <v>Túnez</v>
      </c>
      <c r="C59" s="783"/>
      <c r="D59" s="784"/>
      <c r="E59" s="784"/>
      <c r="F59" s="784"/>
      <c r="G59" s="784"/>
      <c r="H59" s="784"/>
      <c r="I59" s="784"/>
      <c r="J59" s="785"/>
      <c r="K59" s="794">
        <f t="shared" si="2"/>
        <v>0</v>
      </c>
      <c r="L59" s="780" t="str">
        <f t="shared" ca="1" si="3"/>
        <v>Túnez</v>
      </c>
    </row>
    <row r="60" spans="2:12" hidden="1">
      <c r="B60" s="775" t="str">
        <f ca="1">Equipos!K42</f>
        <v>Uruguay</v>
      </c>
      <c r="C60" s="783"/>
      <c r="D60" s="784"/>
      <c r="E60" s="784"/>
      <c r="F60" s="784"/>
      <c r="G60" s="784"/>
      <c r="H60" s="784"/>
      <c r="I60" s="784"/>
      <c r="J60" s="785"/>
      <c r="K60" s="794">
        <f t="shared" si="2"/>
        <v>0</v>
      </c>
      <c r="L60" s="780" t="str">
        <f t="shared" ca="1" si="3"/>
        <v>Uruguay</v>
      </c>
    </row>
    <row r="61" spans="2:12" hidden="1">
      <c r="B61" s="775" t="str">
        <f ca="1">Equipos!K43</f>
        <v>Uzbekistán</v>
      </c>
      <c r="C61" s="783"/>
      <c r="D61" s="784"/>
      <c r="E61" s="784"/>
      <c r="F61" s="784"/>
      <c r="G61" s="784"/>
      <c r="H61" s="784"/>
      <c r="I61" s="784"/>
      <c r="J61" s="785"/>
      <c r="K61" s="794">
        <f t="shared" si="2"/>
        <v>0</v>
      </c>
      <c r="L61" s="780" t="str">
        <f t="shared" ca="1" si="3"/>
        <v>Uzbekistán</v>
      </c>
    </row>
    <row r="62" spans="2:12" hidden="1">
      <c r="B62" s="775" t="str">
        <f ca="1">Equipos!K44</f>
        <v>RD Congo</v>
      </c>
      <c r="C62" s="783"/>
      <c r="D62" s="784"/>
      <c r="E62" s="784"/>
      <c r="F62" s="784"/>
      <c r="G62" s="784"/>
      <c r="H62" s="784"/>
      <c r="I62" s="784"/>
      <c r="J62" s="785"/>
      <c r="K62" s="794">
        <f t="shared" si="2"/>
        <v>0</v>
      </c>
      <c r="L62" s="780" t="str">
        <f t="shared" ca="1" si="3"/>
        <v>RD Congo</v>
      </c>
    </row>
    <row r="63" spans="2:12" hidden="1">
      <c r="B63" s="775" t="str">
        <f ca="1">Equipos!K45</f>
        <v>Irak</v>
      </c>
      <c r="C63" s="783"/>
      <c r="D63" s="784"/>
      <c r="E63" s="784"/>
      <c r="F63" s="784"/>
      <c r="G63" s="784"/>
      <c r="H63" s="784"/>
      <c r="I63" s="784"/>
      <c r="J63" s="785"/>
      <c r="K63" s="794">
        <f t="shared" si="2"/>
        <v>0</v>
      </c>
      <c r="L63" s="780" t="str">
        <f t="shared" ca="1" si="3"/>
        <v>Irak</v>
      </c>
    </row>
    <row r="64" spans="2:12" hidden="1">
      <c r="B64" s="775" t="str">
        <f ca="1">Equipos!K46</f>
        <v>Bosnia y Herzegovina</v>
      </c>
      <c r="C64" s="783"/>
      <c r="D64" s="784"/>
      <c r="E64" s="784"/>
      <c r="F64" s="784"/>
      <c r="G64" s="784"/>
      <c r="H64" s="784"/>
      <c r="I64" s="784"/>
      <c r="J64" s="785"/>
      <c r="K64" s="794">
        <f t="shared" si="2"/>
        <v>0</v>
      </c>
      <c r="L64" s="780" t="str">
        <f t="shared" ca="1" si="3"/>
        <v>Bosnia y Herzegovina</v>
      </c>
    </row>
    <row r="65" spans="2:12" hidden="1">
      <c r="B65" s="775" t="str">
        <f ca="1">Equipos!K47</f>
        <v>Suecia</v>
      </c>
      <c r="C65" s="783"/>
      <c r="D65" s="784"/>
      <c r="E65" s="784"/>
      <c r="F65" s="784"/>
      <c r="G65" s="784"/>
      <c r="H65" s="784"/>
      <c r="I65" s="784"/>
      <c r="J65" s="785"/>
      <c r="K65" s="794">
        <f t="shared" si="2"/>
        <v>0</v>
      </c>
      <c r="L65" s="780" t="str">
        <f t="shared" ca="1" si="3"/>
        <v>Suecia</v>
      </c>
    </row>
    <row r="66" spans="2:12" hidden="1">
      <c r="B66" s="775" t="str">
        <f ca="1">Equipos!K48</f>
        <v>Turquía</v>
      </c>
      <c r="C66" s="783"/>
      <c r="D66" s="784"/>
      <c r="E66" s="784"/>
      <c r="F66" s="784"/>
      <c r="G66" s="784"/>
      <c r="H66" s="784"/>
      <c r="I66" s="784"/>
      <c r="J66" s="785"/>
      <c r="K66" s="794">
        <f t="shared" si="2"/>
        <v>0</v>
      </c>
      <c r="L66" s="780" t="str">
        <f t="shared" ca="1" si="3"/>
        <v>Turquía</v>
      </c>
    </row>
    <row r="67" spans="2:12" ht="15.75" hidden="1" thickBot="1">
      <c r="B67" s="776" t="str">
        <f ca="1">Equipos!K49</f>
        <v>República Checa</v>
      </c>
      <c r="C67" s="787"/>
      <c r="D67" s="788"/>
      <c r="E67" s="788"/>
      <c r="F67" s="788"/>
      <c r="G67" s="788"/>
      <c r="H67" s="788"/>
      <c r="I67" s="788"/>
      <c r="J67" s="789"/>
      <c r="K67" s="795">
        <f t="shared" si="2"/>
        <v>0</v>
      </c>
      <c r="L67" s="796" t="str">
        <f t="shared" ca="1" si="3"/>
        <v>República Checa</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A1:U50"/>
  <sheetViews>
    <sheetView zoomScaleNormal="100" workbookViewId="0">
      <selection activeCell="A23" sqref="A23:XFD44"/>
    </sheetView>
  </sheetViews>
  <sheetFormatPr baseColWidth="10" defaultColWidth="0" defaultRowHeight="15"/>
  <cols>
    <col min="1" max="1" width="4.7109375" style="7" customWidth="1"/>
    <col min="2" max="2" width="4.7109375" style="1" bestFit="1" customWidth="1"/>
    <col min="3" max="3" width="24.28515625" style="1" bestFit="1" customWidth="1"/>
    <col min="4" max="21" width="10.85546875" style="1" customWidth="1"/>
    <col min="22" max="16384" width="10.85546875" style="1" hidden="1"/>
  </cols>
  <sheetData>
    <row r="1" spans="1:21" ht="45.75" thickBot="1">
      <c r="A1" s="82"/>
      <c r="B1" s="863" t="str">
        <f>Idiomas!D451&amp;" "&amp;Home!C10</f>
        <v>CLASIFICACIÓN MUNDIAL 2026 MUNDOPANDA</v>
      </c>
      <c r="C1" s="864"/>
      <c r="D1" s="864"/>
      <c r="E1" s="864"/>
      <c r="F1" s="864"/>
      <c r="G1" s="864"/>
      <c r="H1" s="864"/>
      <c r="I1" s="864"/>
      <c r="J1" s="864"/>
      <c r="K1" s="864"/>
      <c r="L1" s="864"/>
      <c r="M1" s="864"/>
      <c r="N1" s="864"/>
      <c r="O1" s="864"/>
      <c r="P1" s="864"/>
      <c r="Q1" s="864"/>
      <c r="R1" s="864"/>
      <c r="S1" s="864"/>
      <c r="T1" s="287"/>
      <c r="U1" s="287"/>
    </row>
    <row r="2" spans="1:21" ht="9" customHeight="1">
      <c r="A2" s="82"/>
      <c r="B2" s="99"/>
      <c r="C2" s="99"/>
      <c r="D2" s="99"/>
      <c r="E2" s="100">
        <f ca="1">MATCH(E$4,ADMIN!$K:$K,0)</f>
        <v>78</v>
      </c>
      <c r="F2" s="100">
        <f ca="1">MATCH(F$4,ADMIN!$K:$K,0)</f>
        <v>128</v>
      </c>
      <c r="G2" s="100">
        <f ca="1">MATCH(G$4,ADMIN!$K:$K,0)</f>
        <v>162</v>
      </c>
      <c r="H2" s="100">
        <f ca="1">MATCH(H$4,ADMIN!$K:$K,0)</f>
        <v>180</v>
      </c>
      <c r="I2" s="100">
        <f ca="1">MATCH(I$4,ADMIN!$K:$K,0)</f>
        <v>198</v>
      </c>
      <c r="J2" s="100">
        <f ca="1">MATCH(J$4,ADMIN!$K:$K,0)</f>
        <v>208</v>
      </c>
      <c r="K2" s="100">
        <f ca="1">MATCH(K$4,ADMIN!$K:$K,0)</f>
        <v>218</v>
      </c>
      <c r="L2" s="100">
        <f ca="1">MATCH(L$4,ADMIN!$K:$K,0)</f>
        <v>224</v>
      </c>
      <c r="M2" s="100">
        <f ca="1">MATCH(M$4,ADMIN!$K:$K,0)</f>
        <v>230</v>
      </c>
      <c r="N2" s="100">
        <f ca="1">MATCH(N$4,ADMIN!$K:$K,0)</f>
        <v>234</v>
      </c>
      <c r="O2" s="100">
        <f ca="1">MATCH(O$4,ADMIN!$K:$K,0)</f>
        <v>238</v>
      </c>
      <c r="P2" s="100">
        <f ca="1">MATCH(P$4,ADMIN!$K:$K,0)</f>
        <v>242</v>
      </c>
      <c r="Q2" s="100">
        <f ca="1">MATCH(Q$4,ADMIN!$K:$K,0)</f>
        <v>245</v>
      </c>
      <c r="R2" s="100">
        <f ca="1">MATCH(R$4,ADMIN!$K:$K,0)</f>
        <v>248</v>
      </c>
      <c r="S2" s="100">
        <f ca="1">MATCH(S$4,ADMIN!$K:$K,0)</f>
        <v>259</v>
      </c>
      <c r="T2" s="287"/>
      <c r="U2" s="287"/>
    </row>
    <row r="3" spans="1:21" ht="15" customHeight="1" thickBot="1">
      <c r="A3" s="82"/>
      <c r="B3" s="97"/>
      <c r="C3" s="97"/>
      <c r="D3" s="97"/>
      <c r="E3" s="98" t="str">
        <f ca="1">+INDEX(ADMIN!$M$5:$M$259,MATCH(CLAS!E4,ADMIN!$K$5:$K$259,0))</f>
        <v>Max: 1224</v>
      </c>
      <c r="F3" s="98" t="str">
        <f ca="1">+INDEX(ADMIN!$M$5:$M$259,MATCH(CLAS!F4,ADMIN!$K$5:$K$259,0))</f>
        <v>Max: 240</v>
      </c>
      <c r="G3" s="98" t="str">
        <f ca="1">+INDEX(ADMIN!$M$5:$M$259,MATCH(CLAS!G4,ADMIN!$K$5:$K$259,0))</f>
        <v>Max: 96</v>
      </c>
      <c r="H3" s="98" t="str">
        <f ca="1">+INDEX(ADMIN!$M$5:$M$259,MATCH(CLAS!H4,ADMIN!$K$5:$K$259,0))</f>
        <v>Max: 272</v>
      </c>
      <c r="I3" s="98" t="str">
        <f ca="1">+INDEX(ADMIN!$M$5:$M$259,MATCH(CLAS!I4,ADMIN!$K$5:$K$259,0))</f>
        <v>Max: 64</v>
      </c>
      <c r="J3" s="98" t="str">
        <f ca="1">+INDEX(ADMIN!$M$5:$M$259,MATCH(CLAS!J4,ADMIN!$K$5:$K$259,0))</f>
        <v>Max: 136</v>
      </c>
      <c r="K3" s="98" t="str">
        <f ca="1">+INDEX(ADMIN!$M$5:$M$259,MATCH(CLAS!K4,ADMIN!$K$5:$K$259,0))</f>
        <v>Max: 40</v>
      </c>
      <c r="L3" s="98" t="str">
        <f ca="1">+INDEX(ADMIN!$M$5:$M$259,MATCH(CLAS!L4,ADMIN!$K$5:$K$259,0))</f>
        <v>Max: 68</v>
      </c>
      <c r="M3" s="98" t="str">
        <f ca="1">+INDEX(ADMIN!$M$5:$M$259,MATCH(CLAS!M4,ADMIN!$K$5:$K$259,0))</f>
        <v>Max: 24</v>
      </c>
      <c r="N3" s="98" t="str">
        <f ca="1">+INDEX(ADMIN!$M$5:$M$259,MATCH(CLAS!N4,ADMIN!$K$5:$K$259,0))</f>
        <v>Max: 36</v>
      </c>
      <c r="O3" s="98" t="str">
        <f ca="1">+INDEX(ADMIN!$M$5:$M$259,MATCH(CLAS!O4,ADMIN!$K$5:$K$259,0))</f>
        <v>Max: 14</v>
      </c>
      <c r="P3" s="98" t="str">
        <f ca="1">+INDEX(ADMIN!$M$5:$M$259,MATCH(CLAS!P4,ADMIN!$K$5:$K$259,0))</f>
        <v>Max: 14</v>
      </c>
      <c r="Q3" s="98" t="str">
        <f ca="1">+INDEX(ADMIN!$M$5:$M$259,MATCH(CLAS!Q4,ADMIN!$K$5:$K$259,0))</f>
        <v>Max: 17</v>
      </c>
      <c r="R3" s="98" t="str">
        <f ca="1">+INDEX(ADMIN!$M$5:$M$259,MATCH(CLAS!R4,ADMIN!$K$5:$K$259,0))</f>
        <v>Max: 17</v>
      </c>
      <c r="S3" s="98" t="str">
        <f ca="1">+INDEX(ADMIN!$M$5:$M$259,MATCH(CLAS!S4,ADMIN!$K$5:$K$259,0))</f>
        <v>Max: 180</v>
      </c>
      <c r="T3" s="287"/>
      <c r="U3" s="287"/>
    </row>
    <row r="4" spans="1:21" ht="30" thickTop="1" thickBot="1">
      <c r="A4" s="82"/>
      <c r="B4" s="80" t="str">
        <f>Idiomas!$D$452</f>
        <v>Pos</v>
      </c>
      <c r="C4" s="101" t="str">
        <f>Idiomas!$D$453</f>
        <v>Jugador</v>
      </c>
      <c r="D4" s="80" t="str">
        <f>Idiomas!$D$454</f>
        <v>Puntos Totales</v>
      </c>
      <c r="E4" s="80" t="str">
        <f>Idiomas!$D$455</f>
        <v>F. Grupos</v>
      </c>
      <c r="F4" s="80" t="str">
        <f>Idiomas!$D$456</f>
        <v>Pos. Grupos</v>
      </c>
      <c r="G4" s="80" t="str">
        <f>Idiomas!$D$457</f>
        <v>Equipos 1/16</v>
      </c>
      <c r="H4" s="80" t="str">
        <f>Idiomas!$D$458</f>
        <v>Partidos 1/16</v>
      </c>
      <c r="I4" s="80" t="str">
        <f>Idiomas!$D$459</f>
        <v>Equipos 1/8</v>
      </c>
      <c r="J4" s="80" t="str">
        <f>Idiomas!$D$460</f>
        <v>Partidos 1/8</v>
      </c>
      <c r="K4" s="80" t="str">
        <f>Idiomas!$D$461</f>
        <v>Equipos 1/4</v>
      </c>
      <c r="L4" s="80" t="str">
        <f>Idiomas!$D$462</f>
        <v>Partidos 1/4</v>
      </c>
      <c r="M4" s="80" t="str">
        <f>Idiomas!$D$463</f>
        <v>Equipos 1/2</v>
      </c>
      <c r="N4" s="80" t="str">
        <f>Idiomas!$D$464</f>
        <v>Partidos 1/2</v>
      </c>
      <c r="O4" s="80" t="str">
        <f>Idiomas!$D$465</f>
        <v>Equipos 3-4</v>
      </c>
      <c r="P4" s="80" t="str">
        <f>Idiomas!$D$466</f>
        <v>Equipos Final</v>
      </c>
      <c r="Q4" s="80" t="str">
        <f>Idiomas!$D$467</f>
        <v>Partido 3-4</v>
      </c>
      <c r="R4" s="80" t="str">
        <f>Idiomas!$D$468</f>
        <v>Partido Final</v>
      </c>
      <c r="S4" s="80" t="str">
        <f>Idiomas!$D$469</f>
        <v xml:space="preserve">Cuadro de Honor </v>
      </c>
      <c r="T4" s="287"/>
      <c r="U4" s="287"/>
    </row>
    <row r="5" spans="1:21" ht="15.75" thickTop="1">
      <c r="A5" s="15">
        <f>ROW()-4</f>
        <v>1</v>
      </c>
      <c r="B5" s="18">
        <f ca="1">IFERROR(HLOOKUP(A5,Rango_Admin_Clas,3,FALSE),"-")</f>
        <v>1</v>
      </c>
      <c r="C5" s="14" t="str">
        <f ca="1">IFERROR(HLOOKUP(A5,Rango_Admin_Clas,5,FALSE),"-")</f>
        <v>GARBAN</v>
      </c>
      <c r="D5" s="83">
        <f ca="1">IFERROR(HLOOKUP(A5,Rango_Admin_Clas,4,FALSE),"-")</f>
        <v>34</v>
      </c>
      <c r="E5" s="84" cm="1">
        <f t="array" aca="1" ref="E5" ca="1">IFERROR(INDEX(Rango_Admin_Clas_Total,E$2,MATCH($A5,Rango_Admin_Clas_Primera,0)+1),"-")</f>
        <v>34</v>
      </c>
      <c r="F5" s="84" cm="1">
        <f t="array" aca="1" ref="F5" ca="1">IFERROR(INDEX(Rango_Admin_Clas_Total,F$2,MATCH($A5,Rango_Admin_Clas_Primera,0)+1),"-")</f>
        <v>0</v>
      </c>
      <c r="G5" s="84" cm="1">
        <f t="array" aca="1" ref="G5" ca="1">IFERROR(INDEX(Rango_Admin_Clas_Total,G$2,MATCH($A5,Rango_Admin_Clas_Primera,0)+1),"-")</f>
        <v>0</v>
      </c>
      <c r="H5" s="84" cm="1">
        <f t="array" aca="1" ref="H5" ca="1">IFERROR(INDEX(Rango_Admin_Clas_Total,H$2,MATCH($A5,Rango_Admin_Clas_Primera,0)+1),"-")</f>
        <v>0</v>
      </c>
      <c r="I5" s="84" cm="1">
        <f t="array" aca="1" ref="I5" ca="1">IFERROR(INDEX(Rango_Admin_Clas_Total,I$2,MATCH($A5,Rango_Admin_Clas_Primera,0)+1),"-")</f>
        <v>0</v>
      </c>
      <c r="J5" s="84" cm="1">
        <f t="array" aca="1" ref="J5" ca="1">IFERROR(INDEX(Rango_Admin_Clas_Total,J$2,MATCH($A5,Rango_Admin_Clas_Primera,0)+1),"-")</f>
        <v>0</v>
      </c>
      <c r="K5" s="84" cm="1">
        <f t="array" aca="1" ref="K5" ca="1">IFERROR(INDEX(Rango_Admin_Clas_Total,K$2,MATCH($A5,Rango_Admin_Clas_Primera,0)+1),"-")</f>
        <v>0</v>
      </c>
      <c r="L5" s="84" cm="1">
        <f t="array" aca="1" ref="L5" ca="1">IFERROR(INDEX(Rango_Admin_Clas_Total,L$2,MATCH($A5,Rango_Admin_Clas_Primera,0)+1),"-")</f>
        <v>0</v>
      </c>
      <c r="M5" s="84" cm="1">
        <f t="array" aca="1" ref="M5" ca="1">IFERROR(INDEX(Rango_Admin_Clas_Total,M$2,MATCH($A5,Rango_Admin_Clas_Primera,0)+1),"-")</f>
        <v>0</v>
      </c>
      <c r="N5" s="84" cm="1">
        <f t="array" aca="1" ref="N5" ca="1">IFERROR(INDEX(Rango_Admin_Clas_Total,N$2,MATCH($A5,Rango_Admin_Clas_Primera,0)+1),"-")</f>
        <v>0</v>
      </c>
      <c r="O5" s="84" cm="1">
        <f t="array" aca="1" ref="O5" ca="1">IFERROR(INDEX(Rango_Admin_Clas_Total,O$2,MATCH($A5,Rango_Admin_Clas_Primera,0)+1),"-")</f>
        <v>0</v>
      </c>
      <c r="P5" s="84" cm="1">
        <f t="array" aca="1" ref="P5" ca="1">IFERROR(INDEX(Rango_Admin_Clas_Total,P$2,MATCH($A5,Rango_Admin_Clas_Primera,0)+1),"-")</f>
        <v>0</v>
      </c>
      <c r="Q5" s="84" cm="1">
        <f t="array" aca="1" ref="Q5" ca="1">IFERROR(INDEX(Rango_Admin_Clas_Total,Q$2,MATCH($A5,Rango_Admin_Clas_Primera,0)+1),"-")</f>
        <v>0</v>
      </c>
      <c r="R5" s="84" cm="1">
        <f t="array" aca="1" ref="R5" ca="1">IFERROR(INDEX(Rango_Admin_Clas_Total,R$2,MATCH($A5,Rango_Admin_Clas_Primera,0)+1),"-")</f>
        <v>0</v>
      </c>
      <c r="S5" s="84" cm="1">
        <f t="array" aca="1" ref="S5" ca="1">IFERROR(INDEX(Rango_Admin_Clas_Total,S$2,MATCH($A5,Rango_Admin_Clas_Primera,0)+1),"-")</f>
        <v>0</v>
      </c>
      <c r="T5" s="287"/>
      <c r="U5" s="287"/>
    </row>
    <row r="6" spans="1:21">
      <c r="A6" s="15">
        <f t="shared" ref="A6:A44" si="0">ROW()-4</f>
        <v>2</v>
      </c>
      <c r="B6" s="18">
        <f ca="1">IFERROR(HLOOKUP(A6,Rango_Admin_Clas,3,FALSE),"-")</f>
        <v>1</v>
      </c>
      <c r="C6" s="14" t="str">
        <f ca="1">IFERROR(HLOOKUP(A6,Rango_Admin_Clas,5,FALSE),"-")</f>
        <v>JORGE</v>
      </c>
      <c r="D6" s="83">
        <f ca="1">IFERROR(HLOOKUP(A6,Rango_Admin_Clas,4,FALSE),"-")</f>
        <v>34</v>
      </c>
      <c r="E6" s="84" cm="1">
        <f t="array" aca="1" ref="E6" ca="1">IFERROR(INDEX(Rango_Admin_Clas_Total,E$2,MATCH($A6,Rango_Admin_Clas_Primera,0)+1),"-")</f>
        <v>34</v>
      </c>
      <c r="F6" s="84" cm="1">
        <f t="array" aca="1" ref="F6" ca="1">IFERROR(INDEX(Rango_Admin_Clas_Total,F$2,MATCH($A6,Rango_Admin_Clas_Primera,0)+1),"-")</f>
        <v>0</v>
      </c>
      <c r="G6" s="84" cm="1">
        <f t="array" aca="1" ref="G6" ca="1">IFERROR(INDEX(Rango_Admin_Clas_Total,G$2,MATCH($A6,Rango_Admin_Clas_Primera,0)+1),"-")</f>
        <v>0</v>
      </c>
      <c r="H6" s="84" cm="1">
        <f t="array" aca="1" ref="H6" ca="1">IFERROR(INDEX(Rango_Admin_Clas_Total,H$2,MATCH($A6,Rango_Admin_Clas_Primera,0)+1),"-")</f>
        <v>0</v>
      </c>
      <c r="I6" s="84" cm="1">
        <f t="array" aca="1" ref="I6" ca="1">IFERROR(INDEX(Rango_Admin_Clas_Total,I$2,MATCH($A6,Rango_Admin_Clas_Primera,0)+1),"-")</f>
        <v>0</v>
      </c>
      <c r="J6" s="84" cm="1">
        <f t="array" aca="1" ref="J6" ca="1">IFERROR(INDEX(Rango_Admin_Clas_Total,J$2,MATCH($A6,Rango_Admin_Clas_Primera,0)+1),"-")</f>
        <v>0</v>
      </c>
      <c r="K6" s="84" cm="1">
        <f t="array" aca="1" ref="K6" ca="1">IFERROR(INDEX(Rango_Admin_Clas_Total,K$2,MATCH($A6,Rango_Admin_Clas_Primera,0)+1),"-")</f>
        <v>0</v>
      </c>
      <c r="L6" s="84" cm="1">
        <f t="array" aca="1" ref="L6" ca="1">IFERROR(INDEX(Rango_Admin_Clas_Total,L$2,MATCH($A6,Rango_Admin_Clas_Primera,0)+1),"-")</f>
        <v>0</v>
      </c>
      <c r="M6" s="84" cm="1">
        <f t="array" aca="1" ref="M6" ca="1">IFERROR(INDEX(Rango_Admin_Clas_Total,M$2,MATCH($A6,Rango_Admin_Clas_Primera,0)+1),"-")</f>
        <v>0</v>
      </c>
      <c r="N6" s="84" cm="1">
        <f t="array" aca="1" ref="N6" ca="1">IFERROR(INDEX(Rango_Admin_Clas_Total,N$2,MATCH($A6,Rango_Admin_Clas_Primera,0)+1),"-")</f>
        <v>0</v>
      </c>
      <c r="O6" s="84" cm="1">
        <f t="array" aca="1" ref="O6" ca="1">IFERROR(INDEX(Rango_Admin_Clas_Total,O$2,MATCH($A6,Rango_Admin_Clas_Primera,0)+1),"-")</f>
        <v>0</v>
      </c>
      <c r="P6" s="84" cm="1">
        <f t="array" aca="1" ref="P6" ca="1">IFERROR(INDEX(Rango_Admin_Clas_Total,P$2,MATCH($A6,Rango_Admin_Clas_Primera,0)+1),"-")</f>
        <v>0</v>
      </c>
      <c r="Q6" s="84" cm="1">
        <f t="array" aca="1" ref="Q6" ca="1">IFERROR(INDEX(Rango_Admin_Clas_Total,Q$2,MATCH($A6,Rango_Admin_Clas_Primera,0)+1),"-")</f>
        <v>0</v>
      </c>
      <c r="R6" s="84" cm="1">
        <f t="array" aca="1" ref="R6" ca="1">IFERROR(INDEX(Rango_Admin_Clas_Total,R$2,MATCH($A6,Rango_Admin_Clas_Primera,0)+1),"-")</f>
        <v>0</v>
      </c>
      <c r="S6" s="84" cm="1">
        <f t="array" aca="1" ref="S6" ca="1">IFERROR(INDEX(Rango_Admin_Clas_Total,S$2,MATCH($A6,Rango_Admin_Clas_Primera,0)+1),"-")</f>
        <v>0</v>
      </c>
      <c r="T6" s="287"/>
      <c r="U6" s="287"/>
    </row>
    <row r="7" spans="1:21">
      <c r="A7" s="15">
        <f t="shared" si="0"/>
        <v>3</v>
      </c>
      <c r="B7" s="18">
        <f ca="1">IFERROR(HLOOKUP(A7,Rango_Admin_Clas,3,FALSE),"-")</f>
        <v>3</v>
      </c>
      <c r="C7" s="14" t="str">
        <f ca="1">IFERROR(HLOOKUP(A7,Rango_Admin_Clas,5,FALSE),"-")</f>
        <v>ASIER</v>
      </c>
      <c r="D7" s="83">
        <f ca="1">IFERROR(HLOOKUP(A7,Rango_Admin_Clas,4,FALSE),"-")</f>
        <v>22</v>
      </c>
      <c r="E7" s="84" cm="1">
        <f t="array" aca="1" ref="E7" ca="1">IFERROR(INDEX(Rango_Admin_Clas_Total,E$2,MATCH($A7,Rango_Admin_Clas_Primera,0)+1),"-")</f>
        <v>22</v>
      </c>
      <c r="F7" s="84" cm="1">
        <f t="array" aca="1" ref="F7" ca="1">IFERROR(INDEX(Rango_Admin_Clas_Total,F$2,MATCH($A7,Rango_Admin_Clas_Primera,0)+1),"-")</f>
        <v>0</v>
      </c>
      <c r="G7" s="84" cm="1">
        <f t="array" aca="1" ref="G7" ca="1">IFERROR(INDEX(Rango_Admin_Clas_Total,G$2,MATCH($A7,Rango_Admin_Clas_Primera,0)+1),"-")</f>
        <v>0</v>
      </c>
      <c r="H7" s="84" cm="1">
        <f t="array" aca="1" ref="H7" ca="1">IFERROR(INDEX(Rango_Admin_Clas_Total,H$2,MATCH($A7,Rango_Admin_Clas_Primera,0)+1),"-")</f>
        <v>0</v>
      </c>
      <c r="I7" s="84" cm="1">
        <f t="array" aca="1" ref="I7" ca="1">IFERROR(INDEX(Rango_Admin_Clas_Total,I$2,MATCH($A7,Rango_Admin_Clas_Primera,0)+1),"-")</f>
        <v>0</v>
      </c>
      <c r="J7" s="84" cm="1">
        <f t="array" aca="1" ref="J7" ca="1">IFERROR(INDEX(Rango_Admin_Clas_Total,J$2,MATCH($A7,Rango_Admin_Clas_Primera,0)+1),"-")</f>
        <v>0</v>
      </c>
      <c r="K7" s="84" cm="1">
        <f t="array" aca="1" ref="K7" ca="1">IFERROR(INDEX(Rango_Admin_Clas_Total,K$2,MATCH($A7,Rango_Admin_Clas_Primera,0)+1),"-")</f>
        <v>0</v>
      </c>
      <c r="L7" s="84" cm="1">
        <f t="array" aca="1" ref="L7" ca="1">IFERROR(INDEX(Rango_Admin_Clas_Total,L$2,MATCH($A7,Rango_Admin_Clas_Primera,0)+1),"-")</f>
        <v>0</v>
      </c>
      <c r="M7" s="84" cm="1">
        <f t="array" aca="1" ref="M7" ca="1">IFERROR(INDEX(Rango_Admin_Clas_Total,M$2,MATCH($A7,Rango_Admin_Clas_Primera,0)+1),"-")</f>
        <v>0</v>
      </c>
      <c r="N7" s="84" cm="1">
        <f t="array" aca="1" ref="N7" ca="1">IFERROR(INDEX(Rango_Admin_Clas_Total,N$2,MATCH($A7,Rango_Admin_Clas_Primera,0)+1),"-")</f>
        <v>0</v>
      </c>
      <c r="O7" s="84" cm="1">
        <f t="array" aca="1" ref="O7" ca="1">IFERROR(INDEX(Rango_Admin_Clas_Total,O$2,MATCH($A7,Rango_Admin_Clas_Primera,0)+1),"-")</f>
        <v>0</v>
      </c>
      <c r="P7" s="84" cm="1">
        <f t="array" aca="1" ref="P7" ca="1">IFERROR(INDEX(Rango_Admin_Clas_Total,P$2,MATCH($A7,Rango_Admin_Clas_Primera,0)+1),"-")</f>
        <v>0</v>
      </c>
      <c r="Q7" s="84" cm="1">
        <f t="array" aca="1" ref="Q7" ca="1">IFERROR(INDEX(Rango_Admin_Clas_Total,Q$2,MATCH($A7,Rango_Admin_Clas_Primera,0)+1),"-")</f>
        <v>0</v>
      </c>
      <c r="R7" s="84" cm="1">
        <f t="array" aca="1" ref="R7" ca="1">IFERROR(INDEX(Rango_Admin_Clas_Total,R$2,MATCH($A7,Rango_Admin_Clas_Primera,0)+1),"-")</f>
        <v>0</v>
      </c>
      <c r="S7" s="84" cm="1">
        <f t="array" aca="1" ref="S7" ca="1">IFERROR(INDEX(Rango_Admin_Clas_Total,S$2,MATCH($A7,Rango_Admin_Clas_Primera,0)+1),"-")</f>
        <v>0</v>
      </c>
      <c r="T7" s="287"/>
      <c r="U7" s="287"/>
    </row>
    <row r="8" spans="1:21">
      <c r="A8" s="15">
        <f t="shared" si="0"/>
        <v>4</v>
      </c>
      <c r="B8" s="18">
        <f ca="1">IFERROR(HLOOKUP(A8,Rango_Admin_Clas,3,FALSE),"-")</f>
        <v>4</v>
      </c>
      <c r="C8" s="14" t="str">
        <f ca="1">IFERROR(HLOOKUP(A8,Rango_Admin_Clas,5,FALSE),"-")</f>
        <v>JAVI</v>
      </c>
      <c r="D8" s="83">
        <f ca="1">IFERROR(HLOOKUP(A8,Rango_Admin_Clas,4,FALSE),"-")</f>
        <v>17</v>
      </c>
      <c r="E8" s="84" cm="1">
        <f t="array" aca="1" ref="E8" ca="1">IFERROR(INDEX(Rango_Admin_Clas_Total,E$2,MATCH($A8,Rango_Admin_Clas_Primera,0)+1),"-")</f>
        <v>17</v>
      </c>
      <c r="F8" s="84" cm="1">
        <f t="array" aca="1" ref="F8" ca="1">IFERROR(INDEX(Rango_Admin_Clas_Total,F$2,MATCH($A8,Rango_Admin_Clas_Primera,0)+1),"-")</f>
        <v>0</v>
      </c>
      <c r="G8" s="84" cm="1">
        <f t="array" aca="1" ref="G8" ca="1">IFERROR(INDEX(Rango_Admin_Clas_Total,G$2,MATCH($A8,Rango_Admin_Clas_Primera,0)+1),"-")</f>
        <v>0</v>
      </c>
      <c r="H8" s="84" cm="1">
        <f t="array" aca="1" ref="H8" ca="1">IFERROR(INDEX(Rango_Admin_Clas_Total,H$2,MATCH($A8,Rango_Admin_Clas_Primera,0)+1),"-")</f>
        <v>0</v>
      </c>
      <c r="I8" s="84" cm="1">
        <f t="array" aca="1" ref="I8" ca="1">IFERROR(INDEX(Rango_Admin_Clas_Total,I$2,MATCH($A8,Rango_Admin_Clas_Primera,0)+1),"-")</f>
        <v>0</v>
      </c>
      <c r="J8" s="84" cm="1">
        <f t="array" aca="1" ref="J8" ca="1">IFERROR(INDEX(Rango_Admin_Clas_Total,J$2,MATCH($A8,Rango_Admin_Clas_Primera,0)+1),"-")</f>
        <v>0</v>
      </c>
      <c r="K8" s="84" cm="1">
        <f t="array" aca="1" ref="K8" ca="1">IFERROR(INDEX(Rango_Admin_Clas_Total,K$2,MATCH($A8,Rango_Admin_Clas_Primera,0)+1),"-")</f>
        <v>0</v>
      </c>
      <c r="L8" s="84" cm="1">
        <f t="array" aca="1" ref="L8" ca="1">IFERROR(INDEX(Rango_Admin_Clas_Total,L$2,MATCH($A8,Rango_Admin_Clas_Primera,0)+1),"-")</f>
        <v>0</v>
      </c>
      <c r="M8" s="84" cm="1">
        <f t="array" aca="1" ref="M8" ca="1">IFERROR(INDEX(Rango_Admin_Clas_Total,M$2,MATCH($A8,Rango_Admin_Clas_Primera,0)+1),"-")</f>
        <v>0</v>
      </c>
      <c r="N8" s="84" cm="1">
        <f t="array" aca="1" ref="N8" ca="1">IFERROR(INDEX(Rango_Admin_Clas_Total,N$2,MATCH($A8,Rango_Admin_Clas_Primera,0)+1),"-")</f>
        <v>0</v>
      </c>
      <c r="O8" s="84" cm="1">
        <f t="array" aca="1" ref="O8" ca="1">IFERROR(INDEX(Rango_Admin_Clas_Total,O$2,MATCH($A8,Rango_Admin_Clas_Primera,0)+1),"-")</f>
        <v>0</v>
      </c>
      <c r="P8" s="84" cm="1">
        <f t="array" aca="1" ref="P8" ca="1">IFERROR(INDEX(Rango_Admin_Clas_Total,P$2,MATCH($A8,Rango_Admin_Clas_Primera,0)+1),"-")</f>
        <v>0</v>
      </c>
      <c r="Q8" s="84" cm="1">
        <f t="array" aca="1" ref="Q8" ca="1">IFERROR(INDEX(Rango_Admin_Clas_Total,Q$2,MATCH($A8,Rango_Admin_Clas_Primera,0)+1),"-")</f>
        <v>0</v>
      </c>
      <c r="R8" s="84" cm="1">
        <f t="array" aca="1" ref="R8" ca="1">IFERROR(INDEX(Rango_Admin_Clas_Total,R$2,MATCH($A8,Rango_Admin_Clas_Primera,0)+1),"-")</f>
        <v>0</v>
      </c>
      <c r="S8" s="84" cm="1">
        <f t="array" aca="1" ref="S8" ca="1">IFERROR(INDEX(Rango_Admin_Clas_Total,S$2,MATCH($A8,Rango_Admin_Clas_Primera,0)+1),"-")</f>
        <v>0</v>
      </c>
      <c r="T8" s="287"/>
      <c r="U8" s="287"/>
    </row>
    <row r="9" spans="1:21">
      <c r="A9" s="15">
        <f t="shared" si="0"/>
        <v>5</v>
      </c>
      <c r="B9" s="18">
        <f ca="1">IFERROR(HLOOKUP(A9,Rango_Admin_Clas,3,FALSE),"-")</f>
        <v>4</v>
      </c>
      <c r="C9" s="14" t="str">
        <f ca="1">IFERROR(HLOOKUP(A9,Rango_Admin_Clas,5,FALSE),"-")</f>
        <v>LAURA</v>
      </c>
      <c r="D9" s="83">
        <f ca="1">IFERROR(HLOOKUP(A9,Rango_Admin_Clas,4,FALSE),"-")</f>
        <v>17</v>
      </c>
      <c r="E9" s="84" cm="1">
        <f t="array" aca="1" ref="E9" ca="1">IFERROR(INDEX(Rango_Admin_Clas_Total,E$2,MATCH($A9,Rango_Admin_Clas_Primera,0)+1),"-")</f>
        <v>17</v>
      </c>
      <c r="F9" s="84" cm="1">
        <f t="array" aca="1" ref="F9" ca="1">IFERROR(INDEX(Rango_Admin_Clas_Total,F$2,MATCH($A9,Rango_Admin_Clas_Primera,0)+1),"-")</f>
        <v>0</v>
      </c>
      <c r="G9" s="84" cm="1">
        <f t="array" aca="1" ref="G9" ca="1">IFERROR(INDEX(Rango_Admin_Clas_Total,G$2,MATCH($A9,Rango_Admin_Clas_Primera,0)+1),"-")</f>
        <v>0</v>
      </c>
      <c r="H9" s="84" cm="1">
        <f t="array" aca="1" ref="H9" ca="1">IFERROR(INDEX(Rango_Admin_Clas_Total,H$2,MATCH($A9,Rango_Admin_Clas_Primera,0)+1),"-")</f>
        <v>0</v>
      </c>
      <c r="I9" s="84" cm="1">
        <f t="array" aca="1" ref="I9" ca="1">IFERROR(INDEX(Rango_Admin_Clas_Total,I$2,MATCH($A9,Rango_Admin_Clas_Primera,0)+1),"-")</f>
        <v>0</v>
      </c>
      <c r="J9" s="84" cm="1">
        <f t="array" aca="1" ref="J9" ca="1">IFERROR(INDEX(Rango_Admin_Clas_Total,J$2,MATCH($A9,Rango_Admin_Clas_Primera,0)+1),"-")</f>
        <v>0</v>
      </c>
      <c r="K9" s="84" cm="1">
        <f t="array" aca="1" ref="K9" ca="1">IFERROR(INDEX(Rango_Admin_Clas_Total,K$2,MATCH($A9,Rango_Admin_Clas_Primera,0)+1),"-")</f>
        <v>0</v>
      </c>
      <c r="L9" s="84" cm="1">
        <f t="array" aca="1" ref="L9" ca="1">IFERROR(INDEX(Rango_Admin_Clas_Total,L$2,MATCH($A9,Rango_Admin_Clas_Primera,0)+1),"-")</f>
        <v>0</v>
      </c>
      <c r="M9" s="84" cm="1">
        <f t="array" aca="1" ref="M9" ca="1">IFERROR(INDEX(Rango_Admin_Clas_Total,M$2,MATCH($A9,Rango_Admin_Clas_Primera,0)+1),"-")</f>
        <v>0</v>
      </c>
      <c r="N9" s="84" cm="1">
        <f t="array" aca="1" ref="N9" ca="1">IFERROR(INDEX(Rango_Admin_Clas_Total,N$2,MATCH($A9,Rango_Admin_Clas_Primera,0)+1),"-")</f>
        <v>0</v>
      </c>
      <c r="O9" s="84" cm="1">
        <f t="array" aca="1" ref="O9" ca="1">IFERROR(INDEX(Rango_Admin_Clas_Total,O$2,MATCH($A9,Rango_Admin_Clas_Primera,0)+1),"-")</f>
        <v>0</v>
      </c>
      <c r="P9" s="84" cm="1">
        <f t="array" aca="1" ref="P9" ca="1">IFERROR(INDEX(Rango_Admin_Clas_Total,P$2,MATCH($A9,Rango_Admin_Clas_Primera,0)+1),"-")</f>
        <v>0</v>
      </c>
      <c r="Q9" s="84" cm="1">
        <f t="array" aca="1" ref="Q9" ca="1">IFERROR(INDEX(Rango_Admin_Clas_Total,Q$2,MATCH($A9,Rango_Admin_Clas_Primera,0)+1),"-")</f>
        <v>0</v>
      </c>
      <c r="R9" s="84" cm="1">
        <f t="array" aca="1" ref="R9" ca="1">IFERROR(INDEX(Rango_Admin_Clas_Total,R$2,MATCH($A9,Rango_Admin_Clas_Primera,0)+1),"-")</f>
        <v>0</v>
      </c>
      <c r="S9" s="84" cm="1">
        <f t="array" aca="1" ref="S9" ca="1">IFERROR(INDEX(Rango_Admin_Clas_Total,S$2,MATCH($A9,Rango_Admin_Clas_Primera,0)+1),"-")</f>
        <v>0</v>
      </c>
      <c r="T9" s="287"/>
      <c r="U9" s="287"/>
    </row>
    <row r="10" spans="1:21">
      <c r="A10" s="15">
        <f t="shared" si="0"/>
        <v>6</v>
      </c>
      <c r="B10" s="18">
        <f ca="1">IFERROR(HLOOKUP(A10,Rango_Admin_Clas,3,FALSE),"-")</f>
        <v>4</v>
      </c>
      <c r="C10" s="14" t="str">
        <f ca="1">IFERROR(HLOOKUP(A10,Rango_Admin_Clas,5,FALSE),"-")</f>
        <v>JUANMI</v>
      </c>
      <c r="D10" s="83">
        <f ca="1">IFERROR(HLOOKUP(A10,Rango_Admin_Clas,4,FALSE),"-")</f>
        <v>17</v>
      </c>
      <c r="E10" s="84" cm="1">
        <f t="array" aca="1" ref="E10" ca="1">IFERROR(INDEX(Rango_Admin_Clas_Total,E$2,MATCH($A10,Rango_Admin_Clas_Primera,0)+1),"-")</f>
        <v>17</v>
      </c>
      <c r="F10" s="84" cm="1">
        <f t="array" aca="1" ref="F10" ca="1">IFERROR(INDEX(Rango_Admin_Clas_Total,F$2,MATCH($A10,Rango_Admin_Clas_Primera,0)+1),"-")</f>
        <v>0</v>
      </c>
      <c r="G10" s="84" cm="1">
        <f t="array" aca="1" ref="G10" ca="1">IFERROR(INDEX(Rango_Admin_Clas_Total,G$2,MATCH($A10,Rango_Admin_Clas_Primera,0)+1),"-")</f>
        <v>0</v>
      </c>
      <c r="H10" s="84" cm="1">
        <f t="array" aca="1" ref="H10" ca="1">IFERROR(INDEX(Rango_Admin_Clas_Total,H$2,MATCH($A10,Rango_Admin_Clas_Primera,0)+1),"-")</f>
        <v>0</v>
      </c>
      <c r="I10" s="84" cm="1">
        <f t="array" aca="1" ref="I10" ca="1">IFERROR(INDEX(Rango_Admin_Clas_Total,I$2,MATCH($A10,Rango_Admin_Clas_Primera,0)+1),"-")</f>
        <v>0</v>
      </c>
      <c r="J10" s="84" cm="1">
        <f t="array" aca="1" ref="J10" ca="1">IFERROR(INDEX(Rango_Admin_Clas_Total,J$2,MATCH($A10,Rango_Admin_Clas_Primera,0)+1),"-")</f>
        <v>0</v>
      </c>
      <c r="K10" s="84" cm="1">
        <f t="array" aca="1" ref="K10" ca="1">IFERROR(INDEX(Rango_Admin_Clas_Total,K$2,MATCH($A10,Rango_Admin_Clas_Primera,0)+1),"-")</f>
        <v>0</v>
      </c>
      <c r="L10" s="84" cm="1">
        <f t="array" aca="1" ref="L10" ca="1">IFERROR(INDEX(Rango_Admin_Clas_Total,L$2,MATCH($A10,Rango_Admin_Clas_Primera,0)+1),"-")</f>
        <v>0</v>
      </c>
      <c r="M10" s="84" cm="1">
        <f t="array" aca="1" ref="M10" ca="1">IFERROR(INDEX(Rango_Admin_Clas_Total,M$2,MATCH($A10,Rango_Admin_Clas_Primera,0)+1),"-")</f>
        <v>0</v>
      </c>
      <c r="N10" s="84" cm="1">
        <f t="array" aca="1" ref="N10" ca="1">IFERROR(INDEX(Rango_Admin_Clas_Total,N$2,MATCH($A10,Rango_Admin_Clas_Primera,0)+1),"-")</f>
        <v>0</v>
      </c>
      <c r="O10" s="84" cm="1">
        <f t="array" aca="1" ref="O10" ca="1">IFERROR(INDEX(Rango_Admin_Clas_Total,O$2,MATCH($A10,Rango_Admin_Clas_Primera,0)+1),"-")</f>
        <v>0</v>
      </c>
      <c r="P10" s="84" cm="1">
        <f t="array" aca="1" ref="P10" ca="1">IFERROR(INDEX(Rango_Admin_Clas_Total,P$2,MATCH($A10,Rango_Admin_Clas_Primera,0)+1),"-")</f>
        <v>0</v>
      </c>
      <c r="Q10" s="84" cm="1">
        <f t="array" aca="1" ref="Q10" ca="1">IFERROR(INDEX(Rango_Admin_Clas_Total,Q$2,MATCH($A10,Rango_Admin_Clas_Primera,0)+1),"-")</f>
        <v>0</v>
      </c>
      <c r="R10" s="84" cm="1">
        <f t="array" aca="1" ref="R10" ca="1">IFERROR(INDEX(Rango_Admin_Clas_Total,R$2,MATCH($A10,Rango_Admin_Clas_Primera,0)+1),"-")</f>
        <v>0</v>
      </c>
      <c r="S10" s="84" cm="1">
        <f t="array" aca="1" ref="S10" ca="1">IFERROR(INDEX(Rango_Admin_Clas_Total,S$2,MATCH($A10,Rango_Admin_Clas_Primera,0)+1),"-")</f>
        <v>0</v>
      </c>
      <c r="T10" s="287"/>
      <c r="U10" s="287"/>
    </row>
    <row r="11" spans="1:21">
      <c r="A11" s="15">
        <f t="shared" si="0"/>
        <v>7</v>
      </c>
      <c r="B11" s="18">
        <f ca="1">IFERROR(HLOOKUP(A11,Rango_Admin_Clas,3,FALSE),"-")</f>
        <v>4</v>
      </c>
      <c r="C11" s="14" t="str">
        <f ca="1">IFERROR(HLOOKUP(A11,Rango_Admin_Clas,5,FALSE),"-")</f>
        <v>ANDER</v>
      </c>
      <c r="D11" s="83">
        <f ca="1">IFERROR(HLOOKUP(A11,Rango_Admin_Clas,4,FALSE),"-")</f>
        <v>17</v>
      </c>
      <c r="E11" s="84" cm="1">
        <f t="array" aca="1" ref="E11" ca="1">IFERROR(INDEX(Rango_Admin_Clas_Total,E$2,MATCH($A11,Rango_Admin_Clas_Primera,0)+1),"-")</f>
        <v>17</v>
      </c>
      <c r="F11" s="84" cm="1">
        <f t="array" aca="1" ref="F11" ca="1">IFERROR(INDEX(Rango_Admin_Clas_Total,F$2,MATCH($A11,Rango_Admin_Clas_Primera,0)+1),"-")</f>
        <v>0</v>
      </c>
      <c r="G11" s="84" cm="1">
        <f t="array" aca="1" ref="G11" ca="1">IFERROR(INDEX(Rango_Admin_Clas_Total,G$2,MATCH($A11,Rango_Admin_Clas_Primera,0)+1),"-")</f>
        <v>0</v>
      </c>
      <c r="H11" s="84" cm="1">
        <f t="array" aca="1" ref="H11" ca="1">IFERROR(INDEX(Rango_Admin_Clas_Total,H$2,MATCH($A11,Rango_Admin_Clas_Primera,0)+1),"-")</f>
        <v>0</v>
      </c>
      <c r="I11" s="84" cm="1">
        <f t="array" aca="1" ref="I11" ca="1">IFERROR(INDEX(Rango_Admin_Clas_Total,I$2,MATCH($A11,Rango_Admin_Clas_Primera,0)+1),"-")</f>
        <v>0</v>
      </c>
      <c r="J11" s="84" cm="1">
        <f t="array" aca="1" ref="J11" ca="1">IFERROR(INDEX(Rango_Admin_Clas_Total,J$2,MATCH($A11,Rango_Admin_Clas_Primera,0)+1),"-")</f>
        <v>0</v>
      </c>
      <c r="K11" s="84" cm="1">
        <f t="array" aca="1" ref="K11" ca="1">IFERROR(INDEX(Rango_Admin_Clas_Total,K$2,MATCH($A11,Rango_Admin_Clas_Primera,0)+1),"-")</f>
        <v>0</v>
      </c>
      <c r="L11" s="84" cm="1">
        <f t="array" aca="1" ref="L11" ca="1">IFERROR(INDEX(Rango_Admin_Clas_Total,L$2,MATCH($A11,Rango_Admin_Clas_Primera,0)+1),"-")</f>
        <v>0</v>
      </c>
      <c r="M11" s="84" cm="1">
        <f t="array" aca="1" ref="M11" ca="1">IFERROR(INDEX(Rango_Admin_Clas_Total,M$2,MATCH($A11,Rango_Admin_Clas_Primera,0)+1),"-")</f>
        <v>0</v>
      </c>
      <c r="N11" s="84" cm="1">
        <f t="array" aca="1" ref="N11" ca="1">IFERROR(INDEX(Rango_Admin_Clas_Total,N$2,MATCH($A11,Rango_Admin_Clas_Primera,0)+1),"-")</f>
        <v>0</v>
      </c>
      <c r="O11" s="84" cm="1">
        <f t="array" aca="1" ref="O11" ca="1">IFERROR(INDEX(Rango_Admin_Clas_Total,O$2,MATCH($A11,Rango_Admin_Clas_Primera,0)+1),"-")</f>
        <v>0</v>
      </c>
      <c r="P11" s="84" cm="1">
        <f t="array" aca="1" ref="P11" ca="1">IFERROR(INDEX(Rango_Admin_Clas_Total,P$2,MATCH($A11,Rango_Admin_Clas_Primera,0)+1),"-")</f>
        <v>0</v>
      </c>
      <c r="Q11" s="84" cm="1">
        <f t="array" aca="1" ref="Q11" ca="1">IFERROR(INDEX(Rango_Admin_Clas_Total,Q$2,MATCH($A11,Rango_Admin_Clas_Primera,0)+1),"-")</f>
        <v>0</v>
      </c>
      <c r="R11" s="84" cm="1">
        <f t="array" aca="1" ref="R11" ca="1">IFERROR(INDEX(Rango_Admin_Clas_Total,R$2,MATCH($A11,Rango_Admin_Clas_Primera,0)+1),"-")</f>
        <v>0</v>
      </c>
      <c r="S11" s="84" cm="1">
        <f t="array" aca="1" ref="S11" ca="1">IFERROR(INDEX(Rango_Admin_Clas_Total,S$2,MATCH($A11,Rango_Admin_Clas_Primera,0)+1),"-")</f>
        <v>0</v>
      </c>
      <c r="T11" s="287"/>
      <c r="U11" s="287"/>
    </row>
    <row r="12" spans="1:21">
      <c r="A12" s="15">
        <f t="shared" si="0"/>
        <v>8</v>
      </c>
      <c r="B12" s="18">
        <f ca="1">IFERROR(HLOOKUP(A12,Rango_Admin_Clas,3,FALSE),"-")</f>
        <v>4</v>
      </c>
      <c r="C12" s="14" t="str">
        <f ca="1">IFERROR(HLOOKUP(A12,Rango_Admin_Clas,5,FALSE),"-")</f>
        <v>PEIO</v>
      </c>
      <c r="D12" s="83">
        <f ca="1">IFERROR(HLOOKUP(A12,Rango_Admin_Clas,4,FALSE),"-")</f>
        <v>17</v>
      </c>
      <c r="E12" s="84" cm="1">
        <f t="array" aca="1" ref="E12" ca="1">IFERROR(INDEX(Rango_Admin_Clas_Total,E$2,MATCH($A12,Rango_Admin_Clas_Primera,0)+1),"-")</f>
        <v>17</v>
      </c>
      <c r="F12" s="84" cm="1">
        <f t="array" aca="1" ref="F12" ca="1">IFERROR(INDEX(Rango_Admin_Clas_Total,F$2,MATCH($A12,Rango_Admin_Clas_Primera,0)+1),"-")</f>
        <v>0</v>
      </c>
      <c r="G12" s="84" cm="1">
        <f t="array" aca="1" ref="G12" ca="1">IFERROR(INDEX(Rango_Admin_Clas_Total,G$2,MATCH($A12,Rango_Admin_Clas_Primera,0)+1),"-")</f>
        <v>0</v>
      </c>
      <c r="H12" s="84" cm="1">
        <f t="array" aca="1" ref="H12" ca="1">IFERROR(INDEX(Rango_Admin_Clas_Total,H$2,MATCH($A12,Rango_Admin_Clas_Primera,0)+1),"-")</f>
        <v>0</v>
      </c>
      <c r="I12" s="84" cm="1">
        <f t="array" aca="1" ref="I12" ca="1">IFERROR(INDEX(Rango_Admin_Clas_Total,I$2,MATCH($A12,Rango_Admin_Clas_Primera,0)+1),"-")</f>
        <v>0</v>
      </c>
      <c r="J12" s="84" cm="1">
        <f t="array" aca="1" ref="J12" ca="1">IFERROR(INDEX(Rango_Admin_Clas_Total,J$2,MATCH($A12,Rango_Admin_Clas_Primera,0)+1),"-")</f>
        <v>0</v>
      </c>
      <c r="K12" s="84" cm="1">
        <f t="array" aca="1" ref="K12" ca="1">IFERROR(INDEX(Rango_Admin_Clas_Total,K$2,MATCH($A12,Rango_Admin_Clas_Primera,0)+1),"-")</f>
        <v>0</v>
      </c>
      <c r="L12" s="84" cm="1">
        <f t="array" aca="1" ref="L12" ca="1">IFERROR(INDEX(Rango_Admin_Clas_Total,L$2,MATCH($A12,Rango_Admin_Clas_Primera,0)+1),"-")</f>
        <v>0</v>
      </c>
      <c r="M12" s="84" cm="1">
        <f t="array" aca="1" ref="M12" ca="1">IFERROR(INDEX(Rango_Admin_Clas_Total,M$2,MATCH($A12,Rango_Admin_Clas_Primera,0)+1),"-")</f>
        <v>0</v>
      </c>
      <c r="N12" s="84" cm="1">
        <f t="array" aca="1" ref="N12" ca="1">IFERROR(INDEX(Rango_Admin_Clas_Total,N$2,MATCH($A12,Rango_Admin_Clas_Primera,0)+1),"-")</f>
        <v>0</v>
      </c>
      <c r="O12" s="84" cm="1">
        <f t="array" aca="1" ref="O12" ca="1">IFERROR(INDEX(Rango_Admin_Clas_Total,O$2,MATCH($A12,Rango_Admin_Clas_Primera,0)+1),"-")</f>
        <v>0</v>
      </c>
      <c r="P12" s="84" cm="1">
        <f t="array" aca="1" ref="P12" ca="1">IFERROR(INDEX(Rango_Admin_Clas_Total,P$2,MATCH($A12,Rango_Admin_Clas_Primera,0)+1),"-")</f>
        <v>0</v>
      </c>
      <c r="Q12" s="84" cm="1">
        <f t="array" aca="1" ref="Q12" ca="1">IFERROR(INDEX(Rango_Admin_Clas_Total,Q$2,MATCH($A12,Rango_Admin_Clas_Primera,0)+1),"-")</f>
        <v>0</v>
      </c>
      <c r="R12" s="84" cm="1">
        <f t="array" aca="1" ref="R12" ca="1">IFERROR(INDEX(Rango_Admin_Clas_Total,R$2,MATCH($A12,Rango_Admin_Clas_Primera,0)+1),"-")</f>
        <v>0</v>
      </c>
      <c r="S12" s="84" cm="1">
        <f t="array" aca="1" ref="S12" ca="1">IFERROR(INDEX(Rango_Admin_Clas_Total,S$2,MATCH($A12,Rango_Admin_Clas_Primera,0)+1),"-")</f>
        <v>0</v>
      </c>
      <c r="T12" s="287"/>
      <c r="U12" s="287"/>
    </row>
    <row r="13" spans="1:21">
      <c r="A13" s="15">
        <f t="shared" si="0"/>
        <v>9</v>
      </c>
      <c r="B13" s="18">
        <f ca="1">IFERROR(HLOOKUP(A13,Rango_Admin_Clas,3,FALSE),"-")</f>
        <v>4</v>
      </c>
      <c r="C13" s="14" t="str">
        <f ca="1">IFERROR(HLOOKUP(A13,Rango_Admin_Clas,5,FALSE),"-")</f>
        <v>GANEKO</v>
      </c>
      <c r="D13" s="83">
        <f ca="1">IFERROR(HLOOKUP(A13,Rango_Admin_Clas,4,FALSE),"-")</f>
        <v>17</v>
      </c>
      <c r="E13" s="84" cm="1">
        <f t="array" aca="1" ref="E13" ca="1">IFERROR(INDEX(Rango_Admin_Clas_Total,E$2,MATCH($A13,Rango_Admin_Clas_Primera,0)+1),"-")</f>
        <v>17</v>
      </c>
      <c r="F13" s="84" cm="1">
        <f t="array" aca="1" ref="F13" ca="1">IFERROR(INDEX(Rango_Admin_Clas_Total,F$2,MATCH($A13,Rango_Admin_Clas_Primera,0)+1),"-")</f>
        <v>0</v>
      </c>
      <c r="G13" s="84" cm="1">
        <f t="array" aca="1" ref="G13" ca="1">IFERROR(INDEX(Rango_Admin_Clas_Total,G$2,MATCH($A13,Rango_Admin_Clas_Primera,0)+1),"-")</f>
        <v>0</v>
      </c>
      <c r="H13" s="84" cm="1">
        <f t="array" aca="1" ref="H13" ca="1">IFERROR(INDEX(Rango_Admin_Clas_Total,H$2,MATCH($A13,Rango_Admin_Clas_Primera,0)+1),"-")</f>
        <v>0</v>
      </c>
      <c r="I13" s="84" cm="1">
        <f t="array" aca="1" ref="I13" ca="1">IFERROR(INDEX(Rango_Admin_Clas_Total,I$2,MATCH($A13,Rango_Admin_Clas_Primera,0)+1),"-")</f>
        <v>0</v>
      </c>
      <c r="J13" s="84" cm="1">
        <f t="array" aca="1" ref="J13" ca="1">IFERROR(INDEX(Rango_Admin_Clas_Total,J$2,MATCH($A13,Rango_Admin_Clas_Primera,0)+1),"-")</f>
        <v>0</v>
      </c>
      <c r="K13" s="84" cm="1">
        <f t="array" aca="1" ref="K13" ca="1">IFERROR(INDEX(Rango_Admin_Clas_Total,K$2,MATCH($A13,Rango_Admin_Clas_Primera,0)+1),"-")</f>
        <v>0</v>
      </c>
      <c r="L13" s="84" cm="1">
        <f t="array" aca="1" ref="L13" ca="1">IFERROR(INDEX(Rango_Admin_Clas_Total,L$2,MATCH($A13,Rango_Admin_Clas_Primera,0)+1),"-")</f>
        <v>0</v>
      </c>
      <c r="M13" s="84" cm="1">
        <f t="array" aca="1" ref="M13" ca="1">IFERROR(INDEX(Rango_Admin_Clas_Total,M$2,MATCH($A13,Rango_Admin_Clas_Primera,0)+1),"-")</f>
        <v>0</v>
      </c>
      <c r="N13" s="84" cm="1">
        <f t="array" aca="1" ref="N13" ca="1">IFERROR(INDEX(Rango_Admin_Clas_Total,N$2,MATCH($A13,Rango_Admin_Clas_Primera,0)+1),"-")</f>
        <v>0</v>
      </c>
      <c r="O13" s="84" cm="1">
        <f t="array" aca="1" ref="O13" ca="1">IFERROR(INDEX(Rango_Admin_Clas_Total,O$2,MATCH($A13,Rango_Admin_Clas_Primera,0)+1),"-")</f>
        <v>0</v>
      </c>
      <c r="P13" s="84" cm="1">
        <f t="array" aca="1" ref="P13" ca="1">IFERROR(INDEX(Rango_Admin_Clas_Total,P$2,MATCH($A13,Rango_Admin_Clas_Primera,0)+1),"-")</f>
        <v>0</v>
      </c>
      <c r="Q13" s="84" cm="1">
        <f t="array" aca="1" ref="Q13" ca="1">IFERROR(INDEX(Rango_Admin_Clas_Total,Q$2,MATCH($A13,Rango_Admin_Clas_Primera,0)+1),"-")</f>
        <v>0</v>
      </c>
      <c r="R13" s="84" cm="1">
        <f t="array" aca="1" ref="R13" ca="1">IFERROR(INDEX(Rango_Admin_Clas_Total,R$2,MATCH($A13,Rango_Admin_Clas_Primera,0)+1),"-")</f>
        <v>0</v>
      </c>
      <c r="S13" s="84" cm="1">
        <f t="array" aca="1" ref="S13" ca="1">IFERROR(INDEX(Rango_Admin_Clas_Total,S$2,MATCH($A13,Rango_Admin_Clas_Primera,0)+1),"-")</f>
        <v>0</v>
      </c>
      <c r="T13" s="287"/>
      <c r="U13" s="287"/>
    </row>
    <row r="14" spans="1:21">
      <c r="A14" s="15">
        <f t="shared" si="0"/>
        <v>10</v>
      </c>
      <c r="B14" s="18">
        <f ca="1">IFERROR(HLOOKUP(A14,Rango_Admin_Clas,3,FALSE),"-")</f>
        <v>10</v>
      </c>
      <c r="C14" s="14" t="str">
        <f ca="1">IFERROR(HLOOKUP(A14,Rango_Admin_Clas,5,FALSE),"-")</f>
        <v>GALDER</v>
      </c>
      <c r="D14" s="83">
        <f ca="1">IFERROR(HLOOKUP(A14,Rango_Admin_Clas,4,FALSE),"-")</f>
        <v>12</v>
      </c>
      <c r="E14" s="84" cm="1">
        <f t="array" aca="1" ref="E14" ca="1">IFERROR(INDEX(Rango_Admin_Clas_Total,E$2,MATCH($A14,Rango_Admin_Clas_Primera,0)+1),"-")</f>
        <v>12</v>
      </c>
      <c r="F14" s="84" cm="1">
        <f t="array" aca="1" ref="F14" ca="1">IFERROR(INDEX(Rango_Admin_Clas_Total,F$2,MATCH($A14,Rango_Admin_Clas_Primera,0)+1),"-")</f>
        <v>0</v>
      </c>
      <c r="G14" s="84" cm="1">
        <f t="array" aca="1" ref="G14" ca="1">IFERROR(INDEX(Rango_Admin_Clas_Total,G$2,MATCH($A14,Rango_Admin_Clas_Primera,0)+1),"-")</f>
        <v>0</v>
      </c>
      <c r="H14" s="84" cm="1">
        <f t="array" aca="1" ref="H14" ca="1">IFERROR(INDEX(Rango_Admin_Clas_Total,H$2,MATCH($A14,Rango_Admin_Clas_Primera,0)+1),"-")</f>
        <v>0</v>
      </c>
      <c r="I14" s="84" cm="1">
        <f t="array" aca="1" ref="I14" ca="1">IFERROR(INDEX(Rango_Admin_Clas_Total,I$2,MATCH($A14,Rango_Admin_Clas_Primera,0)+1),"-")</f>
        <v>0</v>
      </c>
      <c r="J14" s="84" cm="1">
        <f t="array" aca="1" ref="J14" ca="1">IFERROR(INDEX(Rango_Admin_Clas_Total,J$2,MATCH($A14,Rango_Admin_Clas_Primera,0)+1),"-")</f>
        <v>0</v>
      </c>
      <c r="K14" s="84" cm="1">
        <f t="array" aca="1" ref="K14" ca="1">IFERROR(INDEX(Rango_Admin_Clas_Total,K$2,MATCH($A14,Rango_Admin_Clas_Primera,0)+1),"-")</f>
        <v>0</v>
      </c>
      <c r="L14" s="84" cm="1">
        <f t="array" aca="1" ref="L14" ca="1">IFERROR(INDEX(Rango_Admin_Clas_Total,L$2,MATCH($A14,Rango_Admin_Clas_Primera,0)+1),"-")</f>
        <v>0</v>
      </c>
      <c r="M14" s="84" cm="1">
        <f t="array" aca="1" ref="M14" ca="1">IFERROR(INDEX(Rango_Admin_Clas_Total,M$2,MATCH($A14,Rango_Admin_Clas_Primera,0)+1),"-")</f>
        <v>0</v>
      </c>
      <c r="N14" s="84" cm="1">
        <f t="array" aca="1" ref="N14" ca="1">IFERROR(INDEX(Rango_Admin_Clas_Total,N$2,MATCH($A14,Rango_Admin_Clas_Primera,0)+1),"-")</f>
        <v>0</v>
      </c>
      <c r="O14" s="84" cm="1">
        <f t="array" aca="1" ref="O14" ca="1">IFERROR(INDEX(Rango_Admin_Clas_Total,O$2,MATCH($A14,Rango_Admin_Clas_Primera,0)+1),"-")</f>
        <v>0</v>
      </c>
      <c r="P14" s="84" cm="1">
        <f t="array" aca="1" ref="P14" ca="1">IFERROR(INDEX(Rango_Admin_Clas_Total,P$2,MATCH($A14,Rango_Admin_Clas_Primera,0)+1),"-")</f>
        <v>0</v>
      </c>
      <c r="Q14" s="84" cm="1">
        <f t="array" aca="1" ref="Q14" ca="1">IFERROR(INDEX(Rango_Admin_Clas_Total,Q$2,MATCH($A14,Rango_Admin_Clas_Primera,0)+1),"-")</f>
        <v>0</v>
      </c>
      <c r="R14" s="84" cm="1">
        <f t="array" aca="1" ref="R14" ca="1">IFERROR(INDEX(Rango_Admin_Clas_Total,R$2,MATCH($A14,Rango_Admin_Clas_Primera,0)+1),"-")</f>
        <v>0</v>
      </c>
      <c r="S14" s="84" cm="1">
        <f t="array" aca="1" ref="S14" ca="1">IFERROR(INDEX(Rango_Admin_Clas_Total,S$2,MATCH($A14,Rango_Admin_Clas_Primera,0)+1),"-")</f>
        <v>0</v>
      </c>
      <c r="T14" s="287"/>
      <c r="U14" s="287"/>
    </row>
    <row r="15" spans="1:21">
      <c r="A15" s="15">
        <f t="shared" si="0"/>
        <v>11</v>
      </c>
      <c r="B15" s="18">
        <f ca="1">IFERROR(HLOOKUP(A15,Rango_Admin_Clas,3,FALSE),"-")</f>
        <v>11</v>
      </c>
      <c r="C15" s="14" t="str">
        <f ca="1">IFERROR(HLOOKUP(A15,Rango_Admin_Clas,5,FALSE),"-")</f>
        <v>GORKA</v>
      </c>
      <c r="D15" s="83">
        <f ca="1">IFERROR(HLOOKUP(A15,Rango_Admin_Clas,4,FALSE),"-")</f>
        <v>5</v>
      </c>
      <c r="E15" s="84" cm="1">
        <f t="array" aca="1" ref="E15" ca="1">IFERROR(INDEX(Rango_Admin_Clas_Total,E$2,MATCH($A15,Rango_Admin_Clas_Primera,0)+1),"-")</f>
        <v>5</v>
      </c>
      <c r="F15" s="84" cm="1">
        <f t="array" aca="1" ref="F15" ca="1">IFERROR(INDEX(Rango_Admin_Clas_Total,F$2,MATCH($A15,Rango_Admin_Clas_Primera,0)+1),"-")</f>
        <v>0</v>
      </c>
      <c r="G15" s="84" cm="1">
        <f t="array" aca="1" ref="G15" ca="1">IFERROR(INDEX(Rango_Admin_Clas_Total,G$2,MATCH($A15,Rango_Admin_Clas_Primera,0)+1),"-")</f>
        <v>0</v>
      </c>
      <c r="H15" s="84" cm="1">
        <f t="array" aca="1" ref="H15" ca="1">IFERROR(INDEX(Rango_Admin_Clas_Total,H$2,MATCH($A15,Rango_Admin_Clas_Primera,0)+1),"-")</f>
        <v>0</v>
      </c>
      <c r="I15" s="84" cm="1">
        <f t="array" aca="1" ref="I15" ca="1">IFERROR(INDEX(Rango_Admin_Clas_Total,I$2,MATCH($A15,Rango_Admin_Clas_Primera,0)+1),"-")</f>
        <v>0</v>
      </c>
      <c r="J15" s="84" cm="1">
        <f t="array" aca="1" ref="J15" ca="1">IFERROR(INDEX(Rango_Admin_Clas_Total,J$2,MATCH($A15,Rango_Admin_Clas_Primera,0)+1),"-")</f>
        <v>0</v>
      </c>
      <c r="K15" s="84" cm="1">
        <f t="array" aca="1" ref="K15" ca="1">IFERROR(INDEX(Rango_Admin_Clas_Total,K$2,MATCH($A15,Rango_Admin_Clas_Primera,0)+1),"-")</f>
        <v>0</v>
      </c>
      <c r="L15" s="84" cm="1">
        <f t="array" aca="1" ref="L15" ca="1">IFERROR(INDEX(Rango_Admin_Clas_Total,L$2,MATCH($A15,Rango_Admin_Clas_Primera,0)+1),"-")</f>
        <v>0</v>
      </c>
      <c r="M15" s="84" cm="1">
        <f t="array" aca="1" ref="M15" ca="1">IFERROR(INDEX(Rango_Admin_Clas_Total,M$2,MATCH($A15,Rango_Admin_Clas_Primera,0)+1),"-")</f>
        <v>0</v>
      </c>
      <c r="N15" s="84" cm="1">
        <f t="array" aca="1" ref="N15" ca="1">IFERROR(INDEX(Rango_Admin_Clas_Total,N$2,MATCH($A15,Rango_Admin_Clas_Primera,0)+1),"-")</f>
        <v>0</v>
      </c>
      <c r="O15" s="84" cm="1">
        <f t="array" aca="1" ref="O15" ca="1">IFERROR(INDEX(Rango_Admin_Clas_Total,O$2,MATCH($A15,Rango_Admin_Clas_Primera,0)+1),"-")</f>
        <v>0</v>
      </c>
      <c r="P15" s="84" cm="1">
        <f t="array" aca="1" ref="P15" ca="1">IFERROR(INDEX(Rango_Admin_Clas_Total,P$2,MATCH($A15,Rango_Admin_Clas_Primera,0)+1),"-")</f>
        <v>0</v>
      </c>
      <c r="Q15" s="84" cm="1">
        <f t="array" aca="1" ref="Q15" ca="1">IFERROR(INDEX(Rango_Admin_Clas_Total,Q$2,MATCH($A15,Rango_Admin_Clas_Primera,0)+1),"-")</f>
        <v>0</v>
      </c>
      <c r="R15" s="84" cm="1">
        <f t="array" aca="1" ref="R15" ca="1">IFERROR(INDEX(Rango_Admin_Clas_Total,R$2,MATCH($A15,Rango_Admin_Clas_Primera,0)+1),"-")</f>
        <v>0</v>
      </c>
      <c r="S15" s="84" cm="1">
        <f t="array" aca="1" ref="S15" ca="1">IFERROR(INDEX(Rango_Admin_Clas_Total,S$2,MATCH($A15,Rango_Admin_Clas_Primera,0)+1),"-")</f>
        <v>0</v>
      </c>
      <c r="T15" s="287"/>
      <c r="U15" s="287"/>
    </row>
    <row r="16" spans="1:21">
      <c r="A16" s="15">
        <f t="shared" si="0"/>
        <v>12</v>
      </c>
      <c r="B16" s="18">
        <f ca="1">IFERROR(HLOOKUP(A16,Rango_Admin_Clas,3,FALSE),"-")</f>
        <v>11</v>
      </c>
      <c r="C16" s="14" t="str">
        <f ca="1">IFERROR(HLOOKUP(A16,Rango_Admin_Clas,5,FALSE),"-")</f>
        <v>NOVE</v>
      </c>
      <c r="D16" s="83">
        <f ca="1">IFERROR(HLOOKUP(A16,Rango_Admin_Clas,4,FALSE),"-")</f>
        <v>5</v>
      </c>
      <c r="E16" s="84" cm="1">
        <f t="array" aca="1" ref="E16" ca="1">IFERROR(INDEX(Rango_Admin_Clas_Total,E$2,MATCH($A16,Rango_Admin_Clas_Primera,0)+1),"-")</f>
        <v>5</v>
      </c>
      <c r="F16" s="84" cm="1">
        <f t="array" aca="1" ref="F16" ca="1">IFERROR(INDEX(Rango_Admin_Clas_Total,F$2,MATCH($A16,Rango_Admin_Clas_Primera,0)+1),"-")</f>
        <v>0</v>
      </c>
      <c r="G16" s="84" cm="1">
        <f t="array" aca="1" ref="G16" ca="1">IFERROR(INDEX(Rango_Admin_Clas_Total,G$2,MATCH($A16,Rango_Admin_Clas_Primera,0)+1),"-")</f>
        <v>0</v>
      </c>
      <c r="H16" s="84" cm="1">
        <f t="array" aca="1" ref="H16" ca="1">IFERROR(INDEX(Rango_Admin_Clas_Total,H$2,MATCH($A16,Rango_Admin_Clas_Primera,0)+1),"-")</f>
        <v>0</v>
      </c>
      <c r="I16" s="84" cm="1">
        <f t="array" aca="1" ref="I16" ca="1">IFERROR(INDEX(Rango_Admin_Clas_Total,I$2,MATCH($A16,Rango_Admin_Clas_Primera,0)+1),"-")</f>
        <v>0</v>
      </c>
      <c r="J16" s="84" cm="1">
        <f t="array" aca="1" ref="J16" ca="1">IFERROR(INDEX(Rango_Admin_Clas_Total,J$2,MATCH($A16,Rango_Admin_Clas_Primera,0)+1),"-")</f>
        <v>0</v>
      </c>
      <c r="K16" s="84" cm="1">
        <f t="array" aca="1" ref="K16" ca="1">IFERROR(INDEX(Rango_Admin_Clas_Total,K$2,MATCH($A16,Rango_Admin_Clas_Primera,0)+1),"-")</f>
        <v>0</v>
      </c>
      <c r="L16" s="84" cm="1">
        <f t="array" aca="1" ref="L16" ca="1">IFERROR(INDEX(Rango_Admin_Clas_Total,L$2,MATCH($A16,Rango_Admin_Clas_Primera,0)+1),"-")</f>
        <v>0</v>
      </c>
      <c r="M16" s="84" cm="1">
        <f t="array" aca="1" ref="M16" ca="1">IFERROR(INDEX(Rango_Admin_Clas_Total,M$2,MATCH($A16,Rango_Admin_Clas_Primera,0)+1),"-")</f>
        <v>0</v>
      </c>
      <c r="N16" s="84" cm="1">
        <f t="array" aca="1" ref="N16" ca="1">IFERROR(INDEX(Rango_Admin_Clas_Total,N$2,MATCH($A16,Rango_Admin_Clas_Primera,0)+1),"-")</f>
        <v>0</v>
      </c>
      <c r="O16" s="84" cm="1">
        <f t="array" aca="1" ref="O16" ca="1">IFERROR(INDEX(Rango_Admin_Clas_Total,O$2,MATCH($A16,Rango_Admin_Clas_Primera,0)+1),"-")</f>
        <v>0</v>
      </c>
      <c r="P16" s="84" cm="1">
        <f t="array" aca="1" ref="P16" ca="1">IFERROR(INDEX(Rango_Admin_Clas_Total,P$2,MATCH($A16,Rango_Admin_Clas_Primera,0)+1),"-")</f>
        <v>0</v>
      </c>
      <c r="Q16" s="84" cm="1">
        <f t="array" aca="1" ref="Q16" ca="1">IFERROR(INDEX(Rango_Admin_Clas_Total,Q$2,MATCH($A16,Rango_Admin_Clas_Primera,0)+1),"-")</f>
        <v>0</v>
      </c>
      <c r="R16" s="84" cm="1">
        <f t="array" aca="1" ref="R16" ca="1">IFERROR(INDEX(Rango_Admin_Clas_Total,R$2,MATCH($A16,Rango_Admin_Clas_Primera,0)+1),"-")</f>
        <v>0</v>
      </c>
      <c r="S16" s="84" cm="1">
        <f t="array" aca="1" ref="S16" ca="1">IFERROR(INDEX(Rango_Admin_Clas_Total,S$2,MATCH($A16,Rango_Admin_Clas_Primera,0)+1),"-")</f>
        <v>0</v>
      </c>
      <c r="T16" s="287"/>
      <c r="U16" s="287"/>
    </row>
    <row r="17" spans="1:21">
      <c r="A17" s="15">
        <f t="shared" si="0"/>
        <v>13</v>
      </c>
      <c r="B17" s="18">
        <f ca="1">IFERROR(HLOOKUP(A17,Rango_Admin_Clas,3,FALSE),"-")</f>
        <v>11</v>
      </c>
      <c r="C17" s="14" t="str">
        <f ca="1">IFERROR(HLOOKUP(A17,Rango_Admin_Clas,5,FALSE),"-")</f>
        <v>SERGIO</v>
      </c>
      <c r="D17" s="83">
        <f ca="1">IFERROR(HLOOKUP(A17,Rango_Admin_Clas,4,FALSE),"-")</f>
        <v>5</v>
      </c>
      <c r="E17" s="84" cm="1">
        <f t="array" aca="1" ref="E17" ca="1">IFERROR(INDEX(Rango_Admin_Clas_Total,E$2,MATCH($A17,Rango_Admin_Clas_Primera,0)+1),"-")</f>
        <v>5</v>
      </c>
      <c r="F17" s="84" cm="1">
        <f t="array" aca="1" ref="F17" ca="1">IFERROR(INDEX(Rango_Admin_Clas_Total,F$2,MATCH($A17,Rango_Admin_Clas_Primera,0)+1),"-")</f>
        <v>0</v>
      </c>
      <c r="G17" s="84" cm="1">
        <f t="array" aca="1" ref="G17" ca="1">IFERROR(INDEX(Rango_Admin_Clas_Total,G$2,MATCH($A17,Rango_Admin_Clas_Primera,0)+1),"-")</f>
        <v>0</v>
      </c>
      <c r="H17" s="84" cm="1">
        <f t="array" aca="1" ref="H17" ca="1">IFERROR(INDEX(Rango_Admin_Clas_Total,H$2,MATCH($A17,Rango_Admin_Clas_Primera,0)+1),"-")</f>
        <v>0</v>
      </c>
      <c r="I17" s="84" cm="1">
        <f t="array" aca="1" ref="I17" ca="1">IFERROR(INDEX(Rango_Admin_Clas_Total,I$2,MATCH($A17,Rango_Admin_Clas_Primera,0)+1),"-")</f>
        <v>0</v>
      </c>
      <c r="J17" s="84" cm="1">
        <f t="array" aca="1" ref="J17" ca="1">IFERROR(INDEX(Rango_Admin_Clas_Total,J$2,MATCH($A17,Rango_Admin_Clas_Primera,0)+1),"-")</f>
        <v>0</v>
      </c>
      <c r="K17" s="84" cm="1">
        <f t="array" aca="1" ref="K17" ca="1">IFERROR(INDEX(Rango_Admin_Clas_Total,K$2,MATCH($A17,Rango_Admin_Clas_Primera,0)+1),"-")</f>
        <v>0</v>
      </c>
      <c r="L17" s="84" cm="1">
        <f t="array" aca="1" ref="L17" ca="1">IFERROR(INDEX(Rango_Admin_Clas_Total,L$2,MATCH($A17,Rango_Admin_Clas_Primera,0)+1),"-")</f>
        <v>0</v>
      </c>
      <c r="M17" s="84" cm="1">
        <f t="array" aca="1" ref="M17" ca="1">IFERROR(INDEX(Rango_Admin_Clas_Total,M$2,MATCH($A17,Rango_Admin_Clas_Primera,0)+1),"-")</f>
        <v>0</v>
      </c>
      <c r="N17" s="84" cm="1">
        <f t="array" aca="1" ref="N17" ca="1">IFERROR(INDEX(Rango_Admin_Clas_Total,N$2,MATCH($A17,Rango_Admin_Clas_Primera,0)+1),"-")</f>
        <v>0</v>
      </c>
      <c r="O17" s="84" cm="1">
        <f t="array" aca="1" ref="O17" ca="1">IFERROR(INDEX(Rango_Admin_Clas_Total,O$2,MATCH($A17,Rango_Admin_Clas_Primera,0)+1),"-")</f>
        <v>0</v>
      </c>
      <c r="P17" s="84" cm="1">
        <f t="array" aca="1" ref="P17" ca="1">IFERROR(INDEX(Rango_Admin_Clas_Total,P$2,MATCH($A17,Rango_Admin_Clas_Primera,0)+1),"-")</f>
        <v>0</v>
      </c>
      <c r="Q17" s="84" cm="1">
        <f t="array" aca="1" ref="Q17" ca="1">IFERROR(INDEX(Rango_Admin_Clas_Total,Q$2,MATCH($A17,Rango_Admin_Clas_Primera,0)+1),"-")</f>
        <v>0</v>
      </c>
      <c r="R17" s="84" cm="1">
        <f t="array" aca="1" ref="R17" ca="1">IFERROR(INDEX(Rango_Admin_Clas_Total,R$2,MATCH($A17,Rango_Admin_Clas_Primera,0)+1),"-")</f>
        <v>0</v>
      </c>
      <c r="S17" s="84" cm="1">
        <f t="array" aca="1" ref="S17" ca="1">IFERROR(INDEX(Rango_Admin_Clas_Total,S$2,MATCH($A17,Rango_Admin_Clas_Primera,0)+1),"-")</f>
        <v>0</v>
      </c>
      <c r="T17" s="287"/>
      <c r="U17" s="287"/>
    </row>
    <row r="18" spans="1:21">
      <c r="A18" s="15">
        <f t="shared" si="0"/>
        <v>14</v>
      </c>
      <c r="B18" s="18">
        <f ca="1">IFERROR(HLOOKUP(A18,Rango_Admin_Clas,3,FALSE),"-")</f>
        <v>11</v>
      </c>
      <c r="C18" s="14" t="str">
        <f ca="1">IFERROR(HLOOKUP(A18,Rango_Admin_Clas,5,FALSE),"-")</f>
        <v>JUANJO</v>
      </c>
      <c r="D18" s="83">
        <f ca="1">IFERROR(HLOOKUP(A18,Rango_Admin_Clas,4,FALSE),"-")</f>
        <v>5</v>
      </c>
      <c r="E18" s="84" cm="1">
        <f t="array" aca="1" ref="E18" ca="1">IFERROR(INDEX(Rango_Admin_Clas_Total,E$2,MATCH($A18,Rango_Admin_Clas_Primera,0)+1),"-")</f>
        <v>5</v>
      </c>
      <c r="F18" s="84" cm="1">
        <f t="array" aca="1" ref="F18" ca="1">IFERROR(INDEX(Rango_Admin_Clas_Total,F$2,MATCH($A18,Rango_Admin_Clas_Primera,0)+1),"-")</f>
        <v>0</v>
      </c>
      <c r="G18" s="84" cm="1">
        <f t="array" aca="1" ref="G18" ca="1">IFERROR(INDEX(Rango_Admin_Clas_Total,G$2,MATCH($A18,Rango_Admin_Clas_Primera,0)+1),"-")</f>
        <v>0</v>
      </c>
      <c r="H18" s="84" cm="1">
        <f t="array" aca="1" ref="H18" ca="1">IFERROR(INDEX(Rango_Admin_Clas_Total,H$2,MATCH($A18,Rango_Admin_Clas_Primera,0)+1),"-")</f>
        <v>0</v>
      </c>
      <c r="I18" s="84" cm="1">
        <f t="array" aca="1" ref="I18" ca="1">IFERROR(INDEX(Rango_Admin_Clas_Total,I$2,MATCH($A18,Rango_Admin_Clas_Primera,0)+1),"-")</f>
        <v>0</v>
      </c>
      <c r="J18" s="84" cm="1">
        <f t="array" aca="1" ref="J18" ca="1">IFERROR(INDEX(Rango_Admin_Clas_Total,J$2,MATCH($A18,Rango_Admin_Clas_Primera,0)+1),"-")</f>
        <v>0</v>
      </c>
      <c r="K18" s="84" cm="1">
        <f t="array" aca="1" ref="K18" ca="1">IFERROR(INDEX(Rango_Admin_Clas_Total,K$2,MATCH($A18,Rango_Admin_Clas_Primera,0)+1),"-")</f>
        <v>0</v>
      </c>
      <c r="L18" s="84" cm="1">
        <f t="array" aca="1" ref="L18" ca="1">IFERROR(INDEX(Rango_Admin_Clas_Total,L$2,MATCH($A18,Rango_Admin_Clas_Primera,0)+1),"-")</f>
        <v>0</v>
      </c>
      <c r="M18" s="84" cm="1">
        <f t="array" aca="1" ref="M18" ca="1">IFERROR(INDEX(Rango_Admin_Clas_Total,M$2,MATCH($A18,Rango_Admin_Clas_Primera,0)+1),"-")</f>
        <v>0</v>
      </c>
      <c r="N18" s="84" cm="1">
        <f t="array" aca="1" ref="N18" ca="1">IFERROR(INDEX(Rango_Admin_Clas_Total,N$2,MATCH($A18,Rango_Admin_Clas_Primera,0)+1),"-")</f>
        <v>0</v>
      </c>
      <c r="O18" s="84" cm="1">
        <f t="array" aca="1" ref="O18" ca="1">IFERROR(INDEX(Rango_Admin_Clas_Total,O$2,MATCH($A18,Rango_Admin_Clas_Primera,0)+1),"-")</f>
        <v>0</v>
      </c>
      <c r="P18" s="84" cm="1">
        <f t="array" aca="1" ref="P18" ca="1">IFERROR(INDEX(Rango_Admin_Clas_Total,P$2,MATCH($A18,Rango_Admin_Clas_Primera,0)+1),"-")</f>
        <v>0</v>
      </c>
      <c r="Q18" s="84" cm="1">
        <f t="array" aca="1" ref="Q18" ca="1">IFERROR(INDEX(Rango_Admin_Clas_Total,Q$2,MATCH($A18,Rango_Admin_Clas_Primera,0)+1),"-")</f>
        <v>0</v>
      </c>
      <c r="R18" s="84" cm="1">
        <f t="array" aca="1" ref="R18" ca="1">IFERROR(INDEX(Rango_Admin_Clas_Total,R$2,MATCH($A18,Rango_Admin_Clas_Primera,0)+1),"-")</f>
        <v>0</v>
      </c>
      <c r="S18" s="84" cm="1">
        <f t="array" aca="1" ref="S18" ca="1">IFERROR(INDEX(Rango_Admin_Clas_Total,S$2,MATCH($A18,Rango_Admin_Clas_Primera,0)+1),"-")</f>
        <v>0</v>
      </c>
      <c r="T18" s="287"/>
      <c r="U18" s="287"/>
    </row>
    <row r="19" spans="1:21">
      <c r="A19" s="15">
        <f t="shared" si="0"/>
        <v>15</v>
      </c>
      <c r="B19" s="18">
        <f ca="1">IFERROR(HLOOKUP(A19,Rango_Admin_Clas,3,FALSE),"-")</f>
        <v>11</v>
      </c>
      <c r="C19" s="14" t="str">
        <f ca="1">IFERROR(HLOOKUP(A19,Rango_Admin_Clas,5,FALSE),"-")</f>
        <v>BORJA</v>
      </c>
      <c r="D19" s="83">
        <f ca="1">IFERROR(HLOOKUP(A19,Rango_Admin_Clas,4,FALSE),"-")</f>
        <v>5</v>
      </c>
      <c r="E19" s="84" cm="1">
        <f t="array" aca="1" ref="E19" ca="1">IFERROR(INDEX(Rango_Admin_Clas_Total,E$2,MATCH($A19,Rango_Admin_Clas_Primera,0)+1),"-")</f>
        <v>5</v>
      </c>
      <c r="F19" s="84" cm="1">
        <f t="array" aca="1" ref="F19" ca="1">IFERROR(INDEX(Rango_Admin_Clas_Total,F$2,MATCH($A19,Rango_Admin_Clas_Primera,0)+1),"-")</f>
        <v>0</v>
      </c>
      <c r="G19" s="84" cm="1">
        <f t="array" aca="1" ref="G19" ca="1">IFERROR(INDEX(Rango_Admin_Clas_Total,G$2,MATCH($A19,Rango_Admin_Clas_Primera,0)+1),"-")</f>
        <v>0</v>
      </c>
      <c r="H19" s="84" cm="1">
        <f t="array" aca="1" ref="H19" ca="1">IFERROR(INDEX(Rango_Admin_Clas_Total,H$2,MATCH($A19,Rango_Admin_Clas_Primera,0)+1),"-")</f>
        <v>0</v>
      </c>
      <c r="I19" s="84" cm="1">
        <f t="array" aca="1" ref="I19" ca="1">IFERROR(INDEX(Rango_Admin_Clas_Total,I$2,MATCH($A19,Rango_Admin_Clas_Primera,0)+1),"-")</f>
        <v>0</v>
      </c>
      <c r="J19" s="84" cm="1">
        <f t="array" aca="1" ref="J19" ca="1">IFERROR(INDEX(Rango_Admin_Clas_Total,J$2,MATCH($A19,Rango_Admin_Clas_Primera,0)+1),"-")</f>
        <v>0</v>
      </c>
      <c r="K19" s="84" cm="1">
        <f t="array" aca="1" ref="K19" ca="1">IFERROR(INDEX(Rango_Admin_Clas_Total,K$2,MATCH($A19,Rango_Admin_Clas_Primera,0)+1),"-")</f>
        <v>0</v>
      </c>
      <c r="L19" s="84" cm="1">
        <f t="array" aca="1" ref="L19" ca="1">IFERROR(INDEX(Rango_Admin_Clas_Total,L$2,MATCH($A19,Rango_Admin_Clas_Primera,0)+1),"-")</f>
        <v>0</v>
      </c>
      <c r="M19" s="84" cm="1">
        <f t="array" aca="1" ref="M19" ca="1">IFERROR(INDEX(Rango_Admin_Clas_Total,M$2,MATCH($A19,Rango_Admin_Clas_Primera,0)+1),"-")</f>
        <v>0</v>
      </c>
      <c r="N19" s="84" cm="1">
        <f t="array" aca="1" ref="N19" ca="1">IFERROR(INDEX(Rango_Admin_Clas_Total,N$2,MATCH($A19,Rango_Admin_Clas_Primera,0)+1),"-")</f>
        <v>0</v>
      </c>
      <c r="O19" s="84" cm="1">
        <f t="array" aca="1" ref="O19" ca="1">IFERROR(INDEX(Rango_Admin_Clas_Total,O$2,MATCH($A19,Rango_Admin_Clas_Primera,0)+1),"-")</f>
        <v>0</v>
      </c>
      <c r="P19" s="84" cm="1">
        <f t="array" aca="1" ref="P19" ca="1">IFERROR(INDEX(Rango_Admin_Clas_Total,P$2,MATCH($A19,Rango_Admin_Clas_Primera,0)+1),"-")</f>
        <v>0</v>
      </c>
      <c r="Q19" s="84" cm="1">
        <f t="array" aca="1" ref="Q19" ca="1">IFERROR(INDEX(Rango_Admin_Clas_Total,Q$2,MATCH($A19,Rango_Admin_Clas_Primera,0)+1),"-")</f>
        <v>0</v>
      </c>
      <c r="R19" s="84" cm="1">
        <f t="array" aca="1" ref="R19" ca="1">IFERROR(INDEX(Rango_Admin_Clas_Total,R$2,MATCH($A19,Rango_Admin_Clas_Primera,0)+1),"-")</f>
        <v>0</v>
      </c>
      <c r="S19" s="84" cm="1">
        <f t="array" aca="1" ref="S19" ca="1">IFERROR(INDEX(Rango_Admin_Clas_Total,S$2,MATCH($A19,Rango_Admin_Clas_Primera,0)+1),"-")</f>
        <v>0</v>
      </c>
      <c r="T19" s="287"/>
      <c r="U19" s="287"/>
    </row>
    <row r="20" spans="1:21">
      <c r="A20" s="15">
        <f t="shared" si="0"/>
        <v>16</v>
      </c>
      <c r="B20" s="18">
        <f ca="1">IFERROR(HLOOKUP(A20,Rango_Admin_Clas,3,FALSE),"-")</f>
        <v>11</v>
      </c>
      <c r="C20" s="14" t="str">
        <f ca="1">IFERROR(HLOOKUP(A20,Rango_Admin_Clas,5,FALSE),"-")</f>
        <v>MIKEL</v>
      </c>
      <c r="D20" s="83">
        <f ca="1">IFERROR(HLOOKUP(A20,Rango_Admin_Clas,4,FALSE),"-")</f>
        <v>5</v>
      </c>
      <c r="E20" s="84" cm="1">
        <f t="array" aca="1" ref="E20" ca="1">IFERROR(INDEX(Rango_Admin_Clas_Total,E$2,MATCH($A20,Rango_Admin_Clas_Primera,0)+1),"-")</f>
        <v>5</v>
      </c>
      <c r="F20" s="84" cm="1">
        <f t="array" aca="1" ref="F20" ca="1">IFERROR(INDEX(Rango_Admin_Clas_Total,F$2,MATCH($A20,Rango_Admin_Clas_Primera,0)+1),"-")</f>
        <v>0</v>
      </c>
      <c r="G20" s="84" cm="1">
        <f t="array" aca="1" ref="G20" ca="1">IFERROR(INDEX(Rango_Admin_Clas_Total,G$2,MATCH($A20,Rango_Admin_Clas_Primera,0)+1),"-")</f>
        <v>0</v>
      </c>
      <c r="H20" s="84" cm="1">
        <f t="array" aca="1" ref="H20" ca="1">IFERROR(INDEX(Rango_Admin_Clas_Total,H$2,MATCH($A20,Rango_Admin_Clas_Primera,0)+1),"-")</f>
        <v>0</v>
      </c>
      <c r="I20" s="84" cm="1">
        <f t="array" aca="1" ref="I20" ca="1">IFERROR(INDEX(Rango_Admin_Clas_Total,I$2,MATCH($A20,Rango_Admin_Clas_Primera,0)+1),"-")</f>
        <v>0</v>
      </c>
      <c r="J20" s="84" cm="1">
        <f t="array" aca="1" ref="J20" ca="1">IFERROR(INDEX(Rango_Admin_Clas_Total,J$2,MATCH($A20,Rango_Admin_Clas_Primera,0)+1),"-")</f>
        <v>0</v>
      </c>
      <c r="K20" s="84" cm="1">
        <f t="array" aca="1" ref="K20" ca="1">IFERROR(INDEX(Rango_Admin_Clas_Total,K$2,MATCH($A20,Rango_Admin_Clas_Primera,0)+1),"-")</f>
        <v>0</v>
      </c>
      <c r="L20" s="84" cm="1">
        <f t="array" aca="1" ref="L20" ca="1">IFERROR(INDEX(Rango_Admin_Clas_Total,L$2,MATCH($A20,Rango_Admin_Clas_Primera,0)+1),"-")</f>
        <v>0</v>
      </c>
      <c r="M20" s="84" cm="1">
        <f t="array" aca="1" ref="M20" ca="1">IFERROR(INDEX(Rango_Admin_Clas_Total,M$2,MATCH($A20,Rango_Admin_Clas_Primera,0)+1),"-")</f>
        <v>0</v>
      </c>
      <c r="N20" s="84" cm="1">
        <f t="array" aca="1" ref="N20" ca="1">IFERROR(INDEX(Rango_Admin_Clas_Total,N$2,MATCH($A20,Rango_Admin_Clas_Primera,0)+1),"-")</f>
        <v>0</v>
      </c>
      <c r="O20" s="84" cm="1">
        <f t="array" aca="1" ref="O20" ca="1">IFERROR(INDEX(Rango_Admin_Clas_Total,O$2,MATCH($A20,Rango_Admin_Clas_Primera,0)+1),"-")</f>
        <v>0</v>
      </c>
      <c r="P20" s="84" cm="1">
        <f t="array" aca="1" ref="P20" ca="1">IFERROR(INDEX(Rango_Admin_Clas_Total,P$2,MATCH($A20,Rango_Admin_Clas_Primera,0)+1),"-")</f>
        <v>0</v>
      </c>
      <c r="Q20" s="84" cm="1">
        <f t="array" aca="1" ref="Q20" ca="1">IFERROR(INDEX(Rango_Admin_Clas_Total,Q$2,MATCH($A20,Rango_Admin_Clas_Primera,0)+1),"-")</f>
        <v>0</v>
      </c>
      <c r="R20" s="84" cm="1">
        <f t="array" aca="1" ref="R20" ca="1">IFERROR(INDEX(Rango_Admin_Clas_Total,R$2,MATCH($A20,Rango_Admin_Clas_Primera,0)+1),"-")</f>
        <v>0</v>
      </c>
      <c r="S20" s="84" cm="1">
        <f t="array" aca="1" ref="S20" ca="1">IFERROR(INDEX(Rango_Admin_Clas_Total,S$2,MATCH($A20,Rango_Admin_Clas_Primera,0)+1),"-")</f>
        <v>0</v>
      </c>
      <c r="T20" s="287"/>
      <c r="U20" s="287"/>
    </row>
    <row r="21" spans="1:21">
      <c r="A21" s="15">
        <f t="shared" si="0"/>
        <v>17</v>
      </c>
      <c r="B21" s="18">
        <f ca="1">IFERROR(HLOOKUP(A21,Rango_Admin_Clas,3,FALSE),"-")</f>
        <v>11</v>
      </c>
      <c r="C21" s="14" t="str">
        <f ca="1">IFERROR(HLOOKUP(A21,Rango_Admin_Clas,5,FALSE),"-")</f>
        <v>JON</v>
      </c>
      <c r="D21" s="83">
        <f ca="1">IFERROR(HLOOKUP(A21,Rango_Admin_Clas,4,FALSE),"-")</f>
        <v>5</v>
      </c>
      <c r="E21" s="84" cm="1">
        <f t="array" aca="1" ref="E21" ca="1">IFERROR(INDEX(Rango_Admin_Clas_Total,E$2,MATCH($A21,Rango_Admin_Clas_Primera,0)+1),"-")</f>
        <v>5</v>
      </c>
      <c r="F21" s="84" cm="1">
        <f t="array" aca="1" ref="F21" ca="1">IFERROR(INDEX(Rango_Admin_Clas_Total,F$2,MATCH($A21,Rango_Admin_Clas_Primera,0)+1),"-")</f>
        <v>0</v>
      </c>
      <c r="G21" s="84" cm="1">
        <f t="array" aca="1" ref="G21" ca="1">IFERROR(INDEX(Rango_Admin_Clas_Total,G$2,MATCH($A21,Rango_Admin_Clas_Primera,0)+1),"-")</f>
        <v>0</v>
      </c>
      <c r="H21" s="84" cm="1">
        <f t="array" aca="1" ref="H21" ca="1">IFERROR(INDEX(Rango_Admin_Clas_Total,H$2,MATCH($A21,Rango_Admin_Clas_Primera,0)+1),"-")</f>
        <v>0</v>
      </c>
      <c r="I21" s="84" cm="1">
        <f t="array" aca="1" ref="I21" ca="1">IFERROR(INDEX(Rango_Admin_Clas_Total,I$2,MATCH($A21,Rango_Admin_Clas_Primera,0)+1),"-")</f>
        <v>0</v>
      </c>
      <c r="J21" s="84" cm="1">
        <f t="array" aca="1" ref="J21" ca="1">IFERROR(INDEX(Rango_Admin_Clas_Total,J$2,MATCH($A21,Rango_Admin_Clas_Primera,0)+1),"-")</f>
        <v>0</v>
      </c>
      <c r="K21" s="84" cm="1">
        <f t="array" aca="1" ref="K21" ca="1">IFERROR(INDEX(Rango_Admin_Clas_Total,K$2,MATCH($A21,Rango_Admin_Clas_Primera,0)+1),"-")</f>
        <v>0</v>
      </c>
      <c r="L21" s="84" cm="1">
        <f t="array" aca="1" ref="L21" ca="1">IFERROR(INDEX(Rango_Admin_Clas_Total,L$2,MATCH($A21,Rango_Admin_Clas_Primera,0)+1),"-")</f>
        <v>0</v>
      </c>
      <c r="M21" s="84" cm="1">
        <f t="array" aca="1" ref="M21" ca="1">IFERROR(INDEX(Rango_Admin_Clas_Total,M$2,MATCH($A21,Rango_Admin_Clas_Primera,0)+1),"-")</f>
        <v>0</v>
      </c>
      <c r="N21" s="84" cm="1">
        <f t="array" aca="1" ref="N21" ca="1">IFERROR(INDEX(Rango_Admin_Clas_Total,N$2,MATCH($A21,Rango_Admin_Clas_Primera,0)+1),"-")</f>
        <v>0</v>
      </c>
      <c r="O21" s="84" cm="1">
        <f t="array" aca="1" ref="O21" ca="1">IFERROR(INDEX(Rango_Admin_Clas_Total,O$2,MATCH($A21,Rango_Admin_Clas_Primera,0)+1),"-")</f>
        <v>0</v>
      </c>
      <c r="P21" s="84" cm="1">
        <f t="array" aca="1" ref="P21" ca="1">IFERROR(INDEX(Rango_Admin_Clas_Total,P$2,MATCH($A21,Rango_Admin_Clas_Primera,0)+1),"-")</f>
        <v>0</v>
      </c>
      <c r="Q21" s="84" cm="1">
        <f t="array" aca="1" ref="Q21" ca="1">IFERROR(INDEX(Rango_Admin_Clas_Total,Q$2,MATCH($A21,Rango_Admin_Clas_Primera,0)+1),"-")</f>
        <v>0</v>
      </c>
      <c r="R21" s="84" cm="1">
        <f t="array" aca="1" ref="R21" ca="1">IFERROR(INDEX(Rango_Admin_Clas_Total,R$2,MATCH($A21,Rango_Admin_Clas_Primera,0)+1),"-")</f>
        <v>0</v>
      </c>
      <c r="S21" s="84" cm="1">
        <f t="array" aca="1" ref="S21" ca="1">IFERROR(INDEX(Rango_Admin_Clas_Total,S$2,MATCH($A21,Rango_Admin_Clas_Primera,0)+1),"-")</f>
        <v>0</v>
      </c>
      <c r="T21" s="287"/>
      <c r="U21" s="287"/>
    </row>
    <row r="22" spans="1:21">
      <c r="A22" s="15">
        <f t="shared" si="0"/>
        <v>18</v>
      </c>
      <c r="B22" s="18">
        <f ca="1">IFERROR(HLOOKUP(A22,Rango_Admin_Clas,3,FALSE),"-")</f>
        <v>11</v>
      </c>
      <c r="C22" s="14" t="str">
        <f ca="1">IFERROR(HLOOKUP(A22,Rango_Admin_Clas,5,FALSE),"-")</f>
        <v>AITOR</v>
      </c>
      <c r="D22" s="83">
        <f ca="1">IFERROR(HLOOKUP(A22,Rango_Admin_Clas,4,FALSE),"-")</f>
        <v>5</v>
      </c>
      <c r="E22" s="84" cm="1">
        <f t="array" aca="1" ref="E22" ca="1">IFERROR(INDEX(Rango_Admin_Clas_Total,E$2,MATCH($A22,Rango_Admin_Clas_Primera,0)+1),"-")</f>
        <v>5</v>
      </c>
      <c r="F22" s="84" cm="1">
        <f t="array" aca="1" ref="F22" ca="1">IFERROR(INDEX(Rango_Admin_Clas_Total,F$2,MATCH($A22,Rango_Admin_Clas_Primera,0)+1),"-")</f>
        <v>0</v>
      </c>
      <c r="G22" s="84" cm="1">
        <f t="array" aca="1" ref="G22" ca="1">IFERROR(INDEX(Rango_Admin_Clas_Total,G$2,MATCH($A22,Rango_Admin_Clas_Primera,0)+1),"-")</f>
        <v>0</v>
      </c>
      <c r="H22" s="84" cm="1">
        <f t="array" aca="1" ref="H22" ca="1">IFERROR(INDEX(Rango_Admin_Clas_Total,H$2,MATCH($A22,Rango_Admin_Clas_Primera,0)+1),"-")</f>
        <v>0</v>
      </c>
      <c r="I22" s="84" cm="1">
        <f t="array" aca="1" ref="I22" ca="1">IFERROR(INDEX(Rango_Admin_Clas_Total,I$2,MATCH($A22,Rango_Admin_Clas_Primera,0)+1),"-")</f>
        <v>0</v>
      </c>
      <c r="J22" s="84" cm="1">
        <f t="array" aca="1" ref="J22" ca="1">IFERROR(INDEX(Rango_Admin_Clas_Total,J$2,MATCH($A22,Rango_Admin_Clas_Primera,0)+1),"-")</f>
        <v>0</v>
      </c>
      <c r="K22" s="84" cm="1">
        <f t="array" aca="1" ref="K22" ca="1">IFERROR(INDEX(Rango_Admin_Clas_Total,K$2,MATCH($A22,Rango_Admin_Clas_Primera,0)+1),"-")</f>
        <v>0</v>
      </c>
      <c r="L22" s="84" cm="1">
        <f t="array" aca="1" ref="L22" ca="1">IFERROR(INDEX(Rango_Admin_Clas_Total,L$2,MATCH($A22,Rango_Admin_Clas_Primera,0)+1),"-")</f>
        <v>0</v>
      </c>
      <c r="M22" s="84" cm="1">
        <f t="array" aca="1" ref="M22" ca="1">IFERROR(INDEX(Rango_Admin_Clas_Total,M$2,MATCH($A22,Rango_Admin_Clas_Primera,0)+1),"-")</f>
        <v>0</v>
      </c>
      <c r="N22" s="84" cm="1">
        <f t="array" aca="1" ref="N22" ca="1">IFERROR(INDEX(Rango_Admin_Clas_Total,N$2,MATCH($A22,Rango_Admin_Clas_Primera,0)+1),"-")</f>
        <v>0</v>
      </c>
      <c r="O22" s="84" cm="1">
        <f t="array" aca="1" ref="O22" ca="1">IFERROR(INDEX(Rango_Admin_Clas_Total,O$2,MATCH($A22,Rango_Admin_Clas_Primera,0)+1),"-")</f>
        <v>0</v>
      </c>
      <c r="P22" s="84" cm="1">
        <f t="array" aca="1" ref="P22" ca="1">IFERROR(INDEX(Rango_Admin_Clas_Total,P$2,MATCH($A22,Rango_Admin_Clas_Primera,0)+1),"-")</f>
        <v>0</v>
      </c>
      <c r="Q22" s="84" cm="1">
        <f t="array" aca="1" ref="Q22" ca="1">IFERROR(INDEX(Rango_Admin_Clas_Total,Q$2,MATCH($A22,Rango_Admin_Clas_Primera,0)+1),"-")</f>
        <v>0</v>
      </c>
      <c r="R22" s="84" cm="1">
        <f t="array" aca="1" ref="R22" ca="1">IFERROR(INDEX(Rango_Admin_Clas_Total,R$2,MATCH($A22,Rango_Admin_Clas_Primera,0)+1),"-")</f>
        <v>0</v>
      </c>
      <c r="S22" s="84" cm="1">
        <f t="array" aca="1" ref="S22" ca="1">IFERROR(INDEX(Rango_Admin_Clas_Total,S$2,MATCH($A22,Rango_Admin_Clas_Primera,0)+1),"-")</f>
        <v>0</v>
      </c>
      <c r="T22" s="287"/>
      <c r="U22" s="287"/>
    </row>
    <row r="23" spans="1:21" hidden="1">
      <c r="A23" s="15">
        <f t="shared" si="0"/>
        <v>19</v>
      </c>
      <c r="B23" s="18">
        <f ca="1">IFERROR(HLOOKUP(A23,Rango_Admin_Clas,3,FALSE),"-")</f>
        <v>19</v>
      </c>
      <c r="C23" s="14" t="str">
        <f ca="1">IFERROR(HLOOKUP(A23,Rango_Admin_Clas,5,FALSE),"-")</f>
        <v>Pegar Valores Nombre J19</v>
      </c>
      <c r="D23" s="83">
        <f ca="1">IFERROR(HLOOKUP(A23,Rango_Admin_Clas,4,FALSE),"-")</f>
        <v>0</v>
      </c>
      <c r="E23" s="84" cm="1">
        <f t="array" aca="1" ref="E23" ca="1">IFERROR(INDEX(Rango_Admin_Clas_Total,E$2,MATCH($A23,Rango_Admin_Clas_Primera,0)+1),"-")</f>
        <v>0</v>
      </c>
      <c r="F23" s="84" cm="1">
        <f t="array" aca="1" ref="F23" ca="1">IFERROR(INDEX(Rango_Admin_Clas_Total,F$2,MATCH($A23,Rango_Admin_Clas_Primera,0)+1),"-")</f>
        <v>0</v>
      </c>
      <c r="G23" s="84" cm="1">
        <f t="array" aca="1" ref="G23" ca="1">IFERROR(INDEX(Rango_Admin_Clas_Total,G$2,MATCH($A23,Rango_Admin_Clas_Primera,0)+1),"-")</f>
        <v>0</v>
      </c>
      <c r="H23" s="84" cm="1">
        <f t="array" aca="1" ref="H23" ca="1">IFERROR(INDEX(Rango_Admin_Clas_Total,H$2,MATCH($A23,Rango_Admin_Clas_Primera,0)+1),"-")</f>
        <v>0</v>
      </c>
      <c r="I23" s="84" cm="1">
        <f t="array" aca="1" ref="I23" ca="1">IFERROR(INDEX(Rango_Admin_Clas_Total,I$2,MATCH($A23,Rango_Admin_Clas_Primera,0)+1),"-")</f>
        <v>0</v>
      </c>
      <c r="J23" s="84" cm="1">
        <f t="array" aca="1" ref="J23" ca="1">IFERROR(INDEX(Rango_Admin_Clas_Total,J$2,MATCH($A23,Rango_Admin_Clas_Primera,0)+1),"-")</f>
        <v>0</v>
      </c>
      <c r="K23" s="84" cm="1">
        <f t="array" aca="1" ref="K23" ca="1">IFERROR(INDEX(Rango_Admin_Clas_Total,K$2,MATCH($A23,Rango_Admin_Clas_Primera,0)+1),"-")</f>
        <v>0</v>
      </c>
      <c r="L23" s="84" cm="1">
        <f t="array" aca="1" ref="L23" ca="1">IFERROR(INDEX(Rango_Admin_Clas_Total,L$2,MATCH($A23,Rango_Admin_Clas_Primera,0)+1),"-")</f>
        <v>0</v>
      </c>
      <c r="M23" s="84" cm="1">
        <f t="array" aca="1" ref="M23" ca="1">IFERROR(INDEX(Rango_Admin_Clas_Total,M$2,MATCH($A23,Rango_Admin_Clas_Primera,0)+1),"-")</f>
        <v>0</v>
      </c>
      <c r="N23" s="84" cm="1">
        <f t="array" aca="1" ref="N23" ca="1">IFERROR(INDEX(Rango_Admin_Clas_Total,N$2,MATCH($A23,Rango_Admin_Clas_Primera,0)+1),"-")</f>
        <v>0</v>
      </c>
      <c r="O23" s="84" cm="1">
        <f t="array" aca="1" ref="O23" ca="1">IFERROR(INDEX(Rango_Admin_Clas_Total,O$2,MATCH($A23,Rango_Admin_Clas_Primera,0)+1),"-")</f>
        <v>0</v>
      </c>
      <c r="P23" s="84" cm="1">
        <f t="array" aca="1" ref="P23" ca="1">IFERROR(INDEX(Rango_Admin_Clas_Total,P$2,MATCH($A23,Rango_Admin_Clas_Primera,0)+1),"-")</f>
        <v>0</v>
      </c>
      <c r="Q23" s="84" cm="1">
        <f t="array" aca="1" ref="Q23" ca="1">IFERROR(INDEX(Rango_Admin_Clas_Total,Q$2,MATCH($A23,Rango_Admin_Clas_Primera,0)+1),"-")</f>
        <v>0</v>
      </c>
      <c r="R23" s="84" cm="1">
        <f t="array" aca="1" ref="R23" ca="1">IFERROR(INDEX(Rango_Admin_Clas_Total,R$2,MATCH($A23,Rango_Admin_Clas_Primera,0)+1),"-")</f>
        <v>0</v>
      </c>
      <c r="S23" s="84" cm="1">
        <f t="array" aca="1" ref="S23" ca="1">IFERROR(INDEX(Rango_Admin_Clas_Total,S$2,MATCH($A23,Rango_Admin_Clas_Primera,0)+1),"-")</f>
        <v>0</v>
      </c>
      <c r="T23" s="287"/>
      <c r="U23" s="287"/>
    </row>
    <row r="24" spans="1:21" hidden="1">
      <c r="A24" s="15">
        <f t="shared" si="0"/>
        <v>20</v>
      </c>
      <c r="B24" s="18">
        <f ca="1">IFERROR(HLOOKUP(A24,Rango_Admin_Clas,3,FALSE),"-")</f>
        <v>19</v>
      </c>
      <c r="C24" s="14" t="str">
        <f ca="1">IFERROR(HLOOKUP(A24,Rango_Admin_Clas,5,FALSE),"-")</f>
        <v>Pegar Valores Nombre J20</v>
      </c>
      <c r="D24" s="83">
        <f ca="1">IFERROR(HLOOKUP(A24,Rango_Admin_Clas,4,FALSE),"-")</f>
        <v>0</v>
      </c>
      <c r="E24" s="84" cm="1">
        <f t="array" aca="1" ref="E24" ca="1">IFERROR(INDEX(Rango_Admin_Clas_Total,E$2,MATCH($A24,Rango_Admin_Clas_Primera,0)+1),"-")</f>
        <v>0</v>
      </c>
      <c r="F24" s="84" cm="1">
        <f t="array" aca="1" ref="F24" ca="1">IFERROR(INDEX(Rango_Admin_Clas_Total,F$2,MATCH($A24,Rango_Admin_Clas_Primera,0)+1),"-")</f>
        <v>0</v>
      </c>
      <c r="G24" s="84" cm="1">
        <f t="array" aca="1" ref="G24" ca="1">IFERROR(INDEX(Rango_Admin_Clas_Total,G$2,MATCH($A24,Rango_Admin_Clas_Primera,0)+1),"-")</f>
        <v>0</v>
      </c>
      <c r="H24" s="84" cm="1">
        <f t="array" aca="1" ref="H24" ca="1">IFERROR(INDEX(Rango_Admin_Clas_Total,H$2,MATCH($A24,Rango_Admin_Clas_Primera,0)+1),"-")</f>
        <v>0</v>
      </c>
      <c r="I24" s="84" cm="1">
        <f t="array" aca="1" ref="I24" ca="1">IFERROR(INDEX(Rango_Admin_Clas_Total,I$2,MATCH($A24,Rango_Admin_Clas_Primera,0)+1),"-")</f>
        <v>0</v>
      </c>
      <c r="J24" s="84" cm="1">
        <f t="array" aca="1" ref="J24" ca="1">IFERROR(INDEX(Rango_Admin_Clas_Total,J$2,MATCH($A24,Rango_Admin_Clas_Primera,0)+1),"-")</f>
        <v>0</v>
      </c>
      <c r="K24" s="84" cm="1">
        <f t="array" aca="1" ref="K24" ca="1">IFERROR(INDEX(Rango_Admin_Clas_Total,K$2,MATCH($A24,Rango_Admin_Clas_Primera,0)+1),"-")</f>
        <v>0</v>
      </c>
      <c r="L24" s="84" cm="1">
        <f t="array" aca="1" ref="L24" ca="1">IFERROR(INDEX(Rango_Admin_Clas_Total,L$2,MATCH($A24,Rango_Admin_Clas_Primera,0)+1),"-")</f>
        <v>0</v>
      </c>
      <c r="M24" s="84" cm="1">
        <f t="array" aca="1" ref="M24" ca="1">IFERROR(INDEX(Rango_Admin_Clas_Total,M$2,MATCH($A24,Rango_Admin_Clas_Primera,0)+1),"-")</f>
        <v>0</v>
      </c>
      <c r="N24" s="84" cm="1">
        <f t="array" aca="1" ref="N24" ca="1">IFERROR(INDEX(Rango_Admin_Clas_Total,N$2,MATCH($A24,Rango_Admin_Clas_Primera,0)+1),"-")</f>
        <v>0</v>
      </c>
      <c r="O24" s="84" cm="1">
        <f t="array" aca="1" ref="O24" ca="1">IFERROR(INDEX(Rango_Admin_Clas_Total,O$2,MATCH($A24,Rango_Admin_Clas_Primera,0)+1),"-")</f>
        <v>0</v>
      </c>
      <c r="P24" s="84" cm="1">
        <f t="array" aca="1" ref="P24" ca="1">IFERROR(INDEX(Rango_Admin_Clas_Total,P$2,MATCH($A24,Rango_Admin_Clas_Primera,0)+1),"-")</f>
        <v>0</v>
      </c>
      <c r="Q24" s="84" cm="1">
        <f t="array" aca="1" ref="Q24" ca="1">IFERROR(INDEX(Rango_Admin_Clas_Total,Q$2,MATCH($A24,Rango_Admin_Clas_Primera,0)+1),"-")</f>
        <v>0</v>
      </c>
      <c r="R24" s="84" cm="1">
        <f t="array" aca="1" ref="R24" ca="1">IFERROR(INDEX(Rango_Admin_Clas_Total,R$2,MATCH($A24,Rango_Admin_Clas_Primera,0)+1),"-")</f>
        <v>0</v>
      </c>
      <c r="S24" s="84" cm="1">
        <f t="array" aca="1" ref="S24" ca="1">IFERROR(INDEX(Rango_Admin_Clas_Total,S$2,MATCH($A24,Rango_Admin_Clas_Primera,0)+1),"-")</f>
        <v>0</v>
      </c>
      <c r="T24" s="287"/>
      <c r="U24" s="287"/>
    </row>
    <row r="25" spans="1:21" hidden="1">
      <c r="A25" s="15">
        <f t="shared" si="0"/>
        <v>21</v>
      </c>
      <c r="B25" s="18">
        <f ca="1">IFERROR(HLOOKUP(A25,Rango_Admin_Clas,3,FALSE),"-")</f>
        <v>19</v>
      </c>
      <c r="C25" s="14" t="str">
        <f ca="1">IFERROR(HLOOKUP(A25,Rango_Admin_Clas,5,FALSE),"-")</f>
        <v>Pegar Valores Nombre J21</v>
      </c>
      <c r="D25" s="83">
        <f ca="1">IFERROR(HLOOKUP(A25,Rango_Admin_Clas,4,FALSE),"-")</f>
        <v>0</v>
      </c>
      <c r="E25" s="84" cm="1">
        <f t="array" aca="1" ref="E25" ca="1">IFERROR(INDEX(Rango_Admin_Clas_Total,E$2,MATCH($A25,Rango_Admin_Clas_Primera,0)+1),"-")</f>
        <v>0</v>
      </c>
      <c r="F25" s="84" cm="1">
        <f t="array" aca="1" ref="F25" ca="1">IFERROR(INDEX(Rango_Admin_Clas_Total,F$2,MATCH($A25,Rango_Admin_Clas_Primera,0)+1),"-")</f>
        <v>0</v>
      </c>
      <c r="G25" s="84" cm="1">
        <f t="array" aca="1" ref="G25" ca="1">IFERROR(INDEX(Rango_Admin_Clas_Total,G$2,MATCH($A25,Rango_Admin_Clas_Primera,0)+1),"-")</f>
        <v>0</v>
      </c>
      <c r="H25" s="84" cm="1">
        <f t="array" aca="1" ref="H25" ca="1">IFERROR(INDEX(Rango_Admin_Clas_Total,H$2,MATCH($A25,Rango_Admin_Clas_Primera,0)+1),"-")</f>
        <v>0</v>
      </c>
      <c r="I25" s="84" cm="1">
        <f t="array" aca="1" ref="I25" ca="1">IFERROR(INDEX(Rango_Admin_Clas_Total,I$2,MATCH($A25,Rango_Admin_Clas_Primera,0)+1),"-")</f>
        <v>0</v>
      </c>
      <c r="J25" s="84" cm="1">
        <f t="array" aca="1" ref="J25" ca="1">IFERROR(INDEX(Rango_Admin_Clas_Total,J$2,MATCH($A25,Rango_Admin_Clas_Primera,0)+1),"-")</f>
        <v>0</v>
      </c>
      <c r="K25" s="84" cm="1">
        <f t="array" aca="1" ref="K25" ca="1">IFERROR(INDEX(Rango_Admin_Clas_Total,K$2,MATCH($A25,Rango_Admin_Clas_Primera,0)+1),"-")</f>
        <v>0</v>
      </c>
      <c r="L25" s="84" cm="1">
        <f t="array" aca="1" ref="L25" ca="1">IFERROR(INDEX(Rango_Admin_Clas_Total,L$2,MATCH($A25,Rango_Admin_Clas_Primera,0)+1),"-")</f>
        <v>0</v>
      </c>
      <c r="M25" s="84" cm="1">
        <f t="array" aca="1" ref="M25" ca="1">IFERROR(INDEX(Rango_Admin_Clas_Total,M$2,MATCH($A25,Rango_Admin_Clas_Primera,0)+1),"-")</f>
        <v>0</v>
      </c>
      <c r="N25" s="84" cm="1">
        <f t="array" aca="1" ref="N25" ca="1">IFERROR(INDEX(Rango_Admin_Clas_Total,N$2,MATCH($A25,Rango_Admin_Clas_Primera,0)+1),"-")</f>
        <v>0</v>
      </c>
      <c r="O25" s="84" cm="1">
        <f t="array" aca="1" ref="O25" ca="1">IFERROR(INDEX(Rango_Admin_Clas_Total,O$2,MATCH($A25,Rango_Admin_Clas_Primera,0)+1),"-")</f>
        <v>0</v>
      </c>
      <c r="P25" s="84" cm="1">
        <f t="array" aca="1" ref="P25" ca="1">IFERROR(INDEX(Rango_Admin_Clas_Total,P$2,MATCH($A25,Rango_Admin_Clas_Primera,0)+1),"-")</f>
        <v>0</v>
      </c>
      <c r="Q25" s="84" cm="1">
        <f t="array" aca="1" ref="Q25" ca="1">IFERROR(INDEX(Rango_Admin_Clas_Total,Q$2,MATCH($A25,Rango_Admin_Clas_Primera,0)+1),"-")</f>
        <v>0</v>
      </c>
      <c r="R25" s="84" cm="1">
        <f t="array" aca="1" ref="R25" ca="1">IFERROR(INDEX(Rango_Admin_Clas_Total,R$2,MATCH($A25,Rango_Admin_Clas_Primera,0)+1),"-")</f>
        <v>0</v>
      </c>
      <c r="S25" s="84" cm="1">
        <f t="array" aca="1" ref="S25" ca="1">IFERROR(INDEX(Rango_Admin_Clas_Total,S$2,MATCH($A25,Rango_Admin_Clas_Primera,0)+1),"-")</f>
        <v>0</v>
      </c>
      <c r="T25" s="287"/>
      <c r="U25" s="287"/>
    </row>
    <row r="26" spans="1:21" hidden="1">
      <c r="A26" s="15">
        <f t="shared" si="0"/>
        <v>22</v>
      </c>
      <c r="B26" s="18">
        <f ca="1">IFERROR(HLOOKUP(A26,Rango_Admin_Clas,3,FALSE),"-")</f>
        <v>19</v>
      </c>
      <c r="C26" s="14" t="str">
        <f ca="1">IFERROR(HLOOKUP(A26,Rango_Admin_Clas,5,FALSE),"-")</f>
        <v>Pegar Valores Nombre J22</v>
      </c>
      <c r="D26" s="83">
        <f ca="1">IFERROR(HLOOKUP(A26,Rango_Admin_Clas,4,FALSE),"-")</f>
        <v>0</v>
      </c>
      <c r="E26" s="84" cm="1">
        <f t="array" aca="1" ref="E26" ca="1">IFERROR(INDEX(Rango_Admin_Clas_Total,E$2,MATCH($A26,Rango_Admin_Clas_Primera,0)+1),"-")</f>
        <v>0</v>
      </c>
      <c r="F26" s="84" cm="1">
        <f t="array" aca="1" ref="F26" ca="1">IFERROR(INDEX(Rango_Admin_Clas_Total,F$2,MATCH($A26,Rango_Admin_Clas_Primera,0)+1),"-")</f>
        <v>0</v>
      </c>
      <c r="G26" s="84" cm="1">
        <f t="array" aca="1" ref="G26" ca="1">IFERROR(INDEX(Rango_Admin_Clas_Total,G$2,MATCH($A26,Rango_Admin_Clas_Primera,0)+1),"-")</f>
        <v>0</v>
      </c>
      <c r="H26" s="84" cm="1">
        <f t="array" aca="1" ref="H26" ca="1">IFERROR(INDEX(Rango_Admin_Clas_Total,H$2,MATCH($A26,Rango_Admin_Clas_Primera,0)+1),"-")</f>
        <v>0</v>
      </c>
      <c r="I26" s="84" cm="1">
        <f t="array" aca="1" ref="I26" ca="1">IFERROR(INDEX(Rango_Admin_Clas_Total,I$2,MATCH($A26,Rango_Admin_Clas_Primera,0)+1),"-")</f>
        <v>0</v>
      </c>
      <c r="J26" s="84" cm="1">
        <f t="array" aca="1" ref="J26" ca="1">IFERROR(INDEX(Rango_Admin_Clas_Total,J$2,MATCH($A26,Rango_Admin_Clas_Primera,0)+1),"-")</f>
        <v>0</v>
      </c>
      <c r="K26" s="84" cm="1">
        <f t="array" aca="1" ref="K26" ca="1">IFERROR(INDEX(Rango_Admin_Clas_Total,K$2,MATCH($A26,Rango_Admin_Clas_Primera,0)+1),"-")</f>
        <v>0</v>
      </c>
      <c r="L26" s="84" cm="1">
        <f t="array" aca="1" ref="L26" ca="1">IFERROR(INDEX(Rango_Admin_Clas_Total,L$2,MATCH($A26,Rango_Admin_Clas_Primera,0)+1),"-")</f>
        <v>0</v>
      </c>
      <c r="M26" s="84" cm="1">
        <f t="array" aca="1" ref="M26" ca="1">IFERROR(INDEX(Rango_Admin_Clas_Total,M$2,MATCH($A26,Rango_Admin_Clas_Primera,0)+1),"-")</f>
        <v>0</v>
      </c>
      <c r="N26" s="84" cm="1">
        <f t="array" aca="1" ref="N26" ca="1">IFERROR(INDEX(Rango_Admin_Clas_Total,N$2,MATCH($A26,Rango_Admin_Clas_Primera,0)+1),"-")</f>
        <v>0</v>
      </c>
      <c r="O26" s="84" cm="1">
        <f t="array" aca="1" ref="O26" ca="1">IFERROR(INDEX(Rango_Admin_Clas_Total,O$2,MATCH($A26,Rango_Admin_Clas_Primera,0)+1),"-")</f>
        <v>0</v>
      </c>
      <c r="P26" s="84" cm="1">
        <f t="array" aca="1" ref="P26" ca="1">IFERROR(INDEX(Rango_Admin_Clas_Total,P$2,MATCH($A26,Rango_Admin_Clas_Primera,0)+1),"-")</f>
        <v>0</v>
      </c>
      <c r="Q26" s="84" cm="1">
        <f t="array" aca="1" ref="Q26" ca="1">IFERROR(INDEX(Rango_Admin_Clas_Total,Q$2,MATCH($A26,Rango_Admin_Clas_Primera,0)+1),"-")</f>
        <v>0</v>
      </c>
      <c r="R26" s="84" cm="1">
        <f t="array" aca="1" ref="R26" ca="1">IFERROR(INDEX(Rango_Admin_Clas_Total,R$2,MATCH($A26,Rango_Admin_Clas_Primera,0)+1),"-")</f>
        <v>0</v>
      </c>
      <c r="S26" s="84" cm="1">
        <f t="array" aca="1" ref="S26" ca="1">IFERROR(INDEX(Rango_Admin_Clas_Total,S$2,MATCH($A26,Rango_Admin_Clas_Primera,0)+1),"-")</f>
        <v>0</v>
      </c>
      <c r="T26" s="287"/>
      <c r="U26" s="287"/>
    </row>
    <row r="27" spans="1:21" hidden="1">
      <c r="A27" s="15">
        <f t="shared" si="0"/>
        <v>23</v>
      </c>
      <c r="B27" s="18">
        <f ca="1">IFERROR(HLOOKUP(A27,Rango_Admin_Clas,3,FALSE),"-")</f>
        <v>19</v>
      </c>
      <c r="C27" s="14" t="str">
        <f ca="1">IFERROR(HLOOKUP(A27,Rango_Admin_Clas,5,FALSE),"-")</f>
        <v>Pegar Valores Nombre J23</v>
      </c>
      <c r="D27" s="83">
        <f ca="1">IFERROR(HLOOKUP(A27,Rango_Admin_Clas,4,FALSE),"-")</f>
        <v>0</v>
      </c>
      <c r="E27" s="84" cm="1">
        <f t="array" aca="1" ref="E27" ca="1">IFERROR(INDEX(Rango_Admin_Clas_Total,E$2,MATCH($A27,Rango_Admin_Clas_Primera,0)+1),"-")</f>
        <v>0</v>
      </c>
      <c r="F27" s="84" cm="1">
        <f t="array" aca="1" ref="F27" ca="1">IFERROR(INDEX(Rango_Admin_Clas_Total,F$2,MATCH($A27,Rango_Admin_Clas_Primera,0)+1),"-")</f>
        <v>0</v>
      </c>
      <c r="G27" s="84" cm="1">
        <f t="array" aca="1" ref="G27" ca="1">IFERROR(INDEX(Rango_Admin_Clas_Total,G$2,MATCH($A27,Rango_Admin_Clas_Primera,0)+1),"-")</f>
        <v>0</v>
      </c>
      <c r="H27" s="84" cm="1">
        <f t="array" aca="1" ref="H27" ca="1">IFERROR(INDEX(Rango_Admin_Clas_Total,H$2,MATCH($A27,Rango_Admin_Clas_Primera,0)+1),"-")</f>
        <v>0</v>
      </c>
      <c r="I27" s="84" cm="1">
        <f t="array" aca="1" ref="I27" ca="1">IFERROR(INDEX(Rango_Admin_Clas_Total,I$2,MATCH($A27,Rango_Admin_Clas_Primera,0)+1),"-")</f>
        <v>0</v>
      </c>
      <c r="J27" s="84" cm="1">
        <f t="array" aca="1" ref="J27" ca="1">IFERROR(INDEX(Rango_Admin_Clas_Total,J$2,MATCH($A27,Rango_Admin_Clas_Primera,0)+1),"-")</f>
        <v>0</v>
      </c>
      <c r="K27" s="84" cm="1">
        <f t="array" aca="1" ref="K27" ca="1">IFERROR(INDEX(Rango_Admin_Clas_Total,K$2,MATCH($A27,Rango_Admin_Clas_Primera,0)+1),"-")</f>
        <v>0</v>
      </c>
      <c r="L27" s="84" cm="1">
        <f t="array" aca="1" ref="L27" ca="1">IFERROR(INDEX(Rango_Admin_Clas_Total,L$2,MATCH($A27,Rango_Admin_Clas_Primera,0)+1),"-")</f>
        <v>0</v>
      </c>
      <c r="M27" s="84" cm="1">
        <f t="array" aca="1" ref="M27" ca="1">IFERROR(INDEX(Rango_Admin_Clas_Total,M$2,MATCH($A27,Rango_Admin_Clas_Primera,0)+1),"-")</f>
        <v>0</v>
      </c>
      <c r="N27" s="84" cm="1">
        <f t="array" aca="1" ref="N27" ca="1">IFERROR(INDEX(Rango_Admin_Clas_Total,N$2,MATCH($A27,Rango_Admin_Clas_Primera,0)+1),"-")</f>
        <v>0</v>
      </c>
      <c r="O27" s="84" cm="1">
        <f t="array" aca="1" ref="O27" ca="1">IFERROR(INDEX(Rango_Admin_Clas_Total,O$2,MATCH($A27,Rango_Admin_Clas_Primera,0)+1),"-")</f>
        <v>0</v>
      </c>
      <c r="P27" s="84" cm="1">
        <f t="array" aca="1" ref="P27" ca="1">IFERROR(INDEX(Rango_Admin_Clas_Total,P$2,MATCH($A27,Rango_Admin_Clas_Primera,0)+1),"-")</f>
        <v>0</v>
      </c>
      <c r="Q27" s="84" cm="1">
        <f t="array" aca="1" ref="Q27" ca="1">IFERROR(INDEX(Rango_Admin_Clas_Total,Q$2,MATCH($A27,Rango_Admin_Clas_Primera,0)+1),"-")</f>
        <v>0</v>
      </c>
      <c r="R27" s="84" cm="1">
        <f t="array" aca="1" ref="R27" ca="1">IFERROR(INDEX(Rango_Admin_Clas_Total,R$2,MATCH($A27,Rango_Admin_Clas_Primera,0)+1),"-")</f>
        <v>0</v>
      </c>
      <c r="S27" s="84" cm="1">
        <f t="array" aca="1" ref="S27" ca="1">IFERROR(INDEX(Rango_Admin_Clas_Total,S$2,MATCH($A27,Rango_Admin_Clas_Primera,0)+1),"-")</f>
        <v>0</v>
      </c>
      <c r="T27" s="287"/>
      <c r="U27" s="287"/>
    </row>
    <row r="28" spans="1:21" hidden="1">
      <c r="A28" s="15">
        <f t="shared" si="0"/>
        <v>24</v>
      </c>
      <c r="B28" s="18">
        <f ca="1">IFERROR(HLOOKUP(A28,Rango_Admin_Clas,3,FALSE),"-")</f>
        <v>19</v>
      </c>
      <c r="C28" s="14" t="str">
        <f ca="1">IFERROR(HLOOKUP(A28,Rango_Admin_Clas,5,FALSE),"-")</f>
        <v>Pegar Valores Nombre J24</v>
      </c>
      <c r="D28" s="83">
        <f ca="1">IFERROR(HLOOKUP(A28,Rango_Admin_Clas,4,FALSE),"-")</f>
        <v>0</v>
      </c>
      <c r="E28" s="84" cm="1">
        <f t="array" aca="1" ref="E28" ca="1">IFERROR(INDEX(Rango_Admin_Clas_Total,E$2,MATCH($A28,Rango_Admin_Clas_Primera,0)+1),"-")</f>
        <v>0</v>
      </c>
      <c r="F28" s="84" cm="1">
        <f t="array" aca="1" ref="F28" ca="1">IFERROR(INDEX(Rango_Admin_Clas_Total,F$2,MATCH($A28,Rango_Admin_Clas_Primera,0)+1),"-")</f>
        <v>0</v>
      </c>
      <c r="G28" s="84" cm="1">
        <f t="array" aca="1" ref="G28" ca="1">IFERROR(INDEX(Rango_Admin_Clas_Total,G$2,MATCH($A28,Rango_Admin_Clas_Primera,0)+1),"-")</f>
        <v>0</v>
      </c>
      <c r="H28" s="84" cm="1">
        <f t="array" aca="1" ref="H28" ca="1">IFERROR(INDEX(Rango_Admin_Clas_Total,H$2,MATCH($A28,Rango_Admin_Clas_Primera,0)+1),"-")</f>
        <v>0</v>
      </c>
      <c r="I28" s="84" cm="1">
        <f t="array" aca="1" ref="I28" ca="1">IFERROR(INDEX(Rango_Admin_Clas_Total,I$2,MATCH($A28,Rango_Admin_Clas_Primera,0)+1),"-")</f>
        <v>0</v>
      </c>
      <c r="J28" s="84" cm="1">
        <f t="array" aca="1" ref="J28" ca="1">IFERROR(INDEX(Rango_Admin_Clas_Total,J$2,MATCH($A28,Rango_Admin_Clas_Primera,0)+1),"-")</f>
        <v>0</v>
      </c>
      <c r="K28" s="84" cm="1">
        <f t="array" aca="1" ref="K28" ca="1">IFERROR(INDEX(Rango_Admin_Clas_Total,K$2,MATCH($A28,Rango_Admin_Clas_Primera,0)+1),"-")</f>
        <v>0</v>
      </c>
      <c r="L28" s="84" cm="1">
        <f t="array" aca="1" ref="L28" ca="1">IFERROR(INDEX(Rango_Admin_Clas_Total,L$2,MATCH($A28,Rango_Admin_Clas_Primera,0)+1),"-")</f>
        <v>0</v>
      </c>
      <c r="M28" s="84" cm="1">
        <f t="array" aca="1" ref="M28" ca="1">IFERROR(INDEX(Rango_Admin_Clas_Total,M$2,MATCH($A28,Rango_Admin_Clas_Primera,0)+1),"-")</f>
        <v>0</v>
      </c>
      <c r="N28" s="84" cm="1">
        <f t="array" aca="1" ref="N28" ca="1">IFERROR(INDEX(Rango_Admin_Clas_Total,N$2,MATCH($A28,Rango_Admin_Clas_Primera,0)+1),"-")</f>
        <v>0</v>
      </c>
      <c r="O28" s="84" cm="1">
        <f t="array" aca="1" ref="O28" ca="1">IFERROR(INDEX(Rango_Admin_Clas_Total,O$2,MATCH($A28,Rango_Admin_Clas_Primera,0)+1),"-")</f>
        <v>0</v>
      </c>
      <c r="P28" s="84" cm="1">
        <f t="array" aca="1" ref="P28" ca="1">IFERROR(INDEX(Rango_Admin_Clas_Total,P$2,MATCH($A28,Rango_Admin_Clas_Primera,0)+1),"-")</f>
        <v>0</v>
      </c>
      <c r="Q28" s="84" cm="1">
        <f t="array" aca="1" ref="Q28" ca="1">IFERROR(INDEX(Rango_Admin_Clas_Total,Q$2,MATCH($A28,Rango_Admin_Clas_Primera,0)+1),"-")</f>
        <v>0</v>
      </c>
      <c r="R28" s="84" cm="1">
        <f t="array" aca="1" ref="R28" ca="1">IFERROR(INDEX(Rango_Admin_Clas_Total,R$2,MATCH($A28,Rango_Admin_Clas_Primera,0)+1),"-")</f>
        <v>0</v>
      </c>
      <c r="S28" s="84" cm="1">
        <f t="array" aca="1" ref="S28" ca="1">IFERROR(INDEX(Rango_Admin_Clas_Total,S$2,MATCH($A28,Rango_Admin_Clas_Primera,0)+1),"-")</f>
        <v>0</v>
      </c>
      <c r="T28" s="287"/>
      <c r="U28" s="287"/>
    </row>
    <row r="29" spans="1:21" hidden="1">
      <c r="A29" s="15">
        <f t="shared" si="0"/>
        <v>25</v>
      </c>
      <c r="B29" s="18">
        <f ca="1">IFERROR(HLOOKUP(A29,Rango_Admin_Clas,3,FALSE),"-")</f>
        <v>19</v>
      </c>
      <c r="C29" s="14" t="str">
        <f ca="1">IFERROR(HLOOKUP(A29,Rango_Admin_Clas,5,FALSE),"-")</f>
        <v>Pegar Valores Nombre J25</v>
      </c>
      <c r="D29" s="83">
        <f ca="1">IFERROR(HLOOKUP(A29,Rango_Admin_Clas,4,FALSE),"-")</f>
        <v>0</v>
      </c>
      <c r="E29" s="84" cm="1">
        <f t="array" aca="1" ref="E29" ca="1">IFERROR(INDEX(Rango_Admin_Clas_Total,E$2,MATCH($A29,Rango_Admin_Clas_Primera,0)+1),"-")</f>
        <v>0</v>
      </c>
      <c r="F29" s="84" cm="1">
        <f t="array" aca="1" ref="F29" ca="1">IFERROR(INDEX(Rango_Admin_Clas_Total,F$2,MATCH($A29,Rango_Admin_Clas_Primera,0)+1),"-")</f>
        <v>0</v>
      </c>
      <c r="G29" s="84" cm="1">
        <f t="array" aca="1" ref="G29" ca="1">IFERROR(INDEX(Rango_Admin_Clas_Total,G$2,MATCH($A29,Rango_Admin_Clas_Primera,0)+1),"-")</f>
        <v>0</v>
      </c>
      <c r="H29" s="84" cm="1">
        <f t="array" aca="1" ref="H29" ca="1">IFERROR(INDEX(Rango_Admin_Clas_Total,H$2,MATCH($A29,Rango_Admin_Clas_Primera,0)+1),"-")</f>
        <v>0</v>
      </c>
      <c r="I29" s="84" cm="1">
        <f t="array" aca="1" ref="I29" ca="1">IFERROR(INDEX(Rango_Admin_Clas_Total,I$2,MATCH($A29,Rango_Admin_Clas_Primera,0)+1),"-")</f>
        <v>0</v>
      </c>
      <c r="J29" s="84" cm="1">
        <f t="array" aca="1" ref="J29" ca="1">IFERROR(INDEX(Rango_Admin_Clas_Total,J$2,MATCH($A29,Rango_Admin_Clas_Primera,0)+1),"-")</f>
        <v>0</v>
      </c>
      <c r="K29" s="84" cm="1">
        <f t="array" aca="1" ref="K29" ca="1">IFERROR(INDEX(Rango_Admin_Clas_Total,K$2,MATCH($A29,Rango_Admin_Clas_Primera,0)+1),"-")</f>
        <v>0</v>
      </c>
      <c r="L29" s="84" cm="1">
        <f t="array" aca="1" ref="L29" ca="1">IFERROR(INDEX(Rango_Admin_Clas_Total,L$2,MATCH($A29,Rango_Admin_Clas_Primera,0)+1),"-")</f>
        <v>0</v>
      </c>
      <c r="M29" s="84" cm="1">
        <f t="array" aca="1" ref="M29" ca="1">IFERROR(INDEX(Rango_Admin_Clas_Total,M$2,MATCH($A29,Rango_Admin_Clas_Primera,0)+1),"-")</f>
        <v>0</v>
      </c>
      <c r="N29" s="84" cm="1">
        <f t="array" aca="1" ref="N29" ca="1">IFERROR(INDEX(Rango_Admin_Clas_Total,N$2,MATCH($A29,Rango_Admin_Clas_Primera,0)+1),"-")</f>
        <v>0</v>
      </c>
      <c r="O29" s="84" cm="1">
        <f t="array" aca="1" ref="O29" ca="1">IFERROR(INDEX(Rango_Admin_Clas_Total,O$2,MATCH($A29,Rango_Admin_Clas_Primera,0)+1),"-")</f>
        <v>0</v>
      </c>
      <c r="P29" s="84" cm="1">
        <f t="array" aca="1" ref="P29" ca="1">IFERROR(INDEX(Rango_Admin_Clas_Total,P$2,MATCH($A29,Rango_Admin_Clas_Primera,0)+1),"-")</f>
        <v>0</v>
      </c>
      <c r="Q29" s="84" cm="1">
        <f t="array" aca="1" ref="Q29" ca="1">IFERROR(INDEX(Rango_Admin_Clas_Total,Q$2,MATCH($A29,Rango_Admin_Clas_Primera,0)+1),"-")</f>
        <v>0</v>
      </c>
      <c r="R29" s="84" cm="1">
        <f t="array" aca="1" ref="R29" ca="1">IFERROR(INDEX(Rango_Admin_Clas_Total,R$2,MATCH($A29,Rango_Admin_Clas_Primera,0)+1),"-")</f>
        <v>0</v>
      </c>
      <c r="S29" s="84" cm="1">
        <f t="array" aca="1" ref="S29" ca="1">IFERROR(INDEX(Rango_Admin_Clas_Total,S$2,MATCH($A29,Rango_Admin_Clas_Primera,0)+1),"-")</f>
        <v>0</v>
      </c>
      <c r="T29" s="287"/>
      <c r="U29" s="287"/>
    </row>
    <row r="30" spans="1:21" hidden="1">
      <c r="A30" s="15">
        <f t="shared" si="0"/>
        <v>26</v>
      </c>
      <c r="B30" s="18">
        <f ca="1">IFERROR(HLOOKUP(A30,Rango_Admin_Clas,3,FALSE),"-")</f>
        <v>19</v>
      </c>
      <c r="C30" s="14" t="str">
        <f ca="1">IFERROR(HLOOKUP(A30,Rango_Admin_Clas,5,FALSE),"-")</f>
        <v>Pegar Valores Nombre J26</v>
      </c>
      <c r="D30" s="83">
        <f ca="1">IFERROR(HLOOKUP(A30,Rango_Admin_Clas,4,FALSE),"-")</f>
        <v>0</v>
      </c>
      <c r="E30" s="84" cm="1">
        <f t="array" aca="1" ref="E30" ca="1">IFERROR(INDEX(Rango_Admin_Clas_Total,E$2,MATCH($A30,Rango_Admin_Clas_Primera,0)+1),"-")</f>
        <v>0</v>
      </c>
      <c r="F30" s="84" cm="1">
        <f t="array" aca="1" ref="F30" ca="1">IFERROR(INDEX(Rango_Admin_Clas_Total,F$2,MATCH($A30,Rango_Admin_Clas_Primera,0)+1),"-")</f>
        <v>0</v>
      </c>
      <c r="G30" s="84" cm="1">
        <f t="array" aca="1" ref="G30" ca="1">IFERROR(INDEX(Rango_Admin_Clas_Total,G$2,MATCH($A30,Rango_Admin_Clas_Primera,0)+1),"-")</f>
        <v>0</v>
      </c>
      <c r="H30" s="84" cm="1">
        <f t="array" aca="1" ref="H30" ca="1">IFERROR(INDEX(Rango_Admin_Clas_Total,H$2,MATCH($A30,Rango_Admin_Clas_Primera,0)+1),"-")</f>
        <v>0</v>
      </c>
      <c r="I30" s="84" cm="1">
        <f t="array" aca="1" ref="I30" ca="1">IFERROR(INDEX(Rango_Admin_Clas_Total,I$2,MATCH($A30,Rango_Admin_Clas_Primera,0)+1),"-")</f>
        <v>0</v>
      </c>
      <c r="J30" s="84" cm="1">
        <f t="array" aca="1" ref="J30" ca="1">IFERROR(INDEX(Rango_Admin_Clas_Total,J$2,MATCH($A30,Rango_Admin_Clas_Primera,0)+1),"-")</f>
        <v>0</v>
      </c>
      <c r="K30" s="84" cm="1">
        <f t="array" aca="1" ref="K30" ca="1">IFERROR(INDEX(Rango_Admin_Clas_Total,K$2,MATCH($A30,Rango_Admin_Clas_Primera,0)+1),"-")</f>
        <v>0</v>
      </c>
      <c r="L30" s="84" cm="1">
        <f t="array" aca="1" ref="L30" ca="1">IFERROR(INDEX(Rango_Admin_Clas_Total,L$2,MATCH($A30,Rango_Admin_Clas_Primera,0)+1),"-")</f>
        <v>0</v>
      </c>
      <c r="M30" s="84" cm="1">
        <f t="array" aca="1" ref="M30" ca="1">IFERROR(INDEX(Rango_Admin_Clas_Total,M$2,MATCH($A30,Rango_Admin_Clas_Primera,0)+1),"-")</f>
        <v>0</v>
      </c>
      <c r="N30" s="84" cm="1">
        <f t="array" aca="1" ref="N30" ca="1">IFERROR(INDEX(Rango_Admin_Clas_Total,N$2,MATCH($A30,Rango_Admin_Clas_Primera,0)+1),"-")</f>
        <v>0</v>
      </c>
      <c r="O30" s="84" cm="1">
        <f t="array" aca="1" ref="O30" ca="1">IFERROR(INDEX(Rango_Admin_Clas_Total,O$2,MATCH($A30,Rango_Admin_Clas_Primera,0)+1),"-")</f>
        <v>0</v>
      </c>
      <c r="P30" s="84" cm="1">
        <f t="array" aca="1" ref="P30" ca="1">IFERROR(INDEX(Rango_Admin_Clas_Total,P$2,MATCH($A30,Rango_Admin_Clas_Primera,0)+1),"-")</f>
        <v>0</v>
      </c>
      <c r="Q30" s="84" cm="1">
        <f t="array" aca="1" ref="Q30" ca="1">IFERROR(INDEX(Rango_Admin_Clas_Total,Q$2,MATCH($A30,Rango_Admin_Clas_Primera,0)+1),"-")</f>
        <v>0</v>
      </c>
      <c r="R30" s="84" cm="1">
        <f t="array" aca="1" ref="R30" ca="1">IFERROR(INDEX(Rango_Admin_Clas_Total,R$2,MATCH($A30,Rango_Admin_Clas_Primera,0)+1),"-")</f>
        <v>0</v>
      </c>
      <c r="S30" s="84" cm="1">
        <f t="array" aca="1" ref="S30" ca="1">IFERROR(INDEX(Rango_Admin_Clas_Total,S$2,MATCH($A30,Rango_Admin_Clas_Primera,0)+1),"-")</f>
        <v>0</v>
      </c>
      <c r="T30" s="287"/>
      <c r="U30" s="287"/>
    </row>
    <row r="31" spans="1:21" hidden="1">
      <c r="A31" s="15">
        <f t="shared" si="0"/>
        <v>27</v>
      </c>
      <c r="B31" s="18">
        <f ca="1">IFERROR(HLOOKUP(A31,Rango_Admin_Clas,3,FALSE),"-")</f>
        <v>19</v>
      </c>
      <c r="C31" s="14" t="str">
        <f ca="1">IFERROR(HLOOKUP(A31,Rango_Admin_Clas,5,FALSE),"-")</f>
        <v>Pegar Valores Nombre J27</v>
      </c>
      <c r="D31" s="83">
        <f ca="1">IFERROR(HLOOKUP(A31,Rango_Admin_Clas,4,FALSE),"-")</f>
        <v>0</v>
      </c>
      <c r="E31" s="84" cm="1">
        <f t="array" aca="1" ref="E31" ca="1">IFERROR(INDEX(Rango_Admin_Clas_Total,E$2,MATCH($A31,Rango_Admin_Clas_Primera,0)+1),"-")</f>
        <v>0</v>
      </c>
      <c r="F31" s="84" cm="1">
        <f t="array" aca="1" ref="F31" ca="1">IFERROR(INDEX(Rango_Admin_Clas_Total,F$2,MATCH($A31,Rango_Admin_Clas_Primera,0)+1),"-")</f>
        <v>0</v>
      </c>
      <c r="G31" s="84" cm="1">
        <f t="array" aca="1" ref="G31" ca="1">IFERROR(INDEX(Rango_Admin_Clas_Total,G$2,MATCH($A31,Rango_Admin_Clas_Primera,0)+1),"-")</f>
        <v>0</v>
      </c>
      <c r="H31" s="84" cm="1">
        <f t="array" aca="1" ref="H31" ca="1">IFERROR(INDEX(Rango_Admin_Clas_Total,H$2,MATCH($A31,Rango_Admin_Clas_Primera,0)+1),"-")</f>
        <v>0</v>
      </c>
      <c r="I31" s="84" cm="1">
        <f t="array" aca="1" ref="I31" ca="1">IFERROR(INDEX(Rango_Admin_Clas_Total,I$2,MATCH($A31,Rango_Admin_Clas_Primera,0)+1),"-")</f>
        <v>0</v>
      </c>
      <c r="J31" s="84" cm="1">
        <f t="array" aca="1" ref="J31" ca="1">IFERROR(INDEX(Rango_Admin_Clas_Total,J$2,MATCH($A31,Rango_Admin_Clas_Primera,0)+1),"-")</f>
        <v>0</v>
      </c>
      <c r="K31" s="84" cm="1">
        <f t="array" aca="1" ref="K31" ca="1">IFERROR(INDEX(Rango_Admin_Clas_Total,K$2,MATCH($A31,Rango_Admin_Clas_Primera,0)+1),"-")</f>
        <v>0</v>
      </c>
      <c r="L31" s="84" cm="1">
        <f t="array" aca="1" ref="L31" ca="1">IFERROR(INDEX(Rango_Admin_Clas_Total,L$2,MATCH($A31,Rango_Admin_Clas_Primera,0)+1),"-")</f>
        <v>0</v>
      </c>
      <c r="M31" s="84" cm="1">
        <f t="array" aca="1" ref="M31" ca="1">IFERROR(INDEX(Rango_Admin_Clas_Total,M$2,MATCH($A31,Rango_Admin_Clas_Primera,0)+1),"-")</f>
        <v>0</v>
      </c>
      <c r="N31" s="84" cm="1">
        <f t="array" aca="1" ref="N31" ca="1">IFERROR(INDEX(Rango_Admin_Clas_Total,N$2,MATCH($A31,Rango_Admin_Clas_Primera,0)+1),"-")</f>
        <v>0</v>
      </c>
      <c r="O31" s="84" cm="1">
        <f t="array" aca="1" ref="O31" ca="1">IFERROR(INDEX(Rango_Admin_Clas_Total,O$2,MATCH($A31,Rango_Admin_Clas_Primera,0)+1),"-")</f>
        <v>0</v>
      </c>
      <c r="P31" s="84" cm="1">
        <f t="array" aca="1" ref="P31" ca="1">IFERROR(INDEX(Rango_Admin_Clas_Total,P$2,MATCH($A31,Rango_Admin_Clas_Primera,0)+1),"-")</f>
        <v>0</v>
      </c>
      <c r="Q31" s="84" cm="1">
        <f t="array" aca="1" ref="Q31" ca="1">IFERROR(INDEX(Rango_Admin_Clas_Total,Q$2,MATCH($A31,Rango_Admin_Clas_Primera,0)+1),"-")</f>
        <v>0</v>
      </c>
      <c r="R31" s="84" cm="1">
        <f t="array" aca="1" ref="R31" ca="1">IFERROR(INDEX(Rango_Admin_Clas_Total,R$2,MATCH($A31,Rango_Admin_Clas_Primera,0)+1),"-")</f>
        <v>0</v>
      </c>
      <c r="S31" s="84" cm="1">
        <f t="array" aca="1" ref="S31" ca="1">IFERROR(INDEX(Rango_Admin_Clas_Total,S$2,MATCH($A31,Rango_Admin_Clas_Primera,0)+1),"-")</f>
        <v>0</v>
      </c>
      <c r="T31" s="287"/>
      <c r="U31" s="287"/>
    </row>
    <row r="32" spans="1:21" hidden="1">
      <c r="A32" s="15">
        <f t="shared" si="0"/>
        <v>28</v>
      </c>
      <c r="B32" s="18">
        <f ca="1">IFERROR(HLOOKUP(A32,Rango_Admin_Clas,3,FALSE),"-")</f>
        <v>19</v>
      </c>
      <c r="C32" s="14" t="str">
        <f ca="1">IFERROR(HLOOKUP(A32,Rango_Admin_Clas,5,FALSE),"-")</f>
        <v>Pegar Valores Nombre J28</v>
      </c>
      <c r="D32" s="83">
        <f ca="1">IFERROR(HLOOKUP(A32,Rango_Admin_Clas,4,FALSE),"-")</f>
        <v>0</v>
      </c>
      <c r="E32" s="84" cm="1">
        <f t="array" aca="1" ref="E32" ca="1">IFERROR(INDEX(Rango_Admin_Clas_Total,E$2,MATCH($A32,Rango_Admin_Clas_Primera,0)+1),"-")</f>
        <v>0</v>
      </c>
      <c r="F32" s="84" cm="1">
        <f t="array" aca="1" ref="F32" ca="1">IFERROR(INDEX(Rango_Admin_Clas_Total,F$2,MATCH($A32,Rango_Admin_Clas_Primera,0)+1),"-")</f>
        <v>0</v>
      </c>
      <c r="G32" s="84" cm="1">
        <f t="array" aca="1" ref="G32" ca="1">IFERROR(INDEX(Rango_Admin_Clas_Total,G$2,MATCH($A32,Rango_Admin_Clas_Primera,0)+1),"-")</f>
        <v>0</v>
      </c>
      <c r="H32" s="84" cm="1">
        <f t="array" aca="1" ref="H32" ca="1">IFERROR(INDEX(Rango_Admin_Clas_Total,H$2,MATCH($A32,Rango_Admin_Clas_Primera,0)+1),"-")</f>
        <v>0</v>
      </c>
      <c r="I32" s="84" cm="1">
        <f t="array" aca="1" ref="I32" ca="1">IFERROR(INDEX(Rango_Admin_Clas_Total,I$2,MATCH($A32,Rango_Admin_Clas_Primera,0)+1),"-")</f>
        <v>0</v>
      </c>
      <c r="J32" s="84" cm="1">
        <f t="array" aca="1" ref="J32" ca="1">IFERROR(INDEX(Rango_Admin_Clas_Total,J$2,MATCH($A32,Rango_Admin_Clas_Primera,0)+1),"-")</f>
        <v>0</v>
      </c>
      <c r="K32" s="84" cm="1">
        <f t="array" aca="1" ref="K32" ca="1">IFERROR(INDEX(Rango_Admin_Clas_Total,K$2,MATCH($A32,Rango_Admin_Clas_Primera,0)+1),"-")</f>
        <v>0</v>
      </c>
      <c r="L32" s="84" cm="1">
        <f t="array" aca="1" ref="L32" ca="1">IFERROR(INDEX(Rango_Admin_Clas_Total,L$2,MATCH($A32,Rango_Admin_Clas_Primera,0)+1),"-")</f>
        <v>0</v>
      </c>
      <c r="M32" s="84" cm="1">
        <f t="array" aca="1" ref="M32" ca="1">IFERROR(INDEX(Rango_Admin_Clas_Total,M$2,MATCH($A32,Rango_Admin_Clas_Primera,0)+1),"-")</f>
        <v>0</v>
      </c>
      <c r="N32" s="84" cm="1">
        <f t="array" aca="1" ref="N32" ca="1">IFERROR(INDEX(Rango_Admin_Clas_Total,N$2,MATCH($A32,Rango_Admin_Clas_Primera,0)+1),"-")</f>
        <v>0</v>
      </c>
      <c r="O32" s="84" cm="1">
        <f t="array" aca="1" ref="O32" ca="1">IFERROR(INDEX(Rango_Admin_Clas_Total,O$2,MATCH($A32,Rango_Admin_Clas_Primera,0)+1),"-")</f>
        <v>0</v>
      </c>
      <c r="P32" s="84" cm="1">
        <f t="array" aca="1" ref="P32" ca="1">IFERROR(INDEX(Rango_Admin_Clas_Total,P$2,MATCH($A32,Rango_Admin_Clas_Primera,0)+1),"-")</f>
        <v>0</v>
      </c>
      <c r="Q32" s="84" cm="1">
        <f t="array" aca="1" ref="Q32" ca="1">IFERROR(INDEX(Rango_Admin_Clas_Total,Q$2,MATCH($A32,Rango_Admin_Clas_Primera,0)+1),"-")</f>
        <v>0</v>
      </c>
      <c r="R32" s="84" cm="1">
        <f t="array" aca="1" ref="R32" ca="1">IFERROR(INDEX(Rango_Admin_Clas_Total,R$2,MATCH($A32,Rango_Admin_Clas_Primera,0)+1),"-")</f>
        <v>0</v>
      </c>
      <c r="S32" s="84" cm="1">
        <f t="array" aca="1" ref="S32" ca="1">IFERROR(INDEX(Rango_Admin_Clas_Total,S$2,MATCH($A32,Rango_Admin_Clas_Primera,0)+1),"-")</f>
        <v>0</v>
      </c>
      <c r="T32" s="287"/>
      <c r="U32" s="287"/>
    </row>
    <row r="33" spans="1:21" hidden="1">
      <c r="A33" s="15">
        <f t="shared" si="0"/>
        <v>29</v>
      </c>
      <c r="B33" s="18">
        <f ca="1">IFERROR(HLOOKUP(A33,Rango_Admin_Clas,3,FALSE),"-")</f>
        <v>19</v>
      </c>
      <c r="C33" s="14" t="str">
        <f ca="1">IFERROR(HLOOKUP(A33,Rango_Admin_Clas,5,FALSE),"-")</f>
        <v>Pegar Valores Nombre J29</v>
      </c>
      <c r="D33" s="83">
        <f ca="1">IFERROR(HLOOKUP(A33,Rango_Admin_Clas,4,FALSE),"-")</f>
        <v>0</v>
      </c>
      <c r="E33" s="84" cm="1">
        <f t="array" aca="1" ref="E33" ca="1">IFERROR(INDEX(Rango_Admin_Clas_Total,E$2,MATCH($A33,Rango_Admin_Clas_Primera,0)+1),"-")</f>
        <v>0</v>
      </c>
      <c r="F33" s="84" cm="1">
        <f t="array" aca="1" ref="F33" ca="1">IFERROR(INDEX(Rango_Admin_Clas_Total,F$2,MATCH($A33,Rango_Admin_Clas_Primera,0)+1),"-")</f>
        <v>0</v>
      </c>
      <c r="G33" s="84" cm="1">
        <f t="array" aca="1" ref="G33" ca="1">IFERROR(INDEX(Rango_Admin_Clas_Total,G$2,MATCH($A33,Rango_Admin_Clas_Primera,0)+1),"-")</f>
        <v>0</v>
      </c>
      <c r="H33" s="84" cm="1">
        <f t="array" aca="1" ref="H33" ca="1">IFERROR(INDEX(Rango_Admin_Clas_Total,H$2,MATCH($A33,Rango_Admin_Clas_Primera,0)+1),"-")</f>
        <v>0</v>
      </c>
      <c r="I33" s="84" cm="1">
        <f t="array" aca="1" ref="I33" ca="1">IFERROR(INDEX(Rango_Admin_Clas_Total,I$2,MATCH($A33,Rango_Admin_Clas_Primera,0)+1),"-")</f>
        <v>0</v>
      </c>
      <c r="J33" s="84" cm="1">
        <f t="array" aca="1" ref="J33" ca="1">IFERROR(INDEX(Rango_Admin_Clas_Total,J$2,MATCH($A33,Rango_Admin_Clas_Primera,0)+1),"-")</f>
        <v>0</v>
      </c>
      <c r="K33" s="84" cm="1">
        <f t="array" aca="1" ref="K33" ca="1">IFERROR(INDEX(Rango_Admin_Clas_Total,K$2,MATCH($A33,Rango_Admin_Clas_Primera,0)+1),"-")</f>
        <v>0</v>
      </c>
      <c r="L33" s="84" cm="1">
        <f t="array" aca="1" ref="L33" ca="1">IFERROR(INDEX(Rango_Admin_Clas_Total,L$2,MATCH($A33,Rango_Admin_Clas_Primera,0)+1),"-")</f>
        <v>0</v>
      </c>
      <c r="M33" s="84" cm="1">
        <f t="array" aca="1" ref="M33" ca="1">IFERROR(INDEX(Rango_Admin_Clas_Total,M$2,MATCH($A33,Rango_Admin_Clas_Primera,0)+1),"-")</f>
        <v>0</v>
      </c>
      <c r="N33" s="84" cm="1">
        <f t="array" aca="1" ref="N33" ca="1">IFERROR(INDEX(Rango_Admin_Clas_Total,N$2,MATCH($A33,Rango_Admin_Clas_Primera,0)+1),"-")</f>
        <v>0</v>
      </c>
      <c r="O33" s="84" cm="1">
        <f t="array" aca="1" ref="O33" ca="1">IFERROR(INDEX(Rango_Admin_Clas_Total,O$2,MATCH($A33,Rango_Admin_Clas_Primera,0)+1),"-")</f>
        <v>0</v>
      </c>
      <c r="P33" s="84" cm="1">
        <f t="array" aca="1" ref="P33" ca="1">IFERROR(INDEX(Rango_Admin_Clas_Total,P$2,MATCH($A33,Rango_Admin_Clas_Primera,0)+1),"-")</f>
        <v>0</v>
      </c>
      <c r="Q33" s="84" cm="1">
        <f t="array" aca="1" ref="Q33" ca="1">IFERROR(INDEX(Rango_Admin_Clas_Total,Q$2,MATCH($A33,Rango_Admin_Clas_Primera,0)+1),"-")</f>
        <v>0</v>
      </c>
      <c r="R33" s="84" cm="1">
        <f t="array" aca="1" ref="R33" ca="1">IFERROR(INDEX(Rango_Admin_Clas_Total,R$2,MATCH($A33,Rango_Admin_Clas_Primera,0)+1),"-")</f>
        <v>0</v>
      </c>
      <c r="S33" s="84" cm="1">
        <f t="array" aca="1" ref="S33" ca="1">IFERROR(INDEX(Rango_Admin_Clas_Total,S$2,MATCH($A33,Rango_Admin_Clas_Primera,0)+1),"-")</f>
        <v>0</v>
      </c>
      <c r="T33" s="287"/>
      <c r="U33" s="287"/>
    </row>
    <row r="34" spans="1:21" hidden="1">
      <c r="A34" s="15">
        <f t="shared" si="0"/>
        <v>30</v>
      </c>
      <c r="B34" s="18">
        <f ca="1">IFERROR(HLOOKUP(A34,Rango_Admin_Clas,3,FALSE),"-")</f>
        <v>19</v>
      </c>
      <c r="C34" s="14" t="str">
        <f ca="1">IFERROR(HLOOKUP(A34,Rango_Admin_Clas,5,FALSE),"-")</f>
        <v>Pegar Valores Nombre J30</v>
      </c>
      <c r="D34" s="83">
        <f ca="1">IFERROR(HLOOKUP(A34,Rango_Admin_Clas,4,FALSE),"-")</f>
        <v>0</v>
      </c>
      <c r="E34" s="84" cm="1">
        <f t="array" aca="1" ref="E34" ca="1">IFERROR(INDEX(Rango_Admin_Clas_Total,E$2,MATCH($A34,Rango_Admin_Clas_Primera,0)+1),"-")</f>
        <v>0</v>
      </c>
      <c r="F34" s="84" cm="1">
        <f t="array" aca="1" ref="F34" ca="1">IFERROR(INDEX(Rango_Admin_Clas_Total,F$2,MATCH($A34,Rango_Admin_Clas_Primera,0)+1),"-")</f>
        <v>0</v>
      </c>
      <c r="G34" s="84" cm="1">
        <f t="array" aca="1" ref="G34" ca="1">IFERROR(INDEX(Rango_Admin_Clas_Total,G$2,MATCH($A34,Rango_Admin_Clas_Primera,0)+1),"-")</f>
        <v>0</v>
      </c>
      <c r="H34" s="84" cm="1">
        <f t="array" aca="1" ref="H34" ca="1">IFERROR(INDEX(Rango_Admin_Clas_Total,H$2,MATCH($A34,Rango_Admin_Clas_Primera,0)+1),"-")</f>
        <v>0</v>
      </c>
      <c r="I34" s="84" cm="1">
        <f t="array" aca="1" ref="I34" ca="1">IFERROR(INDEX(Rango_Admin_Clas_Total,I$2,MATCH($A34,Rango_Admin_Clas_Primera,0)+1),"-")</f>
        <v>0</v>
      </c>
      <c r="J34" s="84" cm="1">
        <f t="array" aca="1" ref="J34" ca="1">IFERROR(INDEX(Rango_Admin_Clas_Total,J$2,MATCH($A34,Rango_Admin_Clas_Primera,0)+1),"-")</f>
        <v>0</v>
      </c>
      <c r="K34" s="84" cm="1">
        <f t="array" aca="1" ref="K34" ca="1">IFERROR(INDEX(Rango_Admin_Clas_Total,K$2,MATCH($A34,Rango_Admin_Clas_Primera,0)+1),"-")</f>
        <v>0</v>
      </c>
      <c r="L34" s="84" cm="1">
        <f t="array" aca="1" ref="L34" ca="1">IFERROR(INDEX(Rango_Admin_Clas_Total,L$2,MATCH($A34,Rango_Admin_Clas_Primera,0)+1),"-")</f>
        <v>0</v>
      </c>
      <c r="M34" s="84" cm="1">
        <f t="array" aca="1" ref="M34" ca="1">IFERROR(INDEX(Rango_Admin_Clas_Total,M$2,MATCH($A34,Rango_Admin_Clas_Primera,0)+1),"-")</f>
        <v>0</v>
      </c>
      <c r="N34" s="84" cm="1">
        <f t="array" aca="1" ref="N34" ca="1">IFERROR(INDEX(Rango_Admin_Clas_Total,N$2,MATCH($A34,Rango_Admin_Clas_Primera,0)+1),"-")</f>
        <v>0</v>
      </c>
      <c r="O34" s="84" cm="1">
        <f t="array" aca="1" ref="O34" ca="1">IFERROR(INDEX(Rango_Admin_Clas_Total,O$2,MATCH($A34,Rango_Admin_Clas_Primera,0)+1),"-")</f>
        <v>0</v>
      </c>
      <c r="P34" s="84" cm="1">
        <f t="array" aca="1" ref="P34" ca="1">IFERROR(INDEX(Rango_Admin_Clas_Total,P$2,MATCH($A34,Rango_Admin_Clas_Primera,0)+1),"-")</f>
        <v>0</v>
      </c>
      <c r="Q34" s="84" cm="1">
        <f t="array" aca="1" ref="Q34" ca="1">IFERROR(INDEX(Rango_Admin_Clas_Total,Q$2,MATCH($A34,Rango_Admin_Clas_Primera,0)+1),"-")</f>
        <v>0</v>
      </c>
      <c r="R34" s="84" cm="1">
        <f t="array" aca="1" ref="R34" ca="1">IFERROR(INDEX(Rango_Admin_Clas_Total,R$2,MATCH($A34,Rango_Admin_Clas_Primera,0)+1),"-")</f>
        <v>0</v>
      </c>
      <c r="S34" s="84" cm="1">
        <f t="array" aca="1" ref="S34" ca="1">IFERROR(INDEX(Rango_Admin_Clas_Total,S$2,MATCH($A34,Rango_Admin_Clas_Primera,0)+1),"-")</f>
        <v>0</v>
      </c>
      <c r="T34" s="287"/>
      <c r="U34" s="287"/>
    </row>
    <row r="35" spans="1:21" hidden="1">
      <c r="A35" s="15">
        <f t="shared" si="0"/>
        <v>31</v>
      </c>
      <c r="B35" s="18">
        <f ca="1">IFERROR(HLOOKUP(A35,Rango_Admin_Clas,3,FALSE),"-")</f>
        <v>19</v>
      </c>
      <c r="C35" s="14" t="str">
        <f ca="1">IFERROR(HLOOKUP(A35,Rango_Admin_Clas,5,FALSE),"-")</f>
        <v>Pegar Valores Nombre J31</v>
      </c>
      <c r="D35" s="83">
        <f ca="1">IFERROR(HLOOKUP(A35,Rango_Admin_Clas,4,FALSE),"-")</f>
        <v>0</v>
      </c>
      <c r="E35" s="84" cm="1">
        <f t="array" aca="1" ref="E35" ca="1">IFERROR(INDEX(Rango_Admin_Clas_Total,E$2,MATCH($A35,Rango_Admin_Clas_Primera,0)+1),"-")</f>
        <v>0</v>
      </c>
      <c r="F35" s="84" cm="1">
        <f t="array" aca="1" ref="F35" ca="1">IFERROR(INDEX(Rango_Admin_Clas_Total,F$2,MATCH($A35,Rango_Admin_Clas_Primera,0)+1),"-")</f>
        <v>0</v>
      </c>
      <c r="G35" s="84" cm="1">
        <f t="array" aca="1" ref="G35" ca="1">IFERROR(INDEX(Rango_Admin_Clas_Total,G$2,MATCH($A35,Rango_Admin_Clas_Primera,0)+1),"-")</f>
        <v>0</v>
      </c>
      <c r="H35" s="84" cm="1">
        <f t="array" aca="1" ref="H35" ca="1">IFERROR(INDEX(Rango_Admin_Clas_Total,H$2,MATCH($A35,Rango_Admin_Clas_Primera,0)+1),"-")</f>
        <v>0</v>
      </c>
      <c r="I35" s="84" cm="1">
        <f t="array" aca="1" ref="I35" ca="1">IFERROR(INDEX(Rango_Admin_Clas_Total,I$2,MATCH($A35,Rango_Admin_Clas_Primera,0)+1),"-")</f>
        <v>0</v>
      </c>
      <c r="J35" s="84" cm="1">
        <f t="array" aca="1" ref="J35" ca="1">IFERROR(INDEX(Rango_Admin_Clas_Total,J$2,MATCH($A35,Rango_Admin_Clas_Primera,0)+1),"-")</f>
        <v>0</v>
      </c>
      <c r="K35" s="84" cm="1">
        <f t="array" aca="1" ref="K35" ca="1">IFERROR(INDEX(Rango_Admin_Clas_Total,K$2,MATCH($A35,Rango_Admin_Clas_Primera,0)+1),"-")</f>
        <v>0</v>
      </c>
      <c r="L35" s="84" cm="1">
        <f t="array" aca="1" ref="L35" ca="1">IFERROR(INDEX(Rango_Admin_Clas_Total,L$2,MATCH($A35,Rango_Admin_Clas_Primera,0)+1),"-")</f>
        <v>0</v>
      </c>
      <c r="M35" s="84" cm="1">
        <f t="array" aca="1" ref="M35" ca="1">IFERROR(INDEX(Rango_Admin_Clas_Total,M$2,MATCH($A35,Rango_Admin_Clas_Primera,0)+1),"-")</f>
        <v>0</v>
      </c>
      <c r="N35" s="84" cm="1">
        <f t="array" aca="1" ref="N35" ca="1">IFERROR(INDEX(Rango_Admin_Clas_Total,N$2,MATCH($A35,Rango_Admin_Clas_Primera,0)+1),"-")</f>
        <v>0</v>
      </c>
      <c r="O35" s="84" cm="1">
        <f t="array" aca="1" ref="O35" ca="1">IFERROR(INDEX(Rango_Admin_Clas_Total,O$2,MATCH($A35,Rango_Admin_Clas_Primera,0)+1),"-")</f>
        <v>0</v>
      </c>
      <c r="P35" s="84" cm="1">
        <f t="array" aca="1" ref="P35" ca="1">IFERROR(INDEX(Rango_Admin_Clas_Total,P$2,MATCH($A35,Rango_Admin_Clas_Primera,0)+1),"-")</f>
        <v>0</v>
      </c>
      <c r="Q35" s="84" cm="1">
        <f t="array" aca="1" ref="Q35" ca="1">IFERROR(INDEX(Rango_Admin_Clas_Total,Q$2,MATCH($A35,Rango_Admin_Clas_Primera,0)+1),"-")</f>
        <v>0</v>
      </c>
      <c r="R35" s="84" cm="1">
        <f t="array" aca="1" ref="R35" ca="1">IFERROR(INDEX(Rango_Admin_Clas_Total,R$2,MATCH($A35,Rango_Admin_Clas_Primera,0)+1),"-")</f>
        <v>0</v>
      </c>
      <c r="S35" s="84" cm="1">
        <f t="array" aca="1" ref="S35" ca="1">IFERROR(INDEX(Rango_Admin_Clas_Total,S$2,MATCH($A35,Rango_Admin_Clas_Primera,0)+1),"-")</f>
        <v>0</v>
      </c>
      <c r="T35" s="287"/>
      <c r="U35" s="287"/>
    </row>
    <row r="36" spans="1:21" hidden="1">
      <c r="A36" s="15">
        <f t="shared" si="0"/>
        <v>32</v>
      </c>
      <c r="B36" s="18">
        <f ca="1">IFERROR(HLOOKUP(A36,Rango_Admin_Clas,3,FALSE),"-")</f>
        <v>19</v>
      </c>
      <c r="C36" s="14" t="str">
        <f ca="1">IFERROR(HLOOKUP(A36,Rango_Admin_Clas,5,FALSE),"-")</f>
        <v>Pegar Valores Nombre J32</v>
      </c>
      <c r="D36" s="83">
        <f ca="1">IFERROR(HLOOKUP(A36,Rango_Admin_Clas,4,FALSE),"-")</f>
        <v>0</v>
      </c>
      <c r="E36" s="84" cm="1">
        <f t="array" aca="1" ref="E36" ca="1">IFERROR(INDEX(Rango_Admin_Clas_Total,E$2,MATCH($A36,Rango_Admin_Clas_Primera,0)+1),"-")</f>
        <v>0</v>
      </c>
      <c r="F36" s="84" cm="1">
        <f t="array" aca="1" ref="F36" ca="1">IFERROR(INDEX(Rango_Admin_Clas_Total,F$2,MATCH($A36,Rango_Admin_Clas_Primera,0)+1),"-")</f>
        <v>0</v>
      </c>
      <c r="G36" s="84" cm="1">
        <f t="array" aca="1" ref="G36" ca="1">IFERROR(INDEX(Rango_Admin_Clas_Total,G$2,MATCH($A36,Rango_Admin_Clas_Primera,0)+1),"-")</f>
        <v>0</v>
      </c>
      <c r="H36" s="84" cm="1">
        <f t="array" aca="1" ref="H36" ca="1">IFERROR(INDEX(Rango_Admin_Clas_Total,H$2,MATCH($A36,Rango_Admin_Clas_Primera,0)+1),"-")</f>
        <v>0</v>
      </c>
      <c r="I36" s="84" cm="1">
        <f t="array" aca="1" ref="I36" ca="1">IFERROR(INDEX(Rango_Admin_Clas_Total,I$2,MATCH($A36,Rango_Admin_Clas_Primera,0)+1),"-")</f>
        <v>0</v>
      </c>
      <c r="J36" s="84" cm="1">
        <f t="array" aca="1" ref="J36" ca="1">IFERROR(INDEX(Rango_Admin_Clas_Total,J$2,MATCH($A36,Rango_Admin_Clas_Primera,0)+1),"-")</f>
        <v>0</v>
      </c>
      <c r="K36" s="84" cm="1">
        <f t="array" aca="1" ref="K36" ca="1">IFERROR(INDEX(Rango_Admin_Clas_Total,K$2,MATCH($A36,Rango_Admin_Clas_Primera,0)+1),"-")</f>
        <v>0</v>
      </c>
      <c r="L36" s="84" cm="1">
        <f t="array" aca="1" ref="L36" ca="1">IFERROR(INDEX(Rango_Admin_Clas_Total,L$2,MATCH($A36,Rango_Admin_Clas_Primera,0)+1),"-")</f>
        <v>0</v>
      </c>
      <c r="M36" s="84" cm="1">
        <f t="array" aca="1" ref="M36" ca="1">IFERROR(INDEX(Rango_Admin_Clas_Total,M$2,MATCH($A36,Rango_Admin_Clas_Primera,0)+1),"-")</f>
        <v>0</v>
      </c>
      <c r="N36" s="84" cm="1">
        <f t="array" aca="1" ref="N36" ca="1">IFERROR(INDEX(Rango_Admin_Clas_Total,N$2,MATCH($A36,Rango_Admin_Clas_Primera,0)+1),"-")</f>
        <v>0</v>
      </c>
      <c r="O36" s="84" cm="1">
        <f t="array" aca="1" ref="O36" ca="1">IFERROR(INDEX(Rango_Admin_Clas_Total,O$2,MATCH($A36,Rango_Admin_Clas_Primera,0)+1),"-")</f>
        <v>0</v>
      </c>
      <c r="P36" s="84" cm="1">
        <f t="array" aca="1" ref="P36" ca="1">IFERROR(INDEX(Rango_Admin_Clas_Total,P$2,MATCH($A36,Rango_Admin_Clas_Primera,0)+1),"-")</f>
        <v>0</v>
      </c>
      <c r="Q36" s="84" cm="1">
        <f t="array" aca="1" ref="Q36" ca="1">IFERROR(INDEX(Rango_Admin_Clas_Total,Q$2,MATCH($A36,Rango_Admin_Clas_Primera,0)+1),"-")</f>
        <v>0</v>
      </c>
      <c r="R36" s="84" cm="1">
        <f t="array" aca="1" ref="R36" ca="1">IFERROR(INDEX(Rango_Admin_Clas_Total,R$2,MATCH($A36,Rango_Admin_Clas_Primera,0)+1),"-")</f>
        <v>0</v>
      </c>
      <c r="S36" s="84" cm="1">
        <f t="array" aca="1" ref="S36" ca="1">IFERROR(INDEX(Rango_Admin_Clas_Total,S$2,MATCH($A36,Rango_Admin_Clas_Primera,0)+1),"-")</f>
        <v>0</v>
      </c>
      <c r="T36" s="287"/>
      <c r="U36" s="287"/>
    </row>
    <row r="37" spans="1:21" hidden="1">
      <c r="A37" s="15">
        <f t="shared" si="0"/>
        <v>33</v>
      </c>
      <c r="B37" s="18">
        <f ca="1">IFERROR(HLOOKUP(A37,Rango_Admin_Clas,3,FALSE),"-")</f>
        <v>19</v>
      </c>
      <c r="C37" s="14" t="str">
        <f ca="1">IFERROR(HLOOKUP(A37,Rango_Admin_Clas,5,FALSE),"-")</f>
        <v>Pegar Valores Nombre J33</v>
      </c>
      <c r="D37" s="83">
        <f ca="1">IFERROR(HLOOKUP(A37,Rango_Admin_Clas,4,FALSE),"-")</f>
        <v>0</v>
      </c>
      <c r="E37" s="84" cm="1">
        <f t="array" aca="1" ref="E37" ca="1">IFERROR(INDEX(Rango_Admin_Clas_Total,E$2,MATCH($A37,Rango_Admin_Clas_Primera,0)+1),"-")</f>
        <v>0</v>
      </c>
      <c r="F37" s="84" cm="1">
        <f t="array" aca="1" ref="F37" ca="1">IFERROR(INDEX(Rango_Admin_Clas_Total,F$2,MATCH($A37,Rango_Admin_Clas_Primera,0)+1),"-")</f>
        <v>0</v>
      </c>
      <c r="G37" s="84" cm="1">
        <f t="array" aca="1" ref="G37" ca="1">IFERROR(INDEX(Rango_Admin_Clas_Total,G$2,MATCH($A37,Rango_Admin_Clas_Primera,0)+1),"-")</f>
        <v>0</v>
      </c>
      <c r="H37" s="84" cm="1">
        <f t="array" aca="1" ref="H37" ca="1">IFERROR(INDEX(Rango_Admin_Clas_Total,H$2,MATCH($A37,Rango_Admin_Clas_Primera,0)+1),"-")</f>
        <v>0</v>
      </c>
      <c r="I37" s="84" cm="1">
        <f t="array" aca="1" ref="I37" ca="1">IFERROR(INDEX(Rango_Admin_Clas_Total,I$2,MATCH($A37,Rango_Admin_Clas_Primera,0)+1),"-")</f>
        <v>0</v>
      </c>
      <c r="J37" s="84" cm="1">
        <f t="array" aca="1" ref="J37" ca="1">IFERROR(INDEX(Rango_Admin_Clas_Total,J$2,MATCH($A37,Rango_Admin_Clas_Primera,0)+1),"-")</f>
        <v>0</v>
      </c>
      <c r="K37" s="84" cm="1">
        <f t="array" aca="1" ref="K37" ca="1">IFERROR(INDEX(Rango_Admin_Clas_Total,K$2,MATCH($A37,Rango_Admin_Clas_Primera,0)+1),"-")</f>
        <v>0</v>
      </c>
      <c r="L37" s="84" cm="1">
        <f t="array" aca="1" ref="L37" ca="1">IFERROR(INDEX(Rango_Admin_Clas_Total,L$2,MATCH($A37,Rango_Admin_Clas_Primera,0)+1),"-")</f>
        <v>0</v>
      </c>
      <c r="M37" s="84" cm="1">
        <f t="array" aca="1" ref="M37" ca="1">IFERROR(INDEX(Rango_Admin_Clas_Total,M$2,MATCH($A37,Rango_Admin_Clas_Primera,0)+1),"-")</f>
        <v>0</v>
      </c>
      <c r="N37" s="84" cm="1">
        <f t="array" aca="1" ref="N37" ca="1">IFERROR(INDEX(Rango_Admin_Clas_Total,N$2,MATCH($A37,Rango_Admin_Clas_Primera,0)+1),"-")</f>
        <v>0</v>
      </c>
      <c r="O37" s="84" cm="1">
        <f t="array" aca="1" ref="O37" ca="1">IFERROR(INDEX(Rango_Admin_Clas_Total,O$2,MATCH($A37,Rango_Admin_Clas_Primera,0)+1),"-")</f>
        <v>0</v>
      </c>
      <c r="P37" s="84" cm="1">
        <f t="array" aca="1" ref="P37" ca="1">IFERROR(INDEX(Rango_Admin_Clas_Total,P$2,MATCH($A37,Rango_Admin_Clas_Primera,0)+1),"-")</f>
        <v>0</v>
      </c>
      <c r="Q37" s="84" cm="1">
        <f t="array" aca="1" ref="Q37" ca="1">IFERROR(INDEX(Rango_Admin_Clas_Total,Q$2,MATCH($A37,Rango_Admin_Clas_Primera,0)+1),"-")</f>
        <v>0</v>
      </c>
      <c r="R37" s="84" cm="1">
        <f t="array" aca="1" ref="R37" ca="1">IFERROR(INDEX(Rango_Admin_Clas_Total,R$2,MATCH($A37,Rango_Admin_Clas_Primera,0)+1),"-")</f>
        <v>0</v>
      </c>
      <c r="S37" s="84" cm="1">
        <f t="array" aca="1" ref="S37" ca="1">IFERROR(INDEX(Rango_Admin_Clas_Total,S$2,MATCH($A37,Rango_Admin_Clas_Primera,0)+1),"-")</f>
        <v>0</v>
      </c>
      <c r="T37" s="287"/>
      <c r="U37" s="287"/>
    </row>
    <row r="38" spans="1:21" hidden="1">
      <c r="A38" s="15">
        <f t="shared" si="0"/>
        <v>34</v>
      </c>
      <c r="B38" s="18">
        <f ca="1">IFERROR(HLOOKUP(A38,Rango_Admin_Clas,3,FALSE),"-")</f>
        <v>19</v>
      </c>
      <c r="C38" s="14" t="str">
        <f ca="1">IFERROR(HLOOKUP(A38,Rango_Admin_Clas,5,FALSE),"-")</f>
        <v>Pegar Valores Nombre J34</v>
      </c>
      <c r="D38" s="83">
        <f ca="1">IFERROR(HLOOKUP(A38,Rango_Admin_Clas,4,FALSE),"-")</f>
        <v>0</v>
      </c>
      <c r="E38" s="84" cm="1">
        <f t="array" aca="1" ref="E38" ca="1">IFERROR(INDEX(Rango_Admin_Clas_Total,E$2,MATCH($A38,Rango_Admin_Clas_Primera,0)+1),"-")</f>
        <v>0</v>
      </c>
      <c r="F38" s="84" cm="1">
        <f t="array" aca="1" ref="F38" ca="1">IFERROR(INDEX(Rango_Admin_Clas_Total,F$2,MATCH($A38,Rango_Admin_Clas_Primera,0)+1),"-")</f>
        <v>0</v>
      </c>
      <c r="G38" s="84" cm="1">
        <f t="array" aca="1" ref="G38" ca="1">IFERROR(INDEX(Rango_Admin_Clas_Total,G$2,MATCH($A38,Rango_Admin_Clas_Primera,0)+1),"-")</f>
        <v>0</v>
      </c>
      <c r="H38" s="84" cm="1">
        <f t="array" aca="1" ref="H38" ca="1">IFERROR(INDEX(Rango_Admin_Clas_Total,H$2,MATCH($A38,Rango_Admin_Clas_Primera,0)+1),"-")</f>
        <v>0</v>
      </c>
      <c r="I38" s="84" cm="1">
        <f t="array" aca="1" ref="I38" ca="1">IFERROR(INDEX(Rango_Admin_Clas_Total,I$2,MATCH($A38,Rango_Admin_Clas_Primera,0)+1),"-")</f>
        <v>0</v>
      </c>
      <c r="J38" s="84" cm="1">
        <f t="array" aca="1" ref="J38" ca="1">IFERROR(INDEX(Rango_Admin_Clas_Total,J$2,MATCH($A38,Rango_Admin_Clas_Primera,0)+1),"-")</f>
        <v>0</v>
      </c>
      <c r="K38" s="84" cm="1">
        <f t="array" aca="1" ref="K38" ca="1">IFERROR(INDEX(Rango_Admin_Clas_Total,K$2,MATCH($A38,Rango_Admin_Clas_Primera,0)+1),"-")</f>
        <v>0</v>
      </c>
      <c r="L38" s="84" cm="1">
        <f t="array" aca="1" ref="L38" ca="1">IFERROR(INDEX(Rango_Admin_Clas_Total,L$2,MATCH($A38,Rango_Admin_Clas_Primera,0)+1),"-")</f>
        <v>0</v>
      </c>
      <c r="M38" s="84" cm="1">
        <f t="array" aca="1" ref="M38" ca="1">IFERROR(INDEX(Rango_Admin_Clas_Total,M$2,MATCH($A38,Rango_Admin_Clas_Primera,0)+1),"-")</f>
        <v>0</v>
      </c>
      <c r="N38" s="84" cm="1">
        <f t="array" aca="1" ref="N38" ca="1">IFERROR(INDEX(Rango_Admin_Clas_Total,N$2,MATCH($A38,Rango_Admin_Clas_Primera,0)+1),"-")</f>
        <v>0</v>
      </c>
      <c r="O38" s="84" cm="1">
        <f t="array" aca="1" ref="O38" ca="1">IFERROR(INDEX(Rango_Admin_Clas_Total,O$2,MATCH($A38,Rango_Admin_Clas_Primera,0)+1),"-")</f>
        <v>0</v>
      </c>
      <c r="P38" s="84" cm="1">
        <f t="array" aca="1" ref="P38" ca="1">IFERROR(INDEX(Rango_Admin_Clas_Total,P$2,MATCH($A38,Rango_Admin_Clas_Primera,0)+1),"-")</f>
        <v>0</v>
      </c>
      <c r="Q38" s="84" cm="1">
        <f t="array" aca="1" ref="Q38" ca="1">IFERROR(INDEX(Rango_Admin_Clas_Total,Q$2,MATCH($A38,Rango_Admin_Clas_Primera,0)+1),"-")</f>
        <v>0</v>
      </c>
      <c r="R38" s="84" cm="1">
        <f t="array" aca="1" ref="R38" ca="1">IFERROR(INDEX(Rango_Admin_Clas_Total,R$2,MATCH($A38,Rango_Admin_Clas_Primera,0)+1),"-")</f>
        <v>0</v>
      </c>
      <c r="S38" s="84" cm="1">
        <f t="array" aca="1" ref="S38" ca="1">IFERROR(INDEX(Rango_Admin_Clas_Total,S$2,MATCH($A38,Rango_Admin_Clas_Primera,0)+1),"-")</f>
        <v>0</v>
      </c>
      <c r="T38" s="287"/>
      <c r="U38" s="287"/>
    </row>
    <row r="39" spans="1:21" hidden="1">
      <c r="A39" s="15">
        <f t="shared" si="0"/>
        <v>35</v>
      </c>
      <c r="B39" s="18">
        <f ca="1">IFERROR(HLOOKUP(A39,Rango_Admin_Clas,3,FALSE),"-")</f>
        <v>19</v>
      </c>
      <c r="C39" s="14" t="str">
        <f ca="1">IFERROR(HLOOKUP(A39,Rango_Admin_Clas,5,FALSE),"-")</f>
        <v>Pegar Valores Nombre J35</v>
      </c>
      <c r="D39" s="83">
        <f ca="1">IFERROR(HLOOKUP(A39,Rango_Admin_Clas,4,FALSE),"-")</f>
        <v>0</v>
      </c>
      <c r="E39" s="84" cm="1">
        <f t="array" aca="1" ref="E39" ca="1">IFERROR(INDEX(Rango_Admin_Clas_Total,E$2,MATCH($A39,Rango_Admin_Clas_Primera,0)+1),"-")</f>
        <v>0</v>
      </c>
      <c r="F39" s="84" cm="1">
        <f t="array" aca="1" ref="F39" ca="1">IFERROR(INDEX(Rango_Admin_Clas_Total,F$2,MATCH($A39,Rango_Admin_Clas_Primera,0)+1),"-")</f>
        <v>0</v>
      </c>
      <c r="G39" s="84" cm="1">
        <f t="array" aca="1" ref="G39" ca="1">IFERROR(INDEX(Rango_Admin_Clas_Total,G$2,MATCH($A39,Rango_Admin_Clas_Primera,0)+1),"-")</f>
        <v>0</v>
      </c>
      <c r="H39" s="84" cm="1">
        <f t="array" aca="1" ref="H39" ca="1">IFERROR(INDEX(Rango_Admin_Clas_Total,H$2,MATCH($A39,Rango_Admin_Clas_Primera,0)+1),"-")</f>
        <v>0</v>
      </c>
      <c r="I39" s="84" cm="1">
        <f t="array" aca="1" ref="I39" ca="1">IFERROR(INDEX(Rango_Admin_Clas_Total,I$2,MATCH($A39,Rango_Admin_Clas_Primera,0)+1),"-")</f>
        <v>0</v>
      </c>
      <c r="J39" s="84" cm="1">
        <f t="array" aca="1" ref="J39" ca="1">IFERROR(INDEX(Rango_Admin_Clas_Total,J$2,MATCH($A39,Rango_Admin_Clas_Primera,0)+1),"-")</f>
        <v>0</v>
      </c>
      <c r="K39" s="84" cm="1">
        <f t="array" aca="1" ref="K39" ca="1">IFERROR(INDEX(Rango_Admin_Clas_Total,K$2,MATCH($A39,Rango_Admin_Clas_Primera,0)+1),"-")</f>
        <v>0</v>
      </c>
      <c r="L39" s="84" cm="1">
        <f t="array" aca="1" ref="L39" ca="1">IFERROR(INDEX(Rango_Admin_Clas_Total,L$2,MATCH($A39,Rango_Admin_Clas_Primera,0)+1),"-")</f>
        <v>0</v>
      </c>
      <c r="M39" s="84" cm="1">
        <f t="array" aca="1" ref="M39" ca="1">IFERROR(INDEX(Rango_Admin_Clas_Total,M$2,MATCH($A39,Rango_Admin_Clas_Primera,0)+1),"-")</f>
        <v>0</v>
      </c>
      <c r="N39" s="84" cm="1">
        <f t="array" aca="1" ref="N39" ca="1">IFERROR(INDEX(Rango_Admin_Clas_Total,N$2,MATCH($A39,Rango_Admin_Clas_Primera,0)+1),"-")</f>
        <v>0</v>
      </c>
      <c r="O39" s="84" cm="1">
        <f t="array" aca="1" ref="O39" ca="1">IFERROR(INDEX(Rango_Admin_Clas_Total,O$2,MATCH($A39,Rango_Admin_Clas_Primera,0)+1),"-")</f>
        <v>0</v>
      </c>
      <c r="P39" s="84" cm="1">
        <f t="array" aca="1" ref="P39" ca="1">IFERROR(INDEX(Rango_Admin_Clas_Total,P$2,MATCH($A39,Rango_Admin_Clas_Primera,0)+1),"-")</f>
        <v>0</v>
      </c>
      <c r="Q39" s="84" cm="1">
        <f t="array" aca="1" ref="Q39" ca="1">IFERROR(INDEX(Rango_Admin_Clas_Total,Q$2,MATCH($A39,Rango_Admin_Clas_Primera,0)+1),"-")</f>
        <v>0</v>
      </c>
      <c r="R39" s="84" cm="1">
        <f t="array" aca="1" ref="R39" ca="1">IFERROR(INDEX(Rango_Admin_Clas_Total,R$2,MATCH($A39,Rango_Admin_Clas_Primera,0)+1),"-")</f>
        <v>0</v>
      </c>
      <c r="S39" s="84" cm="1">
        <f t="array" aca="1" ref="S39" ca="1">IFERROR(INDEX(Rango_Admin_Clas_Total,S$2,MATCH($A39,Rango_Admin_Clas_Primera,0)+1),"-")</f>
        <v>0</v>
      </c>
      <c r="T39" s="287"/>
      <c r="U39" s="287"/>
    </row>
    <row r="40" spans="1:21" hidden="1">
      <c r="A40" s="15">
        <f t="shared" si="0"/>
        <v>36</v>
      </c>
      <c r="B40" s="18">
        <f ca="1">IFERROR(HLOOKUP(A40,Rango_Admin_Clas,3,FALSE),"-")</f>
        <v>19</v>
      </c>
      <c r="C40" s="14" t="str">
        <f ca="1">IFERROR(HLOOKUP(A40,Rango_Admin_Clas,5,FALSE),"-")</f>
        <v>Pegar Valores Nombre J36</v>
      </c>
      <c r="D40" s="83">
        <f ca="1">IFERROR(HLOOKUP(A40,Rango_Admin_Clas,4,FALSE),"-")</f>
        <v>0</v>
      </c>
      <c r="E40" s="84" cm="1">
        <f t="array" aca="1" ref="E40" ca="1">IFERROR(INDEX(Rango_Admin_Clas_Total,E$2,MATCH($A40,Rango_Admin_Clas_Primera,0)+1),"-")</f>
        <v>0</v>
      </c>
      <c r="F40" s="84" cm="1">
        <f t="array" aca="1" ref="F40" ca="1">IFERROR(INDEX(Rango_Admin_Clas_Total,F$2,MATCH($A40,Rango_Admin_Clas_Primera,0)+1),"-")</f>
        <v>0</v>
      </c>
      <c r="G40" s="84" cm="1">
        <f t="array" aca="1" ref="G40" ca="1">IFERROR(INDEX(Rango_Admin_Clas_Total,G$2,MATCH($A40,Rango_Admin_Clas_Primera,0)+1),"-")</f>
        <v>0</v>
      </c>
      <c r="H40" s="84" cm="1">
        <f t="array" aca="1" ref="H40" ca="1">IFERROR(INDEX(Rango_Admin_Clas_Total,H$2,MATCH($A40,Rango_Admin_Clas_Primera,0)+1),"-")</f>
        <v>0</v>
      </c>
      <c r="I40" s="84" cm="1">
        <f t="array" aca="1" ref="I40" ca="1">IFERROR(INDEX(Rango_Admin_Clas_Total,I$2,MATCH($A40,Rango_Admin_Clas_Primera,0)+1),"-")</f>
        <v>0</v>
      </c>
      <c r="J40" s="84" cm="1">
        <f t="array" aca="1" ref="J40" ca="1">IFERROR(INDEX(Rango_Admin_Clas_Total,J$2,MATCH($A40,Rango_Admin_Clas_Primera,0)+1),"-")</f>
        <v>0</v>
      </c>
      <c r="K40" s="84" cm="1">
        <f t="array" aca="1" ref="K40" ca="1">IFERROR(INDEX(Rango_Admin_Clas_Total,K$2,MATCH($A40,Rango_Admin_Clas_Primera,0)+1),"-")</f>
        <v>0</v>
      </c>
      <c r="L40" s="84" cm="1">
        <f t="array" aca="1" ref="L40" ca="1">IFERROR(INDEX(Rango_Admin_Clas_Total,L$2,MATCH($A40,Rango_Admin_Clas_Primera,0)+1),"-")</f>
        <v>0</v>
      </c>
      <c r="M40" s="84" cm="1">
        <f t="array" aca="1" ref="M40" ca="1">IFERROR(INDEX(Rango_Admin_Clas_Total,M$2,MATCH($A40,Rango_Admin_Clas_Primera,0)+1),"-")</f>
        <v>0</v>
      </c>
      <c r="N40" s="84" cm="1">
        <f t="array" aca="1" ref="N40" ca="1">IFERROR(INDEX(Rango_Admin_Clas_Total,N$2,MATCH($A40,Rango_Admin_Clas_Primera,0)+1),"-")</f>
        <v>0</v>
      </c>
      <c r="O40" s="84" cm="1">
        <f t="array" aca="1" ref="O40" ca="1">IFERROR(INDEX(Rango_Admin_Clas_Total,O$2,MATCH($A40,Rango_Admin_Clas_Primera,0)+1),"-")</f>
        <v>0</v>
      </c>
      <c r="P40" s="84" cm="1">
        <f t="array" aca="1" ref="P40" ca="1">IFERROR(INDEX(Rango_Admin_Clas_Total,P$2,MATCH($A40,Rango_Admin_Clas_Primera,0)+1),"-")</f>
        <v>0</v>
      </c>
      <c r="Q40" s="84" cm="1">
        <f t="array" aca="1" ref="Q40" ca="1">IFERROR(INDEX(Rango_Admin_Clas_Total,Q$2,MATCH($A40,Rango_Admin_Clas_Primera,0)+1),"-")</f>
        <v>0</v>
      </c>
      <c r="R40" s="84" cm="1">
        <f t="array" aca="1" ref="R40" ca="1">IFERROR(INDEX(Rango_Admin_Clas_Total,R$2,MATCH($A40,Rango_Admin_Clas_Primera,0)+1),"-")</f>
        <v>0</v>
      </c>
      <c r="S40" s="84" cm="1">
        <f t="array" aca="1" ref="S40" ca="1">IFERROR(INDEX(Rango_Admin_Clas_Total,S$2,MATCH($A40,Rango_Admin_Clas_Primera,0)+1),"-")</f>
        <v>0</v>
      </c>
      <c r="T40" s="287"/>
      <c r="U40" s="287"/>
    </row>
    <row r="41" spans="1:21" hidden="1">
      <c r="A41" s="15">
        <f t="shared" si="0"/>
        <v>37</v>
      </c>
      <c r="B41" s="18">
        <f ca="1">IFERROR(HLOOKUP(A41,Rango_Admin_Clas,3,FALSE),"-")</f>
        <v>19</v>
      </c>
      <c r="C41" s="14" t="str">
        <f ca="1">IFERROR(HLOOKUP(A41,Rango_Admin_Clas,5,FALSE),"-")</f>
        <v>Pegar Valores Nombre J37</v>
      </c>
      <c r="D41" s="83">
        <f ca="1">IFERROR(HLOOKUP(A41,Rango_Admin_Clas,4,FALSE),"-")</f>
        <v>0</v>
      </c>
      <c r="E41" s="84" cm="1">
        <f t="array" aca="1" ref="E41" ca="1">IFERROR(INDEX(Rango_Admin_Clas_Total,E$2,MATCH($A41,Rango_Admin_Clas_Primera,0)+1),"-")</f>
        <v>0</v>
      </c>
      <c r="F41" s="84" cm="1">
        <f t="array" aca="1" ref="F41" ca="1">IFERROR(INDEX(Rango_Admin_Clas_Total,F$2,MATCH($A41,Rango_Admin_Clas_Primera,0)+1),"-")</f>
        <v>0</v>
      </c>
      <c r="G41" s="84" cm="1">
        <f t="array" aca="1" ref="G41" ca="1">IFERROR(INDEX(Rango_Admin_Clas_Total,G$2,MATCH($A41,Rango_Admin_Clas_Primera,0)+1),"-")</f>
        <v>0</v>
      </c>
      <c r="H41" s="84" cm="1">
        <f t="array" aca="1" ref="H41" ca="1">IFERROR(INDEX(Rango_Admin_Clas_Total,H$2,MATCH($A41,Rango_Admin_Clas_Primera,0)+1),"-")</f>
        <v>0</v>
      </c>
      <c r="I41" s="84" cm="1">
        <f t="array" aca="1" ref="I41" ca="1">IFERROR(INDEX(Rango_Admin_Clas_Total,I$2,MATCH($A41,Rango_Admin_Clas_Primera,0)+1),"-")</f>
        <v>0</v>
      </c>
      <c r="J41" s="84" cm="1">
        <f t="array" aca="1" ref="J41" ca="1">IFERROR(INDEX(Rango_Admin_Clas_Total,J$2,MATCH($A41,Rango_Admin_Clas_Primera,0)+1),"-")</f>
        <v>0</v>
      </c>
      <c r="K41" s="84" cm="1">
        <f t="array" aca="1" ref="K41" ca="1">IFERROR(INDEX(Rango_Admin_Clas_Total,K$2,MATCH($A41,Rango_Admin_Clas_Primera,0)+1),"-")</f>
        <v>0</v>
      </c>
      <c r="L41" s="84" cm="1">
        <f t="array" aca="1" ref="L41" ca="1">IFERROR(INDEX(Rango_Admin_Clas_Total,L$2,MATCH($A41,Rango_Admin_Clas_Primera,0)+1),"-")</f>
        <v>0</v>
      </c>
      <c r="M41" s="84" cm="1">
        <f t="array" aca="1" ref="M41" ca="1">IFERROR(INDEX(Rango_Admin_Clas_Total,M$2,MATCH($A41,Rango_Admin_Clas_Primera,0)+1),"-")</f>
        <v>0</v>
      </c>
      <c r="N41" s="84" cm="1">
        <f t="array" aca="1" ref="N41" ca="1">IFERROR(INDEX(Rango_Admin_Clas_Total,N$2,MATCH($A41,Rango_Admin_Clas_Primera,0)+1),"-")</f>
        <v>0</v>
      </c>
      <c r="O41" s="84" cm="1">
        <f t="array" aca="1" ref="O41" ca="1">IFERROR(INDEX(Rango_Admin_Clas_Total,O$2,MATCH($A41,Rango_Admin_Clas_Primera,0)+1),"-")</f>
        <v>0</v>
      </c>
      <c r="P41" s="84" cm="1">
        <f t="array" aca="1" ref="P41" ca="1">IFERROR(INDEX(Rango_Admin_Clas_Total,P$2,MATCH($A41,Rango_Admin_Clas_Primera,0)+1),"-")</f>
        <v>0</v>
      </c>
      <c r="Q41" s="84" cm="1">
        <f t="array" aca="1" ref="Q41" ca="1">IFERROR(INDEX(Rango_Admin_Clas_Total,Q$2,MATCH($A41,Rango_Admin_Clas_Primera,0)+1),"-")</f>
        <v>0</v>
      </c>
      <c r="R41" s="84" cm="1">
        <f t="array" aca="1" ref="R41" ca="1">IFERROR(INDEX(Rango_Admin_Clas_Total,R$2,MATCH($A41,Rango_Admin_Clas_Primera,0)+1),"-")</f>
        <v>0</v>
      </c>
      <c r="S41" s="84" cm="1">
        <f t="array" aca="1" ref="S41" ca="1">IFERROR(INDEX(Rango_Admin_Clas_Total,S$2,MATCH($A41,Rango_Admin_Clas_Primera,0)+1),"-")</f>
        <v>0</v>
      </c>
      <c r="T41" s="287"/>
      <c r="U41" s="287"/>
    </row>
    <row r="42" spans="1:21" hidden="1">
      <c r="A42" s="15">
        <f t="shared" si="0"/>
        <v>38</v>
      </c>
      <c r="B42" s="18">
        <f ca="1">IFERROR(HLOOKUP(A42,Rango_Admin_Clas,3,FALSE),"-")</f>
        <v>19</v>
      </c>
      <c r="C42" s="14" t="str">
        <f ca="1">IFERROR(HLOOKUP(A42,Rango_Admin_Clas,5,FALSE),"-")</f>
        <v>Pegar Valores Nombre J38</v>
      </c>
      <c r="D42" s="83">
        <f ca="1">IFERROR(HLOOKUP(A42,Rango_Admin_Clas,4,FALSE),"-")</f>
        <v>0</v>
      </c>
      <c r="E42" s="84" cm="1">
        <f t="array" aca="1" ref="E42" ca="1">IFERROR(INDEX(Rango_Admin_Clas_Total,E$2,MATCH($A42,Rango_Admin_Clas_Primera,0)+1),"-")</f>
        <v>0</v>
      </c>
      <c r="F42" s="84" cm="1">
        <f t="array" aca="1" ref="F42" ca="1">IFERROR(INDEX(Rango_Admin_Clas_Total,F$2,MATCH($A42,Rango_Admin_Clas_Primera,0)+1),"-")</f>
        <v>0</v>
      </c>
      <c r="G42" s="84" cm="1">
        <f t="array" aca="1" ref="G42" ca="1">IFERROR(INDEX(Rango_Admin_Clas_Total,G$2,MATCH($A42,Rango_Admin_Clas_Primera,0)+1),"-")</f>
        <v>0</v>
      </c>
      <c r="H42" s="84" cm="1">
        <f t="array" aca="1" ref="H42" ca="1">IFERROR(INDEX(Rango_Admin_Clas_Total,H$2,MATCH($A42,Rango_Admin_Clas_Primera,0)+1),"-")</f>
        <v>0</v>
      </c>
      <c r="I42" s="84" cm="1">
        <f t="array" aca="1" ref="I42" ca="1">IFERROR(INDEX(Rango_Admin_Clas_Total,I$2,MATCH($A42,Rango_Admin_Clas_Primera,0)+1),"-")</f>
        <v>0</v>
      </c>
      <c r="J42" s="84" cm="1">
        <f t="array" aca="1" ref="J42" ca="1">IFERROR(INDEX(Rango_Admin_Clas_Total,J$2,MATCH($A42,Rango_Admin_Clas_Primera,0)+1),"-")</f>
        <v>0</v>
      </c>
      <c r="K42" s="84" cm="1">
        <f t="array" aca="1" ref="K42" ca="1">IFERROR(INDEX(Rango_Admin_Clas_Total,K$2,MATCH($A42,Rango_Admin_Clas_Primera,0)+1),"-")</f>
        <v>0</v>
      </c>
      <c r="L42" s="84" cm="1">
        <f t="array" aca="1" ref="L42" ca="1">IFERROR(INDEX(Rango_Admin_Clas_Total,L$2,MATCH($A42,Rango_Admin_Clas_Primera,0)+1),"-")</f>
        <v>0</v>
      </c>
      <c r="M42" s="84" cm="1">
        <f t="array" aca="1" ref="M42" ca="1">IFERROR(INDEX(Rango_Admin_Clas_Total,M$2,MATCH($A42,Rango_Admin_Clas_Primera,0)+1),"-")</f>
        <v>0</v>
      </c>
      <c r="N42" s="84" cm="1">
        <f t="array" aca="1" ref="N42" ca="1">IFERROR(INDEX(Rango_Admin_Clas_Total,N$2,MATCH($A42,Rango_Admin_Clas_Primera,0)+1),"-")</f>
        <v>0</v>
      </c>
      <c r="O42" s="84" cm="1">
        <f t="array" aca="1" ref="O42" ca="1">IFERROR(INDEX(Rango_Admin_Clas_Total,O$2,MATCH($A42,Rango_Admin_Clas_Primera,0)+1),"-")</f>
        <v>0</v>
      </c>
      <c r="P42" s="84" cm="1">
        <f t="array" aca="1" ref="P42" ca="1">IFERROR(INDEX(Rango_Admin_Clas_Total,P$2,MATCH($A42,Rango_Admin_Clas_Primera,0)+1),"-")</f>
        <v>0</v>
      </c>
      <c r="Q42" s="84" cm="1">
        <f t="array" aca="1" ref="Q42" ca="1">IFERROR(INDEX(Rango_Admin_Clas_Total,Q$2,MATCH($A42,Rango_Admin_Clas_Primera,0)+1),"-")</f>
        <v>0</v>
      </c>
      <c r="R42" s="84" cm="1">
        <f t="array" aca="1" ref="R42" ca="1">IFERROR(INDEX(Rango_Admin_Clas_Total,R$2,MATCH($A42,Rango_Admin_Clas_Primera,0)+1),"-")</f>
        <v>0</v>
      </c>
      <c r="S42" s="84" cm="1">
        <f t="array" aca="1" ref="S42" ca="1">IFERROR(INDEX(Rango_Admin_Clas_Total,S$2,MATCH($A42,Rango_Admin_Clas_Primera,0)+1),"-")</f>
        <v>0</v>
      </c>
      <c r="T42" s="287"/>
      <c r="U42" s="287"/>
    </row>
    <row r="43" spans="1:21" hidden="1">
      <c r="A43" s="15">
        <f t="shared" si="0"/>
        <v>39</v>
      </c>
      <c r="B43" s="18">
        <f ca="1">IFERROR(HLOOKUP(A43,Rango_Admin_Clas,3,FALSE),"-")</f>
        <v>19</v>
      </c>
      <c r="C43" s="14" t="str">
        <f ca="1">IFERROR(HLOOKUP(A43,Rango_Admin_Clas,5,FALSE),"-")</f>
        <v>Pegar Valores Nombre J39</v>
      </c>
      <c r="D43" s="83">
        <f ca="1">IFERROR(HLOOKUP(A43,Rango_Admin_Clas,4,FALSE),"-")</f>
        <v>0</v>
      </c>
      <c r="E43" s="84" cm="1">
        <f t="array" aca="1" ref="E43" ca="1">IFERROR(INDEX(Rango_Admin_Clas_Total,E$2,MATCH($A43,Rango_Admin_Clas_Primera,0)+1),"-")</f>
        <v>0</v>
      </c>
      <c r="F43" s="84" cm="1">
        <f t="array" aca="1" ref="F43" ca="1">IFERROR(INDEX(Rango_Admin_Clas_Total,F$2,MATCH($A43,Rango_Admin_Clas_Primera,0)+1),"-")</f>
        <v>0</v>
      </c>
      <c r="G43" s="84" cm="1">
        <f t="array" aca="1" ref="G43" ca="1">IFERROR(INDEX(Rango_Admin_Clas_Total,G$2,MATCH($A43,Rango_Admin_Clas_Primera,0)+1),"-")</f>
        <v>0</v>
      </c>
      <c r="H43" s="84" cm="1">
        <f t="array" aca="1" ref="H43" ca="1">IFERROR(INDEX(Rango_Admin_Clas_Total,H$2,MATCH($A43,Rango_Admin_Clas_Primera,0)+1),"-")</f>
        <v>0</v>
      </c>
      <c r="I43" s="84" cm="1">
        <f t="array" aca="1" ref="I43" ca="1">IFERROR(INDEX(Rango_Admin_Clas_Total,I$2,MATCH($A43,Rango_Admin_Clas_Primera,0)+1),"-")</f>
        <v>0</v>
      </c>
      <c r="J43" s="84" cm="1">
        <f t="array" aca="1" ref="J43" ca="1">IFERROR(INDEX(Rango_Admin_Clas_Total,J$2,MATCH($A43,Rango_Admin_Clas_Primera,0)+1),"-")</f>
        <v>0</v>
      </c>
      <c r="K43" s="84" cm="1">
        <f t="array" aca="1" ref="K43" ca="1">IFERROR(INDEX(Rango_Admin_Clas_Total,K$2,MATCH($A43,Rango_Admin_Clas_Primera,0)+1),"-")</f>
        <v>0</v>
      </c>
      <c r="L43" s="84" cm="1">
        <f t="array" aca="1" ref="L43" ca="1">IFERROR(INDEX(Rango_Admin_Clas_Total,L$2,MATCH($A43,Rango_Admin_Clas_Primera,0)+1),"-")</f>
        <v>0</v>
      </c>
      <c r="M43" s="84" cm="1">
        <f t="array" aca="1" ref="M43" ca="1">IFERROR(INDEX(Rango_Admin_Clas_Total,M$2,MATCH($A43,Rango_Admin_Clas_Primera,0)+1),"-")</f>
        <v>0</v>
      </c>
      <c r="N43" s="84" cm="1">
        <f t="array" aca="1" ref="N43" ca="1">IFERROR(INDEX(Rango_Admin_Clas_Total,N$2,MATCH($A43,Rango_Admin_Clas_Primera,0)+1),"-")</f>
        <v>0</v>
      </c>
      <c r="O43" s="84" cm="1">
        <f t="array" aca="1" ref="O43" ca="1">IFERROR(INDEX(Rango_Admin_Clas_Total,O$2,MATCH($A43,Rango_Admin_Clas_Primera,0)+1),"-")</f>
        <v>0</v>
      </c>
      <c r="P43" s="84" cm="1">
        <f t="array" aca="1" ref="P43" ca="1">IFERROR(INDEX(Rango_Admin_Clas_Total,P$2,MATCH($A43,Rango_Admin_Clas_Primera,0)+1),"-")</f>
        <v>0</v>
      </c>
      <c r="Q43" s="84" cm="1">
        <f t="array" aca="1" ref="Q43" ca="1">IFERROR(INDEX(Rango_Admin_Clas_Total,Q$2,MATCH($A43,Rango_Admin_Clas_Primera,0)+1),"-")</f>
        <v>0</v>
      </c>
      <c r="R43" s="84" cm="1">
        <f t="array" aca="1" ref="R43" ca="1">IFERROR(INDEX(Rango_Admin_Clas_Total,R$2,MATCH($A43,Rango_Admin_Clas_Primera,0)+1),"-")</f>
        <v>0</v>
      </c>
      <c r="S43" s="84" cm="1">
        <f t="array" aca="1" ref="S43" ca="1">IFERROR(INDEX(Rango_Admin_Clas_Total,S$2,MATCH($A43,Rango_Admin_Clas_Primera,0)+1),"-")</f>
        <v>0</v>
      </c>
      <c r="T43" s="287"/>
      <c r="U43" s="287"/>
    </row>
    <row r="44" spans="1:21" hidden="1">
      <c r="A44" s="15">
        <f t="shared" si="0"/>
        <v>40</v>
      </c>
      <c r="B44" s="18">
        <f ca="1">IFERROR(HLOOKUP(A44,Rango_Admin_Clas,3,FALSE),"-")</f>
        <v>19</v>
      </c>
      <c r="C44" s="14" t="str">
        <f ca="1">IFERROR(HLOOKUP(A44,Rango_Admin_Clas,5,FALSE),"-")</f>
        <v>Pegar Valores Nombre J40</v>
      </c>
      <c r="D44" s="83">
        <f ca="1">IFERROR(HLOOKUP(A44,Rango_Admin_Clas,4,FALSE),"-")</f>
        <v>0</v>
      </c>
      <c r="E44" s="84" cm="1">
        <f t="array" aca="1" ref="E44" ca="1">IFERROR(INDEX(Rango_Admin_Clas_Total,E$2,MATCH($A44,Rango_Admin_Clas_Primera,0)+1),"-")</f>
        <v>0</v>
      </c>
      <c r="F44" s="84" cm="1">
        <f t="array" aca="1" ref="F44" ca="1">IFERROR(INDEX(Rango_Admin_Clas_Total,F$2,MATCH($A44,Rango_Admin_Clas_Primera,0)+1),"-")</f>
        <v>0</v>
      </c>
      <c r="G44" s="84" cm="1">
        <f t="array" aca="1" ref="G44" ca="1">IFERROR(INDEX(Rango_Admin_Clas_Total,G$2,MATCH($A44,Rango_Admin_Clas_Primera,0)+1),"-")</f>
        <v>0</v>
      </c>
      <c r="H44" s="84" cm="1">
        <f t="array" aca="1" ref="H44" ca="1">IFERROR(INDEX(Rango_Admin_Clas_Total,H$2,MATCH($A44,Rango_Admin_Clas_Primera,0)+1),"-")</f>
        <v>0</v>
      </c>
      <c r="I44" s="84" cm="1">
        <f t="array" aca="1" ref="I44" ca="1">IFERROR(INDEX(Rango_Admin_Clas_Total,I$2,MATCH($A44,Rango_Admin_Clas_Primera,0)+1),"-")</f>
        <v>0</v>
      </c>
      <c r="J44" s="84" cm="1">
        <f t="array" aca="1" ref="J44" ca="1">IFERROR(INDEX(Rango_Admin_Clas_Total,J$2,MATCH($A44,Rango_Admin_Clas_Primera,0)+1),"-")</f>
        <v>0</v>
      </c>
      <c r="K44" s="84" cm="1">
        <f t="array" aca="1" ref="K44" ca="1">IFERROR(INDEX(Rango_Admin_Clas_Total,K$2,MATCH($A44,Rango_Admin_Clas_Primera,0)+1),"-")</f>
        <v>0</v>
      </c>
      <c r="L44" s="84" cm="1">
        <f t="array" aca="1" ref="L44" ca="1">IFERROR(INDEX(Rango_Admin_Clas_Total,L$2,MATCH($A44,Rango_Admin_Clas_Primera,0)+1),"-")</f>
        <v>0</v>
      </c>
      <c r="M44" s="84" cm="1">
        <f t="array" aca="1" ref="M44" ca="1">IFERROR(INDEX(Rango_Admin_Clas_Total,M$2,MATCH($A44,Rango_Admin_Clas_Primera,0)+1),"-")</f>
        <v>0</v>
      </c>
      <c r="N44" s="84" cm="1">
        <f t="array" aca="1" ref="N44" ca="1">IFERROR(INDEX(Rango_Admin_Clas_Total,N$2,MATCH($A44,Rango_Admin_Clas_Primera,0)+1),"-")</f>
        <v>0</v>
      </c>
      <c r="O44" s="84" cm="1">
        <f t="array" aca="1" ref="O44" ca="1">IFERROR(INDEX(Rango_Admin_Clas_Total,O$2,MATCH($A44,Rango_Admin_Clas_Primera,0)+1),"-")</f>
        <v>0</v>
      </c>
      <c r="P44" s="84" cm="1">
        <f t="array" aca="1" ref="P44" ca="1">IFERROR(INDEX(Rango_Admin_Clas_Total,P$2,MATCH($A44,Rango_Admin_Clas_Primera,0)+1),"-")</f>
        <v>0</v>
      </c>
      <c r="Q44" s="84" cm="1">
        <f t="array" aca="1" ref="Q44" ca="1">IFERROR(INDEX(Rango_Admin_Clas_Total,Q$2,MATCH($A44,Rango_Admin_Clas_Primera,0)+1),"-")</f>
        <v>0</v>
      </c>
      <c r="R44" s="84" cm="1">
        <f t="array" aca="1" ref="R44" ca="1">IFERROR(INDEX(Rango_Admin_Clas_Total,R$2,MATCH($A44,Rango_Admin_Clas_Primera,0)+1),"-")</f>
        <v>0</v>
      </c>
      <c r="S44" s="84" cm="1">
        <f t="array" aca="1" ref="S44" ca="1">IFERROR(INDEX(Rango_Admin_Clas_Total,S$2,MATCH($A44,Rango_Admin_Clas_Primera,0)+1),"-")</f>
        <v>0</v>
      </c>
      <c r="T44" s="287"/>
      <c r="U44" s="287"/>
    </row>
    <row r="45" spans="1:21">
      <c r="A45" s="82"/>
      <c r="B45" s="287"/>
      <c r="C45" s="287"/>
      <c r="D45" s="287"/>
      <c r="E45" s="287"/>
      <c r="F45" s="287"/>
      <c r="G45" s="287"/>
      <c r="H45" s="287"/>
      <c r="I45" s="287"/>
      <c r="J45" s="287"/>
      <c r="K45" s="287"/>
      <c r="L45" s="287"/>
      <c r="M45" s="287"/>
      <c r="N45" s="287"/>
      <c r="O45" s="287"/>
      <c r="P45" s="287"/>
      <c r="Q45" s="287"/>
      <c r="R45" s="287"/>
      <c r="S45" s="287"/>
      <c r="T45" s="287"/>
      <c r="U45" s="287"/>
    </row>
    <row r="46" spans="1:21">
      <c r="A46" s="82"/>
      <c r="B46" s="287"/>
      <c r="C46" s="287"/>
      <c r="D46" s="287"/>
      <c r="E46" s="287"/>
      <c r="F46" s="287"/>
      <c r="G46" s="287"/>
      <c r="H46" s="287"/>
      <c r="I46" s="287"/>
      <c r="J46" s="287"/>
      <c r="K46" s="287"/>
      <c r="L46" s="287"/>
      <c r="M46" s="287"/>
      <c r="N46" s="287"/>
      <c r="O46" s="287"/>
      <c r="P46" s="287"/>
      <c r="Q46" s="287"/>
      <c r="R46" s="287"/>
      <c r="S46" s="287"/>
      <c r="T46" s="287"/>
      <c r="U46" s="287"/>
    </row>
    <row r="47" spans="1:21">
      <c r="A47" s="82"/>
      <c r="B47" s="287"/>
      <c r="C47" s="287"/>
      <c r="D47" s="287"/>
      <c r="E47" s="287"/>
      <c r="F47" s="287"/>
      <c r="G47" s="287"/>
      <c r="H47" s="287"/>
      <c r="I47" s="287"/>
      <c r="J47" s="287"/>
      <c r="K47" s="287"/>
      <c r="L47" s="287"/>
      <c r="M47" s="287"/>
      <c r="N47" s="287"/>
      <c r="O47" s="287"/>
      <c r="P47" s="287"/>
      <c r="Q47" s="287"/>
      <c r="R47" s="287"/>
      <c r="S47" s="287"/>
      <c r="T47" s="287"/>
      <c r="U47" s="287"/>
    </row>
    <row r="48" spans="1:21">
      <c r="A48" s="82"/>
      <c r="B48" s="287"/>
      <c r="C48" s="287"/>
      <c r="D48" s="287"/>
      <c r="E48" s="287"/>
      <c r="F48" s="287"/>
      <c r="G48" s="287"/>
      <c r="H48" s="287"/>
      <c r="I48" s="287"/>
      <c r="J48" s="287"/>
      <c r="K48" s="287"/>
      <c r="L48" s="287"/>
      <c r="M48" s="287"/>
      <c r="N48" s="287"/>
      <c r="O48" s="287"/>
      <c r="P48" s="287"/>
      <c r="Q48" s="287"/>
      <c r="R48" s="287"/>
      <c r="S48" s="287"/>
      <c r="T48" s="287"/>
      <c r="U48" s="287"/>
    </row>
    <row r="49" spans="1:21">
      <c r="A49" s="82"/>
      <c r="B49" s="287"/>
      <c r="C49" s="287"/>
      <c r="D49" s="287"/>
      <c r="E49" s="287"/>
      <c r="F49" s="287"/>
      <c r="G49" s="287"/>
      <c r="H49" s="287"/>
      <c r="I49" s="287"/>
      <c r="J49" s="287"/>
      <c r="K49" s="287"/>
      <c r="L49" s="287"/>
      <c r="M49" s="287"/>
      <c r="N49" s="287"/>
      <c r="O49" s="287"/>
      <c r="P49" s="287"/>
      <c r="Q49" s="287"/>
      <c r="R49" s="287"/>
      <c r="S49" s="287"/>
      <c r="T49" s="287"/>
      <c r="U49" s="287"/>
    </row>
    <row r="50" spans="1:21">
      <c r="A50" s="82"/>
      <c r="B50" s="287"/>
      <c r="C50" s="287"/>
      <c r="D50" s="287"/>
      <c r="E50" s="287"/>
      <c r="F50" s="287"/>
      <c r="G50" s="287"/>
      <c r="H50" s="287"/>
      <c r="I50" s="287"/>
      <c r="J50" s="287"/>
      <c r="K50" s="287"/>
      <c r="L50" s="287"/>
      <c r="M50" s="287"/>
      <c r="N50" s="287"/>
      <c r="O50" s="287"/>
      <c r="P50" s="287"/>
      <c r="Q50" s="287"/>
      <c r="R50" s="287"/>
      <c r="S50" s="287"/>
      <c r="T50" s="287"/>
      <c r="U50" s="287"/>
    </row>
  </sheetData>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B5:S44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5"/>
  <dimension ref="A1:AO47"/>
  <sheetViews>
    <sheetView topLeftCell="F1" workbookViewId="0">
      <selection activeCell="H1" sqref="H1"/>
    </sheetView>
  </sheetViews>
  <sheetFormatPr baseColWidth="10" defaultColWidth="0" defaultRowHeight="15"/>
  <cols>
    <col min="1" max="1" width="27.28515625" style="5" hidden="1" customWidth="1"/>
    <col min="2" max="2" width="38" style="5" hidden="1" customWidth="1"/>
    <col min="3" max="3" width="10.85546875" style="5" hidden="1" customWidth="1"/>
    <col min="4" max="4" width="6.5703125" style="5" hidden="1" customWidth="1"/>
    <col min="5" max="5" width="4" style="5" hidden="1"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711"/>
      <c r="F1" s="13"/>
      <c r="G1" s="709" t="str">
        <f>Idiomas!D474</f>
        <v>Selecciona día:</v>
      </c>
      <c r="H1" s="687">
        <v>46186</v>
      </c>
      <c r="I1" s="287"/>
      <c r="J1" s="15">
        <f ca="1">VLOOKUP($H$1,Equipos!$Q$2:$R$37,2,0)</f>
        <v>3</v>
      </c>
      <c r="K1" s="287"/>
      <c r="L1" s="287"/>
      <c r="M1" s="287"/>
      <c r="N1" s="287"/>
      <c r="O1" s="287"/>
      <c r="P1" s="287"/>
      <c r="Q1" s="287"/>
      <c r="R1" s="287"/>
      <c r="S1" s="287"/>
      <c r="T1" s="287"/>
      <c r="U1" s="287"/>
      <c r="V1" s="287"/>
      <c r="W1" s="287"/>
      <c r="X1" s="287"/>
      <c r="Y1" s="287"/>
      <c r="Z1" s="287"/>
      <c r="AA1" s="287"/>
      <c r="AB1" s="287"/>
      <c r="AC1" s="287"/>
      <c r="AD1" s="287"/>
      <c r="AE1" s="287"/>
      <c r="AF1" s="287"/>
      <c r="AG1" s="287"/>
      <c r="AH1" s="287"/>
      <c r="AI1" s="287"/>
      <c r="AJ1" s="287"/>
      <c r="AK1" s="287"/>
      <c r="AL1" s="287"/>
      <c r="AM1" s="287"/>
      <c r="AN1" s="287"/>
      <c r="AO1" s="28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772"/>
      <c r="F2" s="287"/>
      <c r="G2" s="15" t="str" cm="1">
        <f t="array" aca="1" ref="G2:AL2" ca="1">TRANSPOSE($A$4:$A$35)</f>
        <v>Catar-Suiza</v>
      </c>
      <c r="H2" s="15" t="str">
        <f ca="1"/>
        <v>Estados Unidos-Paraguay</v>
      </c>
      <c r="I2" s="15" t="str">
        <f ca="1"/>
        <v/>
      </c>
      <c r="J2" s="15" t="str">
        <f ca="1"/>
        <v/>
      </c>
      <c r="K2" s="15" t="str">
        <f ca="1"/>
        <v/>
      </c>
      <c r="L2" s="15" t="str">
        <f ca="1"/>
        <v/>
      </c>
      <c r="M2" s="15" t="str">
        <f ca="1"/>
        <v/>
      </c>
      <c r="N2" s="15" t="str">
        <f ca="1"/>
        <v/>
      </c>
      <c r="O2" s="15" t="str">
        <f ca="1"/>
        <v/>
      </c>
      <c r="P2" s="15" t="str">
        <f ca="1"/>
        <v/>
      </c>
      <c r="Q2" s="15" t="str">
        <f ca="1"/>
        <v/>
      </c>
      <c r="R2" s="15" t="str">
        <f ca="1"/>
        <v/>
      </c>
      <c r="S2" s="15" t="str">
        <f ca="1"/>
        <v/>
      </c>
      <c r="T2" s="15" t="str">
        <f ca="1"/>
        <v/>
      </c>
      <c r="U2" s="15" t="str">
        <f ca="1"/>
        <v/>
      </c>
      <c r="V2" s="15" t="str">
        <f ca="1"/>
        <v/>
      </c>
      <c r="W2" s="15" t="str">
        <f ca="1"/>
        <v/>
      </c>
      <c r="X2" s="15" t="str">
        <f ca="1"/>
        <v/>
      </c>
      <c r="Y2" s="15" t="str">
        <f ca="1"/>
        <v/>
      </c>
      <c r="Z2" s="15" t="str">
        <f ca="1"/>
        <v/>
      </c>
      <c r="AA2" s="15" t="str">
        <f ca="1"/>
        <v/>
      </c>
      <c r="AB2" s="15" t="str">
        <f ca="1"/>
        <v/>
      </c>
      <c r="AC2" s="15" t="str">
        <f ca="1"/>
        <v/>
      </c>
      <c r="AD2" s="15" t="str">
        <f ca="1"/>
        <v/>
      </c>
      <c r="AE2" s="15" t="str">
        <f ca="1"/>
        <v/>
      </c>
      <c r="AF2" s="15" t="str">
        <f ca="1"/>
        <v/>
      </c>
      <c r="AG2" s="15" t="str">
        <f ca="1"/>
        <v/>
      </c>
      <c r="AH2" s="15" t="str">
        <f ca="1"/>
        <v/>
      </c>
      <c r="AI2" s="15" t="str">
        <f ca="1"/>
        <v/>
      </c>
      <c r="AJ2" s="15" t="str">
        <f ca="1"/>
        <v/>
      </c>
      <c r="AK2" s="15" t="str">
        <f ca="1"/>
        <v/>
      </c>
      <c r="AL2" s="15" t="str">
        <f ca="1"/>
        <v/>
      </c>
      <c r="AM2" s="287"/>
      <c r="AN2" s="287"/>
      <c r="AO2" s="287"/>
    </row>
    <row r="3" spans="1:41" ht="50.1" customHeight="1" thickBot="1">
      <c r="E3" s="772"/>
      <c r="F3" s="429" t="str">
        <f>Idiomas!D475</f>
        <v>Nombre</v>
      </c>
      <c r="G3" s="429" t="str" cm="1">
        <f t="array" aca="1" ref="G3:AL3" ca="1">TRANSPOSE($B$4:$B$35)</f>
        <v xml:space="preserve">Catar-Suiza
</v>
      </c>
      <c r="H3" s="429" t="str">
        <f ca="1"/>
        <v xml:space="preserve">Estados Unidos-Paraguay
</v>
      </c>
      <c r="I3" s="429" t="str">
        <f ca="1"/>
        <v xml:space="preserve">
</v>
      </c>
      <c r="J3" s="429" t="str">
        <f ca="1"/>
        <v xml:space="preserve">
</v>
      </c>
      <c r="K3" s="429" t="str">
        <f ca="1"/>
        <v xml:space="preserve">
</v>
      </c>
      <c r="L3" s="429" t="str">
        <f ca="1"/>
        <v xml:space="preserve">
</v>
      </c>
      <c r="M3" s="429" t="str">
        <f ca="1"/>
        <v xml:space="preserve">
</v>
      </c>
      <c r="N3" s="429" t="str">
        <f ca="1"/>
        <v xml:space="preserve">
</v>
      </c>
      <c r="O3" s="429" t="str">
        <f ca="1"/>
        <v xml:space="preserve">
</v>
      </c>
      <c r="P3" s="429" t="str">
        <f ca="1"/>
        <v xml:space="preserve">
</v>
      </c>
      <c r="Q3" s="429" t="str">
        <f ca="1"/>
        <v xml:space="preserve">
</v>
      </c>
      <c r="R3" s="429" t="str">
        <f ca="1"/>
        <v xml:space="preserve">
</v>
      </c>
      <c r="S3" s="429" t="str">
        <f ca="1"/>
        <v xml:space="preserve">
</v>
      </c>
      <c r="T3" s="429" t="str">
        <f ca="1"/>
        <v xml:space="preserve">
</v>
      </c>
      <c r="U3" s="429" t="str">
        <f ca="1"/>
        <v xml:space="preserve">
</v>
      </c>
      <c r="V3" s="429" t="str">
        <f ca="1"/>
        <v xml:space="preserve">
</v>
      </c>
      <c r="W3" s="429" t="str">
        <f ca="1"/>
        <v xml:space="preserve">
</v>
      </c>
      <c r="X3" s="429" t="str">
        <f ca="1"/>
        <v xml:space="preserve">
</v>
      </c>
      <c r="Y3" s="429" t="str">
        <f ca="1"/>
        <v xml:space="preserve">
</v>
      </c>
      <c r="Z3" s="429" t="str">
        <f ca="1"/>
        <v xml:space="preserve">
</v>
      </c>
      <c r="AA3" s="429" t="str">
        <f ca="1"/>
        <v xml:space="preserve">
</v>
      </c>
      <c r="AB3" s="429" t="str">
        <f ca="1"/>
        <v xml:space="preserve">
</v>
      </c>
      <c r="AC3" s="429" t="str">
        <f ca="1"/>
        <v xml:space="preserve">
</v>
      </c>
      <c r="AD3" s="429" t="str">
        <f ca="1"/>
        <v xml:space="preserve">
</v>
      </c>
      <c r="AE3" s="429" t="str">
        <f ca="1"/>
        <v xml:space="preserve">
</v>
      </c>
      <c r="AF3" s="429" t="str">
        <f ca="1"/>
        <v xml:space="preserve">
</v>
      </c>
      <c r="AG3" s="429" t="str">
        <f ca="1"/>
        <v xml:space="preserve">
</v>
      </c>
      <c r="AH3" s="429" t="str">
        <f ca="1"/>
        <v xml:space="preserve">
</v>
      </c>
      <c r="AI3" s="429" t="str">
        <f ca="1"/>
        <v xml:space="preserve">
</v>
      </c>
      <c r="AJ3" s="429" t="str">
        <f ca="1"/>
        <v xml:space="preserve">
</v>
      </c>
      <c r="AK3" s="429" t="str">
        <f ca="1"/>
        <v xml:space="preserve">
</v>
      </c>
      <c r="AL3" s="429" t="str">
        <f ca="1"/>
        <v xml:space="preserve">
</v>
      </c>
      <c r="AM3" s="287"/>
      <c r="AN3" s="287"/>
      <c r="AO3" s="287"/>
    </row>
    <row r="4" spans="1:41" ht="15.75" thickTop="1">
      <c r="A4" s="5" t="str" cm="1">
        <f t="array" aca="1" ref="A4" ca="1">IFERROR(INDEX(ADMIN!$K$6:$K$258,SMALL(IF(ADMIN!$G$6:$G$258=$J$1,ROW(ADMIN!$G$6:$G$258)-ROW(ADMIN!$G$6)+1),ROWS($A$1:A1))),"")</f>
        <v>Catar-Suiza</v>
      </c>
      <c r="B4" s="5" t="str">
        <f ca="1">A4&amp;CHAR(10)&amp;C4</f>
        <v xml:space="preserve">Catar-Suiza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772">
        <v>9</v>
      </c>
      <c r="F4" s="393" t="str" cm="1">
        <f t="array" ref="F4">IFERROR(INDEX(Rango_Admin_DailyPred_Primera,1,E4),"-")</f>
        <v>GORKA</v>
      </c>
      <c r="G4" s="412" t="str">
        <f ca="1">IFERROR(VLOOKUP(G$2,Rango_Admin_DailyPred,MATCH($F4,Rango_Admin_DailyPred_Primera,0),0),"-")</f>
        <v>2|0-3</v>
      </c>
      <c r="H4" s="412" t="str">
        <f ca="1">IFERROR(VLOOKUP(H$2,Rango_Admin_DailyPred,MATCH($F4,Rango_Admin_DailyPred_Primera,0),0),"-")</f>
        <v>X|1-1</v>
      </c>
      <c r="I4" s="412" t="str">
        <f ca="1">IFERROR(VLOOKUP(I$2,Rango_Admin_DailyPred,MATCH($F4,Rango_Admin_DailyPred_Primera,0),0),"-")</f>
        <v>-</v>
      </c>
      <c r="J4" s="412" t="str">
        <f ca="1">IFERROR(VLOOKUP(J$2,Rango_Admin_DailyPred,MATCH($F4,Rango_Admin_DailyPred_Primera,0),0),"-")</f>
        <v>-</v>
      </c>
      <c r="K4" s="412" t="str">
        <f ca="1">IFERROR(VLOOKUP(K$2,Rango_Admin_DailyPred,MATCH($F4,Rango_Admin_DailyPred_Primera,0),0),"-")</f>
        <v>-</v>
      </c>
      <c r="L4" s="412" t="str">
        <f ca="1">IFERROR(VLOOKUP(L$2,Rango_Admin_DailyPred,MATCH($F4,Rango_Admin_DailyPred_Primera,0),0),"-")</f>
        <v>-</v>
      </c>
      <c r="M4" s="412" t="str">
        <f ca="1">IFERROR(VLOOKUP(M$2,Rango_Admin_DailyPred,MATCH($F4,Rango_Admin_DailyPred_Primera,0),0),"-")</f>
        <v>-</v>
      </c>
      <c r="N4" s="412" t="str">
        <f ca="1">IFERROR(VLOOKUP(N$2,Rango_Admin_DailyPred,MATCH($F4,Rango_Admin_DailyPred_Primera,0),0),"-")</f>
        <v>-</v>
      </c>
      <c r="O4" s="412" t="str">
        <f ca="1">IFERROR(VLOOKUP(O$2,Rango_Admin_DailyPred,MATCH($F4,Rango_Admin_DailyPred_Primera,0),0),"-")</f>
        <v>-</v>
      </c>
      <c r="P4" s="412" t="str">
        <f ca="1">IFERROR(VLOOKUP(P$2,Rango_Admin_DailyPred,MATCH($F4,Rango_Admin_DailyPred_Primera,0),0),"-")</f>
        <v>-</v>
      </c>
      <c r="Q4" s="412" t="str">
        <f ca="1">IFERROR(VLOOKUP(Q$2,Rango_Admin_DailyPred,MATCH($F4,Rango_Admin_DailyPred_Primera,0),0),"-")</f>
        <v>-</v>
      </c>
      <c r="R4" s="412" t="str">
        <f ca="1">IFERROR(VLOOKUP(R$2,Rango_Admin_DailyPred,MATCH($F4,Rango_Admin_DailyPred_Primera,0),0),"-")</f>
        <v>-</v>
      </c>
      <c r="S4" s="412" t="str">
        <f ca="1">IFERROR(VLOOKUP(S$2,Rango_Admin_DailyPred,MATCH($F4,Rango_Admin_DailyPred_Primera,0),0),"-")</f>
        <v>-</v>
      </c>
      <c r="T4" s="412" t="str">
        <f ca="1">IFERROR(VLOOKUP(T$2,Rango_Admin_DailyPred,MATCH($F4,Rango_Admin_DailyPred_Primera,0),0),"-")</f>
        <v>-</v>
      </c>
      <c r="U4" s="412" t="str">
        <f ca="1">IFERROR(VLOOKUP(U$2,Rango_Admin_DailyPred,MATCH($F4,Rango_Admin_DailyPred_Primera,0),0),"-")</f>
        <v>-</v>
      </c>
      <c r="V4" s="412" t="str">
        <f ca="1">IFERROR(VLOOKUP(V$2,Rango_Admin_DailyPred,MATCH($F4,Rango_Admin_DailyPred_Primera,0),0),"-")</f>
        <v>-</v>
      </c>
      <c r="W4" s="412" t="str">
        <f ca="1">IFERROR(VLOOKUP(W$2,Rango_Admin_DailyPred,MATCH($F4,Rango_Admin_DailyPred_Primera,0),0),"-")</f>
        <v>-</v>
      </c>
      <c r="X4" s="412" t="str">
        <f ca="1">IFERROR(VLOOKUP(X$2,Rango_Admin_DailyPred,MATCH($F4,Rango_Admin_DailyPred_Primera,0),0),"-")</f>
        <v>-</v>
      </c>
      <c r="Y4" s="412" t="str">
        <f ca="1">IFERROR(VLOOKUP(Y$2,Rango_Admin_DailyPred,MATCH($F4,Rango_Admin_DailyPred_Primera,0),0),"-")</f>
        <v>-</v>
      </c>
      <c r="Z4" s="412" t="str">
        <f ca="1">IFERROR(VLOOKUP(Z$2,Rango_Admin_DailyPred,MATCH($F4,Rango_Admin_DailyPred_Primera,0),0),"-")</f>
        <v>-</v>
      </c>
      <c r="AA4" s="412" t="str">
        <f ca="1">IFERROR(VLOOKUP(AA$2,Rango_Admin_DailyPred,MATCH($F4,Rango_Admin_DailyPred_Primera,0),0),"-")</f>
        <v>-</v>
      </c>
      <c r="AB4" s="412" t="str">
        <f ca="1">IFERROR(VLOOKUP(AB$2,Rango_Admin_DailyPred,MATCH($F4,Rango_Admin_DailyPred_Primera,0),0),"-")</f>
        <v>-</v>
      </c>
      <c r="AC4" s="412" t="str">
        <f ca="1">IFERROR(VLOOKUP(AC$2,Rango_Admin_DailyPred,MATCH($F4,Rango_Admin_DailyPred_Primera,0),0),"-")</f>
        <v>-</v>
      </c>
      <c r="AD4" s="412" t="str">
        <f ca="1">IFERROR(VLOOKUP(AD$2,Rango_Admin_DailyPred,MATCH($F4,Rango_Admin_DailyPred_Primera,0),0),"-")</f>
        <v>-</v>
      </c>
      <c r="AE4" s="412" t="str">
        <f ca="1">IFERROR(VLOOKUP(AE$2,Rango_Admin_DailyPred,MATCH($F4,Rango_Admin_DailyPred_Primera,0),0),"-")</f>
        <v>-</v>
      </c>
      <c r="AF4" s="412" t="str">
        <f ca="1">IFERROR(VLOOKUP(AF$2,Rango_Admin_DailyPred,MATCH($F4,Rango_Admin_DailyPred_Primera,0),0),"-")</f>
        <v>-</v>
      </c>
      <c r="AG4" s="412" t="str">
        <f ca="1">IFERROR(VLOOKUP(AG$2,Rango_Admin_DailyPred,MATCH($F4,Rango_Admin_DailyPred_Primera,0),0),"-")</f>
        <v>-</v>
      </c>
      <c r="AH4" s="412" t="str">
        <f ca="1">IFERROR(VLOOKUP(AH$2,Rango_Admin_DailyPred,MATCH($F4,Rango_Admin_DailyPred_Primera,0),0),"-")</f>
        <v>-</v>
      </c>
      <c r="AI4" s="412" t="str">
        <f ca="1">IFERROR(VLOOKUP(AI$2,Rango_Admin_DailyPred,MATCH($F4,Rango_Admin_DailyPred_Primera,0),0),"-")</f>
        <v>-</v>
      </c>
      <c r="AJ4" s="412" t="str">
        <f ca="1">IFERROR(VLOOKUP(AJ$2,Rango_Admin_DailyPred,MATCH($F4,Rango_Admin_DailyPred_Primera,0),0),"-")</f>
        <v>-</v>
      </c>
      <c r="AK4" s="412" t="str">
        <f ca="1">IFERROR(VLOOKUP(AK$2,Rango_Admin_DailyPred,MATCH($F4,Rango_Admin_DailyPred_Primera,0),0),"-")</f>
        <v>-</v>
      </c>
      <c r="AL4" s="412" t="str">
        <f ca="1">IFERROR(VLOOKUP(AL$2,Rango_Admin_DailyPred,MATCH($F4,Rango_Admin_DailyPred_Primera,0),0),"-")</f>
        <v>-</v>
      </c>
      <c r="AM4" s="287"/>
      <c r="AN4" s="287"/>
      <c r="AO4" s="287"/>
    </row>
    <row r="5" spans="1:41">
      <c r="A5" s="5" t="str" cm="1">
        <f t="array" aca="1" ref="A5" ca="1">IFERROR(INDEX(ADMIN!$K$6:$K$258,SMALL(IF(ADMIN!$G$6:$G$258=$J$1,ROW(ADMIN!$G$6:$G$258)-ROW(ADMIN!$G$6)+1),ROWS($A$1:A2))),"")</f>
        <v>Estados Unidos-Paraguay</v>
      </c>
      <c r="B5" s="5" t="str">
        <f t="shared" ref="B5:B35" ca="1" si="0">A5&amp;CHAR(10)&amp;C5</f>
        <v xml:space="preserve">Estados Unidos-Paraguay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772">
        <f>+E4+3</f>
        <v>12</v>
      </c>
      <c r="F5" s="393" t="str" cm="1">
        <f t="array" ref="F5">IFERROR(INDEX(Rango_Admin_DailyPred_Primera,1,E5),"-")</f>
        <v>NOVE</v>
      </c>
      <c r="G5" s="412" t="str">
        <f ca="1">IFERROR(VLOOKUP(G$2,Rango_Admin_DailyPred,MATCH($F5,Rango_Admin_DailyPred_Primera,0),0),"-")</f>
        <v>2|0-2</v>
      </c>
      <c r="H5" s="412" t="str">
        <f ca="1">IFERROR(VLOOKUP(H$2,Rango_Admin_DailyPred,MATCH($F5,Rango_Admin_DailyPred_Primera,0),0),"-")</f>
        <v>X|1-1</v>
      </c>
      <c r="I5" s="412" t="str">
        <f ca="1">IFERROR(VLOOKUP(I$2,Rango_Admin_DailyPred,MATCH($F5,Rango_Admin_DailyPred_Primera,0),0),"-")</f>
        <v>-</v>
      </c>
      <c r="J5" s="412" t="str">
        <f ca="1">IFERROR(VLOOKUP(J$2,Rango_Admin_DailyPred,MATCH($F5,Rango_Admin_DailyPred_Primera,0),0),"-")</f>
        <v>-</v>
      </c>
      <c r="K5" s="412" t="str">
        <f ca="1">IFERROR(VLOOKUP(K$2,Rango_Admin_DailyPred,MATCH($F5,Rango_Admin_DailyPred_Primera,0),0),"-")</f>
        <v>-</v>
      </c>
      <c r="L5" s="412" t="str">
        <f ca="1">IFERROR(VLOOKUP(L$2,Rango_Admin_DailyPred,MATCH($F5,Rango_Admin_DailyPred_Primera,0),0),"-")</f>
        <v>-</v>
      </c>
      <c r="M5" s="412" t="str">
        <f ca="1">IFERROR(VLOOKUP(M$2,Rango_Admin_DailyPred,MATCH($F5,Rango_Admin_DailyPred_Primera,0),0),"-")</f>
        <v>-</v>
      </c>
      <c r="N5" s="412" t="str">
        <f ca="1">IFERROR(VLOOKUP(N$2,Rango_Admin_DailyPred,MATCH($F5,Rango_Admin_DailyPred_Primera,0),0),"-")</f>
        <v>-</v>
      </c>
      <c r="O5" s="412" t="str">
        <f ca="1">IFERROR(VLOOKUP(O$2,Rango_Admin_DailyPred,MATCH($F5,Rango_Admin_DailyPred_Primera,0),0),"-")</f>
        <v>-</v>
      </c>
      <c r="P5" s="412" t="str">
        <f ca="1">IFERROR(VLOOKUP(P$2,Rango_Admin_DailyPred,MATCH($F5,Rango_Admin_DailyPred_Primera,0),0),"-")</f>
        <v>-</v>
      </c>
      <c r="Q5" s="412" t="str">
        <f ca="1">IFERROR(VLOOKUP(Q$2,Rango_Admin_DailyPred,MATCH($F5,Rango_Admin_DailyPred_Primera,0),0),"-")</f>
        <v>-</v>
      </c>
      <c r="R5" s="412" t="str">
        <f ca="1">IFERROR(VLOOKUP(R$2,Rango_Admin_DailyPred,MATCH($F5,Rango_Admin_DailyPred_Primera,0),0),"-")</f>
        <v>-</v>
      </c>
      <c r="S5" s="412" t="str">
        <f ca="1">IFERROR(VLOOKUP(S$2,Rango_Admin_DailyPred,MATCH($F5,Rango_Admin_DailyPred_Primera,0),0),"-")</f>
        <v>-</v>
      </c>
      <c r="T5" s="412" t="str">
        <f ca="1">IFERROR(VLOOKUP(T$2,Rango_Admin_DailyPred,MATCH($F5,Rango_Admin_DailyPred_Primera,0),0),"-")</f>
        <v>-</v>
      </c>
      <c r="U5" s="412" t="str">
        <f ca="1">IFERROR(VLOOKUP(U$2,Rango_Admin_DailyPred,MATCH($F5,Rango_Admin_DailyPred_Primera,0),0),"-")</f>
        <v>-</v>
      </c>
      <c r="V5" s="412" t="str">
        <f ca="1">IFERROR(VLOOKUP(V$2,Rango_Admin_DailyPred,MATCH($F5,Rango_Admin_DailyPred_Primera,0),0),"-")</f>
        <v>-</v>
      </c>
      <c r="W5" s="412" t="str">
        <f ca="1">IFERROR(VLOOKUP(W$2,Rango_Admin_DailyPred,MATCH($F5,Rango_Admin_DailyPred_Primera,0),0),"-")</f>
        <v>-</v>
      </c>
      <c r="X5" s="412" t="str">
        <f ca="1">IFERROR(VLOOKUP(X$2,Rango_Admin_DailyPred,MATCH($F5,Rango_Admin_DailyPred_Primera,0),0),"-")</f>
        <v>-</v>
      </c>
      <c r="Y5" s="412" t="str">
        <f ca="1">IFERROR(VLOOKUP(Y$2,Rango_Admin_DailyPred,MATCH($F5,Rango_Admin_DailyPred_Primera,0),0),"-")</f>
        <v>-</v>
      </c>
      <c r="Z5" s="412" t="str">
        <f ca="1">IFERROR(VLOOKUP(Z$2,Rango_Admin_DailyPred,MATCH($F5,Rango_Admin_DailyPred_Primera,0),0),"-")</f>
        <v>-</v>
      </c>
      <c r="AA5" s="412" t="str">
        <f ca="1">IFERROR(VLOOKUP(AA$2,Rango_Admin_DailyPred,MATCH($F5,Rango_Admin_DailyPred_Primera,0),0),"-")</f>
        <v>-</v>
      </c>
      <c r="AB5" s="412" t="str">
        <f ca="1">IFERROR(VLOOKUP(AB$2,Rango_Admin_DailyPred,MATCH($F5,Rango_Admin_DailyPred_Primera,0),0),"-")</f>
        <v>-</v>
      </c>
      <c r="AC5" s="412" t="str">
        <f ca="1">IFERROR(VLOOKUP(AC$2,Rango_Admin_DailyPred,MATCH($F5,Rango_Admin_DailyPred_Primera,0),0),"-")</f>
        <v>-</v>
      </c>
      <c r="AD5" s="412" t="str">
        <f ca="1">IFERROR(VLOOKUP(AD$2,Rango_Admin_DailyPred,MATCH($F5,Rango_Admin_DailyPred_Primera,0),0),"-")</f>
        <v>-</v>
      </c>
      <c r="AE5" s="412" t="str">
        <f ca="1">IFERROR(VLOOKUP(AE$2,Rango_Admin_DailyPred,MATCH($F5,Rango_Admin_DailyPred_Primera,0),0),"-")</f>
        <v>-</v>
      </c>
      <c r="AF5" s="412" t="str">
        <f ca="1">IFERROR(VLOOKUP(AF$2,Rango_Admin_DailyPred,MATCH($F5,Rango_Admin_DailyPred_Primera,0),0),"-")</f>
        <v>-</v>
      </c>
      <c r="AG5" s="412" t="str">
        <f ca="1">IFERROR(VLOOKUP(AG$2,Rango_Admin_DailyPred,MATCH($F5,Rango_Admin_DailyPred_Primera,0),0),"-")</f>
        <v>-</v>
      </c>
      <c r="AH5" s="412" t="str">
        <f ca="1">IFERROR(VLOOKUP(AH$2,Rango_Admin_DailyPred,MATCH($F5,Rango_Admin_DailyPred_Primera,0),0),"-")</f>
        <v>-</v>
      </c>
      <c r="AI5" s="412" t="str">
        <f ca="1">IFERROR(VLOOKUP(AI$2,Rango_Admin_DailyPred,MATCH($F5,Rango_Admin_DailyPred_Primera,0),0),"-")</f>
        <v>-</v>
      </c>
      <c r="AJ5" s="412" t="str">
        <f ca="1">IFERROR(VLOOKUP(AJ$2,Rango_Admin_DailyPred,MATCH($F5,Rango_Admin_DailyPred_Primera,0),0),"-")</f>
        <v>-</v>
      </c>
      <c r="AK5" s="412" t="str">
        <f ca="1">IFERROR(VLOOKUP(AK$2,Rango_Admin_DailyPred,MATCH($F5,Rango_Admin_DailyPred_Primera,0),0),"-")</f>
        <v>-</v>
      </c>
      <c r="AL5" s="412" t="str">
        <f ca="1">IFERROR(VLOOKUP(AL$2,Rango_Admin_DailyPred,MATCH($F5,Rango_Admin_DailyPred_Primera,0),0),"-")</f>
        <v>-</v>
      </c>
      <c r="AM5" s="287"/>
      <c r="AN5" s="287"/>
      <c r="AO5" s="28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772">
        <f t="shared" ref="E6:E7" si="1">+E5+3</f>
        <v>15</v>
      </c>
      <c r="F6" s="393" t="str" cm="1">
        <f t="array" ref="F6">IFERROR(INDEX(Rango_Admin_DailyPred_Primera,1,E6),"-")</f>
        <v>SERGIO</v>
      </c>
      <c r="G6" s="412" t="str">
        <f ca="1">IFERROR(VLOOKUP(G$2,Rango_Admin_DailyPred,MATCH($F6,Rango_Admin_DailyPred_Primera,0),0),"-")</f>
        <v>2|0-2</v>
      </c>
      <c r="H6" s="412" t="str">
        <f ca="1">IFERROR(VLOOKUP(H$2,Rango_Admin_DailyPred,MATCH($F6,Rango_Admin_DailyPred_Primera,0),0),"-")</f>
        <v>1|2-1</v>
      </c>
      <c r="I6" s="412" t="str">
        <f ca="1">IFERROR(VLOOKUP(I$2,Rango_Admin_DailyPred,MATCH($F6,Rango_Admin_DailyPred_Primera,0),0),"-")</f>
        <v>-</v>
      </c>
      <c r="J6" s="412" t="str">
        <f ca="1">IFERROR(VLOOKUP(J$2,Rango_Admin_DailyPred,MATCH($F6,Rango_Admin_DailyPred_Primera,0),0),"-")</f>
        <v>-</v>
      </c>
      <c r="K6" s="412" t="str">
        <f ca="1">IFERROR(VLOOKUP(K$2,Rango_Admin_DailyPred,MATCH($F6,Rango_Admin_DailyPred_Primera,0),0),"-")</f>
        <v>-</v>
      </c>
      <c r="L6" s="412" t="str">
        <f ca="1">IFERROR(VLOOKUP(L$2,Rango_Admin_DailyPred,MATCH($F6,Rango_Admin_DailyPred_Primera,0),0),"-")</f>
        <v>-</v>
      </c>
      <c r="M6" s="412" t="str">
        <f ca="1">IFERROR(VLOOKUP(M$2,Rango_Admin_DailyPred,MATCH($F6,Rango_Admin_DailyPred_Primera,0),0),"-")</f>
        <v>-</v>
      </c>
      <c r="N6" s="412" t="str">
        <f ca="1">IFERROR(VLOOKUP(N$2,Rango_Admin_DailyPred,MATCH($F6,Rango_Admin_DailyPred_Primera,0),0),"-")</f>
        <v>-</v>
      </c>
      <c r="O6" s="412" t="str">
        <f ca="1">IFERROR(VLOOKUP(O$2,Rango_Admin_DailyPred,MATCH($F6,Rango_Admin_DailyPred_Primera,0),0),"-")</f>
        <v>-</v>
      </c>
      <c r="P6" s="412" t="str">
        <f ca="1">IFERROR(VLOOKUP(P$2,Rango_Admin_DailyPred,MATCH($F6,Rango_Admin_DailyPred_Primera,0),0),"-")</f>
        <v>-</v>
      </c>
      <c r="Q6" s="412" t="str">
        <f ca="1">IFERROR(VLOOKUP(Q$2,Rango_Admin_DailyPred,MATCH($F6,Rango_Admin_DailyPred_Primera,0),0),"-")</f>
        <v>-</v>
      </c>
      <c r="R6" s="412" t="str">
        <f ca="1">IFERROR(VLOOKUP(R$2,Rango_Admin_DailyPred,MATCH($F6,Rango_Admin_DailyPred_Primera,0),0),"-")</f>
        <v>-</v>
      </c>
      <c r="S6" s="412" t="str">
        <f ca="1">IFERROR(VLOOKUP(S$2,Rango_Admin_DailyPred,MATCH($F6,Rango_Admin_DailyPred_Primera,0),0),"-")</f>
        <v>-</v>
      </c>
      <c r="T6" s="412" t="str">
        <f ca="1">IFERROR(VLOOKUP(T$2,Rango_Admin_DailyPred,MATCH($F6,Rango_Admin_DailyPred_Primera,0),0),"-")</f>
        <v>-</v>
      </c>
      <c r="U6" s="412" t="str">
        <f ca="1">IFERROR(VLOOKUP(U$2,Rango_Admin_DailyPred,MATCH($F6,Rango_Admin_DailyPred_Primera,0),0),"-")</f>
        <v>-</v>
      </c>
      <c r="V6" s="412" t="str">
        <f ca="1">IFERROR(VLOOKUP(V$2,Rango_Admin_DailyPred,MATCH($F6,Rango_Admin_DailyPred_Primera,0),0),"-")</f>
        <v>-</v>
      </c>
      <c r="W6" s="412" t="str">
        <f ca="1">IFERROR(VLOOKUP(W$2,Rango_Admin_DailyPred,MATCH($F6,Rango_Admin_DailyPred_Primera,0),0),"-")</f>
        <v>-</v>
      </c>
      <c r="X6" s="412" t="str">
        <f ca="1">IFERROR(VLOOKUP(X$2,Rango_Admin_DailyPred,MATCH($F6,Rango_Admin_DailyPred_Primera,0),0),"-")</f>
        <v>-</v>
      </c>
      <c r="Y6" s="412" t="str">
        <f ca="1">IFERROR(VLOOKUP(Y$2,Rango_Admin_DailyPred,MATCH($F6,Rango_Admin_DailyPred_Primera,0),0),"-")</f>
        <v>-</v>
      </c>
      <c r="Z6" s="412" t="str">
        <f ca="1">IFERROR(VLOOKUP(Z$2,Rango_Admin_DailyPred,MATCH($F6,Rango_Admin_DailyPred_Primera,0),0),"-")</f>
        <v>-</v>
      </c>
      <c r="AA6" s="412" t="str">
        <f ca="1">IFERROR(VLOOKUP(AA$2,Rango_Admin_DailyPred,MATCH($F6,Rango_Admin_DailyPred_Primera,0),0),"-")</f>
        <v>-</v>
      </c>
      <c r="AB6" s="412" t="str">
        <f ca="1">IFERROR(VLOOKUP(AB$2,Rango_Admin_DailyPred,MATCH($F6,Rango_Admin_DailyPred_Primera,0),0),"-")</f>
        <v>-</v>
      </c>
      <c r="AC6" s="412" t="str">
        <f ca="1">IFERROR(VLOOKUP(AC$2,Rango_Admin_DailyPred,MATCH($F6,Rango_Admin_DailyPred_Primera,0),0),"-")</f>
        <v>-</v>
      </c>
      <c r="AD6" s="412" t="str">
        <f ca="1">IFERROR(VLOOKUP(AD$2,Rango_Admin_DailyPred,MATCH($F6,Rango_Admin_DailyPred_Primera,0),0),"-")</f>
        <v>-</v>
      </c>
      <c r="AE6" s="412" t="str">
        <f ca="1">IFERROR(VLOOKUP(AE$2,Rango_Admin_DailyPred,MATCH($F6,Rango_Admin_DailyPred_Primera,0),0),"-")</f>
        <v>-</v>
      </c>
      <c r="AF6" s="412" t="str">
        <f ca="1">IFERROR(VLOOKUP(AF$2,Rango_Admin_DailyPred,MATCH($F6,Rango_Admin_DailyPred_Primera,0),0),"-")</f>
        <v>-</v>
      </c>
      <c r="AG6" s="412" t="str">
        <f ca="1">IFERROR(VLOOKUP(AG$2,Rango_Admin_DailyPred,MATCH($F6,Rango_Admin_DailyPred_Primera,0),0),"-")</f>
        <v>-</v>
      </c>
      <c r="AH6" s="412" t="str">
        <f ca="1">IFERROR(VLOOKUP(AH$2,Rango_Admin_DailyPred,MATCH($F6,Rango_Admin_DailyPred_Primera,0),0),"-")</f>
        <v>-</v>
      </c>
      <c r="AI6" s="412" t="str">
        <f ca="1">IFERROR(VLOOKUP(AI$2,Rango_Admin_DailyPred,MATCH($F6,Rango_Admin_DailyPred_Primera,0),0),"-")</f>
        <v>-</v>
      </c>
      <c r="AJ6" s="412" t="str">
        <f ca="1">IFERROR(VLOOKUP(AJ$2,Rango_Admin_DailyPred,MATCH($F6,Rango_Admin_DailyPred_Primera,0),0),"-")</f>
        <v>-</v>
      </c>
      <c r="AK6" s="412" t="str">
        <f ca="1">IFERROR(VLOOKUP(AK$2,Rango_Admin_DailyPred,MATCH($F6,Rango_Admin_DailyPred_Primera,0),0),"-")</f>
        <v>-</v>
      </c>
      <c r="AL6" s="412" t="str">
        <f ca="1">IFERROR(VLOOKUP(AL$2,Rango_Admin_DailyPred,MATCH($F6,Rango_Admin_DailyPred_Primera,0),0),"-")</f>
        <v>-</v>
      </c>
      <c r="AM6" s="287"/>
      <c r="AN6" s="287"/>
      <c r="AO6" s="28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772">
        <f t="shared" si="1"/>
        <v>18</v>
      </c>
      <c r="F7" s="393" t="str" cm="1">
        <f t="array" ref="F7">IFERROR(INDEX(Rango_Admin_DailyPred_Primera,1,E7),"-")</f>
        <v>JUANJO</v>
      </c>
      <c r="G7" s="412" t="str">
        <f ca="1">IFERROR(VLOOKUP(G$2,Rango_Admin_DailyPred,MATCH($F7,Rango_Admin_DailyPred_Primera,0),0),"-")</f>
        <v>2|1-2</v>
      </c>
      <c r="H7" s="412" t="str">
        <f ca="1">IFERROR(VLOOKUP(H$2,Rango_Admin_DailyPred,MATCH($F7,Rango_Admin_DailyPred_Primera,0),0),"-")</f>
        <v>X|2-2</v>
      </c>
      <c r="I7" s="412" t="str">
        <f ca="1">IFERROR(VLOOKUP(I$2,Rango_Admin_DailyPred,MATCH($F7,Rango_Admin_DailyPred_Primera,0),0),"-")</f>
        <v>-</v>
      </c>
      <c r="J7" s="412" t="str">
        <f ca="1">IFERROR(VLOOKUP(J$2,Rango_Admin_DailyPred,MATCH($F7,Rango_Admin_DailyPred_Primera,0),0),"-")</f>
        <v>-</v>
      </c>
      <c r="K7" s="412" t="str">
        <f ca="1">IFERROR(VLOOKUP(K$2,Rango_Admin_DailyPred,MATCH($F7,Rango_Admin_DailyPred_Primera,0),0),"-")</f>
        <v>-</v>
      </c>
      <c r="L7" s="412" t="str">
        <f ca="1">IFERROR(VLOOKUP(L$2,Rango_Admin_DailyPred,MATCH($F7,Rango_Admin_DailyPred_Primera,0),0),"-")</f>
        <v>-</v>
      </c>
      <c r="M7" s="412" t="str">
        <f ca="1">IFERROR(VLOOKUP(M$2,Rango_Admin_DailyPred,MATCH($F7,Rango_Admin_DailyPred_Primera,0),0),"-")</f>
        <v>-</v>
      </c>
      <c r="N7" s="412" t="str">
        <f ca="1">IFERROR(VLOOKUP(N$2,Rango_Admin_DailyPred,MATCH($F7,Rango_Admin_DailyPred_Primera,0),0),"-")</f>
        <v>-</v>
      </c>
      <c r="O7" s="412" t="str">
        <f ca="1">IFERROR(VLOOKUP(O$2,Rango_Admin_DailyPred,MATCH($F7,Rango_Admin_DailyPred_Primera,0),0),"-")</f>
        <v>-</v>
      </c>
      <c r="P7" s="412" t="str">
        <f ca="1">IFERROR(VLOOKUP(P$2,Rango_Admin_DailyPred,MATCH($F7,Rango_Admin_DailyPred_Primera,0),0),"-")</f>
        <v>-</v>
      </c>
      <c r="Q7" s="412" t="str">
        <f ca="1">IFERROR(VLOOKUP(Q$2,Rango_Admin_DailyPred,MATCH($F7,Rango_Admin_DailyPred_Primera,0),0),"-")</f>
        <v>-</v>
      </c>
      <c r="R7" s="412" t="str">
        <f ca="1">IFERROR(VLOOKUP(R$2,Rango_Admin_DailyPred,MATCH($F7,Rango_Admin_DailyPred_Primera,0),0),"-")</f>
        <v>-</v>
      </c>
      <c r="S7" s="412" t="str">
        <f ca="1">IFERROR(VLOOKUP(S$2,Rango_Admin_DailyPred,MATCH($F7,Rango_Admin_DailyPred_Primera,0),0),"-")</f>
        <v>-</v>
      </c>
      <c r="T7" s="412" t="str">
        <f ca="1">IFERROR(VLOOKUP(T$2,Rango_Admin_DailyPred,MATCH($F7,Rango_Admin_DailyPred_Primera,0),0),"-")</f>
        <v>-</v>
      </c>
      <c r="U7" s="412" t="str">
        <f ca="1">IFERROR(VLOOKUP(U$2,Rango_Admin_DailyPred,MATCH($F7,Rango_Admin_DailyPred_Primera,0),0),"-")</f>
        <v>-</v>
      </c>
      <c r="V7" s="412" t="str">
        <f ca="1">IFERROR(VLOOKUP(V$2,Rango_Admin_DailyPred,MATCH($F7,Rango_Admin_DailyPred_Primera,0),0),"-")</f>
        <v>-</v>
      </c>
      <c r="W7" s="412" t="str">
        <f ca="1">IFERROR(VLOOKUP(W$2,Rango_Admin_DailyPred,MATCH($F7,Rango_Admin_DailyPred_Primera,0),0),"-")</f>
        <v>-</v>
      </c>
      <c r="X7" s="412" t="str">
        <f ca="1">IFERROR(VLOOKUP(X$2,Rango_Admin_DailyPred,MATCH($F7,Rango_Admin_DailyPred_Primera,0),0),"-")</f>
        <v>-</v>
      </c>
      <c r="Y7" s="412" t="str">
        <f ca="1">IFERROR(VLOOKUP(Y$2,Rango_Admin_DailyPred,MATCH($F7,Rango_Admin_DailyPred_Primera,0),0),"-")</f>
        <v>-</v>
      </c>
      <c r="Z7" s="412" t="str">
        <f ca="1">IFERROR(VLOOKUP(Z$2,Rango_Admin_DailyPred,MATCH($F7,Rango_Admin_DailyPred_Primera,0),0),"-")</f>
        <v>-</v>
      </c>
      <c r="AA7" s="412" t="str">
        <f ca="1">IFERROR(VLOOKUP(AA$2,Rango_Admin_DailyPred,MATCH($F7,Rango_Admin_DailyPred_Primera,0),0),"-")</f>
        <v>-</v>
      </c>
      <c r="AB7" s="412" t="str">
        <f ca="1">IFERROR(VLOOKUP(AB$2,Rango_Admin_DailyPred,MATCH($F7,Rango_Admin_DailyPred_Primera,0),0),"-")</f>
        <v>-</v>
      </c>
      <c r="AC7" s="412" t="str">
        <f ca="1">IFERROR(VLOOKUP(AC$2,Rango_Admin_DailyPred,MATCH($F7,Rango_Admin_DailyPred_Primera,0),0),"-")</f>
        <v>-</v>
      </c>
      <c r="AD7" s="412" t="str">
        <f ca="1">IFERROR(VLOOKUP(AD$2,Rango_Admin_DailyPred,MATCH($F7,Rango_Admin_DailyPred_Primera,0),0),"-")</f>
        <v>-</v>
      </c>
      <c r="AE7" s="412" t="str">
        <f ca="1">IFERROR(VLOOKUP(AE$2,Rango_Admin_DailyPred,MATCH($F7,Rango_Admin_DailyPred_Primera,0),0),"-")</f>
        <v>-</v>
      </c>
      <c r="AF7" s="412" t="str">
        <f ca="1">IFERROR(VLOOKUP(AF$2,Rango_Admin_DailyPred,MATCH($F7,Rango_Admin_DailyPred_Primera,0),0),"-")</f>
        <v>-</v>
      </c>
      <c r="AG7" s="412" t="str">
        <f ca="1">IFERROR(VLOOKUP(AG$2,Rango_Admin_DailyPred,MATCH($F7,Rango_Admin_DailyPred_Primera,0),0),"-")</f>
        <v>-</v>
      </c>
      <c r="AH7" s="412" t="str">
        <f ca="1">IFERROR(VLOOKUP(AH$2,Rango_Admin_DailyPred,MATCH($F7,Rango_Admin_DailyPred_Primera,0),0),"-")</f>
        <v>-</v>
      </c>
      <c r="AI7" s="412" t="str">
        <f ca="1">IFERROR(VLOOKUP(AI$2,Rango_Admin_DailyPred,MATCH($F7,Rango_Admin_DailyPred_Primera,0),0),"-")</f>
        <v>-</v>
      </c>
      <c r="AJ7" s="412" t="str">
        <f ca="1">IFERROR(VLOOKUP(AJ$2,Rango_Admin_DailyPred,MATCH($F7,Rango_Admin_DailyPred_Primera,0),0),"-")</f>
        <v>-</v>
      </c>
      <c r="AK7" s="412" t="str">
        <f ca="1">IFERROR(VLOOKUP(AK$2,Rango_Admin_DailyPred,MATCH($F7,Rango_Admin_DailyPred_Primera,0),0),"-")</f>
        <v>-</v>
      </c>
      <c r="AL7" s="412" t="str">
        <f ca="1">IFERROR(VLOOKUP(AL$2,Rango_Admin_DailyPred,MATCH($F7,Rango_Admin_DailyPred_Primera,0),0),"-")</f>
        <v>-</v>
      </c>
      <c r="AM7" s="287"/>
      <c r="AN7" s="287"/>
      <c r="AO7" s="28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772">
        <f>+E7+3</f>
        <v>21</v>
      </c>
      <c r="F8" s="393" t="str" cm="1">
        <f t="array" ref="F8">IFERROR(INDEX(Rango_Admin_DailyPred_Primera,1,E8),"-")</f>
        <v>GARBAN</v>
      </c>
      <c r="G8" s="412" t="str">
        <f ca="1">IFERROR(VLOOKUP(G$2,Rango_Admin_DailyPred,MATCH($F8,Rango_Admin_DailyPred_Primera,0),0),"-")</f>
        <v>2|0-1</v>
      </c>
      <c r="H8" s="412" t="str">
        <f ca="1">IFERROR(VLOOKUP(H$2,Rango_Admin_DailyPred,MATCH($F8,Rango_Admin_DailyPred_Primera,0),0),"-")</f>
        <v>1|1-0</v>
      </c>
      <c r="I8" s="412" t="str">
        <f ca="1">IFERROR(VLOOKUP(I$2,Rango_Admin_DailyPred,MATCH($F8,Rango_Admin_DailyPred_Primera,0),0),"-")</f>
        <v>-</v>
      </c>
      <c r="J8" s="412" t="str">
        <f ca="1">IFERROR(VLOOKUP(J$2,Rango_Admin_DailyPred,MATCH($F8,Rango_Admin_DailyPred_Primera,0),0),"-")</f>
        <v>-</v>
      </c>
      <c r="K8" s="412" t="str">
        <f ca="1">IFERROR(VLOOKUP(K$2,Rango_Admin_DailyPred,MATCH($F8,Rango_Admin_DailyPred_Primera,0),0),"-")</f>
        <v>-</v>
      </c>
      <c r="L8" s="412" t="str">
        <f ca="1">IFERROR(VLOOKUP(L$2,Rango_Admin_DailyPred,MATCH($F8,Rango_Admin_DailyPred_Primera,0),0),"-")</f>
        <v>-</v>
      </c>
      <c r="M8" s="412" t="str">
        <f ca="1">IFERROR(VLOOKUP(M$2,Rango_Admin_DailyPred,MATCH($F8,Rango_Admin_DailyPred_Primera,0),0),"-")</f>
        <v>-</v>
      </c>
      <c r="N8" s="412" t="str">
        <f ca="1">IFERROR(VLOOKUP(N$2,Rango_Admin_DailyPred,MATCH($F8,Rango_Admin_DailyPred_Primera,0),0),"-")</f>
        <v>-</v>
      </c>
      <c r="O8" s="412" t="str">
        <f ca="1">IFERROR(VLOOKUP(O$2,Rango_Admin_DailyPred,MATCH($F8,Rango_Admin_DailyPred_Primera,0),0),"-")</f>
        <v>-</v>
      </c>
      <c r="P8" s="412" t="str">
        <f ca="1">IFERROR(VLOOKUP(P$2,Rango_Admin_DailyPred,MATCH($F8,Rango_Admin_DailyPred_Primera,0),0),"-")</f>
        <v>-</v>
      </c>
      <c r="Q8" s="412" t="str">
        <f ca="1">IFERROR(VLOOKUP(Q$2,Rango_Admin_DailyPred,MATCH($F8,Rango_Admin_DailyPred_Primera,0),0),"-")</f>
        <v>-</v>
      </c>
      <c r="R8" s="412" t="str">
        <f ca="1">IFERROR(VLOOKUP(R$2,Rango_Admin_DailyPred,MATCH($F8,Rango_Admin_DailyPred_Primera,0),0),"-")</f>
        <v>-</v>
      </c>
      <c r="S8" s="412" t="str">
        <f ca="1">IFERROR(VLOOKUP(S$2,Rango_Admin_DailyPred,MATCH($F8,Rango_Admin_DailyPred_Primera,0),0),"-")</f>
        <v>-</v>
      </c>
      <c r="T8" s="412" t="str">
        <f ca="1">IFERROR(VLOOKUP(T$2,Rango_Admin_DailyPred,MATCH($F8,Rango_Admin_DailyPred_Primera,0),0),"-")</f>
        <v>-</v>
      </c>
      <c r="U8" s="412" t="str">
        <f ca="1">IFERROR(VLOOKUP(U$2,Rango_Admin_DailyPred,MATCH($F8,Rango_Admin_DailyPred_Primera,0),0),"-")</f>
        <v>-</v>
      </c>
      <c r="V8" s="412" t="str">
        <f ca="1">IFERROR(VLOOKUP(V$2,Rango_Admin_DailyPred,MATCH($F8,Rango_Admin_DailyPred_Primera,0),0),"-")</f>
        <v>-</v>
      </c>
      <c r="W8" s="412" t="str">
        <f ca="1">IFERROR(VLOOKUP(W$2,Rango_Admin_DailyPred,MATCH($F8,Rango_Admin_DailyPred_Primera,0),0),"-")</f>
        <v>-</v>
      </c>
      <c r="X8" s="412" t="str">
        <f ca="1">IFERROR(VLOOKUP(X$2,Rango_Admin_DailyPred,MATCH($F8,Rango_Admin_DailyPred_Primera,0),0),"-")</f>
        <v>-</v>
      </c>
      <c r="Y8" s="412" t="str">
        <f ca="1">IFERROR(VLOOKUP(Y$2,Rango_Admin_DailyPred,MATCH($F8,Rango_Admin_DailyPred_Primera,0),0),"-")</f>
        <v>-</v>
      </c>
      <c r="Z8" s="412" t="str">
        <f ca="1">IFERROR(VLOOKUP(Z$2,Rango_Admin_DailyPred,MATCH($F8,Rango_Admin_DailyPred_Primera,0),0),"-")</f>
        <v>-</v>
      </c>
      <c r="AA8" s="412" t="str">
        <f ca="1">IFERROR(VLOOKUP(AA$2,Rango_Admin_DailyPred,MATCH($F8,Rango_Admin_DailyPred_Primera,0),0),"-")</f>
        <v>-</v>
      </c>
      <c r="AB8" s="412" t="str">
        <f ca="1">IFERROR(VLOOKUP(AB$2,Rango_Admin_DailyPred,MATCH($F8,Rango_Admin_DailyPred_Primera,0),0),"-")</f>
        <v>-</v>
      </c>
      <c r="AC8" s="412" t="str">
        <f ca="1">IFERROR(VLOOKUP(AC$2,Rango_Admin_DailyPred,MATCH($F8,Rango_Admin_DailyPred_Primera,0),0),"-")</f>
        <v>-</v>
      </c>
      <c r="AD8" s="412" t="str">
        <f ca="1">IFERROR(VLOOKUP(AD$2,Rango_Admin_DailyPred,MATCH($F8,Rango_Admin_DailyPred_Primera,0),0),"-")</f>
        <v>-</v>
      </c>
      <c r="AE8" s="412" t="str">
        <f ca="1">IFERROR(VLOOKUP(AE$2,Rango_Admin_DailyPred,MATCH($F8,Rango_Admin_DailyPred_Primera,0),0),"-")</f>
        <v>-</v>
      </c>
      <c r="AF8" s="412" t="str">
        <f ca="1">IFERROR(VLOOKUP(AF$2,Rango_Admin_DailyPred,MATCH($F8,Rango_Admin_DailyPred_Primera,0),0),"-")</f>
        <v>-</v>
      </c>
      <c r="AG8" s="412" t="str">
        <f ca="1">IFERROR(VLOOKUP(AG$2,Rango_Admin_DailyPred,MATCH($F8,Rango_Admin_DailyPred_Primera,0),0),"-")</f>
        <v>-</v>
      </c>
      <c r="AH8" s="412" t="str">
        <f ca="1">IFERROR(VLOOKUP(AH$2,Rango_Admin_DailyPred,MATCH($F8,Rango_Admin_DailyPred_Primera,0),0),"-")</f>
        <v>-</v>
      </c>
      <c r="AI8" s="412" t="str">
        <f ca="1">IFERROR(VLOOKUP(AI$2,Rango_Admin_DailyPred,MATCH($F8,Rango_Admin_DailyPred_Primera,0),0),"-")</f>
        <v>-</v>
      </c>
      <c r="AJ8" s="412" t="str">
        <f ca="1">IFERROR(VLOOKUP(AJ$2,Rango_Admin_DailyPred,MATCH($F8,Rango_Admin_DailyPred_Primera,0),0),"-")</f>
        <v>-</v>
      </c>
      <c r="AK8" s="412" t="str">
        <f ca="1">IFERROR(VLOOKUP(AK$2,Rango_Admin_DailyPred,MATCH($F8,Rango_Admin_DailyPred_Primera,0),0),"-")</f>
        <v>-</v>
      </c>
      <c r="AL8" s="412" t="str">
        <f ca="1">IFERROR(VLOOKUP(AL$2,Rango_Admin_DailyPred,MATCH($F8,Rango_Admin_DailyPred_Primera,0),0),"-")</f>
        <v>-</v>
      </c>
      <c r="AM8" s="287"/>
      <c r="AN8" s="287"/>
      <c r="AO8" s="28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772">
        <f t="shared" ref="E9:E31" si="2">+E8+3</f>
        <v>24</v>
      </c>
      <c r="F9" s="393" t="str" cm="1">
        <f t="array" ref="F9">IFERROR(INDEX(Rango_Admin_DailyPred_Primera,1,E9),"-")</f>
        <v>JAVI</v>
      </c>
      <c r="G9" s="412" t="str">
        <f ca="1">IFERROR(VLOOKUP(G$2,Rango_Admin_DailyPred,MATCH($F9,Rango_Admin_DailyPred_Primera,0),0),"-")</f>
        <v>2|0-2</v>
      </c>
      <c r="H9" s="412" t="str">
        <f ca="1">IFERROR(VLOOKUP(H$2,Rango_Admin_DailyPred,MATCH($F9,Rango_Admin_DailyPred_Primera,0),0),"-")</f>
        <v>1|2-1</v>
      </c>
      <c r="I9" s="412" t="str">
        <f ca="1">IFERROR(VLOOKUP(I$2,Rango_Admin_DailyPred,MATCH($F9,Rango_Admin_DailyPred_Primera,0),0),"-")</f>
        <v>-</v>
      </c>
      <c r="J9" s="412" t="str">
        <f ca="1">IFERROR(VLOOKUP(J$2,Rango_Admin_DailyPred,MATCH($F9,Rango_Admin_DailyPred_Primera,0),0),"-")</f>
        <v>-</v>
      </c>
      <c r="K9" s="412" t="str">
        <f ca="1">IFERROR(VLOOKUP(K$2,Rango_Admin_DailyPred,MATCH($F9,Rango_Admin_DailyPred_Primera,0),0),"-")</f>
        <v>-</v>
      </c>
      <c r="L9" s="412" t="str">
        <f ca="1">IFERROR(VLOOKUP(L$2,Rango_Admin_DailyPred,MATCH($F9,Rango_Admin_DailyPred_Primera,0),0),"-")</f>
        <v>-</v>
      </c>
      <c r="M9" s="412" t="str">
        <f ca="1">IFERROR(VLOOKUP(M$2,Rango_Admin_DailyPred,MATCH($F9,Rango_Admin_DailyPred_Primera,0),0),"-")</f>
        <v>-</v>
      </c>
      <c r="N9" s="412" t="str">
        <f ca="1">IFERROR(VLOOKUP(N$2,Rango_Admin_DailyPred,MATCH($F9,Rango_Admin_DailyPred_Primera,0),0),"-")</f>
        <v>-</v>
      </c>
      <c r="O9" s="412" t="str">
        <f ca="1">IFERROR(VLOOKUP(O$2,Rango_Admin_DailyPred,MATCH($F9,Rango_Admin_DailyPred_Primera,0),0),"-")</f>
        <v>-</v>
      </c>
      <c r="P9" s="412" t="str">
        <f ca="1">IFERROR(VLOOKUP(P$2,Rango_Admin_DailyPred,MATCH($F9,Rango_Admin_DailyPred_Primera,0),0),"-")</f>
        <v>-</v>
      </c>
      <c r="Q9" s="412" t="str">
        <f ca="1">IFERROR(VLOOKUP(Q$2,Rango_Admin_DailyPred,MATCH($F9,Rango_Admin_DailyPred_Primera,0),0),"-")</f>
        <v>-</v>
      </c>
      <c r="R9" s="412" t="str">
        <f ca="1">IFERROR(VLOOKUP(R$2,Rango_Admin_DailyPred,MATCH($F9,Rango_Admin_DailyPred_Primera,0),0),"-")</f>
        <v>-</v>
      </c>
      <c r="S9" s="412" t="str">
        <f ca="1">IFERROR(VLOOKUP(S$2,Rango_Admin_DailyPred,MATCH($F9,Rango_Admin_DailyPred_Primera,0),0),"-")</f>
        <v>-</v>
      </c>
      <c r="T9" s="412" t="str">
        <f ca="1">IFERROR(VLOOKUP(T$2,Rango_Admin_DailyPred,MATCH($F9,Rango_Admin_DailyPred_Primera,0),0),"-")</f>
        <v>-</v>
      </c>
      <c r="U9" s="412" t="str">
        <f ca="1">IFERROR(VLOOKUP(U$2,Rango_Admin_DailyPred,MATCH($F9,Rango_Admin_DailyPred_Primera,0),0),"-")</f>
        <v>-</v>
      </c>
      <c r="V9" s="412" t="str">
        <f ca="1">IFERROR(VLOOKUP(V$2,Rango_Admin_DailyPred,MATCH($F9,Rango_Admin_DailyPred_Primera,0),0),"-")</f>
        <v>-</v>
      </c>
      <c r="W9" s="412" t="str">
        <f ca="1">IFERROR(VLOOKUP(W$2,Rango_Admin_DailyPred,MATCH($F9,Rango_Admin_DailyPred_Primera,0),0),"-")</f>
        <v>-</v>
      </c>
      <c r="X9" s="412" t="str">
        <f ca="1">IFERROR(VLOOKUP(X$2,Rango_Admin_DailyPred,MATCH($F9,Rango_Admin_DailyPred_Primera,0),0),"-")</f>
        <v>-</v>
      </c>
      <c r="Y9" s="412" t="str">
        <f ca="1">IFERROR(VLOOKUP(Y$2,Rango_Admin_DailyPred,MATCH($F9,Rango_Admin_DailyPred_Primera,0),0),"-")</f>
        <v>-</v>
      </c>
      <c r="Z9" s="412" t="str">
        <f ca="1">IFERROR(VLOOKUP(Z$2,Rango_Admin_DailyPred,MATCH($F9,Rango_Admin_DailyPred_Primera,0),0),"-")</f>
        <v>-</v>
      </c>
      <c r="AA9" s="412" t="str">
        <f ca="1">IFERROR(VLOOKUP(AA$2,Rango_Admin_DailyPred,MATCH($F9,Rango_Admin_DailyPred_Primera,0),0),"-")</f>
        <v>-</v>
      </c>
      <c r="AB9" s="412" t="str">
        <f ca="1">IFERROR(VLOOKUP(AB$2,Rango_Admin_DailyPred,MATCH($F9,Rango_Admin_DailyPred_Primera,0),0),"-")</f>
        <v>-</v>
      </c>
      <c r="AC9" s="412" t="str">
        <f ca="1">IFERROR(VLOOKUP(AC$2,Rango_Admin_DailyPred,MATCH($F9,Rango_Admin_DailyPred_Primera,0),0),"-")</f>
        <v>-</v>
      </c>
      <c r="AD9" s="412" t="str">
        <f ca="1">IFERROR(VLOOKUP(AD$2,Rango_Admin_DailyPred,MATCH($F9,Rango_Admin_DailyPred_Primera,0),0),"-")</f>
        <v>-</v>
      </c>
      <c r="AE9" s="412" t="str">
        <f ca="1">IFERROR(VLOOKUP(AE$2,Rango_Admin_DailyPred,MATCH($F9,Rango_Admin_DailyPred_Primera,0),0),"-")</f>
        <v>-</v>
      </c>
      <c r="AF9" s="412" t="str">
        <f ca="1">IFERROR(VLOOKUP(AF$2,Rango_Admin_DailyPred,MATCH($F9,Rango_Admin_DailyPred_Primera,0),0),"-")</f>
        <v>-</v>
      </c>
      <c r="AG9" s="412" t="str">
        <f ca="1">IFERROR(VLOOKUP(AG$2,Rango_Admin_DailyPred,MATCH($F9,Rango_Admin_DailyPred_Primera,0),0),"-")</f>
        <v>-</v>
      </c>
      <c r="AH9" s="412" t="str">
        <f ca="1">IFERROR(VLOOKUP(AH$2,Rango_Admin_DailyPred,MATCH($F9,Rango_Admin_DailyPred_Primera,0),0),"-")</f>
        <v>-</v>
      </c>
      <c r="AI9" s="412" t="str">
        <f ca="1">IFERROR(VLOOKUP(AI$2,Rango_Admin_DailyPred,MATCH($F9,Rango_Admin_DailyPred_Primera,0),0),"-")</f>
        <v>-</v>
      </c>
      <c r="AJ9" s="412" t="str">
        <f ca="1">IFERROR(VLOOKUP(AJ$2,Rango_Admin_DailyPred,MATCH($F9,Rango_Admin_DailyPred_Primera,0),0),"-")</f>
        <v>-</v>
      </c>
      <c r="AK9" s="412" t="str">
        <f ca="1">IFERROR(VLOOKUP(AK$2,Rango_Admin_DailyPred,MATCH($F9,Rango_Admin_DailyPred_Primera,0),0),"-")</f>
        <v>-</v>
      </c>
      <c r="AL9" s="412" t="str">
        <f ca="1">IFERROR(VLOOKUP(AL$2,Rango_Admin_DailyPred,MATCH($F9,Rango_Admin_DailyPred_Primera,0),0),"-")</f>
        <v>-</v>
      </c>
      <c r="AM9" s="287"/>
      <c r="AN9" s="287"/>
      <c r="AO9" s="28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772">
        <f t="shared" si="2"/>
        <v>27</v>
      </c>
      <c r="F10" s="393" t="str" cm="1">
        <f t="array" ref="F10">IFERROR(INDEX(Rango_Admin_DailyPred_Primera,1,E10),"-")</f>
        <v>LAURA</v>
      </c>
      <c r="G10" s="412" t="str">
        <f ca="1">IFERROR(VLOOKUP(G$2,Rango_Admin_DailyPred,MATCH($F10,Rango_Admin_DailyPred_Primera,0),0),"-")</f>
        <v>2|0-2</v>
      </c>
      <c r="H10" s="412" t="str">
        <f ca="1">IFERROR(VLOOKUP(H$2,Rango_Admin_DailyPred,MATCH($F10,Rango_Admin_DailyPred_Primera,0),0),"-")</f>
        <v>1|2-1</v>
      </c>
      <c r="I10" s="412" t="str">
        <f ca="1">IFERROR(VLOOKUP(I$2,Rango_Admin_DailyPred,MATCH($F10,Rango_Admin_DailyPred_Primera,0),0),"-")</f>
        <v>-</v>
      </c>
      <c r="J10" s="412" t="str">
        <f ca="1">IFERROR(VLOOKUP(J$2,Rango_Admin_DailyPred,MATCH($F10,Rango_Admin_DailyPred_Primera,0),0),"-")</f>
        <v>-</v>
      </c>
      <c r="K10" s="412" t="str">
        <f ca="1">IFERROR(VLOOKUP(K$2,Rango_Admin_DailyPred,MATCH($F10,Rango_Admin_DailyPred_Primera,0),0),"-")</f>
        <v>-</v>
      </c>
      <c r="L10" s="412" t="str">
        <f ca="1">IFERROR(VLOOKUP(L$2,Rango_Admin_DailyPred,MATCH($F10,Rango_Admin_DailyPred_Primera,0),0),"-")</f>
        <v>-</v>
      </c>
      <c r="M10" s="412" t="str">
        <f ca="1">IFERROR(VLOOKUP(M$2,Rango_Admin_DailyPred,MATCH($F10,Rango_Admin_DailyPred_Primera,0),0),"-")</f>
        <v>-</v>
      </c>
      <c r="N10" s="412" t="str">
        <f ca="1">IFERROR(VLOOKUP(N$2,Rango_Admin_DailyPred,MATCH($F10,Rango_Admin_DailyPred_Primera,0),0),"-")</f>
        <v>-</v>
      </c>
      <c r="O10" s="412" t="str">
        <f ca="1">IFERROR(VLOOKUP(O$2,Rango_Admin_DailyPred,MATCH($F10,Rango_Admin_DailyPred_Primera,0),0),"-")</f>
        <v>-</v>
      </c>
      <c r="P10" s="412" t="str">
        <f ca="1">IFERROR(VLOOKUP(P$2,Rango_Admin_DailyPred,MATCH($F10,Rango_Admin_DailyPred_Primera,0),0),"-")</f>
        <v>-</v>
      </c>
      <c r="Q10" s="412" t="str">
        <f ca="1">IFERROR(VLOOKUP(Q$2,Rango_Admin_DailyPred,MATCH($F10,Rango_Admin_DailyPred_Primera,0),0),"-")</f>
        <v>-</v>
      </c>
      <c r="R10" s="412" t="str">
        <f ca="1">IFERROR(VLOOKUP(R$2,Rango_Admin_DailyPred,MATCH($F10,Rango_Admin_DailyPred_Primera,0),0),"-")</f>
        <v>-</v>
      </c>
      <c r="S10" s="412" t="str">
        <f ca="1">IFERROR(VLOOKUP(S$2,Rango_Admin_DailyPred,MATCH($F10,Rango_Admin_DailyPred_Primera,0),0),"-")</f>
        <v>-</v>
      </c>
      <c r="T10" s="412" t="str">
        <f ca="1">IFERROR(VLOOKUP(T$2,Rango_Admin_DailyPred,MATCH($F10,Rango_Admin_DailyPred_Primera,0),0),"-")</f>
        <v>-</v>
      </c>
      <c r="U10" s="412" t="str">
        <f ca="1">IFERROR(VLOOKUP(U$2,Rango_Admin_DailyPred,MATCH($F10,Rango_Admin_DailyPred_Primera,0),0),"-")</f>
        <v>-</v>
      </c>
      <c r="V10" s="412" t="str">
        <f ca="1">IFERROR(VLOOKUP(V$2,Rango_Admin_DailyPred,MATCH($F10,Rango_Admin_DailyPred_Primera,0),0),"-")</f>
        <v>-</v>
      </c>
      <c r="W10" s="412" t="str">
        <f ca="1">IFERROR(VLOOKUP(W$2,Rango_Admin_DailyPred,MATCH($F10,Rango_Admin_DailyPred_Primera,0),0),"-")</f>
        <v>-</v>
      </c>
      <c r="X10" s="412" t="str">
        <f ca="1">IFERROR(VLOOKUP(X$2,Rango_Admin_DailyPred,MATCH($F10,Rango_Admin_DailyPred_Primera,0),0),"-")</f>
        <v>-</v>
      </c>
      <c r="Y10" s="412" t="str">
        <f ca="1">IFERROR(VLOOKUP(Y$2,Rango_Admin_DailyPred,MATCH($F10,Rango_Admin_DailyPred_Primera,0),0),"-")</f>
        <v>-</v>
      </c>
      <c r="Z10" s="412" t="str">
        <f ca="1">IFERROR(VLOOKUP(Z$2,Rango_Admin_DailyPred,MATCH($F10,Rango_Admin_DailyPred_Primera,0),0),"-")</f>
        <v>-</v>
      </c>
      <c r="AA10" s="412" t="str">
        <f ca="1">IFERROR(VLOOKUP(AA$2,Rango_Admin_DailyPred,MATCH($F10,Rango_Admin_DailyPred_Primera,0),0),"-")</f>
        <v>-</v>
      </c>
      <c r="AB10" s="412" t="str">
        <f ca="1">IFERROR(VLOOKUP(AB$2,Rango_Admin_DailyPred,MATCH($F10,Rango_Admin_DailyPred_Primera,0),0),"-")</f>
        <v>-</v>
      </c>
      <c r="AC10" s="412" t="str">
        <f ca="1">IFERROR(VLOOKUP(AC$2,Rango_Admin_DailyPred,MATCH($F10,Rango_Admin_DailyPred_Primera,0),0),"-")</f>
        <v>-</v>
      </c>
      <c r="AD10" s="412" t="str">
        <f ca="1">IFERROR(VLOOKUP(AD$2,Rango_Admin_DailyPred,MATCH($F10,Rango_Admin_DailyPred_Primera,0),0),"-")</f>
        <v>-</v>
      </c>
      <c r="AE10" s="412" t="str">
        <f ca="1">IFERROR(VLOOKUP(AE$2,Rango_Admin_DailyPred,MATCH($F10,Rango_Admin_DailyPred_Primera,0),0),"-")</f>
        <v>-</v>
      </c>
      <c r="AF10" s="412" t="str">
        <f ca="1">IFERROR(VLOOKUP(AF$2,Rango_Admin_DailyPred,MATCH($F10,Rango_Admin_DailyPred_Primera,0),0),"-")</f>
        <v>-</v>
      </c>
      <c r="AG10" s="412" t="str">
        <f ca="1">IFERROR(VLOOKUP(AG$2,Rango_Admin_DailyPred,MATCH($F10,Rango_Admin_DailyPred_Primera,0),0),"-")</f>
        <v>-</v>
      </c>
      <c r="AH10" s="412" t="str">
        <f ca="1">IFERROR(VLOOKUP(AH$2,Rango_Admin_DailyPred,MATCH($F10,Rango_Admin_DailyPred_Primera,0),0),"-")</f>
        <v>-</v>
      </c>
      <c r="AI10" s="412" t="str">
        <f ca="1">IFERROR(VLOOKUP(AI$2,Rango_Admin_DailyPred,MATCH($F10,Rango_Admin_DailyPred_Primera,0),0),"-")</f>
        <v>-</v>
      </c>
      <c r="AJ10" s="412" t="str">
        <f ca="1">IFERROR(VLOOKUP(AJ$2,Rango_Admin_DailyPred,MATCH($F10,Rango_Admin_DailyPred_Primera,0),0),"-")</f>
        <v>-</v>
      </c>
      <c r="AK10" s="412" t="str">
        <f ca="1">IFERROR(VLOOKUP(AK$2,Rango_Admin_DailyPred,MATCH($F10,Rango_Admin_DailyPred_Primera,0),0),"-")</f>
        <v>-</v>
      </c>
      <c r="AL10" s="412" t="str">
        <f ca="1">IFERROR(VLOOKUP(AL$2,Rango_Admin_DailyPred,MATCH($F10,Rango_Admin_DailyPred_Primera,0),0),"-")</f>
        <v>-</v>
      </c>
      <c r="AM10" s="287"/>
      <c r="AN10" s="287"/>
      <c r="AO10" s="28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772">
        <f t="shared" si="2"/>
        <v>30</v>
      </c>
      <c r="F11" s="393" t="str" cm="1">
        <f t="array" ref="F11">IFERROR(INDEX(Rango_Admin_DailyPred_Primera,1,E11),"-")</f>
        <v>JUANMI</v>
      </c>
      <c r="G11" s="412" t="str">
        <f ca="1">IFERROR(VLOOKUP(G$2,Rango_Admin_DailyPred,MATCH($F11,Rango_Admin_DailyPred_Primera,0),0),"-")</f>
        <v>2|0-2</v>
      </c>
      <c r="H11" s="412" t="str">
        <f ca="1">IFERROR(VLOOKUP(H$2,Rango_Admin_DailyPred,MATCH($F11,Rango_Admin_DailyPred_Primera,0),0),"-")</f>
        <v>1|2-1</v>
      </c>
      <c r="I11" s="412" t="str">
        <f ca="1">IFERROR(VLOOKUP(I$2,Rango_Admin_DailyPred,MATCH($F11,Rango_Admin_DailyPred_Primera,0),0),"-")</f>
        <v>-</v>
      </c>
      <c r="J11" s="412" t="str">
        <f ca="1">IFERROR(VLOOKUP(J$2,Rango_Admin_DailyPred,MATCH($F11,Rango_Admin_DailyPred_Primera,0),0),"-")</f>
        <v>-</v>
      </c>
      <c r="K11" s="412" t="str">
        <f ca="1">IFERROR(VLOOKUP(K$2,Rango_Admin_DailyPred,MATCH($F11,Rango_Admin_DailyPred_Primera,0),0),"-")</f>
        <v>-</v>
      </c>
      <c r="L11" s="412" t="str">
        <f ca="1">IFERROR(VLOOKUP(L$2,Rango_Admin_DailyPred,MATCH($F11,Rango_Admin_DailyPred_Primera,0),0),"-")</f>
        <v>-</v>
      </c>
      <c r="M11" s="412" t="str">
        <f ca="1">IFERROR(VLOOKUP(M$2,Rango_Admin_DailyPred,MATCH($F11,Rango_Admin_DailyPred_Primera,0),0),"-")</f>
        <v>-</v>
      </c>
      <c r="N11" s="412" t="str">
        <f ca="1">IFERROR(VLOOKUP(N$2,Rango_Admin_DailyPred,MATCH($F11,Rango_Admin_DailyPred_Primera,0),0),"-")</f>
        <v>-</v>
      </c>
      <c r="O11" s="412" t="str">
        <f ca="1">IFERROR(VLOOKUP(O$2,Rango_Admin_DailyPred,MATCH($F11,Rango_Admin_DailyPred_Primera,0),0),"-")</f>
        <v>-</v>
      </c>
      <c r="P11" s="412" t="str">
        <f ca="1">IFERROR(VLOOKUP(P$2,Rango_Admin_DailyPred,MATCH($F11,Rango_Admin_DailyPred_Primera,0),0),"-")</f>
        <v>-</v>
      </c>
      <c r="Q11" s="412" t="str">
        <f ca="1">IFERROR(VLOOKUP(Q$2,Rango_Admin_DailyPred,MATCH($F11,Rango_Admin_DailyPred_Primera,0),0),"-")</f>
        <v>-</v>
      </c>
      <c r="R11" s="412" t="str">
        <f ca="1">IFERROR(VLOOKUP(R$2,Rango_Admin_DailyPred,MATCH($F11,Rango_Admin_DailyPred_Primera,0),0),"-")</f>
        <v>-</v>
      </c>
      <c r="S11" s="412" t="str">
        <f ca="1">IFERROR(VLOOKUP(S$2,Rango_Admin_DailyPred,MATCH($F11,Rango_Admin_DailyPred_Primera,0),0),"-")</f>
        <v>-</v>
      </c>
      <c r="T11" s="412" t="str">
        <f ca="1">IFERROR(VLOOKUP(T$2,Rango_Admin_DailyPred,MATCH($F11,Rango_Admin_DailyPred_Primera,0),0),"-")</f>
        <v>-</v>
      </c>
      <c r="U11" s="412" t="str">
        <f ca="1">IFERROR(VLOOKUP(U$2,Rango_Admin_DailyPred,MATCH($F11,Rango_Admin_DailyPred_Primera,0),0),"-")</f>
        <v>-</v>
      </c>
      <c r="V11" s="412" t="str">
        <f ca="1">IFERROR(VLOOKUP(V$2,Rango_Admin_DailyPred,MATCH($F11,Rango_Admin_DailyPred_Primera,0),0),"-")</f>
        <v>-</v>
      </c>
      <c r="W11" s="412" t="str">
        <f ca="1">IFERROR(VLOOKUP(W$2,Rango_Admin_DailyPred,MATCH($F11,Rango_Admin_DailyPred_Primera,0),0),"-")</f>
        <v>-</v>
      </c>
      <c r="X11" s="412" t="str">
        <f ca="1">IFERROR(VLOOKUP(X$2,Rango_Admin_DailyPred,MATCH($F11,Rango_Admin_DailyPred_Primera,0),0),"-")</f>
        <v>-</v>
      </c>
      <c r="Y11" s="412" t="str">
        <f ca="1">IFERROR(VLOOKUP(Y$2,Rango_Admin_DailyPred,MATCH($F11,Rango_Admin_DailyPred_Primera,0),0),"-")</f>
        <v>-</v>
      </c>
      <c r="Z11" s="412" t="str">
        <f ca="1">IFERROR(VLOOKUP(Z$2,Rango_Admin_DailyPred,MATCH($F11,Rango_Admin_DailyPred_Primera,0),0),"-")</f>
        <v>-</v>
      </c>
      <c r="AA11" s="412" t="str">
        <f ca="1">IFERROR(VLOOKUP(AA$2,Rango_Admin_DailyPred,MATCH($F11,Rango_Admin_DailyPred_Primera,0),0),"-")</f>
        <v>-</v>
      </c>
      <c r="AB11" s="412" t="str">
        <f ca="1">IFERROR(VLOOKUP(AB$2,Rango_Admin_DailyPred,MATCH($F11,Rango_Admin_DailyPred_Primera,0),0),"-")</f>
        <v>-</v>
      </c>
      <c r="AC11" s="412" t="str">
        <f ca="1">IFERROR(VLOOKUP(AC$2,Rango_Admin_DailyPred,MATCH($F11,Rango_Admin_DailyPred_Primera,0),0),"-")</f>
        <v>-</v>
      </c>
      <c r="AD11" s="412" t="str">
        <f ca="1">IFERROR(VLOOKUP(AD$2,Rango_Admin_DailyPred,MATCH($F11,Rango_Admin_DailyPred_Primera,0),0),"-")</f>
        <v>-</v>
      </c>
      <c r="AE11" s="412" t="str">
        <f ca="1">IFERROR(VLOOKUP(AE$2,Rango_Admin_DailyPred,MATCH($F11,Rango_Admin_DailyPred_Primera,0),0),"-")</f>
        <v>-</v>
      </c>
      <c r="AF11" s="412" t="str">
        <f ca="1">IFERROR(VLOOKUP(AF$2,Rango_Admin_DailyPred,MATCH($F11,Rango_Admin_DailyPred_Primera,0),0),"-")</f>
        <v>-</v>
      </c>
      <c r="AG11" s="412" t="str">
        <f ca="1">IFERROR(VLOOKUP(AG$2,Rango_Admin_DailyPred,MATCH($F11,Rango_Admin_DailyPred_Primera,0),0),"-")</f>
        <v>-</v>
      </c>
      <c r="AH11" s="412" t="str">
        <f ca="1">IFERROR(VLOOKUP(AH$2,Rango_Admin_DailyPred,MATCH($F11,Rango_Admin_DailyPred_Primera,0),0),"-")</f>
        <v>-</v>
      </c>
      <c r="AI11" s="412" t="str">
        <f ca="1">IFERROR(VLOOKUP(AI$2,Rango_Admin_DailyPred,MATCH($F11,Rango_Admin_DailyPred_Primera,0),0),"-")</f>
        <v>-</v>
      </c>
      <c r="AJ11" s="412" t="str">
        <f ca="1">IFERROR(VLOOKUP(AJ$2,Rango_Admin_DailyPred,MATCH($F11,Rango_Admin_DailyPred_Primera,0),0),"-")</f>
        <v>-</v>
      </c>
      <c r="AK11" s="412" t="str">
        <f ca="1">IFERROR(VLOOKUP(AK$2,Rango_Admin_DailyPred,MATCH($F11,Rango_Admin_DailyPred_Primera,0),0),"-")</f>
        <v>-</v>
      </c>
      <c r="AL11" s="412" t="str">
        <f ca="1">IFERROR(VLOOKUP(AL$2,Rango_Admin_DailyPred,MATCH($F11,Rango_Admin_DailyPred_Primera,0),0),"-")</f>
        <v>-</v>
      </c>
      <c r="AM11" s="287"/>
      <c r="AN11" s="287"/>
      <c r="AO11" s="28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772">
        <f t="shared" si="2"/>
        <v>33</v>
      </c>
      <c r="F12" s="393" t="str" cm="1">
        <f t="array" ref="F12">IFERROR(INDEX(Rango_Admin_DailyPred_Primera,1,E12),"-")</f>
        <v>JORGE</v>
      </c>
      <c r="G12" s="412" t="str">
        <f ca="1">IFERROR(VLOOKUP(G$2,Rango_Admin_DailyPred,MATCH($F12,Rango_Admin_DailyPred_Primera,0),0),"-")</f>
        <v>2|0-2</v>
      </c>
      <c r="H12" s="412" t="str">
        <f ca="1">IFERROR(VLOOKUP(H$2,Rango_Admin_DailyPred,MATCH($F12,Rango_Admin_DailyPred_Primera,0),0),"-")</f>
        <v>1|2-1</v>
      </c>
      <c r="I12" s="412" t="str">
        <f ca="1">IFERROR(VLOOKUP(I$2,Rango_Admin_DailyPred,MATCH($F12,Rango_Admin_DailyPred_Primera,0),0),"-")</f>
        <v>-</v>
      </c>
      <c r="J12" s="412" t="str">
        <f ca="1">IFERROR(VLOOKUP(J$2,Rango_Admin_DailyPred,MATCH($F12,Rango_Admin_DailyPred_Primera,0),0),"-")</f>
        <v>-</v>
      </c>
      <c r="K12" s="412" t="str">
        <f ca="1">IFERROR(VLOOKUP(K$2,Rango_Admin_DailyPred,MATCH($F12,Rango_Admin_DailyPred_Primera,0),0),"-")</f>
        <v>-</v>
      </c>
      <c r="L12" s="412" t="str">
        <f ca="1">IFERROR(VLOOKUP(L$2,Rango_Admin_DailyPred,MATCH($F12,Rango_Admin_DailyPred_Primera,0),0),"-")</f>
        <v>-</v>
      </c>
      <c r="M12" s="412" t="str">
        <f ca="1">IFERROR(VLOOKUP(M$2,Rango_Admin_DailyPred,MATCH($F12,Rango_Admin_DailyPred_Primera,0),0),"-")</f>
        <v>-</v>
      </c>
      <c r="N12" s="412" t="str">
        <f ca="1">IFERROR(VLOOKUP(N$2,Rango_Admin_DailyPred,MATCH($F12,Rango_Admin_DailyPred_Primera,0),0),"-")</f>
        <v>-</v>
      </c>
      <c r="O12" s="412" t="str">
        <f ca="1">IFERROR(VLOOKUP(O$2,Rango_Admin_DailyPred,MATCH($F12,Rango_Admin_DailyPred_Primera,0),0),"-")</f>
        <v>-</v>
      </c>
      <c r="P12" s="412" t="str">
        <f ca="1">IFERROR(VLOOKUP(P$2,Rango_Admin_DailyPred,MATCH($F12,Rango_Admin_DailyPred_Primera,0),0),"-")</f>
        <v>-</v>
      </c>
      <c r="Q12" s="412" t="str">
        <f ca="1">IFERROR(VLOOKUP(Q$2,Rango_Admin_DailyPred,MATCH($F12,Rango_Admin_DailyPred_Primera,0),0),"-")</f>
        <v>-</v>
      </c>
      <c r="R12" s="412" t="str">
        <f ca="1">IFERROR(VLOOKUP(R$2,Rango_Admin_DailyPred,MATCH($F12,Rango_Admin_DailyPred_Primera,0),0),"-")</f>
        <v>-</v>
      </c>
      <c r="S12" s="412" t="str">
        <f ca="1">IFERROR(VLOOKUP(S$2,Rango_Admin_DailyPred,MATCH($F12,Rango_Admin_DailyPred_Primera,0),0),"-")</f>
        <v>-</v>
      </c>
      <c r="T12" s="412" t="str">
        <f ca="1">IFERROR(VLOOKUP(T$2,Rango_Admin_DailyPred,MATCH($F12,Rango_Admin_DailyPred_Primera,0),0),"-")</f>
        <v>-</v>
      </c>
      <c r="U12" s="412" t="str">
        <f ca="1">IFERROR(VLOOKUP(U$2,Rango_Admin_DailyPred,MATCH($F12,Rango_Admin_DailyPred_Primera,0),0),"-")</f>
        <v>-</v>
      </c>
      <c r="V12" s="412" t="str">
        <f ca="1">IFERROR(VLOOKUP(V$2,Rango_Admin_DailyPred,MATCH($F12,Rango_Admin_DailyPred_Primera,0),0),"-")</f>
        <v>-</v>
      </c>
      <c r="W12" s="412" t="str">
        <f ca="1">IFERROR(VLOOKUP(W$2,Rango_Admin_DailyPred,MATCH($F12,Rango_Admin_DailyPred_Primera,0),0),"-")</f>
        <v>-</v>
      </c>
      <c r="X12" s="412" t="str">
        <f ca="1">IFERROR(VLOOKUP(X$2,Rango_Admin_DailyPred,MATCH($F12,Rango_Admin_DailyPred_Primera,0),0),"-")</f>
        <v>-</v>
      </c>
      <c r="Y12" s="412" t="str">
        <f ca="1">IFERROR(VLOOKUP(Y$2,Rango_Admin_DailyPred,MATCH($F12,Rango_Admin_DailyPred_Primera,0),0),"-")</f>
        <v>-</v>
      </c>
      <c r="Z12" s="412" t="str">
        <f ca="1">IFERROR(VLOOKUP(Z$2,Rango_Admin_DailyPred,MATCH($F12,Rango_Admin_DailyPred_Primera,0),0),"-")</f>
        <v>-</v>
      </c>
      <c r="AA12" s="412" t="str">
        <f ca="1">IFERROR(VLOOKUP(AA$2,Rango_Admin_DailyPred,MATCH($F12,Rango_Admin_DailyPred_Primera,0),0),"-")</f>
        <v>-</v>
      </c>
      <c r="AB12" s="412" t="str">
        <f ca="1">IFERROR(VLOOKUP(AB$2,Rango_Admin_DailyPred,MATCH($F12,Rango_Admin_DailyPred_Primera,0),0),"-")</f>
        <v>-</v>
      </c>
      <c r="AC12" s="412" t="str">
        <f ca="1">IFERROR(VLOOKUP(AC$2,Rango_Admin_DailyPred,MATCH($F12,Rango_Admin_DailyPred_Primera,0),0),"-")</f>
        <v>-</v>
      </c>
      <c r="AD12" s="412" t="str">
        <f ca="1">IFERROR(VLOOKUP(AD$2,Rango_Admin_DailyPred,MATCH($F12,Rango_Admin_DailyPred_Primera,0),0),"-")</f>
        <v>-</v>
      </c>
      <c r="AE12" s="412" t="str">
        <f ca="1">IFERROR(VLOOKUP(AE$2,Rango_Admin_DailyPred,MATCH($F12,Rango_Admin_DailyPred_Primera,0),0),"-")</f>
        <v>-</v>
      </c>
      <c r="AF12" s="412" t="str">
        <f ca="1">IFERROR(VLOOKUP(AF$2,Rango_Admin_DailyPred,MATCH($F12,Rango_Admin_DailyPred_Primera,0),0),"-")</f>
        <v>-</v>
      </c>
      <c r="AG12" s="412" t="str">
        <f ca="1">IFERROR(VLOOKUP(AG$2,Rango_Admin_DailyPred,MATCH($F12,Rango_Admin_DailyPred_Primera,0),0),"-")</f>
        <v>-</v>
      </c>
      <c r="AH12" s="412" t="str">
        <f ca="1">IFERROR(VLOOKUP(AH$2,Rango_Admin_DailyPred,MATCH($F12,Rango_Admin_DailyPred_Primera,0),0),"-")</f>
        <v>-</v>
      </c>
      <c r="AI12" s="412" t="str">
        <f ca="1">IFERROR(VLOOKUP(AI$2,Rango_Admin_DailyPred,MATCH($F12,Rango_Admin_DailyPred_Primera,0),0),"-")</f>
        <v>-</v>
      </c>
      <c r="AJ12" s="412" t="str">
        <f ca="1">IFERROR(VLOOKUP(AJ$2,Rango_Admin_DailyPred,MATCH($F12,Rango_Admin_DailyPred_Primera,0),0),"-")</f>
        <v>-</v>
      </c>
      <c r="AK12" s="412" t="str">
        <f ca="1">IFERROR(VLOOKUP(AK$2,Rango_Admin_DailyPred,MATCH($F12,Rango_Admin_DailyPred_Primera,0),0),"-")</f>
        <v>-</v>
      </c>
      <c r="AL12" s="412" t="str">
        <f ca="1">IFERROR(VLOOKUP(AL$2,Rango_Admin_DailyPred,MATCH($F12,Rango_Admin_DailyPred_Primera,0),0),"-")</f>
        <v>-</v>
      </c>
      <c r="AM12" s="287"/>
      <c r="AN12" s="287"/>
      <c r="AO12" s="28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772">
        <f t="shared" si="2"/>
        <v>36</v>
      </c>
      <c r="F13" s="393" t="str" cm="1">
        <f t="array" ref="F13">IFERROR(INDEX(Rango_Admin_DailyPred_Primera,1,E13),"-")</f>
        <v>ANDER</v>
      </c>
      <c r="G13" s="412" t="str">
        <f ca="1">IFERROR(VLOOKUP(G$2,Rango_Admin_DailyPred,MATCH($F13,Rango_Admin_DailyPred_Primera,0),0),"-")</f>
        <v>X|0-0</v>
      </c>
      <c r="H13" s="412" t="str">
        <f ca="1">IFERROR(VLOOKUP(H$2,Rango_Admin_DailyPred,MATCH($F13,Rango_Admin_DailyPred_Primera,0),0),"-")</f>
        <v>2|0-1</v>
      </c>
      <c r="I13" s="412" t="str">
        <f ca="1">IFERROR(VLOOKUP(I$2,Rango_Admin_DailyPred,MATCH($F13,Rango_Admin_DailyPred_Primera,0),0),"-")</f>
        <v>-</v>
      </c>
      <c r="J13" s="412" t="str">
        <f ca="1">IFERROR(VLOOKUP(J$2,Rango_Admin_DailyPred,MATCH($F13,Rango_Admin_DailyPred_Primera,0),0),"-")</f>
        <v>-</v>
      </c>
      <c r="K13" s="412" t="str">
        <f ca="1">IFERROR(VLOOKUP(K$2,Rango_Admin_DailyPred,MATCH($F13,Rango_Admin_DailyPred_Primera,0),0),"-")</f>
        <v>-</v>
      </c>
      <c r="L13" s="412" t="str">
        <f ca="1">IFERROR(VLOOKUP(L$2,Rango_Admin_DailyPred,MATCH($F13,Rango_Admin_DailyPred_Primera,0),0),"-")</f>
        <v>-</v>
      </c>
      <c r="M13" s="412" t="str">
        <f ca="1">IFERROR(VLOOKUP(M$2,Rango_Admin_DailyPred,MATCH($F13,Rango_Admin_DailyPred_Primera,0),0),"-")</f>
        <v>-</v>
      </c>
      <c r="N13" s="412" t="str">
        <f ca="1">IFERROR(VLOOKUP(N$2,Rango_Admin_DailyPred,MATCH($F13,Rango_Admin_DailyPred_Primera,0),0),"-")</f>
        <v>-</v>
      </c>
      <c r="O13" s="412" t="str">
        <f ca="1">IFERROR(VLOOKUP(O$2,Rango_Admin_DailyPred,MATCH($F13,Rango_Admin_DailyPred_Primera,0),0),"-")</f>
        <v>-</v>
      </c>
      <c r="P13" s="412" t="str">
        <f ca="1">IFERROR(VLOOKUP(P$2,Rango_Admin_DailyPred,MATCH($F13,Rango_Admin_DailyPred_Primera,0),0),"-")</f>
        <v>-</v>
      </c>
      <c r="Q13" s="412" t="str">
        <f ca="1">IFERROR(VLOOKUP(Q$2,Rango_Admin_DailyPred,MATCH($F13,Rango_Admin_DailyPred_Primera,0),0),"-")</f>
        <v>-</v>
      </c>
      <c r="R13" s="412" t="str">
        <f ca="1">IFERROR(VLOOKUP(R$2,Rango_Admin_DailyPred,MATCH($F13,Rango_Admin_DailyPred_Primera,0),0),"-")</f>
        <v>-</v>
      </c>
      <c r="S13" s="412" t="str">
        <f ca="1">IFERROR(VLOOKUP(S$2,Rango_Admin_DailyPred,MATCH($F13,Rango_Admin_DailyPred_Primera,0),0),"-")</f>
        <v>-</v>
      </c>
      <c r="T13" s="412" t="str">
        <f ca="1">IFERROR(VLOOKUP(T$2,Rango_Admin_DailyPred,MATCH($F13,Rango_Admin_DailyPred_Primera,0),0),"-")</f>
        <v>-</v>
      </c>
      <c r="U13" s="412" t="str">
        <f ca="1">IFERROR(VLOOKUP(U$2,Rango_Admin_DailyPred,MATCH($F13,Rango_Admin_DailyPred_Primera,0),0),"-")</f>
        <v>-</v>
      </c>
      <c r="V13" s="412" t="str">
        <f ca="1">IFERROR(VLOOKUP(V$2,Rango_Admin_DailyPred,MATCH($F13,Rango_Admin_DailyPred_Primera,0),0),"-")</f>
        <v>-</v>
      </c>
      <c r="W13" s="412" t="str">
        <f ca="1">IFERROR(VLOOKUP(W$2,Rango_Admin_DailyPred,MATCH($F13,Rango_Admin_DailyPred_Primera,0),0),"-")</f>
        <v>-</v>
      </c>
      <c r="X13" s="412" t="str">
        <f ca="1">IFERROR(VLOOKUP(X$2,Rango_Admin_DailyPred,MATCH($F13,Rango_Admin_DailyPred_Primera,0),0),"-")</f>
        <v>-</v>
      </c>
      <c r="Y13" s="412" t="str">
        <f ca="1">IFERROR(VLOOKUP(Y$2,Rango_Admin_DailyPred,MATCH($F13,Rango_Admin_DailyPred_Primera,0),0),"-")</f>
        <v>-</v>
      </c>
      <c r="Z13" s="412" t="str">
        <f ca="1">IFERROR(VLOOKUP(Z$2,Rango_Admin_DailyPred,MATCH($F13,Rango_Admin_DailyPred_Primera,0),0),"-")</f>
        <v>-</v>
      </c>
      <c r="AA13" s="412" t="str">
        <f ca="1">IFERROR(VLOOKUP(AA$2,Rango_Admin_DailyPred,MATCH($F13,Rango_Admin_DailyPred_Primera,0),0),"-")</f>
        <v>-</v>
      </c>
      <c r="AB13" s="412" t="str">
        <f ca="1">IFERROR(VLOOKUP(AB$2,Rango_Admin_DailyPred,MATCH($F13,Rango_Admin_DailyPred_Primera,0),0),"-")</f>
        <v>-</v>
      </c>
      <c r="AC13" s="412" t="str">
        <f ca="1">IFERROR(VLOOKUP(AC$2,Rango_Admin_DailyPred,MATCH($F13,Rango_Admin_DailyPred_Primera,0),0),"-")</f>
        <v>-</v>
      </c>
      <c r="AD13" s="412" t="str">
        <f ca="1">IFERROR(VLOOKUP(AD$2,Rango_Admin_DailyPred,MATCH($F13,Rango_Admin_DailyPred_Primera,0),0),"-")</f>
        <v>-</v>
      </c>
      <c r="AE13" s="412" t="str">
        <f ca="1">IFERROR(VLOOKUP(AE$2,Rango_Admin_DailyPred,MATCH($F13,Rango_Admin_DailyPred_Primera,0),0),"-")</f>
        <v>-</v>
      </c>
      <c r="AF13" s="412" t="str">
        <f ca="1">IFERROR(VLOOKUP(AF$2,Rango_Admin_DailyPred,MATCH($F13,Rango_Admin_DailyPred_Primera,0),0),"-")</f>
        <v>-</v>
      </c>
      <c r="AG13" s="412" t="str">
        <f ca="1">IFERROR(VLOOKUP(AG$2,Rango_Admin_DailyPred,MATCH($F13,Rango_Admin_DailyPred_Primera,0),0),"-")</f>
        <v>-</v>
      </c>
      <c r="AH13" s="412" t="str">
        <f ca="1">IFERROR(VLOOKUP(AH$2,Rango_Admin_DailyPred,MATCH($F13,Rango_Admin_DailyPred_Primera,0),0),"-")</f>
        <v>-</v>
      </c>
      <c r="AI13" s="412" t="str">
        <f ca="1">IFERROR(VLOOKUP(AI$2,Rango_Admin_DailyPred,MATCH($F13,Rango_Admin_DailyPred_Primera,0),0),"-")</f>
        <v>-</v>
      </c>
      <c r="AJ13" s="412" t="str">
        <f ca="1">IFERROR(VLOOKUP(AJ$2,Rango_Admin_DailyPred,MATCH($F13,Rango_Admin_DailyPred_Primera,0),0),"-")</f>
        <v>-</v>
      </c>
      <c r="AK13" s="412" t="str">
        <f ca="1">IFERROR(VLOOKUP(AK$2,Rango_Admin_DailyPred,MATCH($F13,Rango_Admin_DailyPred_Primera,0),0),"-")</f>
        <v>-</v>
      </c>
      <c r="AL13" s="412" t="str">
        <f ca="1">IFERROR(VLOOKUP(AL$2,Rango_Admin_DailyPred,MATCH($F13,Rango_Admin_DailyPred_Primera,0),0),"-")</f>
        <v>-</v>
      </c>
      <c r="AM13" s="287"/>
      <c r="AN13" s="287"/>
      <c r="AO13" s="28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772">
        <f t="shared" si="2"/>
        <v>39</v>
      </c>
      <c r="F14" s="393" t="str" cm="1">
        <f t="array" ref="F14">IFERROR(INDEX(Rango_Admin_DailyPred_Primera,1,E14),"-")</f>
        <v>BORJA</v>
      </c>
      <c r="G14" s="412" t="str">
        <f ca="1">IFERROR(VLOOKUP(G$2,Rango_Admin_DailyPred,MATCH($F14,Rango_Admin_DailyPred_Primera,0),0),"-")</f>
        <v>2|0-1</v>
      </c>
      <c r="H14" s="412" t="str">
        <f ca="1">IFERROR(VLOOKUP(H$2,Rango_Admin_DailyPred,MATCH($F14,Rango_Admin_DailyPred_Primera,0),0),"-")</f>
        <v>1|1-0</v>
      </c>
      <c r="I14" s="412" t="str">
        <f ca="1">IFERROR(VLOOKUP(I$2,Rango_Admin_DailyPred,MATCH($F14,Rango_Admin_DailyPred_Primera,0),0),"-")</f>
        <v>-</v>
      </c>
      <c r="J14" s="412" t="str">
        <f ca="1">IFERROR(VLOOKUP(J$2,Rango_Admin_DailyPred,MATCH($F14,Rango_Admin_DailyPred_Primera,0),0),"-")</f>
        <v>-</v>
      </c>
      <c r="K14" s="412" t="str">
        <f ca="1">IFERROR(VLOOKUP(K$2,Rango_Admin_DailyPred,MATCH($F14,Rango_Admin_DailyPred_Primera,0),0),"-")</f>
        <v>-</v>
      </c>
      <c r="L14" s="412" t="str">
        <f ca="1">IFERROR(VLOOKUP(L$2,Rango_Admin_DailyPred,MATCH($F14,Rango_Admin_DailyPred_Primera,0),0),"-")</f>
        <v>-</v>
      </c>
      <c r="M14" s="412" t="str">
        <f ca="1">IFERROR(VLOOKUP(M$2,Rango_Admin_DailyPred,MATCH($F14,Rango_Admin_DailyPred_Primera,0),0),"-")</f>
        <v>-</v>
      </c>
      <c r="N14" s="412" t="str">
        <f ca="1">IFERROR(VLOOKUP(N$2,Rango_Admin_DailyPred,MATCH($F14,Rango_Admin_DailyPred_Primera,0),0),"-")</f>
        <v>-</v>
      </c>
      <c r="O14" s="412" t="str">
        <f ca="1">IFERROR(VLOOKUP(O$2,Rango_Admin_DailyPred,MATCH($F14,Rango_Admin_DailyPred_Primera,0),0),"-")</f>
        <v>-</v>
      </c>
      <c r="P14" s="412" t="str">
        <f ca="1">IFERROR(VLOOKUP(P$2,Rango_Admin_DailyPred,MATCH($F14,Rango_Admin_DailyPred_Primera,0),0),"-")</f>
        <v>-</v>
      </c>
      <c r="Q14" s="412" t="str">
        <f ca="1">IFERROR(VLOOKUP(Q$2,Rango_Admin_DailyPred,MATCH($F14,Rango_Admin_DailyPred_Primera,0),0),"-")</f>
        <v>-</v>
      </c>
      <c r="R14" s="412" t="str">
        <f ca="1">IFERROR(VLOOKUP(R$2,Rango_Admin_DailyPred,MATCH($F14,Rango_Admin_DailyPred_Primera,0),0),"-")</f>
        <v>-</v>
      </c>
      <c r="S14" s="412" t="str">
        <f ca="1">IFERROR(VLOOKUP(S$2,Rango_Admin_DailyPred,MATCH($F14,Rango_Admin_DailyPred_Primera,0),0),"-")</f>
        <v>-</v>
      </c>
      <c r="T14" s="412" t="str">
        <f ca="1">IFERROR(VLOOKUP(T$2,Rango_Admin_DailyPred,MATCH($F14,Rango_Admin_DailyPred_Primera,0),0),"-")</f>
        <v>-</v>
      </c>
      <c r="U14" s="412" t="str">
        <f ca="1">IFERROR(VLOOKUP(U$2,Rango_Admin_DailyPred,MATCH($F14,Rango_Admin_DailyPred_Primera,0),0),"-")</f>
        <v>-</v>
      </c>
      <c r="V14" s="412" t="str">
        <f ca="1">IFERROR(VLOOKUP(V$2,Rango_Admin_DailyPred,MATCH($F14,Rango_Admin_DailyPred_Primera,0),0),"-")</f>
        <v>-</v>
      </c>
      <c r="W14" s="412" t="str">
        <f ca="1">IFERROR(VLOOKUP(W$2,Rango_Admin_DailyPred,MATCH($F14,Rango_Admin_DailyPred_Primera,0),0),"-")</f>
        <v>-</v>
      </c>
      <c r="X14" s="412" t="str">
        <f ca="1">IFERROR(VLOOKUP(X$2,Rango_Admin_DailyPred,MATCH($F14,Rango_Admin_DailyPred_Primera,0),0),"-")</f>
        <v>-</v>
      </c>
      <c r="Y14" s="412" t="str">
        <f ca="1">IFERROR(VLOOKUP(Y$2,Rango_Admin_DailyPred,MATCH($F14,Rango_Admin_DailyPred_Primera,0),0),"-")</f>
        <v>-</v>
      </c>
      <c r="Z14" s="412" t="str">
        <f ca="1">IFERROR(VLOOKUP(Z$2,Rango_Admin_DailyPred,MATCH($F14,Rango_Admin_DailyPred_Primera,0),0),"-")</f>
        <v>-</v>
      </c>
      <c r="AA14" s="412" t="str">
        <f ca="1">IFERROR(VLOOKUP(AA$2,Rango_Admin_DailyPred,MATCH($F14,Rango_Admin_DailyPred_Primera,0),0),"-")</f>
        <v>-</v>
      </c>
      <c r="AB14" s="412" t="str">
        <f ca="1">IFERROR(VLOOKUP(AB$2,Rango_Admin_DailyPred,MATCH($F14,Rango_Admin_DailyPred_Primera,0),0),"-")</f>
        <v>-</v>
      </c>
      <c r="AC14" s="412" t="str">
        <f ca="1">IFERROR(VLOOKUP(AC$2,Rango_Admin_DailyPred,MATCH($F14,Rango_Admin_DailyPred_Primera,0),0),"-")</f>
        <v>-</v>
      </c>
      <c r="AD14" s="412" t="str">
        <f ca="1">IFERROR(VLOOKUP(AD$2,Rango_Admin_DailyPred,MATCH($F14,Rango_Admin_DailyPred_Primera,0),0),"-")</f>
        <v>-</v>
      </c>
      <c r="AE14" s="412" t="str">
        <f ca="1">IFERROR(VLOOKUP(AE$2,Rango_Admin_DailyPred,MATCH($F14,Rango_Admin_DailyPred_Primera,0),0),"-")</f>
        <v>-</v>
      </c>
      <c r="AF14" s="412" t="str">
        <f ca="1">IFERROR(VLOOKUP(AF$2,Rango_Admin_DailyPred,MATCH($F14,Rango_Admin_DailyPred_Primera,0),0),"-")</f>
        <v>-</v>
      </c>
      <c r="AG14" s="412" t="str">
        <f ca="1">IFERROR(VLOOKUP(AG$2,Rango_Admin_DailyPred,MATCH($F14,Rango_Admin_DailyPred_Primera,0),0),"-")</f>
        <v>-</v>
      </c>
      <c r="AH14" s="412" t="str">
        <f ca="1">IFERROR(VLOOKUP(AH$2,Rango_Admin_DailyPred,MATCH($F14,Rango_Admin_DailyPred_Primera,0),0),"-")</f>
        <v>-</v>
      </c>
      <c r="AI14" s="412" t="str">
        <f ca="1">IFERROR(VLOOKUP(AI$2,Rango_Admin_DailyPred,MATCH($F14,Rango_Admin_DailyPred_Primera,0),0),"-")</f>
        <v>-</v>
      </c>
      <c r="AJ14" s="412" t="str">
        <f ca="1">IFERROR(VLOOKUP(AJ$2,Rango_Admin_DailyPred,MATCH($F14,Rango_Admin_DailyPred_Primera,0),0),"-")</f>
        <v>-</v>
      </c>
      <c r="AK14" s="412" t="str">
        <f ca="1">IFERROR(VLOOKUP(AK$2,Rango_Admin_DailyPred,MATCH($F14,Rango_Admin_DailyPred_Primera,0),0),"-")</f>
        <v>-</v>
      </c>
      <c r="AL14" s="412" t="str">
        <f ca="1">IFERROR(VLOOKUP(AL$2,Rango_Admin_DailyPred,MATCH($F14,Rango_Admin_DailyPred_Primera,0),0),"-")</f>
        <v>-</v>
      </c>
      <c r="AM14" s="287"/>
      <c r="AN14" s="287"/>
      <c r="AO14" s="28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772">
        <f t="shared" si="2"/>
        <v>42</v>
      </c>
      <c r="F15" s="393" t="str" cm="1">
        <f t="array" ref="F15">IFERROR(INDEX(Rango_Admin_DailyPred_Primera,1,E15),"-")</f>
        <v>MIKEL</v>
      </c>
      <c r="G15" s="412" t="str">
        <f ca="1">IFERROR(VLOOKUP(G$2,Rango_Admin_DailyPred,MATCH($F15,Rango_Admin_DailyPred_Primera,0),0),"-")</f>
        <v>2|0-1</v>
      </c>
      <c r="H15" s="412" t="str">
        <f ca="1">IFERROR(VLOOKUP(H$2,Rango_Admin_DailyPred,MATCH($F15,Rango_Admin_DailyPred_Primera,0),0),"-")</f>
        <v>1|1-0</v>
      </c>
      <c r="I15" s="412" t="str">
        <f ca="1">IFERROR(VLOOKUP(I$2,Rango_Admin_DailyPred,MATCH($F15,Rango_Admin_DailyPred_Primera,0),0),"-")</f>
        <v>-</v>
      </c>
      <c r="J15" s="412" t="str">
        <f ca="1">IFERROR(VLOOKUP(J$2,Rango_Admin_DailyPred,MATCH($F15,Rango_Admin_DailyPred_Primera,0),0),"-")</f>
        <v>-</v>
      </c>
      <c r="K15" s="412" t="str">
        <f ca="1">IFERROR(VLOOKUP(K$2,Rango_Admin_DailyPred,MATCH($F15,Rango_Admin_DailyPred_Primera,0),0),"-")</f>
        <v>-</v>
      </c>
      <c r="L15" s="412" t="str">
        <f ca="1">IFERROR(VLOOKUP(L$2,Rango_Admin_DailyPred,MATCH($F15,Rango_Admin_DailyPred_Primera,0),0),"-")</f>
        <v>-</v>
      </c>
      <c r="M15" s="412" t="str">
        <f ca="1">IFERROR(VLOOKUP(M$2,Rango_Admin_DailyPred,MATCH($F15,Rango_Admin_DailyPred_Primera,0),0),"-")</f>
        <v>-</v>
      </c>
      <c r="N15" s="412" t="str">
        <f ca="1">IFERROR(VLOOKUP(N$2,Rango_Admin_DailyPred,MATCH($F15,Rango_Admin_DailyPred_Primera,0),0),"-")</f>
        <v>-</v>
      </c>
      <c r="O15" s="412" t="str">
        <f ca="1">IFERROR(VLOOKUP(O$2,Rango_Admin_DailyPred,MATCH($F15,Rango_Admin_DailyPred_Primera,0),0),"-")</f>
        <v>-</v>
      </c>
      <c r="P15" s="412" t="str">
        <f ca="1">IFERROR(VLOOKUP(P$2,Rango_Admin_DailyPred,MATCH($F15,Rango_Admin_DailyPred_Primera,0),0),"-")</f>
        <v>-</v>
      </c>
      <c r="Q15" s="412" t="str">
        <f ca="1">IFERROR(VLOOKUP(Q$2,Rango_Admin_DailyPred,MATCH($F15,Rango_Admin_DailyPred_Primera,0),0),"-")</f>
        <v>-</v>
      </c>
      <c r="R15" s="412" t="str">
        <f ca="1">IFERROR(VLOOKUP(R$2,Rango_Admin_DailyPred,MATCH($F15,Rango_Admin_DailyPred_Primera,0),0),"-")</f>
        <v>-</v>
      </c>
      <c r="S15" s="412" t="str">
        <f ca="1">IFERROR(VLOOKUP(S$2,Rango_Admin_DailyPred,MATCH($F15,Rango_Admin_DailyPred_Primera,0),0),"-")</f>
        <v>-</v>
      </c>
      <c r="T15" s="412" t="str">
        <f ca="1">IFERROR(VLOOKUP(T$2,Rango_Admin_DailyPred,MATCH($F15,Rango_Admin_DailyPred_Primera,0),0),"-")</f>
        <v>-</v>
      </c>
      <c r="U15" s="412" t="str">
        <f ca="1">IFERROR(VLOOKUP(U$2,Rango_Admin_DailyPred,MATCH($F15,Rango_Admin_DailyPred_Primera,0),0),"-")</f>
        <v>-</v>
      </c>
      <c r="V15" s="412" t="str">
        <f ca="1">IFERROR(VLOOKUP(V$2,Rango_Admin_DailyPred,MATCH($F15,Rango_Admin_DailyPred_Primera,0),0),"-")</f>
        <v>-</v>
      </c>
      <c r="W15" s="412" t="str">
        <f ca="1">IFERROR(VLOOKUP(W$2,Rango_Admin_DailyPred,MATCH($F15,Rango_Admin_DailyPred_Primera,0),0),"-")</f>
        <v>-</v>
      </c>
      <c r="X15" s="412" t="str">
        <f ca="1">IFERROR(VLOOKUP(X$2,Rango_Admin_DailyPred,MATCH($F15,Rango_Admin_DailyPred_Primera,0),0),"-")</f>
        <v>-</v>
      </c>
      <c r="Y15" s="412" t="str">
        <f ca="1">IFERROR(VLOOKUP(Y$2,Rango_Admin_DailyPred,MATCH($F15,Rango_Admin_DailyPred_Primera,0),0),"-")</f>
        <v>-</v>
      </c>
      <c r="Z15" s="412" t="str">
        <f ca="1">IFERROR(VLOOKUP(Z$2,Rango_Admin_DailyPred,MATCH($F15,Rango_Admin_DailyPred_Primera,0),0),"-")</f>
        <v>-</v>
      </c>
      <c r="AA15" s="412" t="str">
        <f ca="1">IFERROR(VLOOKUP(AA$2,Rango_Admin_DailyPred,MATCH($F15,Rango_Admin_DailyPred_Primera,0),0),"-")</f>
        <v>-</v>
      </c>
      <c r="AB15" s="412" t="str">
        <f ca="1">IFERROR(VLOOKUP(AB$2,Rango_Admin_DailyPred,MATCH($F15,Rango_Admin_DailyPred_Primera,0),0),"-")</f>
        <v>-</v>
      </c>
      <c r="AC15" s="412" t="str">
        <f ca="1">IFERROR(VLOOKUP(AC$2,Rango_Admin_DailyPred,MATCH($F15,Rango_Admin_DailyPred_Primera,0),0),"-")</f>
        <v>-</v>
      </c>
      <c r="AD15" s="412" t="str">
        <f ca="1">IFERROR(VLOOKUP(AD$2,Rango_Admin_DailyPred,MATCH($F15,Rango_Admin_DailyPred_Primera,0),0),"-")</f>
        <v>-</v>
      </c>
      <c r="AE15" s="412" t="str">
        <f ca="1">IFERROR(VLOOKUP(AE$2,Rango_Admin_DailyPred,MATCH($F15,Rango_Admin_DailyPred_Primera,0),0),"-")</f>
        <v>-</v>
      </c>
      <c r="AF15" s="412" t="str">
        <f ca="1">IFERROR(VLOOKUP(AF$2,Rango_Admin_DailyPred,MATCH($F15,Rango_Admin_DailyPred_Primera,0),0),"-")</f>
        <v>-</v>
      </c>
      <c r="AG15" s="412" t="str">
        <f ca="1">IFERROR(VLOOKUP(AG$2,Rango_Admin_DailyPred,MATCH($F15,Rango_Admin_DailyPred_Primera,0),0),"-")</f>
        <v>-</v>
      </c>
      <c r="AH15" s="412" t="str">
        <f ca="1">IFERROR(VLOOKUP(AH$2,Rango_Admin_DailyPred,MATCH($F15,Rango_Admin_DailyPred_Primera,0),0),"-")</f>
        <v>-</v>
      </c>
      <c r="AI15" s="412" t="str">
        <f ca="1">IFERROR(VLOOKUP(AI$2,Rango_Admin_DailyPred,MATCH($F15,Rango_Admin_DailyPred_Primera,0),0),"-")</f>
        <v>-</v>
      </c>
      <c r="AJ15" s="412" t="str">
        <f ca="1">IFERROR(VLOOKUP(AJ$2,Rango_Admin_DailyPred,MATCH($F15,Rango_Admin_DailyPred_Primera,0),0),"-")</f>
        <v>-</v>
      </c>
      <c r="AK15" s="412" t="str">
        <f ca="1">IFERROR(VLOOKUP(AK$2,Rango_Admin_DailyPred,MATCH($F15,Rango_Admin_DailyPred_Primera,0),0),"-")</f>
        <v>-</v>
      </c>
      <c r="AL15" s="412" t="str">
        <f ca="1">IFERROR(VLOOKUP(AL$2,Rango_Admin_DailyPred,MATCH($F15,Rango_Admin_DailyPred_Primera,0),0),"-")</f>
        <v>-</v>
      </c>
      <c r="AM15" s="287"/>
      <c r="AN15" s="287"/>
      <c r="AO15" s="28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772">
        <f t="shared" si="2"/>
        <v>45</v>
      </c>
      <c r="F16" s="393" t="str" cm="1">
        <f t="array" ref="F16">IFERROR(INDEX(Rango_Admin_DailyPred_Primera,1,E16),"-")</f>
        <v>JON</v>
      </c>
      <c r="G16" s="412" t="str">
        <f ca="1">IFERROR(VLOOKUP(G$2,Rango_Admin_DailyPred,MATCH($F16,Rango_Admin_DailyPred_Primera,0),0),"-")</f>
        <v>2|0-5</v>
      </c>
      <c r="H16" s="412" t="str">
        <f ca="1">IFERROR(VLOOKUP(H$2,Rango_Admin_DailyPred,MATCH($F16,Rango_Admin_DailyPred_Primera,0),0),"-")</f>
        <v>X|1-1</v>
      </c>
      <c r="I16" s="412" t="str">
        <f ca="1">IFERROR(VLOOKUP(I$2,Rango_Admin_DailyPred,MATCH($F16,Rango_Admin_DailyPred_Primera,0),0),"-")</f>
        <v>-</v>
      </c>
      <c r="J16" s="412" t="str">
        <f ca="1">IFERROR(VLOOKUP(J$2,Rango_Admin_DailyPred,MATCH($F16,Rango_Admin_DailyPred_Primera,0),0),"-")</f>
        <v>-</v>
      </c>
      <c r="K16" s="412" t="str">
        <f ca="1">IFERROR(VLOOKUP(K$2,Rango_Admin_DailyPred,MATCH($F16,Rango_Admin_DailyPred_Primera,0),0),"-")</f>
        <v>-</v>
      </c>
      <c r="L16" s="412" t="str">
        <f ca="1">IFERROR(VLOOKUP(L$2,Rango_Admin_DailyPred,MATCH($F16,Rango_Admin_DailyPred_Primera,0),0),"-")</f>
        <v>-</v>
      </c>
      <c r="M16" s="412" t="str">
        <f ca="1">IFERROR(VLOOKUP(M$2,Rango_Admin_DailyPred,MATCH($F16,Rango_Admin_DailyPred_Primera,0),0),"-")</f>
        <v>-</v>
      </c>
      <c r="N16" s="412" t="str">
        <f ca="1">IFERROR(VLOOKUP(N$2,Rango_Admin_DailyPred,MATCH($F16,Rango_Admin_DailyPred_Primera,0),0),"-")</f>
        <v>-</v>
      </c>
      <c r="O16" s="412" t="str">
        <f ca="1">IFERROR(VLOOKUP(O$2,Rango_Admin_DailyPred,MATCH($F16,Rango_Admin_DailyPred_Primera,0),0),"-")</f>
        <v>-</v>
      </c>
      <c r="P16" s="412" t="str">
        <f ca="1">IFERROR(VLOOKUP(P$2,Rango_Admin_DailyPred,MATCH($F16,Rango_Admin_DailyPred_Primera,0),0),"-")</f>
        <v>-</v>
      </c>
      <c r="Q16" s="412" t="str">
        <f ca="1">IFERROR(VLOOKUP(Q$2,Rango_Admin_DailyPred,MATCH($F16,Rango_Admin_DailyPred_Primera,0),0),"-")</f>
        <v>-</v>
      </c>
      <c r="R16" s="412" t="str">
        <f ca="1">IFERROR(VLOOKUP(R$2,Rango_Admin_DailyPred,MATCH($F16,Rango_Admin_DailyPred_Primera,0),0),"-")</f>
        <v>-</v>
      </c>
      <c r="S16" s="412" t="str">
        <f ca="1">IFERROR(VLOOKUP(S$2,Rango_Admin_DailyPred,MATCH($F16,Rango_Admin_DailyPred_Primera,0),0),"-")</f>
        <v>-</v>
      </c>
      <c r="T16" s="412" t="str">
        <f ca="1">IFERROR(VLOOKUP(T$2,Rango_Admin_DailyPred,MATCH($F16,Rango_Admin_DailyPred_Primera,0),0),"-")</f>
        <v>-</v>
      </c>
      <c r="U16" s="412" t="str">
        <f ca="1">IFERROR(VLOOKUP(U$2,Rango_Admin_DailyPred,MATCH($F16,Rango_Admin_DailyPred_Primera,0),0),"-")</f>
        <v>-</v>
      </c>
      <c r="V16" s="412" t="str">
        <f ca="1">IFERROR(VLOOKUP(V$2,Rango_Admin_DailyPred,MATCH($F16,Rango_Admin_DailyPred_Primera,0),0),"-")</f>
        <v>-</v>
      </c>
      <c r="W16" s="412" t="str">
        <f ca="1">IFERROR(VLOOKUP(W$2,Rango_Admin_DailyPred,MATCH($F16,Rango_Admin_DailyPred_Primera,0),0),"-")</f>
        <v>-</v>
      </c>
      <c r="X16" s="412" t="str">
        <f ca="1">IFERROR(VLOOKUP(X$2,Rango_Admin_DailyPred,MATCH($F16,Rango_Admin_DailyPred_Primera,0),0),"-")</f>
        <v>-</v>
      </c>
      <c r="Y16" s="412" t="str">
        <f ca="1">IFERROR(VLOOKUP(Y$2,Rango_Admin_DailyPred,MATCH($F16,Rango_Admin_DailyPred_Primera,0),0),"-")</f>
        <v>-</v>
      </c>
      <c r="Z16" s="412" t="str">
        <f ca="1">IFERROR(VLOOKUP(Z$2,Rango_Admin_DailyPred,MATCH($F16,Rango_Admin_DailyPred_Primera,0),0),"-")</f>
        <v>-</v>
      </c>
      <c r="AA16" s="412" t="str">
        <f ca="1">IFERROR(VLOOKUP(AA$2,Rango_Admin_DailyPred,MATCH($F16,Rango_Admin_DailyPred_Primera,0),0),"-")</f>
        <v>-</v>
      </c>
      <c r="AB16" s="412" t="str">
        <f ca="1">IFERROR(VLOOKUP(AB$2,Rango_Admin_DailyPred,MATCH($F16,Rango_Admin_DailyPred_Primera,0),0),"-")</f>
        <v>-</v>
      </c>
      <c r="AC16" s="412" t="str">
        <f ca="1">IFERROR(VLOOKUP(AC$2,Rango_Admin_DailyPred,MATCH($F16,Rango_Admin_DailyPred_Primera,0),0),"-")</f>
        <v>-</v>
      </c>
      <c r="AD16" s="412" t="str">
        <f ca="1">IFERROR(VLOOKUP(AD$2,Rango_Admin_DailyPred,MATCH($F16,Rango_Admin_DailyPred_Primera,0),0),"-")</f>
        <v>-</v>
      </c>
      <c r="AE16" s="412" t="str">
        <f ca="1">IFERROR(VLOOKUP(AE$2,Rango_Admin_DailyPred,MATCH($F16,Rango_Admin_DailyPred_Primera,0),0),"-")</f>
        <v>-</v>
      </c>
      <c r="AF16" s="412" t="str">
        <f ca="1">IFERROR(VLOOKUP(AF$2,Rango_Admin_DailyPred,MATCH($F16,Rango_Admin_DailyPred_Primera,0),0),"-")</f>
        <v>-</v>
      </c>
      <c r="AG16" s="412" t="str">
        <f ca="1">IFERROR(VLOOKUP(AG$2,Rango_Admin_DailyPred,MATCH($F16,Rango_Admin_DailyPred_Primera,0),0),"-")</f>
        <v>-</v>
      </c>
      <c r="AH16" s="412" t="str">
        <f ca="1">IFERROR(VLOOKUP(AH$2,Rango_Admin_DailyPred,MATCH($F16,Rango_Admin_DailyPred_Primera,0),0),"-")</f>
        <v>-</v>
      </c>
      <c r="AI16" s="412" t="str">
        <f ca="1">IFERROR(VLOOKUP(AI$2,Rango_Admin_DailyPred,MATCH($F16,Rango_Admin_DailyPred_Primera,0),0),"-")</f>
        <v>-</v>
      </c>
      <c r="AJ16" s="412" t="str">
        <f ca="1">IFERROR(VLOOKUP(AJ$2,Rango_Admin_DailyPred,MATCH($F16,Rango_Admin_DailyPred_Primera,0),0),"-")</f>
        <v>-</v>
      </c>
      <c r="AK16" s="412" t="str">
        <f ca="1">IFERROR(VLOOKUP(AK$2,Rango_Admin_DailyPred,MATCH($F16,Rango_Admin_DailyPred_Primera,0),0),"-")</f>
        <v>-</v>
      </c>
      <c r="AL16" s="412" t="str">
        <f ca="1">IFERROR(VLOOKUP(AL$2,Rango_Admin_DailyPred,MATCH($F16,Rango_Admin_DailyPred_Primera,0),0),"-")</f>
        <v>-</v>
      </c>
      <c r="AM16" s="287"/>
      <c r="AN16" s="287"/>
      <c r="AO16" s="28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772">
        <f t="shared" si="2"/>
        <v>48</v>
      </c>
      <c r="F17" s="393" t="str" cm="1">
        <f t="array" ref="F17">IFERROR(INDEX(Rango_Admin_DailyPred_Primera,1,E17),"-")</f>
        <v>GALDER</v>
      </c>
      <c r="G17" s="412" t="str">
        <f ca="1">IFERROR(VLOOKUP(G$2,Rango_Admin_DailyPred,MATCH($F17,Rango_Admin_DailyPred_Primera,0),0),"-")</f>
        <v>2|0-2</v>
      </c>
      <c r="H17" s="412" t="str">
        <f ca="1">IFERROR(VLOOKUP(H$2,Rango_Admin_DailyPred,MATCH($F17,Rango_Admin_DailyPred_Primera,0),0),"-")</f>
        <v>X|0-0</v>
      </c>
      <c r="I17" s="412" t="str">
        <f ca="1">IFERROR(VLOOKUP(I$2,Rango_Admin_DailyPred,MATCH($F17,Rango_Admin_DailyPred_Primera,0),0),"-")</f>
        <v>-</v>
      </c>
      <c r="J17" s="412" t="str">
        <f ca="1">IFERROR(VLOOKUP(J$2,Rango_Admin_DailyPred,MATCH($F17,Rango_Admin_DailyPred_Primera,0),0),"-")</f>
        <v>-</v>
      </c>
      <c r="K17" s="412" t="str">
        <f ca="1">IFERROR(VLOOKUP(K$2,Rango_Admin_DailyPred,MATCH($F17,Rango_Admin_DailyPred_Primera,0),0),"-")</f>
        <v>-</v>
      </c>
      <c r="L17" s="412" t="str">
        <f ca="1">IFERROR(VLOOKUP(L$2,Rango_Admin_DailyPred,MATCH($F17,Rango_Admin_DailyPred_Primera,0),0),"-")</f>
        <v>-</v>
      </c>
      <c r="M17" s="412" t="str">
        <f ca="1">IFERROR(VLOOKUP(M$2,Rango_Admin_DailyPred,MATCH($F17,Rango_Admin_DailyPred_Primera,0),0),"-")</f>
        <v>-</v>
      </c>
      <c r="N17" s="412" t="str">
        <f ca="1">IFERROR(VLOOKUP(N$2,Rango_Admin_DailyPred,MATCH($F17,Rango_Admin_DailyPred_Primera,0),0),"-")</f>
        <v>-</v>
      </c>
      <c r="O17" s="412" t="str">
        <f ca="1">IFERROR(VLOOKUP(O$2,Rango_Admin_DailyPred,MATCH($F17,Rango_Admin_DailyPred_Primera,0),0),"-")</f>
        <v>-</v>
      </c>
      <c r="P17" s="412" t="str">
        <f ca="1">IFERROR(VLOOKUP(P$2,Rango_Admin_DailyPred,MATCH($F17,Rango_Admin_DailyPred_Primera,0),0),"-")</f>
        <v>-</v>
      </c>
      <c r="Q17" s="412" t="str">
        <f ca="1">IFERROR(VLOOKUP(Q$2,Rango_Admin_DailyPred,MATCH($F17,Rango_Admin_DailyPred_Primera,0),0),"-")</f>
        <v>-</v>
      </c>
      <c r="R17" s="412" t="str">
        <f ca="1">IFERROR(VLOOKUP(R$2,Rango_Admin_DailyPred,MATCH($F17,Rango_Admin_DailyPred_Primera,0),0),"-")</f>
        <v>-</v>
      </c>
      <c r="S17" s="412" t="str">
        <f ca="1">IFERROR(VLOOKUP(S$2,Rango_Admin_DailyPred,MATCH($F17,Rango_Admin_DailyPred_Primera,0),0),"-")</f>
        <v>-</v>
      </c>
      <c r="T17" s="412" t="str">
        <f ca="1">IFERROR(VLOOKUP(T$2,Rango_Admin_DailyPred,MATCH($F17,Rango_Admin_DailyPred_Primera,0),0),"-")</f>
        <v>-</v>
      </c>
      <c r="U17" s="412" t="str">
        <f ca="1">IFERROR(VLOOKUP(U$2,Rango_Admin_DailyPred,MATCH($F17,Rango_Admin_DailyPred_Primera,0),0),"-")</f>
        <v>-</v>
      </c>
      <c r="V17" s="412" t="str">
        <f ca="1">IFERROR(VLOOKUP(V$2,Rango_Admin_DailyPred,MATCH($F17,Rango_Admin_DailyPred_Primera,0),0),"-")</f>
        <v>-</v>
      </c>
      <c r="W17" s="412" t="str">
        <f ca="1">IFERROR(VLOOKUP(W$2,Rango_Admin_DailyPred,MATCH($F17,Rango_Admin_DailyPred_Primera,0),0),"-")</f>
        <v>-</v>
      </c>
      <c r="X17" s="412" t="str">
        <f ca="1">IFERROR(VLOOKUP(X$2,Rango_Admin_DailyPred,MATCH($F17,Rango_Admin_DailyPred_Primera,0),0),"-")</f>
        <v>-</v>
      </c>
      <c r="Y17" s="412" t="str">
        <f ca="1">IFERROR(VLOOKUP(Y$2,Rango_Admin_DailyPred,MATCH($F17,Rango_Admin_DailyPred_Primera,0),0),"-")</f>
        <v>-</v>
      </c>
      <c r="Z17" s="412" t="str">
        <f ca="1">IFERROR(VLOOKUP(Z$2,Rango_Admin_DailyPred,MATCH($F17,Rango_Admin_DailyPred_Primera,0),0),"-")</f>
        <v>-</v>
      </c>
      <c r="AA17" s="412" t="str">
        <f ca="1">IFERROR(VLOOKUP(AA$2,Rango_Admin_DailyPred,MATCH($F17,Rango_Admin_DailyPred_Primera,0),0),"-")</f>
        <v>-</v>
      </c>
      <c r="AB17" s="412" t="str">
        <f ca="1">IFERROR(VLOOKUP(AB$2,Rango_Admin_DailyPred,MATCH($F17,Rango_Admin_DailyPred_Primera,0),0),"-")</f>
        <v>-</v>
      </c>
      <c r="AC17" s="412" t="str">
        <f ca="1">IFERROR(VLOOKUP(AC$2,Rango_Admin_DailyPred,MATCH($F17,Rango_Admin_DailyPred_Primera,0),0),"-")</f>
        <v>-</v>
      </c>
      <c r="AD17" s="412" t="str">
        <f ca="1">IFERROR(VLOOKUP(AD$2,Rango_Admin_DailyPred,MATCH($F17,Rango_Admin_DailyPred_Primera,0),0),"-")</f>
        <v>-</v>
      </c>
      <c r="AE17" s="412" t="str">
        <f ca="1">IFERROR(VLOOKUP(AE$2,Rango_Admin_DailyPred,MATCH($F17,Rango_Admin_DailyPred_Primera,0),0),"-")</f>
        <v>-</v>
      </c>
      <c r="AF17" s="412" t="str">
        <f ca="1">IFERROR(VLOOKUP(AF$2,Rango_Admin_DailyPred,MATCH($F17,Rango_Admin_DailyPred_Primera,0),0),"-")</f>
        <v>-</v>
      </c>
      <c r="AG17" s="412" t="str">
        <f ca="1">IFERROR(VLOOKUP(AG$2,Rango_Admin_DailyPred,MATCH($F17,Rango_Admin_DailyPred_Primera,0),0),"-")</f>
        <v>-</v>
      </c>
      <c r="AH17" s="412" t="str">
        <f ca="1">IFERROR(VLOOKUP(AH$2,Rango_Admin_DailyPred,MATCH($F17,Rango_Admin_DailyPred_Primera,0),0),"-")</f>
        <v>-</v>
      </c>
      <c r="AI17" s="412" t="str">
        <f ca="1">IFERROR(VLOOKUP(AI$2,Rango_Admin_DailyPred,MATCH($F17,Rango_Admin_DailyPred_Primera,0),0),"-")</f>
        <v>-</v>
      </c>
      <c r="AJ17" s="412" t="str">
        <f ca="1">IFERROR(VLOOKUP(AJ$2,Rango_Admin_DailyPred,MATCH($F17,Rango_Admin_DailyPred_Primera,0),0),"-")</f>
        <v>-</v>
      </c>
      <c r="AK17" s="412" t="str">
        <f ca="1">IFERROR(VLOOKUP(AK$2,Rango_Admin_DailyPred,MATCH($F17,Rango_Admin_DailyPred_Primera,0),0),"-")</f>
        <v>-</v>
      </c>
      <c r="AL17" s="412" t="str">
        <f ca="1">IFERROR(VLOOKUP(AL$2,Rango_Admin_DailyPred,MATCH($F17,Rango_Admin_DailyPred_Primera,0),0),"-")</f>
        <v>-</v>
      </c>
      <c r="AM17" s="287"/>
      <c r="AN17" s="287"/>
      <c r="AO17" s="28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772">
        <f t="shared" si="2"/>
        <v>51</v>
      </c>
      <c r="F18" s="393" t="str" cm="1">
        <f t="array" ref="F18">IFERROR(INDEX(Rango_Admin_DailyPred_Primera,1,E18),"-")</f>
        <v>ASIER</v>
      </c>
      <c r="G18" s="412" t="str">
        <f ca="1">IFERROR(VLOOKUP(G$2,Rango_Admin_DailyPred,MATCH($F18,Rango_Admin_DailyPred_Primera,0),0),"-")</f>
        <v>2|0-1</v>
      </c>
      <c r="H18" s="412" t="str">
        <f ca="1">IFERROR(VLOOKUP(H$2,Rango_Admin_DailyPred,MATCH($F18,Rango_Admin_DailyPred_Primera,0),0),"-")</f>
        <v>1|1-0</v>
      </c>
      <c r="I18" s="412" t="str">
        <f ca="1">IFERROR(VLOOKUP(I$2,Rango_Admin_DailyPred,MATCH($F18,Rango_Admin_DailyPred_Primera,0),0),"-")</f>
        <v>-</v>
      </c>
      <c r="J18" s="412" t="str">
        <f ca="1">IFERROR(VLOOKUP(J$2,Rango_Admin_DailyPred,MATCH($F18,Rango_Admin_DailyPred_Primera,0),0),"-")</f>
        <v>-</v>
      </c>
      <c r="K18" s="412" t="str">
        <f ca="1">IFERROR(VLOOKUP(K$2,Rango_Admin_DailyPred,MATCH($F18,Rango_Admin_DailyPred_Primera,0),0),"-")</f>
        <v>-</v>
      </c>
      <c r="L18" s="412" t="str">
        <f ca="1">IFERROR(VLOOKUP(L$2,Rango_Admin_DailyPred,MATCH($F18,Rango_Admin_DailyPred_Primera,0),0),"-")</f>
        <v>-</v>
      </c>
      <c r="M18" s="412" t="str">
        <f ca="1">IFERROR(VLOOKUP(M$2,Rango_Admin_DailyPred,MATCH($F18,Rango_Admin_DailyPred_Primera,0),0),"-")</f>
        <v>-</v>
      </c>
      <c r="N18" s="412" t="str">
        <f ca="1">IFERROR(VLOOKUP(N$2,Rango_Admin_DailyPred,MATCH($F18,Rango_Admin_DailyPred_Primera,0),0),"-")</f>
        <v>-</v>
      </c>
      <c r="O18" s="412" t="str">
        <f ca="1">IFERROR(VLOOKUP(O$2,Rango_Admin_DailyPred,MATCH($F18,Rango_Admin_DailyPred_Primera,0),0),"-")</f>
        <v>-</v>
      </c>
      <c r="P18" s="412" t="str">
        <f ca="1">IFERROR(VLOOKUP(P$2,Rango_Admin_DailyPred,MATCH($F18,Rango_Admin_DailyPred_Primera,0),0),"-")</f>
        <v>-</v>
      </c>
      <c r="Q18" s="412" t="str">
        <f ca="1">IFERROR(VLOOKUP(Q$2,Rango_Admin_DailyPred,MATCH($F18,Rango_Admin_DailyPred_Primera,0),0),"-")</f>
        <v>-</v>
      </c>
      <c r="R18" s="412" t="str">
        <f ca="1">IFERROR(VLOOKUP(R$2,Rango_Admin_DailyPred,MATCH($F18,Rango_Admin_DailyPred_Primera,0),0),"-")</f>
        <v>-</v>
      </c>
      <c r="S18" s="412" t="str">
        <f ca="1">IFERROR(VLOOKUP(S$2,Rango_Admin_DailyPred,MATCH($F18,Rango_Admin_DailyPred_Primera,0),0),"-")</f>
        <v>-</v>
      </c>
      <c r="T18" s="412" t="str">
        <f ca="1">IFERROR(VLOOKUP(T$2,Rango_Admin_DailyPred,MATCH($F18,Rango_Admin_DailyPred_Primera,0),0),"-")</f>
        <v>-</v>
      </c>
      <c r="U18" s="412" t="str">
        <f ca="1">IFERROR(VLOOKUP(U$2,Rango_Admin_DailyPred,MATCH($F18,Rango_Admin_DailyPred_Primera,0),0),"-")</f>
        <v>-</v>
      </c>
      <c r="V18" s="412" t="str">
        <f ca="1">IFERROR(VLOOKUP(V$2,Rango_Admin_DailyPred,MATCH($F18,Rango_Admin_DailyPred_Primera,0),0),"-")</f>
        <v>-</v>
      </c>
      <c r="W18" s="412" t="str">
        <f ca="1">IFERROR(VLOOKUP(W$2,Rango_Admin_DailyPred,MATCH($F18,Rango_Admin_DailyPred_Primera,0),0),"-")</f>
        <v>-</v>
      </c>
      <c r="X18" s="412" t="str">
        <f ca="1">IFERROR(VLOOKUP(X$2,Rango_Admin_DailyPred,MATCH($F18,Rango_Admin_DailyPred_Primera,0),0),"-")</f>
        <v>-</v>
      </c>
      <c r="Y18" s="412" t="str">
        <f ca="1">IFERROR(VLOOKUP(Y$2,Rango_Admin_DailyPred,MATCH($F18,Rango_Admin_DailyPred_Primera,0),0),"-")</f>
        <v>-</v>
      </c>
      <c r="Z18" s="412" t="str">
        <f ca="1">IFERROR(VLOOKUP(Z$2,Rango_Admin_DailyPred,MATCH($F18,Rango_Admin_DailyPred_Primera,0),0),"-")</f>
        <v>-</v>
      </c>
      <c r="AA18" s="412" t="str">
        <f ca="1">IFERROR(VLOOKUP(AA$2,Rango_Admin_DailyPred,MATCH($F18,Rango_Admin_DailyPred_Primera,0),0),"-")</f>
        <v>-</v>
      </c>
      <c r="AB18" s="412" t="str">
        <f ca="1">IFERROR(VLOOKUP(AB$2,Rango_Admin_DailyPred,MATCH($F18,Rango_Admin_DailyPred_Primera,0),0),"-")</f>
        <v>-</v>
      </c>
      <c r="AC18" s="412" t="str">
        <f ca="1">IFERROR(VLOOKUP(AC$2,Rango_Admin_DailyPred,MATCH($F18,Rango_Admin_DailyPred_Primera,0),0),"-")</f>
        <v>-</v>
      </c>
      <c r="AD18" s="412" t="str">
        <f ca="1">IFERROR(VLOOKUP(AD$2,Rango_Admin_DailyPred,MATCH($F18,Rango_Admin_DailyPred_Primera,0),0),"-")</f>
        <v>-</v>
      </c>
      <c r="AE18" s="412" t="str">
        <f ca="1">IFERROR(VLOOKUP(AE$2,Rango_Admin_DailyPred,MATCH($F18,Rango_Admin_DailyPred_Primera,0),0),"-")</f>
        <v>-</v>
      </c>
      <c r="AF18" s="412" t="str">
        <f ca="1">IFERROR(VLOOKUP(AF$2,Rango_Admin_DailyPred,MATCH($F18,Rango_Admin_DailyPred_Primera,0),0),"-")</f>
        <v>-</v>
      </c>
      <c r="AG18" s="412" t="str">
        <f ca="1">IFERROR(VLOOKUP(AG$2,Rango_Admin_DailyPred,MATCH($F18,Rango_Admin_DailyPred_Primera,0),0),"-")</f>
        <v>-</v>
      </c>
      <c r="AH18" s="412" t="str">
        <f ca="1">IFERROR(VLOOKUP(AH$2,Rango_Admin_DailyPred,MATCH($F18,Rango_Admin_DailyPred_Primera,0),0),"-")</f>
        <v>-</v>
      </c>
      <c r="AI18" s="412" t="str">
        <f ca="1">IFERROR(VLOOKUP(AI$2,Rango_Admin_DailyPred,MATCH($F18,Rango_Admin_DailyPred_Primera,0),0),"-")</f>
        <v>-</v>
      </c>
      <c r="AJ18" s="412" t="str">
        <f ca="1">IFERROR(VLOOKUP(AJ$2,Rango_Admin_DailyPred,MATCH($F18,Rango_Admin_DailyPred_Primera,0),0),"-")</f>
        <v>-</v>
      </c>
      <c r="AK18" s="412" t="str">
        <f ca="1">IFERROR(VLOOKUP(AK$2,Rango_Admin_DailyPred,MATCH($F18,Rango_Admin_DailyPred_Primera,0),0),"-")</f>
        <v>-</v>
      </c>
      <c r="AL18" s="412" t="str">
        <f ca="1">IFERROR(VLOOKUP(AL$2,Rango_Admin_DailyPred,MATCH($F18,Rango_Admin_DailyPred_Primera,0),0),"-")</f>
        <v>-</v>
      </c>
      <c r="AM18" s="287"/>
      <c r="AN18" s="287"/>
      <c r="AO18" s="28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772">
        <f t="shared" si="2"/>
        <v>54</v>
      </c>
      <c r="F19" s="393" t="str" cm="1">
        <f t="array" ref="F19">IFERROR(INDEX(Rango_Admin_DailyPred_Primera,1,E19),"-")</f>
        <v>PEIO</v>
      </c>
      <c r="G19" s="412" t="str">
        <f ca="1">IFERROR(VLOOKUP(G$2,Rango_Admin_DailyPred,MATCH($F19,Rango_Admin_DailyPred_Primera,0),0),"-")</f>
        <v>2|1-3</v>
      </c>
      <c r="H19" s="412" t="str">
        <f ca="1">IFERROR(VLOOKUP(H$2,Rango_Admin_DailyPred,MATCH($F19,Rango_Admin_DailyPred_Primera,0),0),"-")</f>
        <v>1|2-1</v>
      </c>
      <c r="I19" s="412" t="str">
        <f ca="1">IFERROR(VLOOKUP(I$2,Rango_Admin_DailyPred,MATCH($F19,Rango_Admin_DailyPred_Primera,0),0),"-")</f>
        <v>-</v>
      </c>
      <c r="J19" s="412" t="str">
        <f ca="1">IFERROR(VLOOKUP(J$2,Rango_Admin_DailyPred,MATCH($F19,Rango_Admin_DailyPred_Primera,0),0),"-")</f>
        <v>-</v>
      </c>
      <c r="K19" s="412" t="str">
        <f ca="1">IFERROR(VLOOKUP(K$2,Rango_Admin_DailyPred,MATCH($F19,Rango_Admin_DailyPred_Primera,0),0),"-")</f>
        <v>-</v>
      </c>
      <c r="L19" s="412" t="str">
        <f ca="1">IFERROR(VLOOKUP(L$2,Rango_Admin_DailyPred,MATCH($F19,Rango_Admin_DailyPred_Primera,0),0),"-")</f>
        <v>-</v>
      </c>
      <c r="M19" s="412" t="str">
        <f ca="1">IFERROR(VLOOKUP(M$2,Rango_Admin_DailyPred,MATCH($F19,Rango_Admin_DailyPred_Primera,0),0),"-")</f>
        <v>-</v>
      </c>
      <c r="N19" s="412" t="str">
        <f ca="1">IFERROR(VLOOKUP(N$2,Rango_Admin_DailyPred,MATCH($F19,Rango_Admin_DailyPred_Primera,0),0),"-")</f>
        <v>-</v>
      </c>
      <c r="O19" s="412" t="str">
        <f ca="1">IFERROR(VLOOKUP(O$2,Rango_Admin_DailyPred,MATCH($F19,Rango_Admin_DailyPred_Primera,0),0),"-")</f>
        <v>-</v>
      </c>
      <c r="P19" s="412" t="str">
        <f ca="1">IFERROR(VLOOKUP(P$2,Rango_Admin_DailyPred,MATCH($F19,Rango_Admin_DailyPred_Primera,0),0),"-")</f>
        <v>-</v>
      </c>
      <c r="Q19" s="412" t="str">
        <f ca="1">IFERROR(VLOOKUP(Q$2,Rango_Admin_DailyPred,MATCH($F19,Rango_Admin_DailyPred_Primera,0),0),"-")</f>
        <v>-</v>
      </c>
      <c r="R19" s="412" t="str">
        <f ca="1">IFERROR(VLOOKUP(R$2,Rango_Admin_DailyPred,MATCH($F19,Rango_Admin_DailyPred_Primera,0),0),"-")</f>
        <v>-</v>
      </c>
      <c r="S19" s="412" t="str">
        <f ca="1">IFERROR(VLOOKUP(S$2,Rango_Admin_DailyPred,MATCH($F19,Rango_Admin_DailyPred_Primera,0),0),"-")</f>
        <v>-</v>
      </c>
      <c r="T19" s="412" t="str">
        <f ca="1">IFERROR(VLOOKUP(T$2,Rango_Admin_DailyPred,MATCH($F19,Rango_Admin_DailyPred_Primera,0),0),"-")</f>
        <v>-</v>
      </c>
      <c r="U19" s="412" t="str">
        <f ca="1">IFERROR(VLOOKUP(U$2,Rango_Admin_DailyPred,MATCH($F19,Rango_Admin_DailyPred_Primera,0),0),"-")</f>
        <v>-</v>
      </c>
      <c r="V19" s="412" t="str">
        <f ca="1">IFERROR(VLOOKUP(V$2,Rango_Admin_DailyPred,MATCH($F19,Rango_Admin_DailyPred_Primera,0),0),"-")</f>
        <v>-</v>
      </c>
      <c r="W19" s="412" t="str">
        <f ca="1">IFERROR(VLOOKUP(W$2,Rango_Admin_DailyPred,MATCH($F19,Rango_Admin_DailyPred_Primera,0),0),"-")</f>
        <v>-</v>
      </c>
      <c r="X19" s="412" t="str">
        <f ca="1">IFERROR(VLOOKUP(X$2,Rango_Admin_DailyPred,MATCH($F19,Rango_Admin_DailyPred_Primera,0),0),"-")</f>
        <v>-</v>
      </c>
      <c r="Y19" s="412" t="str">
        <f ca="1">IFERROR(VLOOKUP(Y$2,Rango_Admin_DailyPred,MATCH($F19,Rango_Admin_DailyPred_Primera,0),0),"-")</f>
        <v>-</v>
      </c>
      <c r="Z19" s="412" t="str">
        <f ca="1">IFERROR(VLOOKUP(Z$2,Rango_Admin_DailyPred,MATCH($F19,Rango_Admin_DailyPred_Primera,0),0),"-")</f>
        <v>-</v>
      </c>
      <c r="AA19" s="412" t="str">
        <f ca="1">IFERROR(VLOOKUP(AA$2,Rango_Admin_DailyPred,MATCH($F19,Rango_Admin_DailyPred_Primera,0),0),"-")</f>
        <v>-</v>
      </c>
      <c r="AB19" s="412" t="str">
        <f ca="1">IFERROR(VLOOKUP(AB$2,Rango_Admin_DailyPred,MATCH($F19,Rango_Admin_DailyPred_Primera,0),0),"-")</f>
        <v>-</v>
      </c>
      <c r="AC19" s="412" t="str">
        <f ca="1">IFERROR(VLOOKUP(AC$2,Rango_Admin_DailyPred,MATCH($F19,Rango_Admin_DailyPred_Primera,0),0),"-")</f>
        <v>-</v>
      </c>
      <c r="AD19" s="412" t="str">
        <f ca="1">IFERROR(VLOOKUP(AD$2,Rango_Admin_DailyPred,MATCH($F19,Rango_Admin_DailyPred_Primera,0),0),"-")</f>
        <v>-</v>
      </c>
      <c r="AE19" s="412" t="str">
        <f ca="1">IFERROR(VLOOKUP(AE$2,Rango_Admin_DailyPred,MATCH($F19,Rango_Admin_DailyPred_Primera,0),0),"-")</f>
        <v>-</v>
      </c>
      <c r="AF19" s="412" t="str">
        <f ca="1">IFERROR(VLOOKUP(AF$2,Rango_Admin_DailyPred,MATCH($F19,Rango_Admin_DailyPred_Primera,0),0),"-")</f>
        <v>-</v>
      </c>
      <c r="AG19" s="412" t="str">
        <f ca="1">IFERROR(VLOOKUP(AG$2,Rango_Admin_DailyPred,MATCH($F19,Rango_Admin_DailyPred_Primera,0),0),"-")</f>
        <v>-</v>
      </c>
      <c r="AH19" s="412" t="str">
        <f ca="1">IFERROR(VLOOKUP(AH$2,Rango_Admin_DailyPred,MATCH($F19,Rango_Admin_DailyPred_Primera,0),0),"-")</f>
        <v>-</v>
      </c>
      <c r="AI19" s="412" t="str">
        <f ca="1">IFERROR(VLOOKUP(AI$2,Rango_Admin_DailyPred,MATCH($F19,Rango_Admin_DailyPred_Primera,0),0),"-")</f>
        <v>-</v>
      </c>
      <c r="AJ19" s="412" t="str">
        <f ca="1">IFERROR(VLOOKUP(AJ$2,Rango_Admin_DailyPred,MATCH($F19,Rango_Admin_DailyPred_Primera,0),0),"-")</f>
        <v>-</v>
      </c>
      <c r="AK19" s="412" t="str">
        <f ca="1">IFERROR(VLOOKUP(AK$2,Rango_Admin_DailyPred,MATCH($F19,Rango_Admin_DailyPred_Primera,0),0),"-")</f>
        <v>-</v>
      </c>
      <c r="AL19" s="412" t="str">
        <f ca="1">IFERROR(VLOOKUP(AL$2,Rango_Admin_DailyPred,MATCH($F19,Rango_Admin_DailyPred_Primera,0),0),"-")</f>
        <v>-</v>
      </c>
      <c r="AM19" s="287"/>
      <c r="AN19" s="287"/>
      <c r="AO19" s="28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772">
        <f t="shared" si="2"/>
        <v>57</v>
      </c>
      <c r="F20" s="393" t="str" cm="1">
        <f t="array" ref="F20">IFERROR(INDEX(Rango_Admin_DailyPred_Primera,1,E20),"-")</f>
        <v>GANEKO</v>
      </c>
      <c r="G20" s="412" t="str">
        <f ca="1">IFERROR(VLOOKUP(G$2,Rango_Admin_DailyPred,MATCH($F20,Rango_Admin_DailyPred_Primera,0),0),"-")</f>
        <v>2|1-2</v>
      </c>
      <c r="H20" s="412" t="str">
        <f ca="1">IFERROR(VLOOKUP(H$2,Rango_Admin_DailyPred,MATCH($F20,Rango_Admin_DailyPred_Primera,0),0),"-")</f>
        <v>2|1-2</v>
      </c>
      <c r="I20" s="412" t="str">
        <f ca="1">IFERROR(VLOOKUP(I$2,Rango_Admin_DailyPred,MATCH($F20,Rango_Admin_DailyPred_Primera,0),0),"-")</f>
        <v>-</v>
      </c>
      <c r="J20" s="412" t="str">
        <f ca="1">IFERROR(VLOOKUP(J$2,Rango_Admin_DailyPred,MATCH($F20,Rango_Admin_DailyPred_Primera,0),0),"-")</f>
        <v>-</v>
      </c>
      <c r="K20" s="412" t="str">
        <f ca="1">IFERROR(VLOOKUP(K$2,Rango_Admin_DailyPred,MATCH($F20,Rango_Admin_DailyPred_Primera,0),0),"-")</f>
        <v>-</v>
      </c>
      <c r="L20" s="412" t="str">
        <f ca="1">IFERROR(VLOOKUP(L$2,Rango_Admin_DailyPred,MATCH($F20,Rango_Admin_DailyPred_Primera,0),0),"-")</f>
        <v>-</v>
      </c>
      <c r="M20" s="412" t="str">
        <f ca="1">IFERROR(VLOOKUP(M$2,Rango_Admin_DailyPred,MATCH($F20,Rango_Admin_DailyPred_Primera,0),0),"-")</f>
        <v>-</v>
      </c>
      <c r="N20" s="412" t="str">
        <f ca="1">IFERROR(VLOOKUP(N$2,Rango_Admin_DailyPred,MATCH($F20,Rango_Admin_DailyPred_Primera,0),0),"-")</f>
        <v>-</v>
      </c>
      <c r="O20" s="412" t="str">
        <f ca="1">IFERROR(VLOOKUP(O$2,Rango_Admin_DailyPred,MATCH($F20,Rango_Admin_DailyPred_Primera,0),0),"-")</f>
        <v>-</v>
      </c>
      <c r="P20" s="412" t="str">
        <f ca="1">IFERROR(VLOOKUP(P$2,Rango_Admin_DailyPred,MATCH($F20,Rango_Admin_DailyPred_Primera,0),0),"-")</f>
        <v>-</v>
      </c>
      <c r="Q20" s="412" t="str">
        <f ca="1">IFERROR(VLOOKUP(Q$2,Rango_Admin_DailyPred,MATCH($F20,Rango_Admin_DailyPred_Primera,0),0),"-")</f>
        <v>-</v>
      </c>
      <c r="R20" s="412" t="str">
        <f ca="1">IFERROR(VLOOKUP(R$2,Rango_Admin_DailyPred,MATCH($F20,Rango_Admin_DailyPred_Primera,0),0),"-")</f>
        <v>-</v>
      </c>
      <c r="S20" s="412" t="str">
        <f ca="1">IFERROR(VLOOKUP(S$2,Rango_Admin_DailyPred,MATCH($F20,Rango_Admin_DailyPred_Primera,0),0),"-")</f>
        <v>-</v>
      </c>
      <c r="T20" s="412" t="str">
        <f ca="1">IFERROR(VLOOKUP(T$2,Rango_Admin_DailyPred,MATCH($F20,Rango_Admin_DailyPred_Primera,0),0),"-")</f>
        <v>-</v>
      </c>
      <c r="U20" s="412" t="str">
        <f ca="1">IFERROR(VLOOKUP(U$2,Rango_Admin_DailyPred,MATCH($F20,Rango_Admin_DailyPred_Primera,0),0),"-")</f>
        <v>-</v>
      </c>
      <c r="V20" s="412" t="str">
        <f ca="1">IFERROR(VLOOKUP(V$2,Rango_Admin_DailyPred,MATCH($F20,Rango_Admin_DailyPred_Primera,0),0),"-")</f>
        <v>-</v>
      </c>
      <c r="W20" s="412" t="str">
        <f ca="1">IFERROR(VLOOKUP(W$2,Rango_Admin_DailyPred,MATCH($F20,Rango_Admin_DailyPred_Primera,0),0),"-")</f>
        <v>-</v>
      </c>
      <c r="X20" s="412" t="str">
        <f ca="1">IFERROR(VLOOKUP(X$2,Rango_Admin_DailyPred,MATCH($F20,Rango_Admin_DailyPred_Primera,0),0),"-")</f>
        <v>-</v>
      </c>
      <c r="Y20" s="412" t="str">
        <f ca="1">IFERROR(VLOOKUP(Y$2,Rango_Admin_DailyPred,MATCH($F20,Rango_Admin_DailyPred_Primera,0),0),"-")</f>
        <v>-</v>
      </c>
      <c r="Z20" s="412" t="str">
        <f ca="1">IFERROR(VLOOKUP(Z$2,Rango_Admin_DailyPred,MATCH($F20,Rango_Admin_DailyPred_Primera,0),0),"-")</f>
        <v>-</v>
      </c>
      <c r="AA20" s="412" t="str">
        <f ca="1">IFERROR(VLOOKUP(AA$2,Rango_Admin_DailyPred,MATCH($F20,Rango_Admin_DailyPred_Primera,0),0),"-")</f>
        <v>-</v>
      </c>
      <c r="AB20" s="412" t="str">
        <f ca="1">IFERROR(VLOOKUP(AB$2,Rango_Admin_DailyPred,MATCH($F20,Rango_Admin_DailyPred_Primera,0),0),"-")</f>
        <v>-</v>
      </c>
      <c r="AC20" s="412" t="str">
        <f ca="1">IFERROR(VLOOKUP(AC$2,Rango_Admin_DailyPred,MATCH($F20,Rango_Admin_DailyPred_Primera,0),0),"-")</f>
        <v>-</v>
      </c>
      <c r="AD20" s="412" t="str">
        <f ca="1">IFERROR(VLOOKUP(AD$2,Rango_Admin_DailyPred,MATCH($F20,Rango_Admin_DailyPred_Primera,0),0),"-")</f>
        <v>-</v>
      </c>
      <c r="AE20" s="412" t="str">
        <f ca="1">IFERROR(VLOOKUP(AE$2,Rango_Admin_DailyPred,MATCH($F20,Rango_Admin_DailyPred_Primera,0),0),"-")</f>
        <v>-</v>
      </c>
      <c r="AF20" s="412" t="str">
        <f ca="1">IFERROR(VLOOKUP(AF$2,Rango_Admin_DailyPred,MATCH($F20,Rango_Admin_DailyPred_Primera,0),0),"-")</f>
        <v>-</v>
      </c>
      <c r="AG20" s="412" t="str">
        <f ca="1">IFERROR(VLOOKUP(AG$2,Rango_Admin_DailyPred,MATCH($F20,Rango_Admin_DailyPred_Primera,0),0),"-")</f>
        <v>-</v>
      </c>
      <c r="AH20" s="412" t="str">
        <f ca="1">IFERROR(VLOOKUP(AH$2,Rango_Admin_DailyPred,MATCH($F20,Rango_Admin_DailyPred_Primera,0),0),"-")</f>
        <v>-</v>
      </c>
      <c r="AI20" s="412" t="str">
        <f ca="1">IFERROR(VLOOKUP(AI$2,Rango_Admin_DailyPred,MATCH($F20,Rango_Admin_DailyPred_Primera,0),0),"-")</f>
        <v>-</v>
      </c>
      <c r="AJ20" s="412" t="str">
        <f ca="1">IFERROR(VLOOKUP(AJ$2,Rango_Admin_DailyPred,MATCH($F20,Rango_Admin_DailyPred_Primera,0),0),"-")</f>
        <v>-</v>
      </c>
      <c r="AK20" s="412" t="str">
        <f ca="1">IFERROR(VLOOKUP(AK$2,Rango_Admin_DailyPred,MATCH($F20,Rango_Admin_DailyPred_Primera,0),0),"-")</f>
        <v>-</v>
      </c>
      <c r="AL20" s="412" t="str">
        <f ca="1">IFERROR(VLOOKUP(AL$2,Rango_Admin_DailyPred,MATCH($F20,Rango_Admin_DailyPred_Primera,0),0),"-")</f>
        <v>-</v>
      </c>
      <c r="AM20" s="287"/>
      <c r="AN20" s="287"/>
      <c r="AO20" s="28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772">
        <f t="shared" si="2"/>
        <v>60</v>
      </c>
      <c r="F21" s="393" t="str" cm="1">
        <f t="array" ref="F21">IFERROR(INDEX(Rango_Admin_DailyPred_Primera,1,E21),"-")</f>
        <v>AITOR</v>
      </c>
      <c r="G21" s="412" t="str">
        <f ca="1">IFERROR(VLOOKUP(G$2,Rango_Admin_DailyPred,MATCH($F21,Rango_Admin_DailyPred_Primera,0),0),"-")</f>
        <v>2|0-1</v>
      </c>
      <c r="H21" s="412" t="str">
        <f ca="1">IFERROR(VLOOKUP(H$2,Rango_Admin_DailyPred,MATCH($F21,Rango_Admin_DailyPred_Primera,0),0),"-")</f>
        <v>1|2-1</v>
      </c>
      <c r="I21" s="412" t="str">
        <f ca="1">IFERROR(VLOOKUP(I$2,Rango_Admin_DailyPred,MATCH($F21,Rango_Admin_DailyPred_Primera,0),0),"-")</f>
        <v>-</v>
      </c>
      <c r="J21" s="412" t="str">
        <f ca="1">IFERROR(VLOOKUP(J$2,Rango_Admin_DailyPred,MATCH($F21,Rango_Admin_DailyPred_Primera,0),0),"-")</f>
        <v>-</v>
      </c>
      <c r="K21" s="412" t="str">
        <f ca="1">IFERROR(VLOOKUP(K$2,Rango_Admin_DailyPred,MATCH($F21,Rango_Admin_DailyPred_Primera,0),0),"-")</f>
        <v>-</v>
      </c>
      <c r="L21" s="412" t="str">
        <f ca="1">IFERROR(VLOOKUP(L$2,Rango_Admin_DailyPred,MATCH($F21,Rango_Admin_DailyPred_Primera,0),0),"-")</f>
        <v>-</v>
      </c>
      <c r="M21" s="412" t="str">
        <f ca="1">IFERROR(VLOOKUP(M$2,Rango_Admin_DailyPred,MATCH($F21,Rango_Admin_DailyPred_Primera,0),0),"-")</f>
        <v>-</v>
      </c>
      <c r="N21" s="412" t="str">
        <f ca="1">IFERROR(VLOOKUP(N$2,Rango_Admin_DailyPred,MATCH($F21,Rango_Admin_DailyPred_Primera,0),0),"-")</f>
        <v>-</v>
      </c>
      <c r="O21" s="412" t="str">
        <f ca="1">IFERROR(VLOOKUP(O$2,Rango_Admin_DailyPred,MATCH($F21,Rango_Admin_DailyPred_Primera,0),0),"-")</f>
        <v>-</v>
      </c>
      <c r="P21" s="412" t="str">
        <f ca="1">IFERROR(VLOOKUP(P$2,Rango_Admin_DailyPred,MATCH($F21,Rango_Admin_DailyPred_Primera,0),0),"-")</f>
        <v>-</v>
      </c>
      <c r="Q21" s="412" t="str">
        <f ca="1">IFERROR(VLOOKUP(Q$2,Rango_Admin_DailyPred,MATCH($F21,Rango_Admin_DailyPred_Primera,0),0),"-")</f>
        <v>-</v>
      </c>
      <c r="R21" s="412" t="str">
        <f ca="1">IFERROR(VLOOKUP(R$2,Rango_Admin_DailyPred,MATCH($F21,Rango_Admin_DailyPred_Primera,0),0),"-")</f>
        <v>-</v>
      </c>
      <c r="S21" s="412" t="str">
        <f ca="1">IFERROR(VLOOKUP(S$2,Rango_Admin_DailyPred,MATCH($F21,Rango_Admin_DailyPred_Primera,0),0),"-")</f>
        <v>-</v>
      </c>
      <c r="T21" s="412" t="str">
        <f ca="1">IFERROR(VLOOKUP(T$2,Rango_Admin_DailyPred,MATCH($F21,Rango_Admin_DailyPred_Primera,0),0),"-")</f>
        <v>-</v>
      </c>
      <c r="U21" s="412" t="str">
        <f ca="1">IFERROR(VLOOKUP(U$2,Rango_Admin_DailyPred,MATCH($F21,Rango_Admin_DailyPred_Primera,0),0),"-")</f>
        <v>-</v>
      </c>
      <c r="V21" s="412" t="str">
        <f ca="1">IFERROR(VLOOKUP(V$2,Rango_Admin_DailyPred,MATCH($F21,Rango_Admin_DailyPred_Primera,0),0),"-")</f>
        <v>-</v>
      </c>
      <c r="W21" s="412" t="str">
        <f ca="1">IFERROR(VLOOKUP(W$2,Rango_Admin_DailyPred,MATCH($F21,Rango_Admin_DailyPred_Primera,0),0),"-")</f>
        <v>-</v>
      </c>
      <c r="X21" s="412" t="str">
        <f ca="1">IFERROR(VLOOKUP(X$2,Rango_Admin_DailyPred,MATCH($F21,Rango_Admin_DailyPred_Primera,0),0),"-")</f>
        <v>-</v>
      </c>
      <c r="Y21" s="412" t="str">
        <f ca="1">IFERROR(VLOOKUP(Y$2,Rango_Admin_DailyPred,MATCH($F21,Rango_Admin_DailyPred_Primera,0),0),"-")</f>
        <v>-</v>
      </c>
      <c r="Z21" s="412" t="str">
        <f ca="1">IFERROR(VLOOKUP(Z$2,Rango_Admin_DailyPred,MATCH($F21,Rango_Admin_DailyPred_Primera,0),0),"-")</f>
        <v>-</v>
      </c>
      <c r="AA21" s="412" t="str">
        <f ca="1">IFERROR(VLOOKUP(AA$2,Rango_Admin_DailyPred,MATCH($F21,Rango_Admin_DailyPred_Primera,0),0),"-")</f>
        <v>-</v>
      </c>
      <c r="AB21" s="412" t="str">
        <f ca="1">IFERROR(VLOOKUP(AB$2,Rango_Admin_DailyPred,MATCH($F21,Rango_Admin_DailyPred_Primera,0),0),"-")</f>
        <v>-</v>
      </c>
      <c r="AC21" s="412" t="str">
        <f ca="1">IFERROR(VLOOKUP(AC$2,Rango_Admin_DailyPred,MATCH($F21,Rango_Admin_DailyPred_Primera,0),0),"-")</f>
        <v>-</v>
      </c>
      <c r="AD21" s="412" t="str">
        <f ca="1">IFERROR(VLOOKUP(AD$2,Rango_Admin_DailyPred,MATCH($F21,Rango_Admin_DailyPred_Primera,0),0),"-")</f>
        <v>-</v>
      </c>
      <c r="AE21" s="412" t="str">
        <f ca="1">IFERROR(VLOOKUP(AE$2,Rango_Admin_DailyPred,MATCH($F21,Rango_Admin_DailyPred_Primera,0),0),"-")</f>
        <v>-</v>
      </c>
      <c r="AF21" s="412" t="str">
        <f ca="1">IFERROR(VLOOKUP(AF$2,Rango_Admin_DailyPred,MATCH($F21,Rango_Admin_DailyPred_Primera,0),0),"-")</f>
        <v>-</v>
      </c>
      <c r="AG21" s="412" t="str">
        <f ca="1">IFERROR(VLOOKUP(AG$2,Rango_Admin_DailyPred,MATCH($F21,Rango_Admin_DailyPred_Primera,0),0),"-")</f>
        <v>-</v>
      </c>
      <c r="AH21" s="412" t="str">
        <f ca="1">IFERROR(VLOOKUP(AH$2,Rango_Admin_DailyPred,MATCH($F21,Rango_Admin_DailyPred_Primera,0),0),"-")</f>
        <v>-</v>
      </c>
      <c r="AI21" s="412" t="str">
        <f ca="1">IFERROR(VLOOKUP(AI$2,Rango_Admin_DailyPred,MATCH($F21,Rango_Admin_DailyPred_Primera,0),0),"-")</f>
        <v>-</v>
      </c>
      <c r="AJ21" s="412" t="str">
        <f ca="1">IFERROR(VLOOKUP(AJ$2,Rango_Admin_DailyPred,MATCH($F21,Rango_Admin_DailyPred_Primera,0),0),"-")</f>
        <v>-</v>
      </c>
      <c r="AK21" s="412" t="str">
        <f ca="1">IFERROR(VLOOKUP(AK$2,Rango_Admin_DailyPred,MATCH($F21,Rango_Admin_DailyPred_Primera,0),0),"-")</f>
        <v>-</v>
      </c>
      <c r="AL21" s="412" t="str">
        <f ca="1">IFERROR(VLOOKUP(AL$2,Rango_Admin_DailyPred,MATCH($F21,Rango_Admin_DailyPred_Primera,0),0),"-")</f>
        <v>-</v>
      </c>
      <c r="AM21" s="287"/>
      <c r="AN21" s="287"/>
      <c r="AO21" s="28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772">
        <f t="shared" si="2"/>
        <v>63</v>
      </c>
      <c r="F22" s="393" t="str" cm="1">
        <f t="array" ref="F22">IFERROR(INDEX(Rango_Admin_DailyPred_Primera,1,E22),"-")</f>
        <v>Pegar Valores Nombre J19</v>
      </c>
      <c r="G22" s="412">
        <f ca="1">IFERROR(VLOOKUP(G$2,Rango_Admin_DailyPred,MATCH($F22,Rango_Admin_DailyPred_Primera,0),0),"-")</f>
        <v>0</v>
      </c>
      <c r="H22" s="412">
        <f ca="1">IFERROR(VLOOKUP(H$2,Rango_Admin_DailyPred,MATCH($F22,Rango_Admin_DailyPred_Primera,0),0),"-")</f>
        <v>0</v>
      </c>
      <c r="I22" s="412" t="str">
        <f ca="1">IFERROR(VLOOKUP(I$2,Rango_Admin_DailyPred,MATCH($F22,Rango_Admin_DailyPred_Primera,0),0),"-")</f>
        <v>-</v>
      </c>
      <c r="J22" s="412" t="str">
        <f ca="1">IFERROR(VLOOKUP(J$2,Rango_Admin_DailyPred,MATCH($F22,Rango_Admin_DailyPred_Primera,0),0),"-")</f>
        <v>-</v>
      </c>
      <c r="K22" s="412" t="str">
        <f ca="1">IFERROR(VLOOKUP(K$2,Rango_Admin_DailyPred,MATCH($F22,Rango_Admin_DailyPred_Primera,0),0),"-")</f>
        <v>-</v>
      </c>
      <c r="L22" s="412" t="str">
        <f ca="1">IFERROR(VLOOKUP(L$2,Rango_Admin_DailyPred,MATCH($F22,Rango_Admin_DailyPred_Primera,0),0),"-")</f>
        <v>-</v>
      </c>
      <c r="M22" s="412" t="str">
        <f ca="1">IFERROR(VLOOKUP(M$2,Rango_Admin_DailyPred,MATCH($F22,Rango_Admin_DailyPred_Primera,0),0),"-")</f>
        <v>-</v>
      </c>
      <c r="N22" s="412" t="str">
        <f ca="1">IFERROR(VLOOKUP(N$2,Rango_Admin_DailyPred,MATCH($F22,Rango_Admin_DailyPred_Primera,0),0),"-")</f>
        <v>-</v>
      </c>
      <c r="O22" s="412" t="str">
        <f ca="1">IFERROR(VLOOKUP(O$2,Rango_Admin_DailyPred,MATCH($F22,Rango_Admin_DailyPred_Primera,0),0),"-")</f>
        <v>-</v>
      </c>
      <c r="P22" s="412" t="str">
        <f ca="1">IFERROR(VLOOKUP(P$2,Rango_Admin_DailyPred,MATCH($F22,Rango_Admin_DailyPred_Primera,0),0),"-")</f>
        <v>-</v>
      </c>
      <c r="Q22" s="412" t="str">
        <f ca="1">IFERROR(VLOOKUP(Q$2,Rango_Admin_DailyPred,MATCH($F22,Rango_Admin_DailyPred_Primera,0),0),"-")</f>
        <v>-</v>
      </c>
      <c r="R22" s="412" t="str">
        <f ca="1">IFERROR(VLOOKUP(R$2,Rango_Admin_DailyPred,MATCH($F22,Rango_Admin_DailyPred_Primera,0),0),"-")</f>
        <v>-</v>
      </c>
      <c r="S22" s="412" t="str">
        <f ca="1">IFERROR(VLOOKUP(S$2,Rango_Admin_DailyPred,MATCH($F22,Rango_Admin_DailyPred_Primera,0),0),"-")</f>
        <v>-</v>
      </c>
      <c r="T22" s="412" t="str">
        <f ca="1">IFERROR(VLOOKUP(T$2,Rango_Admin_DailyPred,MATCH($F22,Rango_Admin_DailyPred_Primera,0),0),"-")</f>
        <v>-</v>
      </c>
      <c r="U22" s="412" t="str">
        <f ca="1">IFERROR(VLOOKUP(U$2,Rango_Admin_DailyPred,MATCH($F22,Rango_Admin_DailyPred_Primera,0),0),"-")</f>
        <v>-</v>
      </c>
      <c r="V22" s="412" t="str">
        <f ca="1">IFERROR(VLOOKUP(V$2,Rango_Admin_DailyPred,MATCH($F22,Rango_Admin_DailyPred_Primera,0),0),"-")</f>
        <v>-</v>
      </c>
      <c r="W22" s="412" t="str">
        <f ca="1">IFERROR(VLOOKUP(W$2,Rango_Admin_DailyPred,MATCH($F22,Rango_Admin_DailyPred_Primera,0),0),"-")</f>
        <v>-</v>
      </c>
      <c r="X22" s="412" t="str">
        <f ca="1">IFERROR(VLOOKUP(X$2,Rango_Admin_DailyPred,MATCH($F22,Rango_Admin_DailyPred_Primera,0),0),"-")</f>
        <v>-</v>
      </c>
      <c r="Y22" s="412" t="str">
        <f ca="1">IFERROR(VLOOKUP(Y$2,Rango_Admin_DailyPred,MATCH($F22,Rango_Admin_DailyPred_Primera,0),0),"-")</f>
        <v>-</v>
      </c>
      <c r="Z22" s="412" t="str">
        <f ca="1">IFERROR(VLOOKUP(Z$2,Rango_Admin_DailyPred,MATCH($F22,Rango_Admin_DailyPred_Primera,0),0),"-")</f>
        <v>-</v>
      </c>
      <c r="AA22" s="412" t="str">
        <f ca="1">IFERROR(VLOOKUP(AA$2,Rango_Admin_DailyPred,MATCH($F22,Rango_Admin_DailyPred_Primera,0),0),"-")</f>
        <v>-</v>
      </c>
      <c r="AB22" s="412" t="str">
        <f ca="1">IFERROR(VLOOKUP(AB$2,Rango_Admin_DailyPred,MATCH($F22,Rango_Admin_DailyPred_Primera,0),0),"-")</f>
        <v>-</v>
      </c>
      <c r="AC22" s="412" t="str">
        <f ca="1">IFERROR(VLOOKUP(AC$2,Rango_Admin_DailyPred,MATCH($F22,Rango_Admin_DailyPred_Primera,0),0),"-")</f>
        <v>-</v>
      </c>
      <c r="AD22" s="412" t="str">
        <f ca="1">IFERROR(VLOOKUP(AD$2,Rango_Admin_DailyPred,MATCH($F22,Rango_Admin_DailyPred_Primera,0),0),"-")</f>
        <v>-</v>
      </c>
      <c r="AE22" s="412" t="str">
        <f ca="1">IFERROR(VLOOKUP(AE$2,Rango_Admin_DailyPred,MATCH($F22,Rango_Admin_DailyPred_Primera,0),0),"-")</f>
        <v>-</v>
      </c>
      <c r="AF22" s="412" t="str">
        <f ca="1">IFERROR(VLOOKUP(AF$2,Rango_Admin_DailyPred,MATCH($F22,Rango_Admin_DailyPred_Primera,0),0),"-")</f>
        <v>-</v>
      </c>
      <c r="AG22" s="412" t="str">
        <f ca="1">IFERROR(VLOOKUP(AG$2,Rango_Admin_DailyPred,MATCH($F22,Rango_Admin_DailyPred_Primera,0),0),"-")</f>
        <v>-</v>
      </c>
      <c r="AH22" s="412" t="str">
        <f ca="1">IFERROR(VLOOKUP(AH$2,Rango_Admin_DailyPred,MATCH($F22,Rango_Admin_DailyPred_Primera,0),0),"-")</f>
        <v>-</v>
      </c>
      <c r="AI22" s="412" t="str">
        <f ca="1">IFERROR(VLOOKUP(AI$2,Rango_Admin_DailyPred,MATCH($F22,Rango_Admin_DailyPred_Primera,0),0),"-")</f>
        <v>-</v>
      </c>
      <c r="AJ22" s="412" t="str">
        <f ca="1">IFERROR(VLOOKUP(AJ$2,Rango_Admin_DailyPred,MATCH($F22,Rango_Admin_DailyPred_Primera,0),0),"-")</f>
        <v>-</v>
      </c>
      <c r="AK22" s="412" t="str">
        <f ca="1">IFERROR(VLOOKUP(AK$2,Rango_Admin_DailyPred,MATCH($F22,Rango_Admin_DailyPred_Primera,0),0),"-")</f>
        <v>-</v>
      </c>
      <c r="AL22" s="412" t="str">
        <f ca="1">IFERROR(VLOOKUP(AL$2,Rango_Admin_DailyPred,MATCH($F22,Rango_Admin_DailyPred_Primera,0),0),"-")</f>
        <v>-</v>
      </c>
      <c r="AM22" s="287"/>
      <c r="AN22" s="287"/>
      <c r="AO22" s="28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772">
        <f t="shared" si="2"/>
        <v>66</v>
      </c>
      <c r="F23" s="393" t="str" cm="1">
        <f t="array" ref="F23">IFERROR(INDEX(Rango_Admin_DailyPred_Primera,1,E23),"-")</f>
        <v>Pegar Valores Nombre J20</v>
      </c>
      <c r="G23" s="412">
        <f ca="1">IFERROR(VLOOKUP(G$2,Rango_Admin_DailyPred,MATCH($F23,Rango_Admin_DailyPred_Primera,0),0),"-")</f>
        <v>0</v>
      </c>
      <c r="H23" s="412">
        <f ca="1">IFERROR(VLOOKUP(H$2,Rango_Admin_DailyPred,MATCH($F23,Rango_Admin_DailyPred_Primera,0),0),"-")</f>
        <v>0</v>
      </c>
      <c r="I23" s="412" t="str">
        <f ca="1">IFERROR(VLOOKUP(I$2,Rango_Admin_DailyPred,MATCH($F23,Rango_Admin_DailyPred_Primera,0),0),"-")</f>
        <v>-</v>
      </c>
      <c r="J23" s="412" t="str">
        <f ca="1">IFERROR(VLOOKUP(J$2,Rango_Admin_DailyPred,MATCH($F23,Rango_Admin_DailyPred_Primera,0),0),"-")</f>
        <v>-</v>
      </c>
      <c r="K23" s="412" t="str">
        <f ca="1">IFERROR(VLOOKUP(K$2,Rango_Admin_DailyPred,MATCH($F23,Rango_Admin_DailyPred_Primera,0),0),"-")</f>
        <v>-</v>
      </c>
      <c r="L23" s="412" t="str">
        <f ca="1">IFERROR(VLOOKUP(L$2,Rango_Admin_DailyPred,MATCH($F23,Rango_Admin_DailyPred_Primera,0),0),"-")</f>
        <v>-</v>
      </c>
      <c r="M23" s="412" t="str">
        <f ca="1">IFERROR(VLOOKUP(M$2,Rango_Admin_DailyPred,MATCH($F23,Rango_Admin_DailyPred_Primera,0),0),"-")</f>
        <v>-</v>
      </c>
      <c r="N23" s="412" t="str">
        <f ca="1">IFERROR(VLOOKUP(N$2,Rango_Admin_DailyPred,MATCH($F23,Rango_Admin_DailyPred_Primera,0),0),"-")</f>
        <v>-</v>
      </c>
      <c r="O23" s="412" t="str">
        <f ca="1">IFERROR(VLOOKUP(O$2,Rango_Admin_DailyPred,MATCH($F23,Rango_Admin_DailyPred_Primera,0),0),"-")</f>
        <v>-</v>
      </c>
      <c r="P23" s="412" t="str">
        <f ca="1">IFERROR(VLOOKUP(P$2,Rango_Admin_DailyPred,MATCH($F23,Rango_Admin_DailyPred_Primera,0),0),"-")</f>
        <v>-</v>
      </c>
      <c r="Q23" s="412" t="str">
        <f ca="1">IFERROR(VLOOKUP(Q$2,Rango_Admin_DailyPred,MATCH($F23,Rango_Admin_DailyPred_Primera,0),0),"-")</f>
        <v>-</v>
      </c>
      <c r="R23" s="412" t="str">
        <f ca="1">IFERROR(VLOOKUP(R$2,Rango_Admin_DailyPred,MATCH($F23,Rango_Admin_DailyPred_Primera,0),0),"-")</f>
        <v>-</v>
      </c>
      <c r="S23" s="412" t="str">
        <f ca="1">IFERROR(VLOOKUP(S$2,Rango_Admin_DailyPred,MATCH($F23,Rango_Admin_DailyPred_Primera,0),0),"-")</f>
        <v>-</v>
      </c>
      <c r="T23" s="412" t="str">
        <f ca="1">IFERROR(VLOOKUP(T$2,Rango_Admin_DailyPred,MATCH($F23,Rango_Admin_DailyPred_Primera,0),0),"-")</f>
        <v>-</v>
      </c>
      <c r="U23" s="412" t="str">
        <f ca="1">IFERROR(VLOOKUP(U$2,Rango_Admin_DailyPred,MATCH($F23,Rango_Admin_DailyPred_Primera,0),0),"-")</f>
        <v>-</v>
      </c>
      <c r="V23" s="412" t="str">
        <f ca="1">IFERROR(VLOOKUP(V$2,Rango_Admin_DailyPred,MATCH($F23,Rango_Admin_DailyPred_Primera,0),0),"-")</f>
        <v>-</v>
      </c>
      <c r="W23" s="412" t="str">
        <f ca="1">IFERROR(VLOOKUP(W$2,Rango_Admin_DailyPred,MATCH($F23,Rango_Admin_DailyPred_Primera,0),0),"-")</f>
        <v>-</v>
      </c>
      <c r="X23" s="412" t="str">
        <f ca="1">IFERROR(VLOOKUP(X$2,Rango_Admin_DailyPred,MATCH($F23,Rango_Admin_DailyPred_Primera,0),0),"-")</f>
        <v>-</v>
      </c>
      <c r="Y23" s="412" t="str">
        <f ca="1">IFERROR(VLOOKUP(Y$2,Rango_Admin_DailyPred,MATCH($F23,Rango_Admin_DailyPred_Primera,0),0),"-")</f>
        <v>-</v>
      </c>
      <c r="Z23" s="412" t="str">
        <f ca="1">IFERROR(VLOOKUP(Z$2,Rango_Admin_DailyPred,MATCH($F23,Rango_Admin_DailyPred_Primera,0),0),"-")</f>
        <v>-</v>
      </c>
      <c r="AA23" s="412" t="str">
        <f ca="1">IFERROR(VLOOKUP(AA$2,Rango_Admin_DailyPred,MATCH($F23,Rango_Admin_DailyPred_Primera,0),0),"-")</f>
        <v>-</v>
      </c>
      <c r="AB23" s="412" t="str">
        <f ca="1">IFERROR(VLOOKUP(AB$2,Rango_Admin_DailyPred,MATCH($F23,Rango_Admin_DailyPred_Primera,0),0),"-")</f>
        <v>-</v>
      </c>
      <c r="AC23" s="412" t="str">
        <f ca="1">IFERROR(VLOOKUP(AC$2,Rango_Admin_DailyPred,MATCH($F23,Rango_Admin_DailyPred_Primera,0),0),"-")</f>
        <v>-</v>
      </c>
      <c r="AD23" s="412" t="str">
        <f ca="1">IFERROR(VLOOKUP(AD$2,Rango_Admin_DailyPred,MATCH($F23,Rango_Admin_DailyPred_Primera,0),0),"-")</f>
        <v>-</v>
      </c>
      <c r="AE23" s="412" t="str">
        <f ca="1">IFERROR(VLOOKUP(AE$2,Rango_Admin_DailyPred,MATCH($F23,Rango_Admin_DailyPred_Primera,0),0),"-")</f>
        <v>-</v>
      </c>
      <c r="AF23" s="412" t="str">
        <f ca="1">IFERROR(VLOOKUP(AF$2,Rango_Admin_DailyPred,MATCH($F23,Rango_Admin_DailyPred_Primera,0),0),"-")</f>
        <v>-</v>
      </c>
      <c r="AG23" s="412" t="str">
        <f ca="1">IFERROR(VLOOKUP(AG$2,Rango_Admin_DailyPred,MATCH($F23,Rango_Admin_DailyPred_Primera,0),0),"-")</f>
        <v>-</v>
      </c>
      <c r="AH23" s="412" t="str">
        <f ca="1">IFERROR(VLOOKUP(AH$2,Rango_Admin_DailyPred,MATCH($F23,Rango_Admin_DailyPred_Primera,0),0),"-")</f>
        <v>-</v>
      </c>
      <c r="AI23" s="412" t="str">
        <f ca="1">IFERROR(VLOOKUP(AI$2,Rango_Admin_DailyPred,MATCH($F23,Rango_Admin_DailyPred_Primera,0),0),"-")</f>
        <v>-</v>
      </c>
      <c r="AJ23" s="412" t="str">
        <f ca="1">IFERROR(VLOOKUP(AJ$2,Rango_Admin_DailyPred,MATCH($F23,Rango_Admin_DailyPred_Primera,0),0),"-")</f>
        <v>-</v>
      </c>
      <c r="AK23" s="412" t="str">
        <f ca="1">IFERROR(VLOOKUP(AK$2,Rango_Admin_DailyPred,MATCH($F23,Rango_Admin_DailyPred_Primera,0),0),"-")</f>
        <v>-</v>
      </c>
      <c r="AL23" s="412" t="str">
        <f ca="1">IFERROR(VLOOKUP(AL$2,Rango_Admin_DailyPred,MATCH($F23,Rango_Admin_DailyPred_Primera,0),0),"-")</f>
        <v>-</v>
      </c>
      <c r="AM23" s="287"/>
      <c r="AN23" s="287"/>
      <c r="AO23" s="28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772">
        <f t="shared" si="2"/>
        <v>69</v>
      </c>
      <c r="F24" s="393" t="str" cm="1">
        <f t="array" ref="F24">IFERROR(INDEX(Rango_Admin_DailyPred_Primera,1,E24),"-")</f>
        <v>Pegar Valores Nombre J21</v>
      </c>
      <c r="G24" s="412">
        <f ca="1">IFERROR(VLOOKUP(G$2,Rango_Admin_DailyPred,MATCH($F24,Rango_Admin_DailyPred_Primera,0),0),"-")</f>
        <v>0</v>
      </c>
      <c r="H24" s="412">
        <f ca="1">IFERROR(VLOOKUP(H$2,Rango_Admin_DailyPred,MATCH($F24,Rango_Admin_DailyPred_Primera,0),0),"-")</f>
        <v>0</v>
      </c>
      <c r="I24" s="412" t="str">
        <f ca="1">IFERROR(VLOOKUP(I$2,Rango_Admin_DailyPred,MATCH($F24,Rango_Admin_DailyPred_Primera,0),0),"-")</f>
        <v>-</v>
      </c>
      <c r="J24" s="412" t="str">
        <f ca="1">IFERROR(VLOOKUP(J$2,Rango_Admin_DailyPred,MATCH($F24,Rango_Admin_DailyPred_Primera,0),0),"-")</f>
        <v>-</v>
      </c>
      <c r="K24" s="412" t="str">
        <f ca="1">IFERROR(VLOOKUP(K$2,Rango_Admin_DailyPred,MATCH($F24,Rango_Admin_DailyPred_Primera,0),0),"-")</f>
        <v>-</v>
      </c>
      <c r="L24" s="412" t="str">
        <f ca="1">IFERROR(VLOOKUP(L$2,Rango_Admin_DailyPred,MATCH($F24,Rango_Admin_DailyPred_Primera,0),0),"-")</f>
        <v>-</v>
      </c>
      <c r="M24" s="412" t="str">
        <f ca="1">IFERROR(VLOOKUP(M$2,Rango_Admin_DailyPred,MATCH($F24,Rango_Admin_DailyPred_Primera,0),0),"-")</f>
        <v>-</v>
      </c>
      <c r="N24" s="412" t="str">
        <f ca="1">IFERROR(VLOOKUP(N$2,Rango_Admin_DailyPred,MATCH($F24,Rango_Admin_DailyPred_Primera,0),0),"-")</f>
        <v>-</v>
      </c>
      <c r="O24" s="412" t="str">
        <f ca="1">IFERROR(VLOOKUP(O$2,Rango_Admin_DailyPred,MATCH($F24,Rango_Admin_DailyPred_Primera,0),0),"-")</f>
        <v>-</v>
      </c>
      <c r="P24" s="412" t="str">
        <f ca="1">IFERROR(VLOOKUP(P$2,Rango_Admin_DailyPred,MATCH($F24,Rango_Admin_DailyPred_Primera,0),0),"-")</f>
        <v>-</v>
      </c>
      <c r="Q24" s="412" t="str">
        <f ca="1">IFERROR(VLOOKUP(Q$2,Rango_Admin_DailyPred,MATCH($F24,Rango_Admin_DailyPred_Primera,0),0),"-")</f>
        <v>-</v>
      </c>
      <c r="R24" s="412" t="str">
        <f ca="1">IFERROR(VLOOKUP(R$2,Rango_Admin_DailyPred,MATCH($F24,Rango_Admin_DailyPred_Primera,0),0),"-")</f>
        <v>-</v>
      </c>
      <c r="S24" s="412" t="str">
        <f ca="1">IFERROR(VLOOKUP(S$2,Rango_Admin_DailyPred,MATCH($F24,Rango_Admin_DailyPred_Primera,0),0),"-")</f>
        <v>-</v>
      </c>
      <c r="T24" s="412" t="str">
        <f ca="1">IFERROR(VLOOKUP(T$2,Rango_Admin_DailyPred,MATCH($F24,Rango_Admin_DailyPred_Primera,0),0),"-")</f>
        <v>-</v>
      </c>
      <c r="U24" s="412" t="str">
        <f ca="1">IFERROR(VLOOKUP(U$2,Rango_Admin_DailyPred,MATCH($F24,Rango_Admin_DailyPred_Primera,0),0),"-")</f>
        <v>-</v>
      </c>
      <c r="V24" s="412" t="str">
        <f ca="1">IFERROR(VLOOKUP(V$2,Rango_Admin_DailyPred,MATCH($F24,Rango_Admin_DailyPred_Primera,0),0),"-")</f>
        <v>-</v>
      </c>
      <c r="W24" s="412" t="str">
        <f ca="1">IFERROR(VLOOKUP(W$2,Rango_Admin_DailyPred,MATCH($F24,Rango_Admin_DailyPred_Primera,0),0),"-")</f>
        <v>-</v>
      </c>
      <c r="X24" s="412" t="str">
        <f ca="1">IFERROR(VLOOKUP(X$2,Rango_Admin_DailyPred,MATCH($F24,Rango_Admin_DailyPred_Primera,0),0),"-")</f>
        <v>-</v>
      </c>
      <c r="Y24" s="412" t="str">
        <f ca="1">IFERROR(VLOOKUP(Y$2,Rango_Admin_DailyPred,MATCH($F24,Rango_Admin_DailyPred_Primera,0),0),"-")</f>
        <v>-</v>
      </c>
      <c r="Z24" s="412" t="str">
        <f ca="1">IFERROR(VLOOKUP(Z$2,Rango_Admin_DailyPred,MATCH($F24,Rango_Admin_DailyPred_Primera,0),0),"-")</f>
        <v>-</v>
      </c>
      <c r="AA24" s="412" t="str">
        <f ca="1">IFERROR(VLOOKUP(AA$2,Rango_Admin_DailyPred,MATCH($F24,Rango_Admin_DailyPred_Primera,0),0),"-")</f>
        <v>-</v>
      </c>
      <c r="AB24" s="412" t="str">
        <f ca="1">IFERROR(VLOOKUP(AB$2,Rango_Admin_DailyPred,MATCH($F24,Rango_Admin_DailyPred_Primera,0),0),"-")</f>
        <v>-</v>
      </c>
      <c r="AC24" s="412" t="str">
        <f ca="1">IFERROR(VLOOKUP(AC$2,Rango_Admin_DailyPred,MATCH($F24,Rango_Admin_DailyPred_Primera,0),0),"-")</f>
        <v>-</v>
      </c>
      <c r="AD24" s="412" t="str">
        <f ca="1">IFERROR(VLOOKUP(AD$2,Rango_Admin_DailyPred,MATCH($F24,Rango_Admin_DailyPred_Primera,0),0),"-")</f>
        <v>-</v>
      </c>
      <c r="AE24" s="412" t="str">
        <f ca="1">IFERROR(VLOOKUP(AE$2,Rango_Admin_DailyPred,MATCH($F24,Rango_Admin_DailyPred_Primera,0),0),"-")</f>
        <v>-</v>
      </c>
      <c r="AF24" s="412" t="str">
        <f ca="1">IFERROR(VLOOKUP(AF$2,Rango_Admin_DailyPred,MATCH($F24,Rango_Admin_DailyPred_Primera,0),0),"-")</f>
        <v>-</v>
      </c>
      <c r="AG24" s="412" t="str">
        <f ca="1">IFERROR(VLOOKUP(AG$2,Rango_Admin_DailyPred,MATCH($F24,Rango_Admin_DailyPred_Primera,0),0),"-")</f>
        <v>-</v>
      </c>
      <c r="AH24" s="412" t="str">
        <f ca="1">IFERROR(VLOOKUP(AH$2,Rango_Admin_DailyPred,MATCH($F24,Rango_Admin_DailyPred_Primera,0),0),"-")</f>
        <v>-</v>
      </c>
      <c r="AI24" s="412" t="str">
        <f ca="1">IFERROR(VLOOKUP(AI$2,Rango_Admin_DailyPred,MATCH($F24,Rango_Admin_DailyPred_Primera,0),0),"-")</f>
        <v>-</v>
      </c>
      <c r="AJ24" s="412" t="str">
        <f ca="1">IFERROR(VLOOKUP(AJ$2,Rango_Admin_DailyPred,MATCH($F24,Rango_Admin_DailyPred_Primera,0),0),"-")</f>
        <v>-</v>
      </c>
      <c r="AK24" s="412" t="str">
        <f ca="1">IFERROR(VLOOKUP(AK$2,Rango_Admin_DailyPred,MATCH($F24,Rango_Admin_DailyPred_Primera,0),0),"-")</f>
        <v>-</v>
      </c>
      <c r="AL24" s="412" t="str">
        <f ca="1">IFERROR(VLOOKUP(AL$2,Rango_Admin_DailyPred,MATCH($F24,Rango_Admin_DailyPred_Primera,0),0),"-")</f>
        <v>-</v>
      </c>
      <c r="AM24" s="287"/>
      <c r="AN24" s="287"/>
      <c r="AO24" s="28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772">
        <f t="shared" si="2"/>
        <v>72</v>
      </c>
      <c r="F25" s="393" t="str" cm="1">
        <f t="array" ref="F25">IFERROR(INDEX(Rango_Admin_DailyPred_Primera,1,E25),"-")</f>
        <v>Pegar Valores Nombre J22</v>
      </c>
      <c r="G25" s="412">
        <f ca="1">IFERROR(VLOOKUP(G$2,Rango_Admin_DailyPred,MATCH($F25,Rango_Admin_DailyPred_Primera,0),0),"-")</f>
        <v>0</v>
      </c>
      <c r="H25" s="412">
        <f ca="1">IFERROR(VLOOKUP(H$2,Rango_Admin_DailyPred,MATCH($F25,Rango_Admin_DailyPred_Primera,0),0),"-")</f>
        <v>0</v>
      </c>
      <c r="I25" s="412" t="str">
        <f ca="1">IFERROR(VLOOKUP(I$2,Rango_Admin_DailyPred,MATCH($F25,Rango_Admin_DailyPred_Primera,0),0),"-")</f>
        <v>-</v>
      </c>
      <c r="J25" s="412" t="str">
        <f ca="1">IFERROR(VLOOKUP(J$2,Rango_Admin_DailyPred,MATCH($F25,Rango_Admin_DailyPred_Primera,0),0),"-")</f>
        <v>-</v>
      </c>
      <c r="K25" s="412" t="str">
        <f ca="1">IFERROR(VLOOKUP(K$2,Rango_Admin_DailyPred,MATCH($F25,Rango_Admin_DailyPred_Primera,0),0),"-")</f>
        <v>-</v>
      </c>
      <c r="L25" s="412" t="str">
        <f ca="1">IFERROR(VLOOKUP(L$2,Rango_Admin_DailyPred,MATCH($F25,Rango_Admin_DailyPred_Primera,0),0),"-")</f>
        <v>-</v>
      </c>
      <c r="M25" s="412" t="str">
        <f ca="1">IFERROR(VLOOKUP(M$2,Rango_Admin_DailyPred,MATCH($F25,Rango_Admin_DailyPred_Primera,0),0),"-")</f>
        <v>-</v>
      </c>
      <c r="N25" s="412" t="str">
        <f ca="1">IFERROR(VLOOKUP(N$2,Rango_Admin_DailyPred,MATCH($F25,Rango_Admin_DailyPred_Primera,0),0),"-")</f>
        <v>-</v>
      </c>
      <c r="O25" s="412" t="str">
        <f ca="1">IFERROR(VLOOKUP(O$2,Rango_Admin_DailyPred,MATCH($F25,Rango_Admin_DailyPred_Primera,0),0),"-")</f>
        <v>-</v>
      </c>
      <c r="P25" s="412" t="str">
        <f ca="1">IFERROR(VLOOKUP(P$2,Rango_Admin_DailyPred,MATCH($F25,Rango_Admin_DailyPred_Primera,0),0),"-")</f>
        <v>-</v>
      </c>
      <c r="Q25" s="412" t="str">
        <f ca="1">IFERROR(VLOOKUP(Q$2,Rango_Admin_DailyPred,MATCH($F25,Rango_Admin_DailyPred_Primera,0),0),"-")</f>
        <v>-</v>
      </c>
      <c r="R25" s="412" t="str">
        <f ca="1">IFERROR(VLOOKUP(R$2,Rango_Admin_DailyPred,MATCH($F25,Rango_Admin_DailyPred_Primera,0),0),"-")</f>
        <v>-</v>
      </c>
      <c r="S25" s="412" t="str">
        <f ca="1">IFERROR(VLOOKUP(S$2,Rango_Admin_DailyPred,MATCH($F25,Rango_Admin_DailyPred_Primera,0),0),"-")</f>
        <v>-</v>
      </c>
      <c r="T25" s="412" t="str">
        <f ca="1">IFERROR(VLOOKUP(T$2,Rango_Admin_DailyPred,MATCH($F25,Rango_Admin_DailyPred_Primera,0),0),"-")</f>
        <v>-</v>
      </c>
      <c r="U25" s="412" t="str">
        <f ca="1">IFERROR(VLOOKUP(U$2,Rango_Admin_DailyPred,MATCH($F25,Rango_Admin_DailyPred_Primera,0),0),"-")</f>
        <v>-</v>
      </c>
      <c r="V25" s="412" t="str">
        <f ca="1">IFERROR(VLOOKUP(V$2,Rango_Admin_DailyPred,MATCH($F25,Rango_Admin_DailyPred_Primera,0),0),"-")</f>
        <v>-</v>
      </c>
      <c r="W25" s="412" t="str">
        <f ca="1">IFERROR(VLOOKUP(W$2,Rango_Admin_DailyPred,MATCH($F25,Rango_Admin_DailyPred_Primera,0),0),"-")</f>
        <v>-</v>
      </c>
      <c r="X25" s="412" t="str">
        <f ca="1">IFERROR(VLOOKUP(X$2,Rango_Admin_DailyPred,MATCH($F25,Rango_Admin_DailyPred_Primera,0),0),"-")</f>
        <v>-</v>
      </c>
      <c r="Y25" s="412" t="str">
        <f ca="1">IFERROR(VLOOKUP(Y$2,Rango_Admin_DailyPred,MATCH($F25,Rango_Admin_DailyPred_Primera,0),0),"-")</f>
        <v>-</v>
      </c>
      <c r="Z25" s="412" t="str">
        <f ca="1">IFERROR(VLOOKUP(Z$2,Rango_Admin_DailyPred,MATCH($F25,Rango_Admin_DailyPred_Primera,0),0),"-")</f>
        <v>-</v>
      </c>
      <c r="AA25" s="412" t="str">
        <f ca="1">IFERROR(VLOOKUP(AA$2,Rango_Admin_DailyPred,MATCH($F25,Rango_Admin_DailyPred_Primera,0),0),"-")</f>
        <v>-</v>
      </c>
      <c r="AB25" s="412" t="str">
        <f ca="1">IFERROR(VLOOKUP(AB$2,Rango_Admin_DailyPred,MATCH($F25,Rango_Admin_DailyPred_Primera,0),0),"-")</f>
        <v>-</v>
      </c>
      <c r="AC25" s="412" t="str">
        <f ca="1">IFERROR(VLOOKUP(AC$2,Rango_Admin_DailyPred,MATCH($F25,Rango_Admin_DailyPred_Primera,0),0),"-")</f>
        <v>-</v>
      </c>
      <c r="AD25" s="412" t="str">
        <f ca="1">IFERROR(VLOOKUP(AD$2,Rango_Admin_DailyPred,MATCH($F25,Rango_Admin_DailyPred_Primera,0),0),"-")</f>
        <v>-</v>
      </c>
      <c r="AE25" s="412" t="str">
        <f ca="1">IFERROR(VLOOKUP(AE$2,Rango_Admin_DailyPred,MATCH($F25,Rango_Admin_DailyPred_Primera,0),0),"-")</f>
        <v>-</v>
      </c>
      <c r="AF25" s="412" t="str">
        <f ca="1">IFERROR(VLOOKUP(AF$2,Rango_Admin_DailyPred,MATCH($F25,Rango_Admin_DailyPred_Primera,0),0),"-")</f>
        <v>-</v>
      </c>
      <c r="AG25" s="412" t="str">
        <f ca="1">IFERROR(VLOOKUP(AG$2,Rango_Admin_DailyPred,MATCH($F25,Rango_Admin_DailyPred_Primera,0),0),"-")</f>
        <v>-</v>
      </c>
      <c r="AH25" s="412" t="str">
        <f ca="1">IFERROR(VLOOKUP(AH$2,Rango_Admin_DailyPred,MATCH($F25,Rango_Admin_DailyPred_Primera,0),0),"-")</f>
        <v>-</v>
      </c>
      <c r="AI25" s="412" t="str">
        <f ca="1">IFERROR(VLOOKUP(AI$2,Rango_Admin_DailyPred,MATCH($F25,Rango_Admin_DailyPred_Primera,0),0),"-")</f>
        <v>-</v>
      </c>
      <c r="AJ25" s="412" t="str">
        <f ca="1">IFERROR(VLOOKUP(AJ$2,Rango_Admin_DailyPred,MATCH($F25,Rango_Admin_DailyPred_Primera,0),0),"-")</f>
        <v>-</v>
      </c>
      <c r="AK25" s="412" t="str">
        <f ca="1">IFERROR(VLOOKUP(AK$2,Rango_Admin_DailyPred,MATCH($F25,Rango_Admin_DailyPred_Primera,0),0),"-")</f>
        <v>-</v>
      </c>
      <c r="AL25" s="412" t="str">
        <f ca="1">IFERROR(VLOOKUP(AL$2,Rango_Admin_DailyPred,MATCH($F25,Rango_Admin_DailyPred_Primera,0),0),"-")</f>
        <v>-</v>
      </c>
      <c r="AM25" s="287"/>
      <c r="AN25" s="287"/>
      <c r="AO25" s="28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772">
        <f t="shared" si="2"/>
        <v>75</v>
      </c>
      <c r="F26" s="393" t="str" cm="1">
        <f t="array" ref="F26">IFERROR(INDEX(Rango_Admin_DailyPred_Primera,1,E26),"-")</f>
        <v>Pegar Valores Nombre J23</v>
      </c>
      <c r="G26" s="412">
        <f ca="1">IFERROR(VLOOKUP(G$2,Rango_Admin_DailyPred,MATCH($F26,Rango_Admin_DailyPred_Primera,0),0),"-")</f>
        <v>0</v>
      </c>
      <c r="H26" s="412">
        <f ca="1">IFERROR(VLOOKUP(H$2,Rango_Admin_DailyPred,MATCH($F26,Rango_Admin_DailyPred_Primera,0),0),"-")</f>
        <v>0</v>
      </c>
      <c r="I26" s="412" t="str">
        <f ca="1">IFERROR(VLOOKUP(I$2,Rango_Admin_DailyPred,MATCH($F26,Rango_Admin_DailyPred_Primera,0),0),"-")</f>
        <v>-</v>
      </c>
      <c r="J26" s="412" t="str">
        <f ca="1">IFERROR(VLOOKUP(J$2,Rango_Admin_DailyPred,MATCH($F26,Rango_Admin_DailyPred_Primera,0),0),"-")</f>
        <v>-</v>
      </c>
      <c r="K26" s="412" t="str">
        <f ca="1">IFERROR(VLOOKUP(K$2,Rango_Admin_DailyPred,MATCH($F26,Rango_Admin_DailyPred_Primera,0),0),"-")</f>
        <v>-</v>
      </c>
      <c r="L26" s="412" t="str">
        <f ca="1">IFERROR(VLOOKUP(L$2,Rango_Admin_DailyPred,MATCH($F26,Rango_Admin_DailyPred_Primera,0),0),"-")</f>
        <v>-</v>
      </c>
      <c r="M26" s="412" t="str">
        <f ca="1">IFERROR(VLOOKUP(M$2,Rango_Admin_DailyPred,MATCH($F26,Rango_Admin_DailyPred_Primera,0),0),"-")</f>
        <v>-</v>
      </c>
      <c r="N26" s="412" t="str">
        <f ca="1">IFERROR(VLOOKUP(N$2,Rango_Admin_DailyPred,MATCH($F26,Rango_Admin_DailyPred_Primera,0),0),"-")</f>
        <v>-</v>
      </c>
      <c r="O26" s="412" t="str">
        <f ca="1">IFERROR(VLOOKUP(O$2,Rango_Admin_DailyPred,MATCH($F26,Rango_Admin_DailyPred_Primera,0),0),"-")</f>
        <v>-</v>
      </c>
      <c r="P26" s="412" t="str">
        <f ca="1">IFERROR(VLOOKUP(P$2,Rango_Admin_DailyPred,MATCH($F26,Rango_Admin_DailyPred_Primera,0),0),"-")</f>
        <v>-</v>
      </c>
      <c r="Q26" s="412" t="str">
        <f ca="1">IFERROR(VLOOKUP(Q$2,Rango_Admin_DailyPred,MATCH($F26,Rango_Admin_DailyPred_Primera,0),0),"-")</f>
        <v>-</v>
      </c>
      <c r="R26" s="412" t="str">
        <f ca="1">IFERROR(VLOOKUP(R$2,Rango_Admin_DailyPred,MATCH($F26,Rango_Admin_DailyPred_Primera,0),0),"-")</f>
        <v>-</v>
      </c>
      <c r="S26" s="412" t="str">
        <f ca="1">IFERROR(VLOOKUP(S$2,Rango_Admin_DailyPred,MATCH($F26,Rango_Admin_DailyPred_Primera,0),0),"-")</f>
        <v>-</v>
      </c>
      <c r="T26" s="412" t="str">
        <f ca="1">IFERROR(VLOOKUP(T$2,Rango_Admin_DailyPred,MATCH($F26,Rango_Admin_DailyPred_Primera,0),0),"-")</f>
        <v>-</v>
      </c>
      <c r="U26" s="412" t="str">
        <f ca="1">IFERROR(VLOOKUP(U$2,Rango_Admin_DailyPred,MATCH($F26,Rango_Admin_DailyPred_Primera,0),0),"-")</f>
        <v>-</v>
      </c>
      <c r="V26" s="412" t="str">
        <f ca="1">IFERROR(VLOOKUP(V$2,Rango_Admin_DailyPred,MATCH($F26,Rango_Admin_DailyPred_Primera,0),0),"-")</f>
        <v>-</v>
      </c>
      <c r="W26" s="412" t="str">
        <f ca="1">IFERROR(VLOOKUP(W$2,Rango_Admin_DailyPred,MATCH($F26,Rango_Admin_DailyPred_Primera,0),0),"-")</f>
        <v>-</v>
      </c>
      <c r="X26" s="412" t="str">
        <f ca="1">IFERROR(VLOOKUP(X$2,Rango_Admin_DailyPred,MATCH($F26,Rango_Admin_DailyPred_Primera,0),0),"-")</f>
        <v>-</v>
      </c>
      <c r="Y26" s="412" t="str">
        <f ca="1">IFERROR(VLOOKUP(Y$2,Rango_Admin_DailyPred,MATCH($F26,Rango_Admin_DailyPred_Primera,0),0),"-")</f>
        <v>-</v>
      </c>
      <c r="Z26" s="412" t="str">
        <f ca="1">IFERROR(VLOOKUP(Z$2,Rango_Admin_DailyPred,MATCH($F26,Rango_Admin_DailyPred_Primera,0),0),"-")</f>
        <v>-</v>
      </c>
      <c r="AA26" s="412" t="str">
        <f ca="1">IFERROR(VLOOKUP(AA$2,Rango_Admin_DailyPred,MATCH($F26,Rango_Admin_DailyPred_Primera,0),0),"-")</f>
        <v>-</v>
      </c>
      <c r="AB26" s="412" t="str">
        <f ca="1">IFERROR(VLOOKUP(AB$2,Rango_Admin_DailyPred,MATCH($F26,Rango_Admin_DailyPred_Primera,0),0),"-")</f>
        <v>-</v>
      </c>
      <c r="AC26" s="412" t="str">
        <f ca="1">IFERROR(VLOOKUP(AC$2,Rango_Admin_DailyPred,MATCH($F26,Rango_Admin_DailyPred_Primera,0),0),"-")</f>
        <v>-</v>
      </c>
      <c r="AD26" s="412" t="str">
        <f ca="1">IFERROR(VLOOKUP(AD$2,Rango_Admin_DailyPred,MATCH($F26,Rango_Admin_DailyPred_Primera,0),0),"-")</f>
        <v>-</v>
      </c>
      <c r="AE26" s="412" t="str">
        <f ca="1">IFERROR(VLOOKUP(AE$2,Rango_Admin_DailyPred,MATCH($F26,Rango_Admin_DailyPred_Primera,0),0),"-")</f>
        <v>-</v>
      </c>
      <c r="AF26" s="412" t="str">
        <f ca="1">IFERROR(VLOOKUP(AF$2,Rango_Admin_DailyPred,MATCH($F26,Rango_Admin_DailyPred_Primera,0),0),"-")</f>
        <v>-</v>
      </c>
      <c r="AG26" s="412" t="str">
        <f ca="1">IFERROR(VLOOKUP(AG$2,Rango_Admin_DailyPred,MATCH($F26,Rango_Admin_DailyPred_Primera,0),0),"-")</f>
        <v>-</v>
      </c>
      <c r="AH26" s="412" t="str">
        <f ca="1">IFERROR(VLOOKUP(AH$2,Rango_Admin_DailyPred,MATCH($F26,Rango_Admin_DailyPred_Primera,0),0),"-")</f>
        <v>-</v>
      </c>
      <c r="AI26" s="412" t="str">
        <f ca="1">IFERROR(VLOOKUP(AI$2,Rango_Admin_DailyPred,MATCH($F26,Rango_Admin_DailyPred_Primera,0),0),"-")</f>
        <v>-</v>
      </c>
      <c r="AJ26" s="412" t="str">
        <f ca="1">IFERROR(VLOOKUP(AJ$2,Rango_Admin_DailyPred,MATCH($F26,Rango_Admin_DailyPred_Primera,0),0),"-")</f>
        <v>-</v>
      </c>
      <c r="AK26" s="412" t="str">
        <f ca="1">IFERROR(VLOOKUP(AK$2,Rango_Admin_DailyPred,MATCH($F26,Rango_Admin_DailyPred_Primera,0),0),"-")</f>
        <v>-</v>
      </c>
      <c r="AL26" s="412" t="str">
        <f ca="1">IFERROR(VLOOKUP(AL$2,Rango_Admin_DailyPred,MATCH($F26,Rango_Admin_DailyPred_Primera,0),0),"-")</f>
        <v>-</v>
      </c>
      <c r="AM26" s="287"/>
      <c r="AN26" s="287"/>
      <c r="AO26" s="28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772">
        <f t="shared" si="2"/>
        <v>78</v>
      </c>
      <c r="F27" s="393" t="str" cm="1">
        <f t="array" ref="F27">IFERROR(INDEX(Rango_Admin_DailyPred_Primera,1,E27),"-")</f>
        <v>Pegar Valores Nombre J24</v>
      </c>
      <c r="G27" s="412">
        <f ca="1">IFERROR(VLOOKUP(G$2,Rango_Admin_DailyPred,MATCH($F27,Rango_Admin_DailyPred_Primera,0),0),"-")</f>
        <v>0</v>
      </c>
      <c r="H27" s="412">
        <f ca="1">IFERROR(VLOOKUP(H$2,Rango_Admin_DailyPred,MATCH($F27,Rango_Admin_DailyPred_Primera,0),0),"-")</f>
        <v>0</v>
      </c>
      <c r="I27" s="412" t="str">
        <f ca="1">IFERROR(VLOOKUP(I$2,Rango_Admin_DailyPred,MATCH($F27,Rango_Admin_DailyPred_Primera,0),0),"-")</f>
        <v>-</v>
      </c>
      <c r="J27" s="412" t="str">
        <f ca="1">IFERROR(VLOOKUP(J$2,Rango_Admin_DailyPred,MATCH($F27,Rango_Admin_DailyPred_Primera,0),0),"-")</f>
        <v>-</v>
      </c>
      <c r="K27" s="412" t="str">
        <f ca="1">IFERROR(VLOOKUP(K$2,Rango_Admin_DailyPred,MATCH($F27,Rango_Admin_DailyPred_Primera,0),0),"-")</f>
        <v>-</v>
      </c>
      <c r="L27" s="412" t="str">
        <f ca="1">IFERROR(VLOOKUP(L$2,Rango_Admin_DailyPred,MATCH($F27,Rango_Admin_DailyPred_Primera,0),0),"-")</f>
        <v>-</v>
      </c>
      <c r="M27" s="412" t="str">
        <f ca="1">IFERROR(VLOOKUP(M$2,Rango_Admin_DailyPred,MATCH($F27,Rango_Admin_DailyPred_Primera,0),0),"-")</f>
        <v>-</v>
      </c>
      <c r="N27" s="412" t="str">
        <f ca="1">IFERROR(VLOOKUP(N$2,Rango_Admin_DailyPred,MATCH($F27,Rango_Admin_DailyPred_Primera,0),0),"-")</f>
        <v>-</v>
      </c>
      <c r="O27" s="412" t="str">
        <f ca="1">IFERROR(VLOOKUP(O$2,Rango_Admin_DailyPred,MATCH($F27,Rango_Admin_DailyPred_Primera,0),0),"-")</f>
        <v>-</v>
      </c>
      <c r="P27" s="412" t="str">
        <f ca="1">IFERROR(VLOOKUP(P$2,Rango_Admin_DailyPred,MATCH($F27,Rango_Admin_DailyPred_Primera,0),0),"-")</f>
        <v>-</v>
      </c>
      <c r="Q27" s="412" t="str">
        <f ca="1">IFERROR(VLOOKUP(Q$2,Rango_Admin_DailyPred,MATCH($F27,Rango_Admin_DailyPred_Primera,0),0),"-")</f>
        <v>-</v>
      </c>
      <c r="R27" s="412" t="str">
        <f ca="1">IFERROR(VLOOKUP(R$2,Rango_Admin_DailyPred,MATCH($F27,Rango_Admin_DailyPred_Primera,0),0),"-")</f>
        <v>-</v>
      </c>
      <c r="S27" s="412" t="str">
        <f ca="1">IFERROR(VLOOKUP(S$2,Rango_Admin_DailyPred,MATCH($F27,Rango_Admin_DailyPred_Primera,0),0),"-")</f>
        <v>-</v>
      </c>
      <c r="T27" s="412" t="str">
        <f ca="1">IFERROR(VLOOKUP(T$2,Rango_Admin_DailyPred,MATCH($F27,Rango_Admin_DailyPred_Primera,0),0),"-")</f>
        <v>-</v>
      </c>
      <c r="U27" s="412" t="str">
        <f ca="1">IFERROR(VLOOKUP(U$2,Rango_Admin_DailyPred,MATCH($F27,Rango_Admin_DailyPred_Primera,0),0),"-")</f>
        <v>-</v>
      </c>
      <c r="V27" s="412" t="str">
        <f ca="1">IFERROR(VLOOKUP(V$2,Rango_Admin_DailyPred,MATCH($F27,Rango_Admin_DailyPred_Primera,0),0),"-")</f>
        <v>-</v>
      </c>
      <c r="W27" s="412" t="str">
        <f ca="1">IFERROR(VLOOKUP(W$2,Rango_Admin_DailyPred,MATCH($F27,Rango_Admin_DailyPred_Primera,0),0),"-")</f>
        <v>-</v>
      </c>
      <c r="X27" s="412" t="str">
        <f ca="1">IFERROR(VLOOKUP(X$2,Rango_Admin_DailyPred,MATCH($F27,Rango_Admin_DailyPred_Primera,0),0),"-")</f>
        <v>-</v>
      </c>
      <c r="Y27" s="412" t="str">
        <f ca="1">IFERROR(VLOOKUP(Y$2,Rango_Admin_DailyPred,MATCH($F27,Rango_Admin_DailyPred_Primera,0),0),"-")</f>
        <v>-</v>
      </c>
      <c r="Z27" s="412" t="str">
        <f ca="1">IFERROR(VLOOKUP(Z$2,Rango_Admin_DailyPred,MATCH($F27,Rango_Admin_DailyPred_Primera,0),0),"-")</f>
        <v>-</v>
      </c>
      <c r="AA27" s="412" t="str">
        <f ca="1">IFERROR(VLOOKUP(AA$2,Rango_Admin_DailyPred,MATCH($F27,Rango_Admin_DailyPred_Primera,0),0),"-")</f>
        <v>-</v>
      </c>
      <c r="AB27" s="412" t="str">
        <f ca="1">IFERROR(VLOOKUP(AB$2,Rango_Admin_DailyPred,MATCH($F27,Rango_Admin_DailyPred_Primera,0),0),"-")</f>
        <v>-</v>
      </c>
      <c r="AC27" s="412" t="str">
        <f ca="1">IFERROR(VLOOKUP(AC$2,Rango_Admin_DailyPred,MATCH($F27,Rango_Admin_DailyPred_Primera,0),0),"-")</f>
        <v>-</v>
      </c>
      <c r="AD27" s="412" t="str">
        <f ca="1">IFERROR(VLOOKUP(AD$2,Rango_Admin_DailyPred,MATCH($F27,Rango_Admin_DailyPred_Primera,0),0),"-")</f>
        <v>-</v>
      </c>
      <c r="AE27" s="412" t="str">
        <f ca="1">IFERROR(VLOOKUP(AE$2,Rango_Admin_DailyPred,MATCH($F27,Rango_Admin_DailyPred_Primera,0),0),"-")</f>
        <v>-</v>
      </c>
      <c r="AF27" s="412" t="str">
        <f ca="1">IFERROR(VLOOKUP(AF$2,Rango_Admin_DailyPred,MATCH($F27,Rango_Admin_DailyPred_Primera,0),0),"-")</f>
        <v>-</v>
      </c>
      <c r="AG27" s="412" t="str">
        <f ca="1">IFERROR(VLOOKUP(AG$2,Rango_Admin_DailyPred,MATCH($F27,Rango_Admin_DailyPred_Primera,0),0),"-")</f>
        <v>-</v>
      </c>
      <c r="AH27" s="412" t="str">
        <f ca="1">IFERROR(VLOOKUP(AH$2,Rango_Admin_DailyPred,MATCH($F27,Rango_Admin_DailyPred_Primera,0),0),"-")</f>
        <v>-</v>
      </c>
      <c r="AI27" s="412" t="str">
        <f ca="1">IFERROR(VLOOKUP(AI$2,Rango_Admin_DailyPred,MATCH($F27,Rango_Admin_DailyPred_Primera,0),0),"-")</f>
        <v>-</v>
      </c>
      <c r="AJ27" s="412" t="str">
        <f ca="1">IFERROR(VLOOKUP(AJ$2,Rango_Admin_DailyPred,MATCH($F27,Rango_Admin_DailyPred_Primera,0),0),"-")</f>
        <v>-</v>
      </c>
      <c r="AK27" s="412" t="str">
        <f ca="1">IFERROR(VLOOKUP(AK$2,Rango_Admin_DailyPred,MATCH($F27,Rango_Admin_DailyPred_Primera,0),0),"-")</f>
        <v>-</v>
      </c>
      <c r="AL27" s="412" t="str">
        <f ca="1">IFERROR(VLOOKUP(AL$2,Rango_Admin_DailyPred,MATCH($F27,Rango_Admin_DailyPred_Primera,0),0),"-")</f>
        <v>-</v>
      </c>
      <c r="AM27" s="287"/>
      <c r="AN27" s="287"/>
      <c r="AO27" s="28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772">
        <f t="shared" si="2"/>
        <v>81</v>
      </c>
      <c r="F28" s="393" t="str" cm="1">
        <f t="array" ref="F28">IFERROR(INDEX(Rango_Admin_DailyPred_Primera,1,E28),"-")</f>
        <v>Pegar Valores Nombre J25</v>
      </c>
      <c r="G28" s="412">
        <f ca="1">IFERROR(VLOOKUP(G$2,Rango_Admin_DailyPred,MATCH($F28,Rango_Admin_DailyPred_Primera,0),0),"-")</f>
        <v>0</v>
      </c>
      <c r="H28" s="412">
        <f ca="1">IFERROR(VLOOKUP(H$2,Rango_Admin_DailyPred,MATCH($F28,Rango_Admin_DailyPred_Primera,0),0),"-")</f>
        <v>0</v>
      </c>
      <c r="I28" s="412" t="str">
        <f ca="1">IFERROR(VLOOKUP(I$2,Rango_Admin_DailyPred,MATCH($F28,Rango_Admin_DailyPred_Primera,0),0),"-")</f>
        <v>-</v>
      </c>
      <c r="J28" s="412" t="str">
        <f ca="1">IFERROR(VLOOKUP(J$2,Rango_Admin_DailyPred,MATCH($F28,Rango_Admin_DailyPred_Primera,0),0),"-")</f>
        <v>-</v>
      </c>
      <c r="K28" s="412" t="str">
        <f ca="1">IFERROR(VLOOKUP(K$2,Rango_Admin_DailyPred,MATCH($F28,Rango_Admin_DailyPred_Primera,0),0),"-")</f>
        <v>-</v>
      </c>
      <c r="L28" s="412" t="str">
        <f ca="1">IFERROR(VLOOKUP(L$2,Rango_Admin_DailyPred,MATCH($F28,Rango_Admin_DailyPred_Primera,0),0),"-")</f>
        <v>-</v>
      </c>
      <c r="M28" s="412" t="str">
        <f ca="1">IFERROR(VLOOKUP(M$2,Rango_Admin_DailyPred,MATCH($F28,Rango_Admin_DailyPred_Primera,0),0),"-")</f>
        <v>-</v>
      </c>
      <c r="N28" s="412" t="str">
        <f ca="1">IFERROR(VLOOKUP(N$2,Rango_Admin_DailyPred,MATCH($F28,Rango_Admin_DailyPred_Primera,0),0),"-")</f>
        <v>-</v>
      </c>
      <c r="O28" s="412" t="str">
        <f ca="1">IFERROR(VLOOKUP(O$2,Rango_Admin_DailyPred,MATCH($F28,Rango_Admin_DailyPred_Primera,0),0),"-")</f>
        <v>-</v>
      </c>
      <c r="P28" s="412" t="str">
        <f ca="1">IFERROR(VLOOKUP(P$2,Rango_Admin_DailyPred,MATCH($F28,Rango_Admin_DailyPred_Primera,0),0),"-")</f>
        <v>-</v>
      </c>
      <c r="Q28" s="412" t="str">
        <f ca="1">IFERROR(VLOOKUP(Q$2,Rango_Admin_DailyPred,MATCH($F28,Rango_Admin_DailyPred_Primera,0),0),"-")</f>
        <v>-</v>
      </c>
      <c r="R28" s="412" t="str">
        <f ca="1">IFERROR(VLOOKUP(R$2,Rango_Admin_DailyPred,MATCH($F28,Rango_Admin_DailyPred_Primera,0),0),"-")</f>
        <v>-</v>
      </c>
      <c r="S28" s="412" t="str">
        <f ca="1">IFERROR(VLOOKUP(S$2,Rango_Admin_DailyPred,MATCH($F28,Rango_Admin_DailyPred_Primera,0),0),"-")</f>
        <v>-</v>
      </c>
      <c r="T28" s="412" t="str">
        <f ca="1">IFERROR(VLOOKUP(T$2,Rango_Admin_DailyPred,MATCH($F28,Rango_Admin_DailyPred_Primera,0),0),"-")</f>
        <v>-</v>
      </c>
      <c r="U28" s="412" t="str">
        <f ca="1">IFERROR(VLOOKUP(U$2,Rango_Admin_DailyPred,MATCH($F28,Rango_Admin_DailyPred_Primera,0),0),"-")</f>
        <v>-</v>
      </c>
      <c r="V28" s="412" t="str">
        <f ca="1">IFERROR(VLOOKUP(V$2,Rango_Admin_DailyPred,MATCH($F28,Rango_Admin_DailyPred_Primera,0),0),"-")</f>
        <v>-</v>
      </c>
      <c r="W28" s="412" t="str">
        <f ca="1">IFERROR(VLOOKUP(W$2,Rango_Admin_DailyPred,MATCH($F28,Rango_Admin_DailyPred_Primera,0),0),"-")</f>
        <v>-</v>
      </c>
      <c r="X28" s="412" t="str">
        <f ca="1">IFERROR(VLOOKUP(X$2,Rango_Admin_DailyPred,MATCH($F28,Rango_Admin_DailyPred_Primera,0),0),"-")</f>
        <v>-</v>
      </c>
      <c r="Y28" s="412" t="str">
        <f ca="1">IFERROR(VLOOKUP(Y$2,Rango_Admin_DailyPred,MATCH($F28,Rango_Admin_DailyPred_Primera,0),0),"-")</f>
        <v>-</v>
      </c>
      <c r="Z28" s="412" t="str">
        <f ca="1">IFERROR(VLOOKUP(Z$2,Rango_Admin_DailyPred,MATCH($F28,Rango_Admin_DailyPred_Primera,0),0),"-")</f>
        <v>-</v>
      </c>
      <c r="AA28" s="412" t="str">
        <f ca="1">IFERROR(VLOOKUP(AA$2,Rango_Admin_DailyPred,MATCH($F28,Rango_Admin_DailyPred_Primera,0),0),"-")</f>
        <v>-</v>
      </c>
      <c r="AB28" s="412" t="str">
        <f ca="1">IFERROR(VLOOKUP(AB$2,Rango_Admin_DailyPred,MATCH($F28,Rango_Admin_DailyPred_Primera,0),0),"-")</f>
        <v>-</v>
      </c>
      <c r="AC28" s="412" t="str">
        <f ca="1">IFERROR(VLOOKUP(AC$2,Rango_Admin_DailyPred,MATCH($F28,Rango_Admin_DailyPred_Primera,0),0),"-")</f>
        <v>-</v>
      </c>
      <c r="AD28" s="412" t="str">
        <f ca="1">IFERROR(VLOOKUP(AD$2,Rango_Admin_DailyPred,MATCH($F28,Rango_Admin_DailyPred_Primera,0),0),"-")</f>
        <v>-</v>
      </c>
      <c r="AE28" s="412" t="str">
        <f ca="1">IFERROR(VLOOKUP(AE$2,Rango_Admin_DailyPred,MATCH($F28,Rango_Admin_DailyPred_Primera,0),0),"-")</f>
        <v>-</v>
      </c>
      <c r="AF28" s="412" t="str">
        <f ca="1">IFERROR(VLOOKUP(AF$2,Rango_Admin_DailyPred,MATCH($F28,Rango_Admin_DailyPred_Primera,0),0),"-")</f>
        <v>-</v>
      </c>
      <c r="AG28" s="412" t="str">
        <f ca="1">IFERROR(VLOOKUP(AG$2,Rango_Admin_DailyPred,MATCH($F28,Rango_Admin_DailyPred_Primera,0),0),"-")</f>
        <v>-</v>
      </c>
      <c r="AH28" s="412" t="str">
        <f ca="1">IFERROR(VLOOKUP(AH$2,Rango_Admin_DailyPred,MATCH($F28,Rango_Admin_DailyPred_Primera,0),0),"-")</f>
        <v>-</v>
      </c>
      <c r="AI28" s="412" t="str">
        <f ca="1">IFERROR(VLOOKUP(AI$2,Rango_Admin_DailyPred,MATCH($F28,Rango_Admin_DailyPred_Primera,0),0),"-")</f>
        <v>-</v>
      </c>
      <c r="AJ28" s="412" t="str">
        <f ca="1">IFERROR(VLOOKUP(AJ$2,Rango_Admin_DailyPred,MATCH($F28,Rango_Admin_DailyPred_Primera,0),0),"-")</f>
        <v>-</v>
      </c>
      <c r="AK28" s="412" t="str">
        <f ca="1">IFERROR(VLOOKUP(AK$2,Rango_Admin_DailyPred,MATCH($F28,Rango_Admin_DailyPred_Primera,0),0),"-")</f>
        <v>-</v>
      </c>
      <c r="AL28" s="412" t="str">
        <f ca="1">IFERROR(VLOOKUP(AL$2,Rango_Admin_DailyPred,MATCH($F28,Rango_Admin_DailyPred_Primera,0),0),"-")</f>
        <v>-</v>
      </c>
      <c r="AM28" s="287"/>
      <c r="AN28" s="287"/>
      <c r="AO28" s="28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772">
        <f t="shared" si="2"/>
        <v>84</v>
      </c>
      <c r="F29" s="393" t="str" cm="1">
        <f t="array" ref="F29">IFERROR(INDEX(Rango_Admin_DailyPred_Primera,1,E29),"-")</f>
        <v>Pegar Valores Nombre J26</v>
      </c>
      <c r="G29" s="412">
        <f ca="1">IFERROR(VLOOKUP(G$2,Rango_Admin_DailyPred,MATCH($F29,Rango_Admin_DailyPred_Primera,0),0),"-")</f>
        <v>0</v>
      </c>
      <c r="H29" s="412">
        <f ca="1">IFERROR(VLOOKUP(H$2,Rango_Admin_DailyPred,MATCH($F29,Rango_Admin_DailyPred_Primera,0),0),"-")</f>
        <v>0</v>
      </c>
      <c r="I29" s="412" t="str">
        <f ca="1">IFERROR(VLOOKUP(I$2,Rango_Admin_DailyPred,MATCH($F29,Rango_Admin_DailyPred_Primera,0),0),"-")</f>
        <v>-</v>
      </c>
      <c r="J29" s="412" t="str">
        <f ca="1">IFERROR(VLOOKUP(J$2,Rango_Admin_DailyPred,MATCH($F29,Rango_Admin_DailyPred_Primera,0),0),"-")</f>
        <v>-</v>
      </c>
      <c r="K29" s="412" t="str">
        <f ca="1">IFERROR(VLOOKUP(K$2,Rango_Admin_DailyPred,MATCH($F29,Rango_Admin_DailyPred_Primera,0),0),"-")</f>
        <v>-</v>
      </c>
      <c r="L29" s="412" t="str">
        <f ca="1">IFERROR(VLOOKUP(L$2,Rango_Admin_DailyPred,MATCH($F29,Rango_Admin_DailyPred_Primera,0),0),"-")</f>
        <v>-</v>
      </c>
      <c r="M29" s="412" t="str">
        <f ca="1">IFERROR(VLOOKUP(M$2,Rango_Admin_DailyPred,MATCH($F29,Rango_Admin_DailyPred_Primera,0),0),"-")</f>
        <v>-</v>
      </c>
      <c r="N29" s="412" t="str">
        <f ca="1">IFERROR(VLOOKUP(N$2,Rango_Admin_DailyPred,MATCH($F29,Rango_Admin_DailyPred_Primera,0),0),"-")</f>
        <v>-</v>
      </c>
      <c r="O29" s="412" t="str">
        <f ca="1">IFERROR(VLOOKUP(O$2,Rango_Admin_DailyPred,MATCH($F29,Rango_Admin_DailyPred_Primera,0),0),"-")</f>
        <v>-</v>
      </c>
      <c r="P29" s="412" t="str">
        <f ca="1">IFERROR(VLOOKUP(P$2,Rango_Admin_DailyPred,MATCH($F29,Rango_Admin_DailyPred_Primera,0),0),"-")</f>
        <v>-</v>
      </c>
      <c r="Q29" s="412" t="str">
        <f ca="1">IFERROR(VLOOKUP(Q$2,Rango_Admin_DailyPred,MATCH($F29,Rango_Admin_DailyPred_Primera,0),0),"-")</f>
        <v>-</v>
      </c>
      <c r="R29" s="412" t="str">
        <f ca="1">IFERROR(VLOOKUP(R$2,Rango_Admin_DailyPred,MATCH($F29,Rango_Admin_DailyPred_Primera,0),0),"-")</f>
        <v>-</v>
      </c>
      <c r="S29" s="412" t="str">
        <f ca="1">IFERROR(VLOOKUP(S$2,Rango_Admin_DailyPred,MATCH($F29,Rango_Admin_DailyPred_Primera,0),0),"-")</f>
        <v>-</v>
      </c>
      <c r="T29" s="412" t="str">
        <f ca="1">IFERROR(VLOOKUP(T$2,Rango_Admin_DailyPred,MATCH($F29,Rango_Admin_DailyPred_Primera,0),0),"-")</f>
        <v>-</v>
      </c>
      <c r="U29" s="412" t="str">
        <f ca="1">IFERROR(VLOOKUP(U$2,Rango_Admin_DailyPred,MATCH($F29,Rango_Admin_DailyPred_Primera,0),0),"-")</f>
        <v>-</v>
      </c>
      <c r="V29" s="412" t="str">
        <f ca="1">IFERROR(VLOOKUP(V$2,Rango_Admin_DailyPred,MATCH($F29,Rango_Admin_DailyPred_Primera,0),0),"-")</f>
        <v>-</v>
      </c>
      <c r="W29" s="412" t="str">
        <f ca="1">IFERROR(VLOOKUP(W$2,Rango_Admin_DailyPred,MATCH($F29,Rango_Admin_DailyPred_Primera,0),0),"-")</f>
        <v>-</v>
      </c>
      <c r="X29" s="412" t="str">
        <f ca="1">IFERROR(VLOOKUP(X$2,Rango_Admin_DailyPred,MATCH($F29,Rango_Admin_DailyPred_Primera,0),0),"-")</f>
        <v>-</v>
      </c>
      <c r="Y29" s="412" t="str">
        <f ca="1">IFERROR(VLOOKUP(Y$2,Rango_Admin_DailyPred,MATCH($F29,Rango_Admin_DailyPred_Primera,0),0),"-")</f>
        <v>-</v>
      </c>
      <c r="Z29" s="412" t="str">
        <f ca="1">IFERROR(VLOOKUP(Z$2,Rango_Admin_DailyPred,MATCH($F29,Rango_Admin_DailyPred_Primera,0),0),"-")</f>
        <v>-</v>
      </c>
      <c r="AA29" s="412" t="str">
        <f ca="1">IFERROR(VLOOKUP(AA$2,Rango_Admin_DailyPred,MATCH($F29,Rango_Admin_DailyPred_Primera,0),0),"-")</f>
        <v>-</v>
      </c>
      <c r="AB29" s="412" t="str">
        <f ca="1">IFERROR(VLOOKUP(AB$2,Rango_Admin_DailyPred,MATCH($F29,Rango_Admin_DailyPred_Primera,0),0),"-")</f>
        <v>-</v>
      </c>
      <c r="AC29" s="412" t="str">
        <f ca="1">IFERROR(VLOOKUP(AC$2,Rango_Admin_DailyPred,MATCH($F29,Rango_Admin_DailyPred_Primera,0),0),"-")</f>
        <v>-</v>
      </c>
      <c r="AD29" s="412" t="str">
        <f ca="1">IFERROR(VLOOKUP(AD$2,Rango_Admin_DailyPred,MATCH($F29,Rango_Admin_DailyPred_Primera,0),0),"-")</f>
        <v>-</v>
      </c>
      <c r="AE29" s="412" t="str">
        <f ca="1">IFERROR(VLOOKUP(AE$2,Rango_Admin_DailyPred,MATCH($F29,Rango_Admin_DailyPred_Primera,0),0),"-")</f>
        <v>-</v>
      </c>
      <c r="AF29" s="412" t="str">
        <f ca="1">IFERROR(VLOOKUP(AF$2,Rango_Admin_DailyPred,MATCH($F29,Rango_Admin_DailyPred_Primera,0),0),"-")</f>
        <v>-</v>
      </c>
      <c r="AG29" s="412" t="str">
        <f ca="1">IFERROR(VLOOKUP(AG$2,Rango_Admin_DailyPred,MATCH($F29,Rango_Admin_DailyPred_Primera,0),0),"-")</f>
        <v>-</v>
      </c>
      <c r="AH29" s="412" t="str">
        <f ca="1">IFERROR(VLOOKUP(AH$2,Rango_Admin_DailyPred,MATCH($F29,Rango_Admin_DailyPred_Primera,0),0),"-")</f>
        <v>-</v>
      </c>
      <c r="AI29" s="412" t="str">
        <f ca="1">IFERROR(VLOOKUP(AI$2,Rango_Admin_DailyPred,MATCH($F29,Rango_Admin_DailyPred_Primera,0),0),"-")</f>
        <v>-</v>
      </c>
      <c r="AJ29" s="412" t="str">
        <f ca="1">IFERROR(VLOOKUP(AJ$2,Rango_Admin_DailyPred,MATCH($F29,Rango_Admin_DailyPred_Primera,0),0),"-")</f>
        <v>-</v>
      </c>
      <c r="AK29" s="412" t="str">
        <f ca="1">IFERROR(VLOOKUP(AK$2,Rango_Admin_DailyPred,MATCH($F29,Rango_Admin_DailyPred_Primera,0),0),"-")</f>
        <v>-</v>
      </c>
      <c r="AL29" s="412" t="str">
        <f ca="1">IFERROR(VLOOKUP(AL$2,Rango_Admin_DailyPred,MATCH($F29,Rango_Admin_DailyPred_Primera,0),0),"-")</f>
        <v>-</v>
      </c>
      <c r="AM29" s="287"/>
      <c r="AN29" s="287"/>
      <c r="AO29" s="28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772">
        <f t="shared" si="2"/>
        <v>87</v>
      </c>
      <c r="F30" s="393" t="str" cm="1">
        <f t="array" ref="F30">IFERROR(INDEX(Rango_Admin_DailyPred_Primera,1,E30),"-")</f>
        <v>Pegar Valores Nombre J27</v>
      </c>
      <c r="G30" s="412">
        <f ca="1">IFERROR(VLOOKUP(G$2,Rango_Admin_DailyPred,MATCH($F30,Rango_Admin_DailyPred_Primera,0),0),"-")</f>
        <v>0</v>
      </c>
      <c r="H30" s="412">
        <f ca="1">IFERROR(VLOOKUP(H$2,Rango_Admin_DailyPred,MATCH($F30,Rango_Admin_DailyPred_Primera,0),0),"-")</f>
        <v>0</v>
      </c>
      <c r="I30" s="412" t="str">
        <f ca="1">IFERROR(VLOOKUP(I$2,Rango_Admin_DailyPred,MATCH($F30,Rango_Admin_DailyPred_Primera,0),0),"-")</f>
        <v>-</v>
      </c>
      <c r="J30" s="412" t="str">
        <f ca="1">IFERROR(VLOOKUP(J$2,Rango_Admin_DailyPred,MATCH($F30,Rango_Admin_DailyPred_Primera,0),0),"-")</f>
        <v>-</v>
      </c>
      <c r="K30" s="412" t="str">
        <f ca="1">IFERROR(VLOOKUP(K$2,Rango_Admin_DailyPred,MATCH($F30,Rango_Admin_DailyPred_Primera,0),0),"-")</f>
        <v>-</v>
      </c>
      <c r="L30" s="412" t="str">
        <f ca="1">IFERROR(VLOOKUP(L$2,Rango_Admin_DailyPred,MATCH($F30,Rango_Admin_DailyPred_Primera,0),0),"-")</f>
        <v>-</v>
      </c>
      <c r="M30" s="412" t="str">
        <f ca="1">IFERROR(VLOOKUP(M$2,Rango_Admin_DailyPred,MATCH($F30,Rango_Admin_DailyPred_Primera,0),0),"-")</f>
        <v>-</v>
      </c>
      <c r="N30" s="412" t="str">
        <f ca="1">IFERROR(VLOOKUP(N$2,Rango_Admin_DailyPred,MATCH($F30,Rango_Admin_DailyPred_Primera,0),0),"-")</f>
        <v>-</v>
      </c>
      <c r="O30" s="412" t="str">
        <f ca="1">IFERROR(VLOOKUP(O$2,Rango_Admin_DailyPred,MATCH($F30,Rango_Admin_DailyPred_Primera,0),0),"-")</f>
        <v>-</v>
      </c>
      <c r="P30" s="412" t="str">
        <f ca="1">IFERROR(VLOOKUP(P$2,Rango_Admin_DailyPred,MATCH($F30,Rango_Admin_DailyPred_Primera,0),0),"-")</f>
        <v>-</v>
      </c>
      <c r="Q30" s="412" t="str">
        <f ca="1">IFERROR(VLOOKUP(Q$2,Rango_Admin_DailyPred,MATCH($F30,Rango_Admin_DailyPred_Primera,0),0),"-")</f>
        <v>-</v>
      </c>
      <c r="R30" s="412" t="str">
        <f ca="1">IFERROR(VLOOKUP(R$2,Rango_Admin_DailyPred,MATCH($F30,Rango_Admin_DailyPred_Primera,0),0),"-")</f>
        <v>-</v>
      </c>
      <c r="S30" s="412" t="str">
        <f ca="1">IFERROR(VLOOKUP(S$2,Rango_Admin_DailyPred,MATCH($F30,Rango_Admin_DailyPred_Primera,0),0),"-")</f>
        <v>-</v>
      </c>
      <c r="T30" s="412" t="str">
        <f ca="1">IFERROR(VLOOKUP(T$2,Rango_Admin_DailyPred,MATCH($F30,Rango_Admin_DailyPred_Primera,0),0),"-")</f>
        <v>-</v>
      </c>
      <c r="U30" s="412" t="str">
        <f ca="1">IFERROR(VLOOKUP(U$2,Rango_Admin_DailyPred,MATCH($F30,Rango_Admin_DailyPred_Primera,0),0),"-")</f>
        <v>-</v>
      </c>
      <c r="V30" s="412" t="str">
        <f ca="1">IFERROR(VLOOKUP(V$2,Rango_Admin_DailyPred,MATCH($F30,Rango_Admin_DailyPred_Primera,0),0),"-")</f>
        <v>-</v>
      </c>
      <c r="W30" s="412" t="str">
        <f ca="1">IFERROR(VLOOKUP(W$2,Rango_Admin_DailyPred,MATCH($F30,Rango_Admin_DailyPred_Primera,0),0),"-")</f>
        <v>-</v>
      </c>
      <c r="X30" s="412" t="str">
        <f ca="1">IFERROR(VLOOKUP(X$2,Rango_Admin_DailyPred,MATCH($F30,Rango_Admin_DailyPred_Primera,0),0),"-")</f>
        <v>-</v>
      </c>
      <c r="Y30" s="412" t="str">
        <f ca="1">IFERROR(VLOOKUP(Y$2,Rango_Admin_DailyPred,MATCH($F30,Rango_Admin_DailyPred_Primera,0),0),"-")</f>
        <v>-</v>
      </c>
      <c r="Z30" s="412" t="str">
        <f ca="1">IFERROR(VLOOKUP(Z$2,Rango_Admin_DailyPred,MATCH($F30,Rango_Admin_DailyPred_Primera,0),0),"-")</f>
        <v>-</v>
      </c>
      <c r="AA30" s="412" t="str">
        <f ca="1">IFERROR(VLOOKUP(AA$2,Rango_Admin_DailyPred,MATCH($F30,Rango_Admin_DailyPred_Primera,0),0),"-")</f>
        <v>-</v>
      </c>
      <c r="AB30" s="412" t="str">
        <f ca="1">IFERROR(VLOOKUP(AB$2,Rango_Admin_DailyPred,MATCH($F30,Rango_Admin_DailyPred_Primera,0),0),"-")</f>
        <v>-</v>
      </c>
      <c r="AC30" s="412" t="str">
        <f ca="1">IFERROR(VLOOKUP(AC$2,Rango_Admin_DailyPred,MATCH($F30,Rango_Admin_DailyPred_Primera,0),0),"-")</f>
        <v>-</v>
      </c>
      <c r="AD30" s="412" t="str">
        <f ca="1">IFERROR(VLOOKUP(AD$2,Rango_Admin_DailyPred,MATCH($F30,Rango_Admin_DailyPred_Primera,0),0),"-")</f>
        <v>-</v>
      </c>
      <c r="AE30" s="412" t="str">
        <f ca="1">IFERROR(VLOOKUP(AE$2,Rango_Admin_DailyPred,MATCH($F30,Rango_Admin_DailyPred_Primera,0),0),"-")</f>
        <v>-</v>
      </c>
      <c r="AF30" s="412" t="str">
        <f ca="1">IFERROR(VLOOKUP(AF$2,Rango_Admin_DailyPred,MATCH($F30,Rango_Admin_DailyPred_Primera,0),0),"-")</f>
        <v>-</v>
      </c>
      <c r="AG30" s="412" t="str">
        <f ca="1">IFERROR(VLOOKUP(AG$2,Rango_Admin_DailyPred,MATCH($F30,Rango_Admin_DailyPred_Primera,0),0),"-")</f>
        <v>-</v>
      </c>
      <c r="AH30" s="412" t="str">
        <f ca="1">IFERROR(VLOOKUP(AH$2,Rango_Admin_DailyPred,MATCH($F30,Rango_Admin_DailyPred_Primera,0),0),"-")</f>
        <v>-</v>
      </c>
      <c r="AI30" s="412" t="str">
        <f ca="1">IFERROR(VLOOKUP(AI$2,Rango_Admin_DailyPred,MATCH($F30,Rango_Admin_DailyPred_Primera,0),0),"-")</f>
        <v>-</v>
      </c>
      <c r="AJ30" s="412" t="str">
        <f ca="1">IFERROR(VLOOKUP(AJ$2,Rango_Admin_DailyPred,MATCH($F30,Rango_Admin_DailyPred_Primera,0),0),"-")</f>
        <v>-</v>
      </c>
      <c r="AK30" s="412" t="str">
        <f ca="1">IFERROR(VLOOKUP(AK$2,Rango_Admin_DailyPred,MATCH($F30,Rango_Admin_DailyPred_Primera,0),0),"-")</f>
        <v>-</v>
      </c>
      <c r="AL30" s="412" t="str">
        <f ca="1">IFERROR(VLOOKUP(AL$2,Rango_Admin_DailyPred,MATCH($F30,Rango_Admin_DailyPred_Primera,0),0),"-")</f>
        <v>-</v>
      </c>
      <c r="AM30" s="287"/>
      <c r="AN30" s="287"/>
      <c r="AO30" s="28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772">
        <f t="shared" si="2"/>
        <v>90</v>
      </c>
      <c r="F31" s="393" t="str" cm="1">
        <f t="array" ref="F31">IFERROR(INDEX(Rango_Admin_DailyPred_Primera,1,E31),"-")</f>
        <v>Pegar Valores Nombre J28</v>
      </c>
      <c r="G31" s="412">
        <f ca="1">IFERROR(VLOOKUP(G$2,Rango_Admin_DailyPred,MATCH($F31,Rango_Admin_DailyPred_Primera,0),0),"-")</f>
        <v>0</v>
      </c>
      <c r="H31" s="412">
        <f ca="1">IFERROR(VLOOKUP(H$2,Rango_Admin_DailyPred,MATCH($F31,Rango_Admin_DailyPred_Primera,0),0),"-")</f>
        <v>0</v>
      </c>
      <c r="I31" s="412" t="str">
        <f ca="1">IFERROR(VLOOKUP(I$2,Rango_Admin_DailyPred,MATCH($F31,Rango_Admin_DailyPred_Primera,0),0),"-")</f>
        <v>-</v>
      </c>
      <c r="J31" s="412" t="str">
        <f ca="1">IFERROR(VLOOKUP(J$2,Rango_Admin_DailyPred,MATCH($F31,Rango_Admin_DailyPred_Primera,0),0),"-")</f>
        <v>-</v>
      </c>
      <c r="K31" s="412" t="str">
        <f ca="1">IFERROR(VLOOKUP(K$2,Rango_Admin_DailyPred,MATCH($F31,Rango_Admin_DailyPred_Primera,0),0),"-")</f>
        <v>-</v>
      </c>
      <c r="L31" s="412" t="str">
        <f ca="1">IFERROR(VLOOKUP(L$2,Rango_Admin_DailyPred,MATCH($F31,Rango_Admin_DailyPred_Primera,0),0),"-")</f>
        <v>-</v>
      </c>
      <c r="M31" s="412" t="str">
        <f ca="1">IFERROR(VLOOKUP(M$2,Rango_Admin_DailyPred,MATCH($F31,Rango_Admin_DailyPred_Primera,0),0),"-")</f>
        <v>-</v>
      </c>
      <c r="N31" s="412" t="str">
        <f ca="1">IFERROR(VLOOKUP(N$2,Rango_Admin_DailyPred,MATCH($F31,Rango_Admin_DailyPred_Primera,0),0),"-")</f>
        <v>-</v>
      </c>
      <c r="O31" s="412" t="str">
        <f ca="1">IFERROR(VLOOKUP(O$2,Rango_Admin_DailyPred,MATCH($F31,Rango_Admin_DailyPred_Primera,0),0),"-")</f>
        <v>-</v>
      </c>
      <c r="P31" s="412" t="str">
        <f ca="1">IFERROR(VLOOKUP(P$2,Rango_Admin_DailyPred,MATCH($F31,Rango_Admin_DailyPred_Primera,0),0),"-")</f>
        <v>-</v>
      </c>
      <c r="Q31" s="412" t="str">
        <f ca="1">IFERROR(VLOOKUP(Q$2,Rango_Admin_DailyPred,MATCH($F31,Rango_Admin_DailyPred_Primera,0),0),"-")</f>
        <v>-</v>
      </c>
      <c r="R31" s="412" t="str">
        <f ca="1">IFERROR(VLOOKUP(R$2,Rango_Admin_DailyPred,MATCH($F31,Rango_Admin_DailyPred_Primera,0),0),"-")</f>
        <v>-</v>
      </c>
      <c r="S31" s="412" t="str">
        <f ca="1">IFERROR(VLOOKUP(S$2,Rango_Admin_DailyPred,MATCH($F31,Rango_Admin_DailyPred_Primera,0),0),"-")</f>
        <v>-</v>
      </c>
      <c r="T31" s="412" t="str">
        <f ca="1">IFERROR(VLOOKUP(T$2,Rango_Admin_DailyPred,MATCH($F31,Rango_Admin_DailyPred_Primera,0),0),"-")</f>
        <v>-</v>
      </c>
      <c r="U31" s="412" t="str">
        <f ca="1">IFERROR(VLOOKUP(U$2,Rango_Admin_DailyPred,MATCH($F31,Rango_Admin_DailyPred_Primera,0),0),"-")</f>
        <v>-</v>
      </c>
      <c r="V31" s="412" t="str">
        <f ca="1">IFERROR(VLOOKUP(V$2,Rango_Admin_DailyPred,MATCH($F31,Rango_Admin_DailyPred_Primera,0),0),"-")</f>
        <v>-</v>
      </c>
      <c r="W31" s="412" t="str">
        <f ca="1">IFERROR(VLOOKUP(W$2,Rango_Admin_DailyPred,MATCH($F31,Rango_Admin_DailyPred_Primera,0),0),"-")</f>
        <v>-</v>
      </c>
      <c r="X31" s="412" t="str">
        <f ca="1">IFERROR(VLOOKUP(X$2,Rango_Admin_DailyPred,MATCH($F31,Rango_Admin_DailyPred_Primera,0),0),"-")</f>
        <v>-</v>
      </c>
      <c r="Y31" s="412" t="str">
        <f ca="1">IFERROR(VLOOKUP(Y$2,Rango_Admin_DailyPred,MATCH($F31,Rango_Admin_DailyPred_Primera,0),0),"-")</f>
        <v>-</v>
      </c>
      <c r="Z31" s="412" t="str">
        <f ca="1">IFERROR(VLOOKUP(Z$2,Rango_Admin_DailyPred,MATCH($F31,Rango_Admin_DailyPred_Primera,0),0),"-")</f>
        <v>-</v>
      </c>
      <c r="AA31" s="412" t="str">
        <f ca="1">IFERROR(VLOOKUP(AA$2,Rango_Admin_DailyPred,MATCH($F31,Rango_Admin_DailyPred_Primera,0),0),"-")</f>
        <v>-</v>
      </c>
      <c r="AB31" s="412" t="str">
        <f ca="1">IFERROR(VLOOKUP(AB$2,Rango_Admin_DailyPred,MATCH($F31,Rango_Admin_DailyPred_Primera,0),0),"-")</f>
        <v>-</v>
      </c>
      <c r="AC31" s="412" t="str">
        <f ca="1">IFERROR(VLOOKUP(AC$2,Rango_Admin_DailyPred,MATCH($F31,Rango_Admin_DailyPred_Primera,0),0),"-")</f>
        <v>-</v>
      </c>
      <c r="AD31" s="412" t="str">
        <f ca="1">IFERROR(VLOOKUP(AD$2,Rango_Admin_DailyPred,MATCH($F31,Rango_Admin_DailyPred_Primera,0),0),"-")</f>
        <v>-</v>
      </c>
      <c r="AE31" s="412" t="str">
        <f ca="1">IFERROR(VLOOKUP(AE$2,Rango_Admin_DailyPred,MATCH($F31,Rango_Admin_DailyPred_Primera,0),0),"-")</f>
        <v>-</v>
      </c>
      <c r="AF31" s="412" t="str">
        <f ca="1">IFERROR(VLOOKUP(AF$2,Rango_Admin_DailyPred,MATCH($F31,Rango_Admin_DailyPred_Primera,0),0),"-")</f>
        <v>-</v>
      </c>
      <c r="AG31" s="412" t="str">
        <f ca="1">IFERROR(VLOOKUP(AG$2,Rango_Admin_DailyPred,MATCH($F31,Rango_Admin_DailyPred_Primera,0),0),"-")</f>
        <v>-</v>
      </c>
      <c r="AH31" s="412" t="str">
        <f ca="1">IFERROR(VLOOKUP(AH$2,Rango_Admin_DailyPred,MATCH($F31,Rango_Admin_DailyPred_Primera,0),0),"-")</f>
        <v>-</v>
      </c>
      <c r="AI31" s="412" t="str">
        <f ca="1">IFERROR(VLOOKUP(AI$2,Rango_Admin_DailyPred,MATCH($F31,Rango_Admin_DailyPred_Primera,0),0),"-")</f>
        <v>-</v>
      </c>
      <c r="AJ31" s="412" t="str">
        <f ca="1">IFERROR(VLOOKUP(AJ$2,Rango_Admin_DailyPred,MATCH($F31,Rango_Admin_DailyPred_Primera,0),0),"-")</f>
        <v>-</v>
      </c>
      <c r="AK31" s="412" t="str">
        <f ca="1">IFERROR(VLOOKUP(AK$2,Rango_Admin_DailyPred,MATCH($F31,Rango_Admin_DailyPred_Primera,0),0),"-")</f>
        <v>-</v>
      </c>
      <c r="AL31" s="412" t="str">
        <f ca="1">IFERROR(VLOOKUP(AL$2,Rango_Admin_DailyPred,MATCH($F31,Rango_Admin_DailyPred_Primera,0),0),"-")</f>
        <v>-</v>
      </c>
      <c r="AM31" s="287"/>
      <c r="AN31" s="287"/>
      <c r="AO31" s="28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772">
        <f t="shared" ref="E32:E43" si="3">+E31+3</f>
        <v>93</v>
      </c>
      <c r="F32" s="393" t="str" cm="1">
        <f t="array" ref="F32">IFERROR(INDEX(Rango_Admin_DailyPred_Primera,1,E32),"-")</f>
        <v>Pegar Valores Nombre J29</v>
      </c>
      <c r="G32" s="412">
        <f ca="1">IFERROR(VLOOKUP(G$2,Rango_Admin_DailyPred,MATCH($F32,Rango_Admin_DailyPred_Primera,0),0),"-")</f>
        <v>0</v>
      </c>
      <c r="H32" s="412">
        <f ca="1">IFERROR(VLOOKUP(H$2,Rango_Admin_DailyPred,MATCH($F32,Rango_Admin_DailyPred_Primera,0),0),"-")</f>
        <v>0</v>
      </c>
      <c r="I32" s="412" t="str">
        <f ca="1">IFERROR(VLOOKUP(I$2,Rango_Admin_DailyPred,MATCH($F32,Rango_Admin_DailyPred_Primera,0),0),"-")</f>
        <v>-</v>
      </c>
      <c r="J32" s="412" t="str">
        <f ca="1">IFERROR(VLOOKUP(J$2,Rango_Admin_DailyPred,MATCH($F32,Rango_Admin_DailyPred_Primera,0),0),"-")</f>
        <v>-</v>
      </c>
      <c r="K32" s="412" t="str">
        <f ca="1">IFERROR(VLOOKUP(K$2,Rango_Admin_DailyPred,MATCH($F32,Rango_Admin_DailyPred_Primera,0),0),"-")</f>
        <v>-</v>
      </c>
      <c r="L32" s="412" t="str">
        <f ca="1">IFERROR(VLOOKUP(L$2,Rango_Admin_DailyPred,MATCH($F32,Rango_Admin_DailyPred_Primera,0),0),"-")</f>
        <v>-</v>
      </c>
      <c r="M32" s="412" t="str">
        <f ca="1">IFERROR(VLOOKUP(M$2,Rango_Admin_DailyPred,MATCH($F32,Rango_Admin_DailyPred_Primera,0),0),"-")</f>
        <v>-</v>
      </c>
      <c r="N32" s="412" t="str">
        <f ca="1">IFERROR(VLOOKUP(N$2,Rango_Admin_DailyPred,MATCH($F32,Rango_Admin_DailyPred_Primera,0),0),"-")</f>
        <v>-</v>
      </c>
      <c r="O32" s="412" t="str">
        <f ca="1">IFERROR(VLOOKUP(O$2,Rango_Admin_DailyPred,MATCH($F32,Rango_Admin_DailyPred_Primera,0),0),"-")</f>
        <v>-</v>
      </c>
      <c r="P32" s="412" t="str">
        <f ca="1">IFERROR(VLOOKUP(P$2,Rango_Admin_DailyPred,MATCH($F32,Rango_Admin_DailyPred_Primera,0),0),"-")</f>
        <v>-</v>
      </c>
      <c r="Q32" s="412" t="str">
        <f ca="1">IFERROR(VLOOKUP(Q$2,Rango_Admin_DailyPred,MATCH($F32,Rango_Admin_DailyPred_Primera,0),0),"-")</f>
        <v>-</v>
      </c>
      <c r="R32" s="412" t="str">
        <f ca="1">IFERROR(VLOOKUP(R$2,Rango_Admin_DailyPred,MATCH($F32,Rango_Admin_DailyPred_Primera,0),0),"-")</f>
        <v>-</v>
      </c>
      <c r="S32" s="412" t="str">
        <f ca="1">IFERROR(VLOOKUP(S$2,Rango_Admin_DailyPred,MATCH($F32,Rango_Admin_DailyPred_Primera,0),0),"-")</f>
        <v>-</v>
      </c>
      <c r="T32" s="412" t="str">
        <f ca="1">IFERROR(VLOOKUP(T$2,Rango_Admin_DailyPred,MATCH($F32,Rango_Admin_DailyPred_Primera,0),0),"-")</f>
        <v>-</v>
      </c>
      <c r="U32" s="412" t="str">
        <f ca="1">IFERROR(VLOOKUP(U$2,Rango_Admin_DailyPred,MATCH($F32,Rango_Admin_DailyPred_Primera,0),0),"-")</f>
        <v>-</v>
      </c>
      <c r="V32" s="412" t="str">
        <f ca="1">IFERROR(VLOOKUP(V$2,Rango_Admin_DailyPred,MATCH($F32,Rango_Admin_DailyPred_Primera,0),0),"-")</f>
        <v>-</v>
      </c>
      <c r="W32" s="412" t="str">
        <f ca="1">IFERROR(VLOOKUP(W$2,Rango_Admin_DailyPred,MATCH($F32,Rango_Admin_DailyPred_Primera,0),0),"-")</f>
        <v>-</v>
      </c>
      <c r="X32" s="412" t="str">
        <f ca="1">IFERROR(VLOOKUP(X$2,Rango_Admin_DailyPred,MATCH($F32,Rango_Admin_DailyPred_Primera,0),0),"-")</f>
        <v>-</v>
      </c>
      <c r="Y32" s="412" t="str">
        <f ca="1">IFERROR(VLOOKUP(Y$2,Rango_Admin_DailyPred,MATCH($F32,Rango_Admin_DailyPred_Primera,0),0),"-")</f>
        <v>-</v>
      </c>
      <c r="Z32" s="412" t="str">
        <f ca="1">IFERROR(VLOOKUP(Z$2,Rango_Admin_DailyPred,MATCH($F32,Rango_Admin_DailyPred_Primera,0),0),"-")</f>
        <v>-</v>
      </c>
      <c r="AA32" s="412" t="str">
        <f ca="1">IFERROR(VLOOKUP(AA$2,Rango_Admin_DailyPred,MATCH($F32,Rango_Admin_DailyPred_Primera,0),0),"-")</f>
        <v>-</v>
      </c>
      <c r="AB32" s="412" t="str">
        <f ca="1">IFERROR(VLOOKUP(AB$2,Rango_Admin_DailyPred,MATCH($F32,Rango_Admin_DailyPred_Primera,0),0),"-")</f>
        <v>-</v>
      </c>
      <c r="AC32" s="412" t="str">
        <f ca="1">IFERROR(VLOOKUP(AC$2,Rango_Admin_DailyPred,MATCH($F32,Rango_Admin_DailyPred_Primera,0),0),"-")</f>
        <v>-</v>
      </c>
      <c r="AD32" s="412" t="str">
        <f ca="1">IFERROR(VLOOKUP(AD$2,Rango_Admin_DailyPred,MATCH($F32,Rango_Admin_DailyPred_Primera,0),0),"-")</f>
        <v>-</v>
      </c>
      <c r="AE32" s="412" t="str">
        <f ca="1">IFERROR(VLOOKUP(AE$2,Rango_Admin_DailyPred,MATCH($F32,Rango_Admin_DailyPred_Primera,0),0),"-")</f>
        <v>-</v>
      </c>
      <c r="AF32" s="412" t="str">
        <f ca="1">IFERROR(VLOOKUP(AF$2,Rango_Admin_DailyPred,MATCH($F32,Rango_Admin_DailyPred_Primera,0),0),"-")</f>
        <v>-</v>
      </c>
      <c r="AG32" s="412" t="str">
        <f ca="1">IFERROR(VLOOKUP(AG$2,Rango_Admin_DailyPred,MATCH($F32,Rango_Admin_DailyPred_Primera,0),0),"-")</f>
        <v>-</v>
      </c>
      <c r="AH32" s="412" t="str">
        <f ca="1">IFERROR(VLOOKUP(AH$2,Rango_Admin_DailyPred,MATCH($F32,Rango_Admin_DailyPred_Primera,0),0),"-")</f>
        <v>-</v>
      </c>
      <c r="AI32" s="412" t="str">
        <f ca="1">IFERROR(VLOOKUP(AI$2,Rango_Admin_DailyPred,MATCH($F32,Rango_Admin_DailyPred_Primera,0),0),"-")</f>
        <v>-</v>
      </c>
      <c r="AJ32" s="412" t="str">
        <f ca="1">IFERROR(VLOOKUP(AJ$2,Rango_Admin_DailyPred,MATCH($F32,Rango_Admin_DailyPred_Primera,0),0),"-")</f>
        <v>-</v>
      </c>
      <c r="AK32" s="412" t="str">
        <f ca="1">IFERROR(VLOOKUP(AK$2,Rango_Admin_DailyPred,MATCH($F32,Rango_Admin_DailyPred_Primera,0),0),"-")</f>
        <v>-</v>
      </c>
      <c r="AL32" s="412" t="str">
        <f ca="1">IFERROR(VLOOKUP(AL$2,Rango_Admin_DailyPred,MATCH($F32,Rango_Admin_DailyPred_Primera,0),0),"-")</f>
        <v>-</v>
      </c>
      <c r="AM32" s="287"/>
      <c r="AN32" s="287"/>
      <c r="AO32" s="28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772">
        <f t="shared" si="3"/>
        <v>96</v>
      </c>
      <c r="F33" s="393" t="str" cm="1">
        <f t="array" ref="F33">IFERROR(INDEX(Rango_Admin_DailyPred_Primera,1,E33),"-")</f>
        <v>Pegar Valores Nombre J30</v>
      </c>
      <c r="G33" s="412">
        <f ca="1">IFERROR(VLOOKUP(G$2,Rango_Admin_DailyPred,MATCH($F33,Rango_Admin_DailyPred_Primera,0),0),"-")</f>
        <v>0</v>
      </c>
      <c r="H33" s="412">
        <f ca="1">IFERROR(VLOOKUP(H$2,Rango_Admin_DailyPred,MATCH($F33,Rango_Admin_DailyPred_Primera,0),0),"-")</f>
        <v>0</v>
      </c>
      <c r="I33" s="412" t="str">
        <f ca="1">IFERROR(VLOOKUP(I$2,Rango_Admin_DailyPred,MATCH($F33,Rango_Admin_DailyPred_Primera,0),0),"-")</f>
        <v>-</v>
      </c>
      <c r="J33" s="412" t="str">
        <f ca="1">IFERROR(VLOOKUP(J$2,Rango_Admin_DailyPred,MATCH($F33,Rango_Admin_DailyPred_Primera,0),0),"-")</f>
        <v>-</v>
      </c>
      <c r="K33" s="412" t="str">
        <f ca="1">IFERROR(VLOOKUP(K$2,Rango_Admin_DailyPred,MATCH($F33,Rango_Admin_DailyPred_Primera,0),0),"-")</f>
        <v>-</v>
      </c>
      <c r="L33" s="412" t="str">
        <f ca="1">IFERROR(VLOOKUP(L$2,Rango_Admin_DailyPred,MATCH($F33,Rango_Admin_DailyPred_Primera,0),0),"-")</f>
        <v>-</v>
      </c>
      <c r="M33" s="412" t="str">
        <f ca="1">IFERROR(VLOOKUP(M$2,Rango_Admin_DailyPred,MATCH($F33,Rango_Admin_DailyPred_Primera,0),0),"-")</f>
        <v>-</v>
      </c>
      <c r="N33" s="412" t="str">
        <f ca="1">IFERROR(VLOOKUP(N$2,Rango_Admin_DailyPred,MATCH($F33,Rango_Admin_DailyPred_Primera,0),0),"-")</f>
        <v>-</v>
      </c>
      <c r="O33" s="412" t="str">
        <f ca="1">IFERROR(VLOOKUP(O$2,Rango_Admin_DailyPred,MATCH($F33,Rango_Admin_DailyPred_Primera,0),0),"-")</f>
        <v>-</v>
      </c>
      <c r="P33" s="412" t="str">
        <f ca="1">IFERROR(VLOOKUP(P$2,Rango_Admin_DailyPred,MATCH($F33,Rango_Admin_DailyPred_Primera,0),0),"-")</f>
        <v>-</v>
      </c>
      <c r="Q33" s="412" t="str">
        <f ca="1">IFERROR(VLOOKUP(Q$2,Rango_Admin_DailyPred,MATCH($F33,Rango_Admin_DailyPred_Primera,0),0),"-")</f>
        <v>-</v>
      </c>
      <c r="R33" s="412" t="str">
        <f ca="1">IFERROR(VLOOKUP(R$2,Rango_Admin_DailyPred,MATCH($F33,Rango_Admin_DailyPred_Primera,0),0),"-")</f>
        <v>-</v>
      </c>
      <c r="S33" s="412" t="str">
        <f ca="1">IFERROR(VLOOKUP(S$2,Rango_Admin_DailyPred,MATCH($F33,Rango_Admin_DailyPred_Primera,0),0),"-")</f>
        <v>-</v>
      </c>
      <c r="T33" s="412" t="str">
        <f ca="1">IFERROR(VLOOKUP(T$2,Rango_Admin_DailyPred,MATCH($F33,Rango_Admin_DailyPred_Primera,0),0),"-")</f>
        <v>-</v>
      </c>
      <c r="U33" s="412" t="str">
        <f ca="1">IFERROR(VLOOKUP(U$2,Rango_Admin_DailyPred,MATCH($F33,Rango_Admin_DailyPred_Primera,0),0),"-")</f>
        <v>-</v>
      </c>
      <c r="V33" s="412" t="str">
        <f ca="1">IFERROR(VLOOKUP(V$2,Rango_Admin_DailyPred,MATCH($F33,Rango_Admin_DailyPred_Primera,0),0),"-")</f>
        <v>-</v>
      </c>
      <c r="W33" s="412" t="str">
        <f ca="1">IFERROR(VLOOKUP(W$2,Rango_Admin_DailyPred,MATCH($F33,Rango_Admin_DailyPred_Primera,0),0),"-")</f>
        <v>-</v>
      </c>
      <c r="X33" s="412" t="str">
        <f ca="1">IFERROR(VLOOKUP(X$2,Rango_Admin_DailyPred,MATCH($F33,Rango_Admin_DailyPred_Primera,0),0),"-")</f>
        <v>-</v>
      </c>
      <c r="Y33" s="412" t="str">
        <f ca="1">IFERROR(VLOOKUP(Y$2,Rango_Admin_DailyPred,MATCH($F33,Rango_Admin_DailyPred_Primera,0),0),"-")</f>
        <v>-</v>
      </c>
      <c r="Z33" s="412" t="str">
        <f ca="1">IFERROR(VLOOKUP(Z$2,Rango_Admin_DailyPred,MATCH($F33,Rango_Admin_DailyPred_Primera,0),0),"-")</f>
        <v>-</v>
      </c>
      <c r="AA33" s="412" t="str">
        <f ca="1">IFERROR(VLOOKUP(AA$2,Rango_Admin_DailyPred,MATCH($F33,Rango_Admin_DailyPred_Primera,0),0),"-")</f>
        <v>-</v>
      </c>
      <c r="AB33" s="412" t="str">
        <f ca="1">IFERROR(VLOOKUP(AB$2,Rango_Admin_DailyPred,MATCH($F33,Rango_Admin_DailyPred_Primera,0),0),"-")</f>
        <v>-</v>
      </c>
      <c r="AC33" s="412" t="str">
        <f ca="1">IFERROR(VLOOKUP(AC$2,Rango_Admin_DailyPred,MATCH($F33,Rango_Admin_DailyPred_Primera,0),0),"-")</f>
        <v>-</v>
      </c>
      <c r="AD33" s="412" t="str">
        <f ca="1">IFERROR(VLOOKUP(AD$2,Rango_Admin_DailyPred,MATCH($F33,Rango_Admin_DailyPred_Primera,0),0),"-")</f>
        <v>-</v>
      </c>
      <c r="AE33" s="412" t="str">
        <f ca="1">IFERROR(VLOOKUP(AE$2,Rango_Admin_DailyPred,MATCH($F33,Rango_Admin_DailyPred_Primera,0),0),"-")</f>
        <v>-</v>
      </c>
      <c r="AF33" s="412" t="str">
        <f ca="1">IFERROR(VLOOKUP(AF$2,Rango_Admin_DailyPred,MATCH($F33,Rango_Admin_DailyPred_Primera,0),0),"-")</f>
        <v>-</v>
      </c>
      <c r="AG33" s="412" t="str">
        <f ca="1">IFERROR(VLOOKUP(AG$2,Rango_Admin_DailyPred,MATCH($F33,Rango_Admin_DailyPred_Primera,0),0),"-")</f>
        <v>-</v>
      </c>
      <c r="AH33" s="412" t="str">
        <f ca="1">IFERROR(VLOOKUP(AH$2,Rango_Admin_DailyPred,MATCH($F33,Rango_Admin_DailyPred_Primera,0),0),"-")</f>
        <v>-</v>
      </c>
      <c r="AI33" s="412" t="str">
        <f ca="1">IFERROR(VLOOKUP(AI$2,Rango_Admin_DailyPred,MATCH($F33,Rango_Admin_DailyPred_Primera,0),0),"-")</f>
        <v>-</v>
      </c>
      <c r="AJ33" s="412" t="str">
        <f ca="1">IFERROR(VLOOKUP(AJ$2,Rango_Admin_DailyPred,MATCH($F33,Rango_Admin_DailyPred_Primera,0),0),"-")</f>
        <v>-</v>
      </c>
      <c r="AK33" s="412" t="str">
        <f ca="1">IFERROR(VLOOKUP(AK$2,Rango_Admin_DailyPred,MATCH($F33,Rango_Admin_DailyPred_Primera,0),0),"-")</f>
        <v>-</v>
      </c>
      <c r="AL33" s="412" t="str">
        <f ca="1">IFERROR(VLOOKUP(AL$2,Rango_Admin_DailyPred,MATCH($F33,Rango_Admin_DailyPred_Primera,0),0),"-")</f>
        <v>-</v>
      </c>
      <c r="AM33" s="287"/>
      <c r="AN33" s="287"/>
      <c r="AO33" s="28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772">
        <f t="shared" si="3"/>
        <v>99</v>
      </c>
      <c r="F34" s="393" t="str" cm="1">
        <f t="array" ref="F34">IFERROR(INDEX(Rango_Admin_DailyPred_Primera,1,E34),"-")</f>
        <v>Pegar Valores Nombre J31</v>
      </c>
      <c r="G34" s="412">
        <f ca="1">IFERROR(VLOOKUP(G$2,Rango_Admin_DailyPred,MATCH($F34,Rango_Admin_DailyPred_Primera,0),0),"-")</f>
        <v>0</v>
      </c>
      <c r="H34" s="412">
        <f ca="1">IFERROR(VLOOKUP(H$2,Rango_Admin_DailyPred,MATCH($F34,Rango_Admin_DailyPred_Primera,0),0),"-")</f>
        <v>0</v>
      </c>
      <c r="I34" s="412" t="str">
        <f ca="1">IFERROR(VLOOKUP(I$2,Rango_Admin_DailyPred,MATCH($F34,Rango_Admin_DailyPred_Primera,0),0),"-")</f>
        <v>-</v>
      </c>
      <c r="J34" s="412" t="str">
        <f ca="1">IFERROR(VLOOKUP(J$2,Rango_Admin_DailyPred,MATCH($F34,Rango_Admin_DailyPred_Primera,0),0),"-")</f>
        <v>-</v>
      </c>
      <c r="K34" s="412" t="str">
        <f ca="1">IFERROR(VLOOKUP(K$2,Rango_Admin_DailyPred,MATCH($F34,Rango_Admin_DailyPred_Primera,0),0),"-")</f>
        <v>-</v>
      </c>
      <c r="L34" s="412" t="str">
        <f ca="1">IFERROR(VLOOKUP(L$2,Rango_Admin_DailyPred,MATCH($F34,Rango_Admin_DailyPred_Primera,0),0),"-")</f>
        <v>-</v>
      </c>
      <c r="M34" s="412" t="str">
        <f ca="1">IFERROR(VLOOKUP(M$2,Rango_Admin_DailyPred,MATCH($F34,Rango_Admin_DailyPred_Primera,0),0),"-")</f>
        <v>-</v>
      </c>
      <c r="N34" s="412" t="str">
        <f ca="1">IFERROR(VLOOKUP(N$2,Rango_Admin_DailyPred,MATCH($F34,Rango_Admin_DailyPred_Primera,0),0),"-")</f>
        <v>-</v>
      </c>
      <c r="O34" s="412" t="str">
        <f ca="1">IFERROR(VLOOKUP(O$2,Rango_Admin_DailyPred,MATCH($F34,Rango_Admin_DailyPred_Primera,0),0),"-")</f>
        <v>-</v>
      </c>
      <c r="P34" s="412" t="str">
        <f ca="1">IFERROR(VLOOKUP(P$2,Rango_Admin_DailyPred,MATCH($F34,Rango_Admin_DailyPred_Primera,0),0),"-")</f>
        <v>-</v>
      </c>
      <c r="Q34" s="412" t="str">
        <f ca="1">IFERROR(VLOOKUP(Q$2,Rango_Admin_DailyPred,MATCH($F34,Rango_Admin_DailyPred_Primera,0),0),"-")</f>
        <v>-</v>
      </c>
      <c r="R34" s="412" t="str">
        <f ca="1">IFERROR(VLOOKUP(R$2,Rango_Admin_DailyPred,MATCH($F34,Rango_Admin_DailyPred_Primera,0),0),"-")</f>
        <v>-</v>
      </c>
      <c r="S34" s="412" t="str">
        <f ca="1">IFERROR(VLOOKUP(S$2,Rango_Admin_DailyPred,MATCH($F34,Rango_Admin_DailyPred_Primera,0),0),"-")</f>
        <v>-</v>
      </c>
      <c r="T34" s="412" t="str">
        <f ca="1">IFERROR(VLOOKUP(T$2,Rango_Admin_DailyPred,MATCH($F34,Rango_Admin_DailyPred_Primera,0),0),"-")</f>
        <v>-</v>
      </c>
      <c r="U34" s="412" t="str">
        <f ca="1">IFERROR(VLOOKUP(U$2,Rango_Admin_DailyPred,MATCH($F34,Rango_Admin_DailyPred_Primera,0),0),"-")</f>
        <v>-</v>
      </c>
      <c r="V34" s="412" t="str">
        <f ca="1">IFERROR(VLOOKUP(V$2,Rango_Admin_DailyPred,MATCH($F34,Rango_Admin_DailyPred_Primera,0),0),"-")</f>
        <v>-</v>
      </c>
      <c r="W34" s="412" t="str">
        <f ca="1">IFERROR(VLOOKUP(W$2,Rango_Admin_DailyPred,MATCH($F34,Rango_Admin_DailyPred_Primera,0),0),"-")</f>
        <v>-</v>
      </c>
      <c r="X34" s="412" t="str">
        <f ca="1">IFERROR(VLOOKUP(X$2,Rango_Admin_DailyPred,MATCH($F34,Rango_Admin_DailyPred_Primera,0),0),"-")</f>
        <v>-</v>
      </c>
      <c r="Y34" s="412" t="str">
        <f ca="1">IFERROR(VLOOKUP(Y$2,Rango_Admin_DailyPred,MATCH($F34,Rango_Admin_DailyPred_Primera,0),0),"-")</f>
        <v>-</v>
      </c>
      <c r="Z34" s="412" t="str">
        <f ca="1">IFERROR(VLOOKUP(Z$2,Rango_Admin_DailyPred,MATCH($F34,Rango_Admin_DailyPred_Primera,0),0),"-")</f>
        <v>-</v>
      </c>
      <c r="AA34" s="412" t="str">
        <f ca="1">IFERROR(VLOOKUP(AA$2,Rango_Admin_DailyPred,MATCH($F34,Rango_Admin_DailyPred_Primera,0),0),"-")</f>
        <v>-</v>
      </c>
      <c r="AB34" s="412" t="str">
        <f ca="1">IFERROR(VLOOKUP(AB$2,Rango_Admin_DailyPred,MATCH($F34,Rango_Admin_DailyPred_Primera,0),0),"-")</f>
        <v>-</v>
      </c>
      <c r="AC34" s="412" t="str">
        <f ca="1">IFERROR(VLOOKUP(AC$2,Rango_Admin_DailyPred,MATCH($F34,Rango_Admin_DailyPred_Primera,0),0),"-")</f>
        <v>-</v>
      </c>
      <c r="AD34" s="412" t="str">
        <f ca="1">IFERROR(VLOOKUP(AD$2,Rango_Admin_DailyPred,MATCH($F34,Rango_Admin_DailyPred_Primera,0),0),"-")</f>
        <v>-</v>
      </c>
      <c r="AE34" s="412" t="str">
        <f ca="1">IFERROR(VLOOKUP(AE$2,Rango_Admin_DailyPred,MATCH($F34,Rango_Admin_DailyPred_Primera,0),0),"-")</f>
        <v>-</v>
      </c>
      <c r="AF34" s="412" t="str">
        <f ca="1">IFERROR(VLOOKUP(AF$2,Rango_Admin_DailyPred,MATCH($F34,Rango_Admin_DailyPred_Primera,0),0),"-")</f>
        <v>-</v>
      </c>
      <c r="AG34" s="412" t="str">
        <f ca="1">IFERROR(VLOOKUP(AG$2,Rango_Admin_DailyPred,MATCH($F34,Rango_Admin_DailyPred_Primera,0),0),"-")</f>
        <v>-</v>
      </c>
      <c r="AH34" s="412" t="str">
        <f ca="1">IFERROR(VLOOKUP(AH$2,Rango_Admin_DailyPred,MATCH($F34,Rango_Admin_DailyPred_Primera,0),0),"-")</f>
        <v>-</v>
      </c>
      <c r="AI34" s="412" t="str">
        <f ca="1">IFERROR(VLOOKUP(AI$2,Rango_Admin_DailyPred,MATCH($F34,Rango_Admin_DailyPred_Primera,0),0),"-")</f>
        <v>-</v>
      </c>
      <c r="AJ34" s="412" t="str">
        <f ca="1">IFERROR(VLOOKUP(AJ$2,Rango_Admin_DailyPred,MATCH($F34,Rango_Admin_DailyPred_Primera,0),0),"-")</f>
        <v>-</v>
      </c>
      <c r="AK34" s="412" t="str">
        <f ca="1">IFERROR(VLOOKUP(AK$2,Rango_Admin_DailyPred,MATCH($F34,Rango_Admin_DailyPred_Primera,0),0),"-")</f>
        <v>-</v>
      </c>
      <c r="AL34" s="412" t="str">
        <f ca="1">IFERROR(VLOOKUP(AL$2,Rango_Admin_DailyPred,MATCH($F34,Rango_Admin_DailyPred_Primera,0),0),"-")</f>
        <v>-</v>
      </c>
      <c r="AM34" s="287"/>
      <c r="AN34" s="287"/>
      <c r="AO34" s="28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772">
        <f t="shared" si="3"/>
        <v>102</v>
      </c>
      <c r="F35" s="393" t="str" cm="1">
        <f t="array" ref="F35">IFERROR(INDEX(Rango_Admin_DailyPred_Primera,1,E35),"-")</f>
        <v>Pegar Valores Nombre J32</v>
      </c>
      <c r="G35" s="412">
        <f ca="1">IFERROR(VLOOKUP(G$2,Rango_Admin_DailyPred,MATCH($F35,Rango_Admin_DailyPred_Primera,0),0),"-")</f>
        <v>0</v>
      </c>
      <c r="H35" s="412">
        <f ca="1">IFERROR(VLOOKUP(H$2,Rango_Admin_DailyPred,MATCH($F35,Rango_Admin_DailyPred_Primera,0),0),"-")</f>
        <v>0</v>
      </c>
      <c r="I35" s="412" t="str">
        <f ca="1">IFERROR(VLOOKUP(I$2,Rango_Admin_DailyPred,MATCH($F35,Rango_Admin_DailyPred_Primera,0),0),"-")</f>
        <v>-</v>
      </c>
      <c r="J35" s="412" t="str">
        <f ca="1">IFERROR(VLOOKUP(J$2,Rango_Admin_DailyPred,MATCH($F35,Rango_Admin_DailyPred_Primera,0),0),"-")</f>
        <v>-</v>
      </c>
      <c r="K35" s="412" t="str">
        <f ca="1">IFERROR(VLOOKUP(K$2,Rango_Admin_DailyPred,MATCH($F35,Rango_Admin_DailyPred_Primera,0),0),"-")</f>
        <v>-</v>
      </c>
      <c r="L35" s="412" t="str">
        <f ca="1">IFERROR(VLOOKUP(L$2,Rango_Admin_DailyPred,MATCH($F35,Rango_Admin_DailyPred_Primera,0),0),"-")</f>
        <v>-</v>
      </c>
      <c r="M35" s="412" t="str">
        <f ca="1">IFERROR(VLOOKUP(M$2,Rango_Admin_DailyPred,MATCH($F35,Rango_Admin_DailyPred_Primera,0),0),"-")</f>
        <v>-</v>
      </c>
      <c r="N35" s="412" t="str">
        <f ca="1">IFERROR(VLOOKUP(N$2,Rango_Admin_DailyPred,MATCH($F35,Rango_Admin_DailyPred_Primera,0),0),"-")</f>
        <v>-</v>
      </c>
      <c r="O35" s="412" t="str">
        <f ca="1">IFERROR(VLOOKUP(O$2,Rango_Admin_DailyPred,MATCH($F35,Rango_Admin_DailyPred_Primera,0),0),"-")</f>
        <v>-</v>
      </c>
      <c r="P35" s="412" t="str">
        <f ca="1">IFERROR(VLOOKUP(P$2,Rango_Admin_DailyPred,MATCH($F35,Rango_Admin_DailyPred_Primera,0),0),"-")</f>
        <v>-</v>
      </c>
      <c r="Q35" s="412" t="str">
        <f ca="1">IFERROR(VLOOKUP(Q$2,Rango_Admin_DailyPred,MATCH($F35,Rango_Admin_DailyPred_Primera,0),0),"-")</f>
        <v>-</v>
      </c>
      <c r="R35" s="412" t="str">
        <f ca="1">IFERROR(VLOOKUP(R$2,Rango_Admin_DailyPred,MATCH($F35,Rango_Admin_DailyPred_Primera,0),0),"-")</f>
        <v>-</v>
      </c>
      <c r="S35" s="412" t="str">
        <f ca="1">IFERROR(VLOOKUP(S$2,Rango_Admin_DailyPred,MATCH($F35,Rango_Admin_DailyPred_Primera,0),0),"-")</f>
        <v>-</v>
      </c>
      <c r="T35" s="412" t="str">
        <f ca="1">IFERROR(VLOOKUP(T$2,Rango_Admin_DailyPred,MATCH($F35,Rango_Admin_DailyPred_Primera,0),0),"-")</f>
        <v>-</v>
      </c>
      <c r="U35" s="412" t="str">
        <f ca="1">IFERROR(VLOOKUP(U$2,Rango_Admin_DailyPred,MATCH($F35,Rango_Admin_DailyPred_Primera,0),0),"-")</f>
        <v>-</v>
      </c>
      <c r="V35" s="412" t="str">
        <f ca="1">IFERROR(VLOOKUP(V$2,Rango_Admin_DailyPred,MATCH($F35,Rango_Admin_DailyPred_Primera,0),0),"-")</f>
        <v>-</v>
      </c>
      <c r="W35" s="412" t="str">
        <f ca="1">IFERROR(VLOOKUP(W$2,Rango_Admin_DailyPred,MATCH($F35,Rango_Admin_DailyPred_Primera,0),0),"-")</f>
        <v>-</v>
      </c>
      <c r="X35" s="412" t="str">
        <f ca="1">IFERROR(VLOOKUP(X$2,Rango_Admin_DailyPred,MATCH($F35,Rango_Admin_DailyPred_Primera,0),0),"-")</f>
        <v>-</v>
      </c>
      <c r="Y35" s="412" t="str">
        <f ca="1">IFERROR(VLOOKUP(Y$2,Rango_Admin_DailyPred,MATCH($F35,Rango_Admin_DailyPred_Primera,0),0),"-")</f>
        <v>-</v>
      </c>
      <c r="Z35" s="412" t="str">
        <f ca="1">IFERROR(VLOOKUP(Z$2,Rango_Admin_DailyPred,MATCH($F35,Rango_Admin_DailyPred_Primera,0),0),"-")</f>
        <v>-</v>
      </c>
      <c r="AA35" s="412" t="str">
        <f ca="1">IFERROR(VLOOKUP(AA$2,Rango_Admin_DailyPred,MATCH($F35,Rango_Admin_DailyPred_Primera,0),0),"-")</f>
        <v>-</v>
      </c>
      <c r="AB35" s="412" t="str">
        <f ca="1">IFERROR(VLOOKUP(AB$2,Rango_Admin_DailyPred,MATCH($F35,Rango_Admin_DailyPred_Primera,0),0),"-")</f>
        <v>-</v>
      </c>
      <c r="AC35" s="412" t="str">
        <f ca="1">IFERROR(VLOOKUP(AC$2,Rango_Admin_DailyPred,MATCH($F35,Rango_Admin_DailyPred_Primera,0),0),"-")</f>
        <v>-</v>
      </c>
      <c r="AD35" s="412" t="str">
        <f ca="1">IFERROR(VLOOKUP(AD$2,Rango_Admin_DailyPred,MATCH($F35,Rango_Admin_DailyPred_Primera,0),0),"-")</f>
        <v>-</v>
      </c>
      <c r="AE35" s="412" t="str">
        <f ca="1">IFERROR(VLOOKUP(AE$2,Rango_Admin_DailyPred,MATCH($F35,Rango_Admin_DailyPred_Primera,0),0),"-")</f>
        <v>-</v>
      </c>
      <c r="AF35" s="412" t="str">
        <f ca="1">IFERROR(VLOOKUP(AF$2,Rango_Admin_DailyPred,MATCH($F35,Rango_Admin_DailyPred_Primera,0),0),"-")</f>
        <v>-</v>
      </c>
      <c r="AG35" s="412" t="str">
        <f ca="1">IFERROR(VLOOKUP(AG$2,Rango_Admin_DailyPred,MATCH($F35,Rango_Admin_DailyPred_Primera,0),0),"-")</f>
        <v>-</v>
      </c>
      <c r="AH35" s="412" t="str">
        <f ca="1">IFERROR(VLOOKUP(AH$2,Rango_Admin_DailyPred,MATCH($F35,Rango_Admin_DailyPred_Primera,0),0),"-")</f>
        <v>-</v>
      </c>
      <c r="AI35" s="412" t="str">
        <f ca="1">IFERROR(VLOOKUP(AI$2,Rango_Admin_DailyPred,MATCH($F35,Rango_Admin_DailyPred_Primera,0),0),"-")</f>
        <v>-</v>
      </c>
      <c r="AJ35" s="412" t="str">
        <f ca="1">IFERROR(VLOOKUP(AJ$2,Rango_Admin_DailyPred,MATCH($F35,Rango_Admin_DailyPred_Primera,0),0),"-")</f>
        <v>-</v>
      </c>
      <c r="AK35" s="412" t="str">
        <f ca="1">IFERROR(VLOOKUP(AK$2,Rango_Admin_DailyPred,MATCH($F35,Rango_Admin_DailyPred_Primera,0),0),"-")</f>
        <v>-</v>
      </c>
      <c r="AL35" s="412" t="str">
        <f ca="1">IFERROR(VLOOKUP(AL$2,Rango_Admin_DailyPred,MATCH($F35,Rango_Admin_DailyPred_Primera,0),0),"-")</f>
        <v>-</v>
      </c>
      <c r="AM35" s="287"/>
      <c r="AN35" s="287"/>
      <c r="AO35" s="287"/>
    </row>
    <row r="36" spans="1:41">
      <c r="E36" s="772">
        <f t="shared" si="3"/>
        <v>105</v>
      </c>
      <c r="F36" s="393" t="str" cm="1">
        <f t="array" ref="F36">IFERROR(INDEX(Rango_Admin_DailyPred_Primera,1,E36),"-")</f>
        <v>Pegar Valores Nombre J33</v>
      </c>
      <c r="G36" s="412">
        <f ca="1">IFERROR(VLOOKUP(G$2,Rango_Admin_DailyPred,MATCH($F36,Rango_Admin_DailyPred_Primera,0),0),"-")</f>
        <v>0</v>
      </c>
      <c r="H36" s="412">
        <f ca="1">IFERROR(VLOOKUP(H$2,Rango_Admin_DailyPred,MATCH($F36,Rango_Admin_DailyPred_Primera,0),0),"-")</f>
        <v>0</v>
      </c>
      <c r="I36" s="412" t="str">
        <f ca="1">IFERROR(VLOOKUP(I$2,Rango_Admin_DailyPred,MATCH($F36,Rango_Admin_DailyPred_Primera,0),0),"-")</f>
        <v>-</v>
      </c>
      <c r="J36" s="412" t="str">
        <f ca="1">IFERROR(VLOOKUP(J$2,Rango_Admin_DailyPred,MATCH($F36,Rango_Admin_DailyPred_Primera,0),0),"-")</f>
        <v>-</v>
      </c>
      <c r="K36" s="412" t="str">
        <f ca="1">IFERROR(VLOOKUP(K$2,Rango_Admin_DailyPred,MATCH($F36,Rango_Admin_DailyPred_Primera,0),0),"-")</f>
        <v>-</v>
      </c>
      <c r="L36" s="412" t="str">
        <f ca="1">IFERROR(VLOOKUP(L$2,Rango_Admin_DailyPred,MATCH($F36,Rango_Admin_DailyPred_Primera,0),0),"-")</f>
        <v>-</v>
      </c>
      <c r="M36" s="412" t="str">
        <f ca="1">IFERROR(VLOOKUP(M$2,Rango_Admin_DailyPred,MATCH($F36,Rango_Admin_DailyPred_Primera,0),0),"-")</f>
        <v>-</v>
      </c>
      <c r="N36" s="412" t="str">
        <f ca="1">IFERROR(VLOOKUP(N$2,Rango_Admin_DailyPred,MATCH($F36,Rango_Admin_DailyPred_Primera,0),0),"-")</f>
        <v>-</v>
      </c>
      <c r="O36" s="412" t="str">
        <f ca="1">IFERROR(VLOOKUP(O$2,Rango_Admin_DailyPred,MATCH($F36,Rango_Admin_DailyPred_Primera,0),0),"-")</f>
        <v>-</v>
      </c>
      <c r="P36" s="412" t="str">
        <f ca="1">IFERROR(VLOOKUP(P$2,Rango_Admin_DailyPred,MATCH($F36,Rango_Admin_DailyPred_Primera,0),0),"-")</f>
        <v>-</v>
      </c>
      <c r="Q36" s="412" t="str">
        <f ca="1">IFERROR(VLOOKUP(Q$2,Rango_Admin_DailyPred,MATCH($F36,Rango_Admin_DailyPred_Primera,0),0),"-")</f>
        <v>-</v>
      </c>
      <c r="R36" s="412" t="str">
        <f ca="1">IFERROR(VLOOKUP(R$2,Rango_Admin_DailyPred,MATCH($F36,Rango_Admin_DailyPred_Primera,0),0),"-")</f>
        <v>-</v>
      </c>
      <c r="S36" s="412" t="str">
        <f ca="1">IFERROR(VLOOKUP(S$2,Rango_Admin_DailyPred,MATCH($F36,Rango_Admin_DailyPred_Primera,0),0),"-")</f>
        <v>-</v>
      </c>
      <c r="T36" s="412" t="str">
        <f ca="1">IFERROR(VLOOKUP(T$2,Rango_Admin_DailyPred,MATCH($F36,Rango_Admin_DailyPred_Primera,0),0),"-")</f>
        <v>-</v>
      </c>
      <c r="U36" s="412" t="str">
        <f ca="1">IFERROR(VLOOKUP(U$2,Rango_Admin_DailyPred,MATCH($F36,Rango_Admin_DailyPred_Primera,0),0),"-")</f>
        <v>-</v>
      </c>
      <c r="V36" s="412" t="str">
        <f ca="1">IFERROR(VLOOKUP(V$2,Rango_Admin_DailyPred,MATCH($F36,Rango_Admin_DailyPred_Primera,0),0),"-")</f>
        <v>-</v>
      </c>
      <c r="W36" s="412" t="str">
        <f ca="1">IFERROR(VLOOKUP(W$2,Rango_Admin_DailyPred,MATCH($F36,Rango_Admin_DailyPred_Primera,0),0),"-")</f>
        <v>-</v>
      </c>
      <c r="X36" s="412" t="str">
        <f ca="1">IFERROR(VLOOKUP(X$2,Rango_Admin_DailyPred,MATCH($F36,Rango_Admin_DailyPred_Primera,0),0),"-")</f>
        <v>-</v>
      </c>
      <c r="Y36" s="412" t="str">
        <f ca="1">IFERROR(VLOOKUP(Y$2,Rango_Admin_DailyPred,MATCH($F36,Rango_Admin_DailyPred_Primera,0),0),"-")</f>
        <v>-</v>
      </c>
      <c r="Z36" s="412" t="str">
        <f ca="1">IFERROR(VLOOKUP(Z$2,Rango_Admin_DailyPred,MATCH($F36,Rango_Admin_DailyPred_Primera,0),0),"-")</f>
        <v>-</v>
      </c>
      <c r="AA36" s="412" t="str">
        <f ca="1">IFERROR(VLOOKUP(AA$2,Rango_Admin_DailyPred,MATCH($F36,Rango_Admin_DailyPred_Primera,0),0),"-")</f>
        <v>-</v>
      </c>
      <c r="AB36" s="412" t="str">
        <f ca="1">IFERROR(VLOOKUP(AB$2,Rango_Admin_DailyPred,MATCH($F36,Rango_Admin_DailyPred_Primera,0),0),"-")</f>
        <v>-</v>
      </c>
      <c r="AC36" s="412" t="str">
        <f ca="1">IFERROR(VLOOKUP(AC$2,Rango_Admin_DailyPred,MATCH($F36,Rango_Admin_DailyPred_Primera,0),0),"-")</f>
        <v>-</v>
      </c>
      <c r="AD36" s="412" t="str">
        <f ca="1">IFERROR(VLOOKUP(AD$2,Rango_Admin_DailyPred,MATCH($F36,Rango_Admin_DailyPred_Primera,0),0),"-")</f>
        <v>-</v>
      </c>
      <c r="AE36" s="412" t="str">
        <f ca="1">IFERROR(VLOOKUP(AE$2,Rango_Admin_DailyPred,MATCH($F36,Rango_Admin_DailyPred_Primera,0),0),"-")</f>
        <v>-</v>
      </c>
      <c r="AF36" s="412" t="str">
        <f ca="1">IFERROR(VLOOKUP(AF$2,Rango_Admin_DailyPred,MATCH($F36,Rango_Admin_DailyPred_Primera,0),0),"-")</f>
        <v>-</v>
      </c>
      <c r="AG36" s="412" t="str">
        <f ca="1">IFERROR(VLOOKUP(AG$2,Rango_Admin_DailyPred,MATCH($F36,Rango_Admin_DailyPred_Primera,0),0),"-")</f>
        <v>-</v>
      </c>
      <c r="AH36" s="412" t="str">
        <f ca="1">IFERROR(VLOOKUP(AH$2,Rango_Admin_DailyPred,MATCH($F36,Rango_Admin_DailyPred_Primera,0),0),"-")</f>
        <v>-</v>
      </c>
      <c r="AI36" s="412" t="str">
        <f ca="1">IFERROR(VLOOKUP(AI$2,Rango_Admin_DailyPred,MATCH($F36,Rango_Admin_DailyPred_Primera,0),0),"-")</f>
        <v>-</v>
      </c>
      <c r="AJ36" s="412" t="str">
        <f ca="1">IFERROR(VLOOKUP(AJ$2,Rango_Admin_DailyPred,MATCH($F36,Rango_Admin_DailyPred_Primera,0),0),"-")</f>
        <v>-</v>
      </c>
      <c r="AK36" s="412" t="str">
        <f ca="1">IFERROR(VLOOKUP(AK$2,Rango_Admin_DailyPred,MATCH($F36,Rango_Admin_DailyPred_Primera,0),0),"-")</f>
        <v>-</v>
      </c>
      <c r="AL36" s="412" t="str">
        <f ca="1">IFERROR(VLOOKUP(AL$2,Rango_Admin_DailyPred,MATCH($F36,Rango_Admin_DailyPred_Primera,0),0),"-")</f>
        <v>-</v>
      </c>
      <c r="AM36" s="287"/>
      <c r="AN36" s="287"/>
      <c r="AO36" s="287"/>
    </row>
    <row r="37" spans="1:41">
      <c r="E37" s="772">
        <f t="shared" si="3"/>
        <v>108</v>
      </c>
      <c r="F37" s="393" t="str" cm="1">
        <f t="array" ref="F37">IFERROR(INDEX(Rango_Admin_DailyPred_Primera,1,E37),"-")</f>
        <v>Pegar Valores Nombre J34</v>
      </c>
      <c r="G37" s="412">
        <f ca="1">IFERROR(VLOOKUP(G$2,Rango_Admin_DailyPred,MATCH($F37,Rango_Admin_DailyPred_Primera,0),0),"-")</f>
        <v>0</v>
      </c>
      <c r="H37" s="412">
        <f ca="1">IFERROR(VLOOKUP(H$2,Rango_Admin_DailyPred,MATCH($F37,Rango_Admin_DailyPred_Primera,0),0),"-")</f>
        <v>0</v>
      </c>
      <c r="I37" s="412" t="str">
        <f ca="1">IFERROR(VLOOKUP(I$2,Rango_Admin_DailyPred,MATCH($F37,Rango_Admin_DailyPred_Primera,0),0),"-")</f>
        <v>-</v>
      </c>
      <c r="J37" s="412" t="str">
        <f ca="1">IFERROR(VLOOKUP(J$2,Rango_Admin_DailyPred,MATCH($F37,Rango_Admin_DailyPred_Primera,0),0),"-")</f>
        <v>-</v>
      </c>
      <c r="K37" s="412" t="str">
        <f ca="1">IFERROR(VLOOKUP(K$2,Rango_Admin_DailyPred,MATCH($F37,Rango_Admin_DailyPred_Primera,0),0),"-")</f>
        <v>-</v>
      </c>
      <c r="L37" s="412" t="str">
        <f ca="1">IFERROR(VLOOKUP(L$2,Rango_Admin_DailyPred,MATCH($F37,Rango_Admin_DailyPred_Primera,0),0),"-")</f>
        <v>-</v>
      </c>
      <c r="M37" s="412" t="str">
        <f ca="1">IFERROR(VLOOKUP(M$2,Rango_Admin_DailyPred,MATCH($F37,Rango_Admin_DailyPred_Primera,0),0),"-")</f>
        <v>-</v>
      </c>
      <c r="N37" s="412" t="str">
        <f ca="1">IFERROR(VLOOKUP(N$2,Rango_Admin_DailyPred,MATCH($F37,Rango_Admin_DailyPred_Primera,0),0),"-")</f>
        <v>-</v>
      </c>
      <c r="O37" s="412" t="str">
        <f ca="1">IFERROR(VLOOKUP(O$2,Rango_Admin_DailyPred,MATCH($F37,Rango_Admin_DailyPred_Primera,0),0),"-")</f>
        <v>-</v>
      </c>
      <c r="P37" s="412" t="str">
        <f ca="1">IFERROR(VLOOKUP(P$2,Rango_Admin_DailyPred,MATCH($F37,Rango_Admin_DailyPred_Primera,0),0),"-")</f>
        <v>-</v>
      </c>
      <c r="Q37" s="412" t="str">
        <f ca="1">IFERROR(VLOOKUP(Q$2,Rango_Admin_DailyPred,MATCH($F37,Rango_Admin_DailyPred_Primera,0),0),"-")</f>
        <v>-</v>
      </c>
      <c r="R37" s="412" t="str">
        <f ca="1">IFERROR(VLOOKUP(R$2,Rango_Admin_DailyPred,MATCH($F37,Rango_Admin_DailyPred_Primera,0),0),"-")</f>
        <v>-</v>
      </c>
      <c r="S37" s="412" t="str">
        <f ca="1">IFERROR(VLOOKUP(S$2,Rango_Admin_DailyPred,MATCH($F37,Rango_Admin_DailyPred_Primera,0),0),"-")</f>
        <v>-</v>
      </c>
      <c r="T37" s="412" t="str">
        <f ca="1">IFERROR(VLOOKUP(T$2,Rango_Admin_DailyPred,MATCH($F37,Rango_Admin_DailyPred_Primera,0),0),"-")</f>
        <v>-</v>
      </c>
      <c r="U37" s="412" t="str">
        <f ca="1">IFERROR(VLOOKUP(U$2,Rango_Admin_DailyPred,MATCH($F37,Rango_Admin_DailyPred_Primera,0),0),"-")</f>
        <v>-</v>
      </c>
      <c r="V37" s="412" t="str">
        <f ca="1">IFERROR(VLOOKUP(V$2,Rango_Admin_DailyPred,MATCH($F37,Rango_Admin_DailyPred_Primera,0),0),"-")</f>
        <v>-</v>
      </c>
      <c r="W37" s="412" t="str">
        <f ca="1">IFERROR(VLOOKUP(W$2,Rango_Admin_DailyPred,MATCH($F37,Rango_Admin_DailyPred_Primera,0),0),"-")</f>
        <v>-</v>
      </c>
      <c r="X37" s="412" t="str">
        <f ca="1">IFERROR(VLOOKUP(X$2,Rango_Admin_DailyPred,MATCH($F37,Rango_Admin_DailyPred_Primera,0),0),"-")</f>
        <v>-</v>
      </c>
      <c r="Y37" s="412" t="str">
        <f ca="1">IFERROR(VLOOKUP(Y$2,Rango_Admin_DailyPred,MATCH($F37,Rango_Admin_DailyPred_Primera,0),0),"-")</f>
        <v>-</v>
      </c>
      <c r="Z37" s="412" t="str">
        <f ca="1">IFERROR(VLOOKUP(Z$2,Rango_Admin_DailyPred,MATCH($F37,Rango_Admin_DailyPred_Primera,0),0),"-")</f>
        <v>-</v>
      </c>
      <c r="AA37" s="412" t="str">
        <f ca="1">IFERROR(VLOOKUP(AA$2,Rango_Admin_DailyPred,MATCH($F37,Rango_Admin_DailyPred_Primera,0),0),"-")</f>
        <v>-</v>
      </c>
      <c r="AB37" s="412" t="str">
        <f ca="1">IFERROR(VLOOKUP(AB$2,Rango_Admin_DailyPred,MATCH($F37,Rango_Admin_DailyPred_Primera,0),0),"-")</f>
        <v>-</v>
      </c>
      <c r="AC37" s="412" t="str">
        <f ca="1">IFERROR(VLOOKUP(AC$2,Rango_Admin_DailyPred,MATCH($F37,Rango_Admin_DailyPred_Primera,0),0),"-")</f>
        <v>-</v>
      </c>
      <c r="AD37" s="412" t="str">
        <f ca="1">IFERROR(VLOOKUP(AD$2,Rango_Admin_DailyPred,MATCH($F37,Rango_Admin_DailyPred_Primera,0),0),"-")</f>
        <v>-</v>
      </c>
      <c r="AE37" s="412" t="str">
        <f ca="1">IFERROR(VLOOKUP(AE$2,Rango_Admin_DailyPred,MATCH($F37,Rango_Admin_DailyPred_Primera,0),0),"-")</f>
        <v>-</v>
      </c>
      <c r="AF37" s="412" t="str">
        <f ca="1">IFERROR(VLOOKUP(AF$2,Rango_Admin_DailyPred,MATCH($F37,Rango_Admin_DailyPred_Primera,0),0),"-")</f>
        <v>-</v>
      </c>
      <c r="AG37" s="412" t="str">
        <f ca="1">IFERROR(VLOOKUP(AG$2,Rango_Admin_DailyPred,MATCH($F37,Rango_Admin_DailyPred_Primera,0),0),"-")</f>
        <v>-</v>
      </c>
      <c r="AH37" s="412" t="str">
        <f ca="1">IFERROR(VLOOKUP(AH$2,Rango_Admin_DailyPred,MATCH($F37,Rango_Admin_DailyPred_Primera,0),0),"-")</f>
        <v>-</v>
      </c>
      <c r="AI37" s="412" t="str">
        <f ca="1">IFERROR(VLOOKUP(AI$2,Rango_Admin_DailyPred,MATCH($F37,Rango_Admin_DailyPred_Primera,0),0),"-")</f>
        <v>-</v>
      </c>
      <c r="AJ37" s="412" t="str">
        <f ca="1">IFERROR(VLOOKUP(AJ$2,Rango_Admin_DailyPred,MATCH($F37,Rango_Admin_DailyPred_Primera,0),0),"-")</f>
        <v>-</v>
      </c>
      <c r="AK37" s="412" t="str">
        <f ca="1">IFERROR(VLOOKUP(AK$2,Rango_Admin_DailyPred,MATCH($F37,Rango_Admin_DailyPred_Primera,0),0),"-")</f>
        <v>-</v>
      </c>
      <c r="AL37" s="412" t="str">
        <f ca="1">IFERROR(VLOOKUP(AL$2,Rango_Admin_DailyPred,MATCH($F37,Rango_Admin_DailyPred_Primera,0),0),"-")</f>
        <v>-</v>
      </c>
      <c r="AM37" s="287"/>
      <c r="AN37" s="287"/>
      <c r="AO37" s="287"/>
    </row>
    <row r="38" spans="1:41">
      <c r="E38" s="772">
        <f t="shared" si="3"/>
        <v>111</v>
      </c>
      <c r="F38" s="393" t="str" cm="1">
        <f t="array" ref="F38">IFERROR(INDEX(Rango_Admin_DailyPred_Primera,1,E38),"-")</f>
        <v>Pegar Valores Nombre J35</v>
      </c>
      <c r="G38" s="412">
        <f ca="1">IFERROR(VLOOKUP(G$2,Rango_Admin_DailyPred,MATCH($F38,Rango_Admin_DailyPred_Primera,0),0),"-")</f>
        <v>0</v>
      </c>
      <c r="H38" s="412">
        <f ca="1">IFERROR(VLOOKUP(H$2,Rango_Admin_DailyPred,MATCH($F38,Rango_Admin_DailyPred_Primera,0),0),"-")</f>
        <v>0</v>
      </c>
      <c r="I38" s="412" t="str">
        <f ca="1">IFERROR(VLOOKUP(I$2,Rango_Admin_DailyPred,MATCH($F38,Rango_Admin_DailyPred_Primera,0),0),"-")</f>
        <v>-</v>
      </c>
      <c r="J38" s="412" t="str">
        <f ca="1">IFERROR(VLOOKUP(J$2,Rango_Admin_DailyPred,MATCH($F38,Rango_Admin_DailyPred_Primera,0),0),"-")</f>
        <v>-</v>
      </c>
      <c r="K38" s="412" t="str">
        <f ca="1">IFERROR(VLOOKUP(K$2,Rango_Admin_DailyPred,MATCH($F38,Rango_Admin_DailyPred_Primera,0),0),"-")</f>
        <v>-</v>
      </c>
      <c r="L38" s="412" t="str">
        <f ca="1">IFERROR(VLOOKUP(L$2,Rango_Admin_DailyPred,MATCH($F38,Rango_Admin_DailyPred_Primera,0),0),"-")</f>
        <v>-</v>
      </c>
      <c r="M38" s="412" t="str">
        <f ca="1">IFERROR(VLOOKUP(M$2,Rango_Admin_DailyPred,MATCH($F38,Rango_Admin_DailyPred_Primera,0),0),"-")</f>
        <v>-</v>
      </c>
      <c r="N38" s="412" t="str">
        <f ca="1">IFERROR(VLOOKUP(N$2,Rango_Admin_DailyPred,MATCH($F38,Rango_Admin_DailyPred_Primera,0),0),"-")</f>
        <v>-</v>
      </c>
      <c r="O38" s="412" t="str">
        <f ca="1">IFERROR(VLOOKUP(O$2,Rango_Admin_DailyPred,MATCH($F38,Rango_Admin_DailyPred_Primera,0),0),"-")</f>
        <v>-</v>
      </c>
      <c r="P38" s="412" t="str">
        <f ca="1">IFERROR(VLOOKUP(P$2,Rango_Admin_DailyPred,MATCH($F38,Rango_Admin_DailyPred_Primera,0),0),"-")</f>
        <v>-</v>
      </c>
      <c r="Q38" s="412" t="str">
        <f ca="1">IFERROR(VLOOKUP(Q$2,Rango_Admin_DailyPred,MATCH($F38,Rango_Admin_DailyPred_Primera,0),0),"-")</f>
        <v>-</v>
      </c>
      <c r="R38" s="412" t="str">
        <f ca="1">IFERROR(VLOOKUP(R$2,Rango_Admin_DailyPred,MATCH($F38,Rango_Admin_DailyPred_Primera,0),0),"-")</f>
        <v>-</v>
      </c>
      <c r="S38" s="412" t="str">
        <f ca="1">IFERROR(VLOOKUP(S$2,Rango_Admin_DailyPred,MATCH($F38,Rango_Admin_DailyPred_Primera,0),0),"-")</f>
        <v>-</v>
      </c>
      <c r="T38" s="412" t="str">
        <f ca="1">IFERROR(VLOOKUP(T$2,Rango_Admin_DailyPred,MATCH($F38,Rango_Admin_DailyPred_Primera,0),0),"-")</f>
        <v>-</v>
      </c>
      <c r="U38" s="412" t="str">
        <f ca="1">IFERROR(VLOOKUP(U$2,Rango_Admin_DailyPred,MATCH($F38,Rango_Admin_DailyPred_Primera,0),0),"-")</f>
        <v>-</v>
      </c>
      <c r="V38" s="412" t="str">
        <f ca="1">IFERROR(VLOOKUP(V$2,Rango_Admin_DailyPred,MATCH($F38,Rango_Admin_DailyPred_Primera,0),0),"-")</f>
        <v>-</v>
      </c>
      <c r="W38" s="412" t="str">
        <f ca="1">IFERROR(VLOOKUP(W$2,Rango_Admin_DailyPred,MATCH($F38,Rango_Admin_DailyPred_Primera,0),0),"-")</f>
        <v>-</v>
      </c>
      <c r="X38" s="412" t="str">
        <f ca="1">IFERROR(VLOOKUP(X$2,Rango_Admin_DailyPred,MATCH($F38,Rango_Admin_DailyPred_Primera,0),0),"-")</f>
        <v>-</v>
      </c>
      <c r="Y38" s="412" t="str">
        <f ca="1">IFERROR(VLOOKUP(Y$2,Rango_Admin_DailyPred,MATCH($F38,Rango_Admin_DailyPred_Primera,0),0),"-")</f>
        <v>-</v>
      </c>
      <c r="Z38" s="412" t="str">
        <f ca="1">IFERROR(VLOOKUP(Z$2,Rango_Admin_DailyPred,MATCH($F38,Rango_Admin_DailyPred_Primera,0),0),"-")</f>
        <v>-</v>
      </c>
      <c r="AA38" s="412" t="str">
        <f ca="1">IFERROR(VLOOKUP(AA$2,Rango_Admin_DailyPred,MATCH($F38,Rango_Admin_DailyPred_Primera,0),0),"-")</f>
        <v>-</v>
      </c>
      <c r="AB38" s="412" t="str">
        <f ca="1">IFERROR(VLOOKUP(AB$2,Rango_Admin_DailyPred,MATCH($F38,Rango_Admin_DailyPred_Primera,0),0),"-")</f>
        <v>-</v>
      </c>
      <c r="AC38" s="412" t="str">
        <f ca="1">IFERROR(VLOOKUP(AC$2,Rango_Admin_DailyPred,MATCH($F38,Rango_Admin_DailyPred_Primera,0),0),"-")</f>
        <v>-</v>
      </c>
      <c r="AD38" s="412" t="str">
        <f ca="1">IFERROR(VLOOKUP(AD$2,Rango_Admin_DailyPred,MATCH($F38,Rango_Admin_DailyPred_Primera,0),0),"-")</f>
        <v>-</v>
      </c>
      <c r="AE38" s="412" t="str">
        <f ca="1">IFERROR(VLOOKUP(AE$2,Rango_Admin_DailyPred,MATCH($F38,Rango_Admin_DailyPred_Primera,0),0),"-")</f>
        <v>-</v>
      </c>
      <c r="AF38" s="412" t="str">
        <f ca="1">IFERROR(VLOOKUP(AF$2,Rango_Admin_DailyPred,MATCH($F38,Rango_Admin_DailyPred_Primera,0),0),"-")</f>
        <v>-</v>
      </c>
      <c r="AG38" s="412" t="str">
        <f ca="1">IFERROR(VLOOKUP(AG$2,Rango_Admin_DailyPred,MATCH($F38,Rango_Admin_DailyPred_Primera,0),0),"-")</f>
        <v>-</v>
      </c>
      <c r="AH38" s="412" t="str">
        <f ca="1">IFERROR(VLOOKUP(AH$2,Rango_Admin_DailyPred,MATCH($F38,Rango_Admin_DailyPred_Primera,0),0),"-")</f>
        <v>-</v>
      </c>
      <c r="AI38" s="412" t="str">
        <f ca="1">IFERROR(VLOOKUP(AI$2,Rango_Admin_DailyPred,MATCH($F38,Rango_Admin_DailyPred_Primera,0),0),"-")</f>
        <v>-</v>
      </c>
      <c r="AJ38" s="412" t="str">
        <f ca="1">IFERROR(VLOOKUP(AJ$2,Rango_Admin_DailyPred,MATCH($F38,Rango_Admin_DailyPred_Primera,0),0),"-")</f>
        <v>-</v>
      </c>
      <c r="AK38" s="412" t="str">
        <f ca="1">IFERROR(VLOOKUP(AK$2,Rango_Admin_DailyPred,MATCH($F38,Rango_Admin_DailyPred_Primera,0),0),"-")</f>
        <v>-</v>
      </c>
      <c r="AL38" s="412" t="str">
        <f ca="1">IFERROR(VLOOKUP(AL$2,Rango_Admin_DailyPred,MATCH($F38,Rango_Admin_DailyPred_Primera,0),0),"-")</f>
        <v>-</v>
      </c>
      <c r="AM38" s="287"/>
      <c r="AN38" s="287"/>
      <c r="AO38" s="287"/>
    </row>
    <row r="39" spans="1:41">
      <c r="E39" s="772">
        <f t="shared" si="3"/>
        <v>114</v>
      </c>
      <c r="F39" s="393" t="str" cm="1">
        <f t="array" ref="F39">IFERROR(INDEX(Rango_Admin_DailyPred_Primera,1,E39),"-")</f>
        <v>Pegar Valores Nombre J36</v>
      </c>
      <c r="G39" s="412">
        <f ca="1">IFERROR(VLOOKUP(G$2,Rango_Admin_DailyPred,MATCH($F39,Rango_Admin_DailyPred_Primera,0),0),"-")</f>
        <v>0</v>
      </c>
      <c r="H39" s="412">
        <f ca="1">IFERROR(VLOOKUP(H$2,Rango_Admin_DailyPred,MATCH($F39,Rango_Admin_DailyPred_Primera,0),0),"-")</f>
        <v>0</v>
      </c>
      <c r="I39" s="412" t="str">
        <f ca="1">IFERROR(VLOOKUP(I$2,Rango_Admin_DailyPred,MATCH($F39,Rango_Admin_DailyPred_Primera,0),0),"-")</f>
        <v>-</v>
      </c>
      <c r="J39" s="412" t="str">
        <f ca="1">IFERROR(VLOOKUP(J$2,Rango_Admin_DailyPred,MATCH($F39,Rango_Admin_DailyPred_Primera,0),0),"-")</f>
        <v>-</v>
      </c>
      <c r="K39" s="412" t="str">
        <f ca="1">IFERROR(VLOOKUP(K$2,Rango_Admin_DailyPred,MATCH($F39,Rango_Admin_DailyPred_Primera,0),0),"-")</f>
        <v>-</v>
      </c>
      <c r="L39" s="412" t="str">
        <f ca="1">IFERROR(VLOOKUP(L$2,Rango_Admin_DailyPred,MATCH($F39,Rango_Admin_DailyPred_Primera,0),0),"-")</f>
        <v>-</v>
      </c>
      <c r="M39" s="412" t="str">
        <f ca="1">IFERROR(VLOOKUP(M$2,Rango_Admin_DailyPred,MATCH($F39,Rango_Admin_DailyPred_Primera,0),0),"-")</f>
        <v>-</v>
      </c>
      <c r="N39" s="412" t="str">
        <f ca="1">IFERROR(VLOOKUP(N$2,Rango_Admin_DailyPred,MATCH($F39,Rango_Admin_DailyPred_Primera,0),0),"-")</f>
        <v>-</v>
      </c>
      <c r="O39" s="412" t="str">
        <f ca="1">IFERROR(VLOOKUP(O$2,Rango_Admin_DailyPred,MATCH($F39,Rango_Admin_DailyPred_Primera,0),0),"-")</f>
        <v>-</v>
      </c>
      <c r="P39" s="412" t="str">
        <f ca="1">IFERROR(VLOOKUP(P$2,Rango_Admin_DailyPred,MATCH($F39,Rango_Admin_DailyPred_Primera,0),0),"-")</f>
        <v>-</v>
      </c>
      <c r="Q39" s="412" t="str">
        <f ca="1">IFERROR(VLOOKUP(Q$2,Rango_Admin_DailyPred,MATCH($F39,Rango_Admin_DailyPred_Primera,0),0),"-")</f>
        <v>-</v>
      </c>
      <c r="R39" s="412" t="str">
        <f ca="1">IFERROR(VLOOKUP(R$2,Rango_Admin_DailyPred,MATCH($F39,Rango_Admin_DailyPred_Primera,0),0),"-")</f>
        <v>-</v>
      </c>
      <c r="S39" s="412" t="str">
        <f ca="1">IFERROR(VLOOKUP(S$2,Rango_Admin_DailyPred,MATCH($F39,Rango_Admin_DailyPred_Primera,0),0),"-")</f>
        <v>-</v>
      </c>
      <c r="T39" s="412" t="str">
        <f ca="1">IFERROR(VLOOKUP(T$2,Rango_Admin_DailyPred,MATCH($F39,Rango_Admin_DailyPred_Primera,0),0),"-")</f>
        <v>-</v>
      </c>
      <c r="U39" s="412" t="str">
        <f ca="1">IFERROR(VLOOKUP(U$2,Rango_Admin_DailyPred,MATCH($F39,Rango_Admin_DailyPred_Primera,0),0),"-")</f>
        <v>-</v>
      </c>
      <c r="V39" s="412" t="str">
        <f ca="1">IFERROR(VLOOKUP(V$2,Rango_Admin_DailyPred,MATCH($F39,Rango_Admin_DailyPred_Primera,0),0),"-")</f>
        <v>-</v>
      </c>
      <c r="W39" s="412" t="str">
        <f ca="1">IFERROR(VLOOKUP(W$2,Rango_Admin_DailyPred,MATCH($F39,Rango_Admin_DailyPred_Primera,0),0),"-")</f>
        <v>-</v>
      </c>
      <c r="X39" s="412" t="str">
        <f ca="1">IFERROR(VLOOKUP(X$2,Rango_Admin_DailyPred,MATCH($F39,Rango_Admin_DailyPred_Primera,0),0),"-")</f>
        <v>-</v>
      </c>
      <c r="Y39" s="412" t="str">
        <f ca="1">IFERROR(VLOOKUP(Y$2,Rango_Admin_DailyPred,MATCH($F39,Rango_Admin_DailyPred_Primera,0),0),"-")</f>
        <v>-</v>
      </c>
      <c r="Z39" s="412" t="str">
        <f ca="1">IFERROR(VLOOKUP(Z$2,Rango_Admin_DailyPred,MATCH($F39,Rango_Admin_DailyPred_Primera,0),0),"-")</f>
        <v>-</v>
      </c>
      <c r="AA39" s="412" t="str">
        <f ca="1">IFERROR(VLOOKUP(AA$2,Rango_Admin_DailyPred,MATCH($F39,Rango_Admin_DailyPred_Primera,0),0),"-")</f>
        <v>-</v>
      </c>
      <c r="AB39" s="412" t="str">
        <f ca="1">IFERROR(VLOOKUP(AB$2,Rango_Admin_DailyPred,MATCH($F39,Rango_Admin_DailyPred_Primera,0),0),"-")</f>
        <v>-</v>
      </c>
      <c r="AC39" s="412" t="str">
        <f ca="1">IFERROR(VLOOKUP(AC$2,Rango_Admin_DailyPred,MATCH($F39,Rango_Admin_DailyPred_Primera,0),0),"-")</f>
        <v>-</v>
      </c>
      <c r="AD39" s="412" t="str">
        <f ca="1">IFERROR(VLOOKUP(AD$2,Rango_Admin_DailyPred,MATCH($F39,Rango_Admin_DailyPred_Primera,0),0),"-")</f>
        <v>-</v>
      </c>
      <c r="AE39" s="412" t="str">
        <f ca="1">IFERROR(VLOOKUP(AE$2,Rango_Admin_DailyPred,MATCH($F39,Rango_Admin_DailyPred_Primera,0),0),"-")</f>
        <v>-</v>
      </c>
      <c r="AF39" s="412" t="str">
        <f ca="1">IFERROR(VLOOKUP(AF$2,Rango_Admin_DailyPred,MATCH($F39,Rango_Admin_DailyPred_Primera,0),0),"-")</f>
        <v>-</v>
      </c>
      <c r="AG39" s="412" t="str">
        <f ca="1">IFERROR(VLOOKUP(AG$2,Rango_Admin_DailyPred,MATCH($F39,Rango_Admin_DailyPred_Primera,0),0),"-")</f>
        <v>-</v>
      </c>
      <c r="AH39" s="412" t="str">
        <f ca="1">IFERROR(VLOOKUP(AH$2,Rango_Admin_DailyPred,MATCH($F39,Rango_Admin_DailyPred_Primera,0),0),"-")</f>
        <v>-</v>
      </c>
      <c r="AI39" s="412" t="str">
        <f ca="1">IFERROR(VLOOKUP(AI$2,Rango_Admin_DailyPred,MATCH($F39,Rango_Admin_DailyPred_Primera,0),0),"-")</f>
        <v>-</v>
      </c>
      <c r="AJ39" s="412" t="str">
        <f ca="1">IFERROR(VLOOKUP(AJ$2,Rango_Admin_DailyPred,MATCH($F39,Rango_Admin_DailyPred_Primera,0),0),"-")</f>
        <v>-</v>
      </c>
      <c r="AK39" s="412" t="str">
        <f ca="1">IFERROR(VLOOKUP(AK$2,Rango_Admin_DailyPred,MATCH($F39,Rango_Admin_DailyPred_Primera,0),0),"-")</f>
        <v>-</v>
      </c>
      <c r="AL39" s="412" t="str">
        <f ca="1">IFERROR(VLOOKUP(AL$2,Rango_Admin_DailyPred,MATCH($F39,Rango_Admin_DailyPred_Primera,0),0),"-")</f>
        <v>-</v>
      </c>
      <c r="AM39" s="287"/>
      <c r="AN39" s="287"/>
      <c r="AO39" s="287"/>
    </row>
    <row r="40" spans="1:41">
      <c r="E40" s="772">
        <f t="shared" si="3"/>
        <v>117</v>
      </c>
      <c r="F40" s="393" t="str" cm="1">
        <f t="array" ref="F40">IFERROR(INDEX(Rango_Admin_DailyPred_Primera,1,E40),"-")</f>
        <v>Pegar Valores Nombre J37</v>
      </c>
      <c r="G40" s="412">
        <f ca="1">IFERROR(VLOOKUP(G$2,Rango_Admin_DailyPred,MATCH($F40,Rango_Admin_DailyPred_Primera,0),0),"-")</f>
        <v>0</v>
      </c>
      <c r="H40" s="412">
        <f ca="1">IFERROR(VLOOKUP(H$2,Rango_Admin_DailyPred,MATCH($F40,Rango_Admin_DailyPred_Primera,0),0),"-")</f>
        <v>0</v>
      </c>
      <c r="I40" s="412" t="str">
        <f ca="1">IFERROR(VLOOKUP(I$2,Rango_Admin_DailyPred,MATCH($F40,Rango_Admin_DailyPred_Primera,0),0),"-")</f>
        <v>-</v>
      </c>
      <c r="J40" s="412" t="str">
        <f ca="1">IFERROR(VLOOKUP(J$2,Rango_Admin_DailyPred,MATCH($F40,Rango_Admin_DailyPred_Primera,0),0),"-")</f>
        <v>-</v>
      </c>
      <c r="K40" s="412" t="str">
        <f ca="1">IFERROR(VLOOKUP(K$2,Rango_Admin_DailyPred,MATCH($F40,Rango_Admin_DailyPred_Primera,0),0),"-")</f>
        <v>-</v>
      </c>
      <c r="L40" s="412" t="str">
        <f ca="1">IFERROR(VLOOKUP(L$2,Rango_Admin_DailyPred,MATCH($F40,Rango_Admin_DailyPred_Primera,0),0),"-")</f>
        <v>-</v>
      </c>
      <c r="M40" s="412" t="str">
        <f ca="1">IFERROR(VLOOKUP(M$2,Rango_Admin_DailyPred,MATCH($F40,Rango_Admin_DailyPred_Primera,0),0),"-")</f>
        <v>-</v>
      </c>
      <c r="N40" s="412" t="str">
        <f ca="1">IFERROR(VLOOKUP(N$2,Rango_Admin_DailyPred,MATCH($F40,Rango_Admin_DailyPred_Primera,0),0),"-")</f>
        <v>-</v>
      </c>
      <c r="O40" s="412" t="str">
        <f ca="1">IFERROR(VLOOKUP(O$2,Rango_Admin_DailyPred,MATCH($F40,Rango_Admin_DailyPred_Primera,0),0),"-")</f>
        <v>-</v>
      </c>
      <c r="P40" s="412" t="str">
        <f ca="1">IFERROR(VLOOKUP(P$2,Rango_Admin_DailyPred,MATCH($F40,Rango_Admin_DailyPred_Primera,0),0),"-")</f>
        <v>-</v>
      </c>
      <c r="Q40" s="412" t="str">
        <f ca="1">IFERROR(VLOOKUP(Q$2,Rango_Admin_DailyPred,MATCH($F40,Rango_Admin_DailyPred_Primera,0),0),"-")</f>
        <v>-</v>
      </c>
      <c r="R40" s="412" t="str">
        <f ca="1">IFERROR(VLOOKUP(R$2,Rango_Admin_DailyPred,MATCH($F40,Rango_Admin_DailyPred_Primera,0),0),"-")</f>
        <v>-</v>
      </c>
      <c r="S40" s="412" t="str">
        <f ca="1">IFERROR(VLOOKUP(S$2,Rango_Admin_DailyPred,MATCH($F40,Rango_Admin_DailyPred_Primera,0),0),"-")</f>
        <v>-</v>
      </c>
      <c r="T40" s="412" t="str">
        <f ca="1">IFERROR(VLOOKUP(T$2,Rango_Admin_DailyPred,MATCH($F40,Rango_Admin_DailyPred_Primera,0),0),"-")</f>
        <v>-</v>
      </c>
      <c r="U40" s="412" t="str">
        <f ca="1">IFERROR(VLOOKUP(U$2,Rango_Admin_DailyPred,MATCH($F40,Rango_Admin_DailyPred_Primera,0),0),"-")</f>
        <v>-</v>
      </c>
      <c r="V40" s="412" t="str">
        <f ca="1">IFERROR(VLOOKUP(V$2,Rango_Admin_DailyPred,MATCH($F40,Rango_Admin_DailyPred_Primera,0),0),"-")</f>
        <v>-</v>
      </c>
      <c r="W40" s="412" t="str">
        <f ca="1">IFERROR(VLOOKUP(W$2,Rango_Admin_DailyPred,MATCH($F40,Rango_Admin_DailyPred_Primera,0),0),"-")</f>
        <v>-</v>
      </c>
      <c r="X40" s="412" t="str">
        <f ca="1">IFERROR(VLOOKUP(X$2,Rango_Admin_DailyPred,MATCH($F40,Rango_Admin_DailyPred_Primera,0),0),"-")</f>
        <v>-</v>
      </c>
      <c r="Y40" s="412" t="str">
        <f ca="1">IFERROR(VLOOKUP(Y$2,Rango_Admin_DailyPred,MATCH($F40,Rango_Admin_DailyPred_Primera,0),0),"-")</f>
        <v>-</v>
      </c>
      <c r="Z40" s="412" t="str">
        <f ca="1">IFERROR(VLOOKUP(Z$2,Rango_Admin_DailyPred,MATCH($F40,Rango_Admin_DailyPred_Primera,0),0),"-")</f>
        <v>-</v>
      </c>
      <c r="AA40" s="412" t="str">
        <f ca="1">IFERROR(VLOOKUP(AA$2,Rango_Admin_DailyPred,MATCH($F40,Rango_Admin_DailyPred_Primera,0),0),"-")</f>
        <v>-</v>
      </c>
      <c r="AB40" s="412" t="str">
        <f ca="1">IFERROR(VLOOKUP(AB$2,Rango_Admin_DailyPred,MATCH($F40,Rango_Admin_DailyPred_Primera,0),0),"-")</f>
        <v>-</v>
      </c>
      <c r="AC40" s="412" t="str">
        <f ca="1">IFERROR(VLOOKUP(AC$2,Rango_Admin_DailyPred,MATCH($F40,Rango_Admin_DailyPred_Primera,0),0),"-")</f>
        <v>-</v>
      </c>
      <c r="AD40" s="412" t="str">
        <f ca="1">IFERROR(VLOOKUP(AD$2,Rango_Admin_DailyPred,MATCH($F40,Rango_Admin_DailyPred_Primera,0),0),"-")</f>
        <v>-</v>
      </c>
      <c r="AE40" s="412" t="str">
        <f ca="1">IFERROR(VLOOKUP(AE$2,Rango_Admin_DailyPred,MATCH($F40,Rango_Admin_DailyPred_Primera,0),0),"-")</f>
        <v>-</v>
      </c>
      <c r="AF40" s="412" t="str">
        <f ca="1">IFERROR(VLOOKUP(AF$2,Rango_Admin_DailyPred,MATCH($F40,Rango_Admin_DailyPred_Primera,0),0),"-")</f>
        <v>-</v>
      </c>
      <c r="AG40" s="412" t="str">
        <f ca="1">IFERROR(VLOOKUP(AG$2,Rango_Admin_DailyPred,MATCH($F40,Rango_Admin_DailyPred_Primera,0),0),"-")</f>
        <v>-</v>
      </c>
      <c r="AH40" s="412" t="str">
        <f ca="1">IFERROR(VLOOKUP(AH$2,Rango_Admin_DailyPred,MATCH($F40,Rango_Admin_DailyPred_Primera,0),0),"-")</f>
        <v>-</v>
      </c>
      <c r="AI40" s="412" t="str">
        <f ca="1">IFERROR(VLOOKUP(AI$2,Rango_Admin_DailyPred,MATCH($F40,Rango_Admin_DailyPred_Primera,0),0),"-")</f>
        <v>-</v>
      </c>
      <c r="AJ40" s="412" t="str">
        <f ca="1">IFERROR(VLOOKUP(AJ$2,Rango_Admin_DailyPred,MATCH($F40,Rango_Admin_DailyPred_Primera,0),0),"-")</f>
        <v>-</v>
      </c>
      <c r="AK40" s="412" t="str">
        <f ca="1">IFERROR(VLOOKUP(AK$2,Rango_Admin_DailyPred,MATCH($F40,Rango_Admin_DailyPred_Primera,0),0),"-")</f>
        <v>-</v>
      </c>
      <c r="AL40" s="412" t="str">
        <f ca="1">IFERROR(VLOOKUP(AL$2,Rango_Admin_DailyPred,MATCH($F40,Rango_Admin_DailyPred_Primera,0),0),"-")</f>
        <v>-</v>
      </c>
      <c r="AM40" s="287"/>
      <c r="AN40" s="287"/>
      <c r="AO40" s="287"/>
    </row>
    <row r="41" spans="1:41">
      <c r="E41" s="772">
        <f t="shared" si="3"/>
        <v>120</v>
      </c>
      <c r="F41" s="393" t="str" cm="1">
        <f t="array" ref="F41">IFERROR(INDEX(Rango_Admin_DailyPred_Primera,1,E41),"-")</f>
        <v>Pegar Valores Nombre J38</v>
      </c>
      <c r="G41" s="412">
        <f ca="1">IFERROR(VLOOKUP(G$2,Rango_Admin_DailyPred,MATCH($F41,Rango_Admin_DailyPred_Primera,0),0),"-")</f>
        <v>0</v>
      </c>
      <c r="H41" s="412">
        <f ca="1">IFERROR(VLOOKUP(H$2,Rango_Admin_DailyPred,MATCH($F41,Rango_Admin_DailyPred_Primera,0),0),"-")</f>
        <v>0</v>
      </c>
      <c r="I41" s="412" t="str">
        <f ca="1">IFERROR(VLOOKUP(I$2,Rango_Admin_DailyPred,MATCH($F41,Rango_Admin_DailyPred_Primera,0),0),"-")</f>
        <v>-</v>
      </c>
      <c r="J41" s="412" t="str">
        <f ca="1">IFERROR(VLOOKUP(J$2,Rango_Admin_DailyPred,MATCH($F41,Rango_Admin_DailyPred_Primera,0),0),"-")</f>
        <v>-</v>
      </c>
      <c r="K41" s="412" t="str">
        <f ca="1">IFERROR(VLOOKUP(K$2,Rango_Admin_DailyPred,MATCH($F41,Rango_Admin_DailyPred_Primera,0),0),"-")</f>
        <v>-</v>
      </c>
      <c r="L41" s="412" t="str">
        <f ca="1">IFERROR(VLOOKUP(L$2,Rango_Admin_DailyPred,MATCH($F41,Rango_Admin_DailyPred_Primera,0),0),"-")</f>
        <v>-</v>
      </c>
      <c r="M41" s="412" t="str">
        <f ca="1">IFERROR(VLOOKUP(M$2,Rango_Admin_DailyPred,MATCH($F41,Rango_Admin_DailyPred_Primera,0),0),"-")</f>
        <v>-</v>
      </c>
      <c r="N41" s="412" t="str">
        <f ca="1">IFERROR(VLOOKUP(N$2,Rango_Admin_DailyPred,MATCH($F41,Rango_Admin_DailyPred_Primera,0),0),"-")</f>
        <v>-</v>
      </c>
      <c r="O41" s="412" t="str">
        <f ca="1">IFERROR(VLOOKUP(O$2,Rango_Admin_DailyPred,MATCH($F41,Rango_Admin_DailyPred_Primera,0),0),"-")</f>
        <v>-</v>
      </c>
      <c r="P41" s="412" t="str">
        <f ca="1">IFERROR(VLOOKUP(P$2,Rango_Admin_DailyPred,MATCH($F41,Rango_Admin_DailyPred_Primera,0),0),"-")</f>
        <v>-</v>
      </c>
      <c r="Q41" s="412" t="str">
        <f ca="1">IFERROR(VLOOKUP(Q$2,Rango_Admin_DailyPred,MATCH($F41,Rango_Admin_DailyPred_Primera,0),0),"-")</f>
        <v>-</v>
      </c>
      <c r="R41" s="412" t="str">
        <f ca="1">IFERROR(VLOOKUP(R$2,Rango_Admin_DailyPred,MATCH($F41,Rango_Admin_DailyPred_Primera,0),0),"-")</f>
        <v>-</v>
      </c>
      <c r="S41" s="412" t="str">
        <f ca="1">IFERROR(VLOOKUP(S$2,Rango_Admin_DailyPred,MATCH($F41,Rango_Admin_DailyPred_Primera,0),0),"-")</f>
        <v>-</v>
      </c>
      <c r="T41" s="412" t="str">
        <f ca="1">IFERROR(VLOOKUP(T$2,Rango_Admin_DailyPred,MATCH($F41,Rango_Admin_DailyPred_Primera,0),0),"-")</f>
        <v>-</v>
      </c>
      <c r="U41" s="412" t="str">
        <f ca="1">IFERROR(VLOOKUP(U$2,Rango_Admin_DailyPred,MATCH($F41,Rango_Admin_DailyPred_Primera,0),0),"-")</f>
        <v>-</v>
      </c>
      <c r="V41" s="412" t="str">
        <f ca="1">IFERROR(VLOOKUP(V$2,Rango_Admin_DailyPred,MATCH($F41,Rango_Admin_DailyPred_Primera,0),0),"-")</f>
        <v>-</v>
      </c>
      <c r="W41" s="412" t="str">
        <f ca="1">IFERROR(VLOOKUP(W$2,Rango_Admin_DailyPred,MATCH($F41,Rango_Admin_DailyPred_Primera,0),0),"-")</f>
        <v>-</v>
      </c>
      <c r="X41" s="412" t="str">
        <f ca="1">IFERROR(VLOOKUP(X$2,Rango_Admin_DailyPred,MATCH($F41,Rango_Admin_DailyPred_Primera,0),0),"-")</f>
        <v>-</v>
      </c>
      <c r="Y41" s="412" t="str">
        <f ca="1">IFERROR(VLOOKUP(Y$2,Rango_Admin_DailyPred,MATCH($F41,Rango_Admin_DailyPred_Primera,0),0),"-")</f>
        <v>-</v>
      </c>
      <c r="Z41" s="412" t="str">
        <f ca="1">IFERROR(VLOOKUP(Z$2,Rango_Admin_DailyPred,MATCH($F41,Rango_Admin_DailyPred_Primera,0),0),"-")</f>
        <v>-</v>
      </c>
      <c r="AA41" s="412" t="str">
        <f ca="1">IFERROR(VLOOKUP(AA$2,Rango_Admin_DailyPred,MATCH($F41,Rango_Admin_DailyPred_Primera,0),0),"-")</f>
        <v>-</v>
      </c>
      <c r="AB41" s="412" t="str">
        <f ca="1">IFERROR(VLOOKUP(AB$2,Rango_Admin_DailyPred,MATCH($F41,Rango_Admin_DailyPred_Primera,0),0),"-")</f>
        <v>-</v>
      </c>
      <c r="AC41" s="412" t="str">
        <f ca="1">IFERROR(VLOOKUP(AC$2,Rango_Admin_DailyPred,MATCH($F41,Rango_Admin_DailyPred_Primera,0),0),"-")</f>
        <v>-</v>
      </c>
      <c r="AD41" s="412" t="str">
        <f ca="1">IFERROR(VLOOKUP(AD$2,Rango_Admin_DailyPred,MATCH($F41,Rango_Admin_DailyPred_Primera,0),0),"-")</f>
        <v>-</v>
      </c>
      <c r="AE41" s="412" t="str">
        <f ca="1">IFERROR(VLOOKUP(AE$2,Rango_Admin_DailyPred,MATCH($F41,Rango_Admin_DailyPred_Primera,0),0),"-")</f>
        <v>-</v>
      </c>
      <c r="AF41" s="412" t="str">
        <f ca="1">IFERROR(VLOOKUP(AF$2,Rango_Admin_DailyPred,MATCH($F41,Rango_Admin_DailyPred_Primera,0),0),"-")</f>
        <v>-</v>
      </c>
      <c r="AG41" s="412" t="str">
        <f ca="1">IFERROR(VLOOKUP(AG$2,Rango_Admin_DailyPred,MATCH($F41,Rango_Admin_DailyPred_Primera,0),0),"-")</f>
        <v>-</v>
      </c>
      <c r="AH41" s="412" t="str">
        <f ca="1">IFERROR(VLOOKUP(AH$2,Rango_Admin_DailyPred,MATCH($F41,Rango_Admin_DailyPred_Primera,0),0),"-")</f>
        <v>-</v>
      </c>
      <c r="AI41" s="412" t="str">
        <f ca="1">IFERROR(VLOOKUP(AI$2,Rango_Admin_DailyPred,MATCH($F41,Rango_Admin_DailyPred_Primera,0),0),"-")</f>
        <v>-</v>
      </c>
      <c r="AJ41" s="412" t="str">
        <f ca="1">IFERROR(VLOOKUP(AJ$2,Rango_Admin_DailyPred,MATCH($F41,Rango_Admin_DailyPred_Primera,0),0),"-")</f>
        <v>-</v>
      </c>
      <c r="AK41" s="412" t="str">
        <f ca="1">IFERROR(VLOOKUP(AK$2,Rango_Admin_DailyPred,MATCH($F41,Rango_Admin_DailyPred_Primera,0),0),"-")</f>
        <v>-</v>
      </c>
      <c r="AL41" s="412" t="str">
        <f ca="1">IFERROR(VLOOKUP(AL$2,Rango_Admin_DailyPred,MATCH($F41,Rango_Admin_DailyPred_Primera,0),0),"-")</f>
        <v>-</v>
      </c>
      <c r="AM41" s="287"/>
      <c r="AN41" s="287"/>
      <c r="AO41" s="287"/>
    </row>
    <row r="42" spans="1:41">
      <c r="E42" s="772">
        <f t="shared" si="3"/>
        <v>123</v>
      </c>
      <c r="F42" s="393" t="str" cm="1">
        <f t="array" ref="F42">IFERROR(INDEX(Rango_Admin_DailyPred_Primera,1,E42),"-")</f>
        <v>Pegar Valores Nombre J39</v>
      </c>
      <c r="G42" s="412">
        <f ca="1">IFERROR(VLOOKUP(G$2,Rango_Admin_DailyPred,MATCH($F42,Rango_Admin_DailyPred_Primera,0),0),"-")</f>
        <v>0</v>
      </c>
      <c r="H42" s="412">
        <f ca="1">IFERROR(VLOOKUP(H$2,Rango_Admin_DailyPred,MATCH($F42,Rango_Admin_DailyPred_Primera,0),0),"-")</f>
        <v>0</v>
      </c>
      <c r="I42" s="412" t="str">
        <f ca="1">IFERROR(VLOOKUP(I$2,Rango_Admin_DailyPred,MATCH($F42,Rango_Admin_DailyPred_Primera,0),0),"-")</f>
        <v>-</v>
      </c>
      <c r="J42" s="412" t="str">
        <f ca="1">IFERROR(VLOOKUP(J$2,Rango_Admin_DailyPred,MATCH($F42,Rango_Admin_DailyPred_Primera,0),0),"-")</f>
        <v>-</v>
      </c>
      <c r="K42" s="412" t="str">
        <f ca="1">IFERROR(VLOOKUP(K$2,Rango_Admin_DailyPred,MATCH($F42,Rango_Admin_DailyPred_Primera,0),0),"-")</f>
        <v>-</v>
      </c>
      <c r="L42" s="412" t="str">
        <f ca="1">IFERROR(VLOOKUP(L$2,Rango_Admin_DailyPred,MATCH($F42,Rango_Admin_DailyPred_Primera,0),0),"-")</f>
        <v>-</v>
      </c>
      <c r="M42" s="412" t="str">
        <f ca="1">IFERROR(VLOOKUP(M$2,Rango_Admin_DailyPred,MATCH($F42,Rango_Admin_DailyPred_Primera,0),0),"-")</f>
        <v>-</v>
      </c>
      <c r="N42" s="412" t="str">
        <f ca="1">IFERROR(VLOOKUP(N$2,Rango_Admin_DailyPred,MATCH($F42,Rango_Admin_DailyPred_Primera,0),0),"-")</f>
        <v>-</v>
      </c>
      <c r="O42" s="412" t="str">
        <f ca="1">IFERROR(VLOOKUP(O$2,Rango_Admin_DailyPred,MATCH($F42,Rango_Admin_DailyPred_Primera,0),0),"-")</f>
        <v>-</v>
      </c>
      <c r="P42" s="412" t="str">
        <f ca="1">IFERROR(VLOOKUP(P$2,Rango_Admin_DailyPred,MATCH($F42,Rango_Admin_DailyPred_Primera,0),0),"-")</f>
        <v>-</v>
      </c>
      <c r="Q42" s="412" t="str">
        <f ca="1">IFERROR(VLOOKUP(Q$2,Rango_Admin_DailyPred,MATCH($F42,Rango_Admin_DailyPred_Primera,0),0),"-")</f>
        <v>-</v>
      </c>
      <c r="R42" s="412" t="str">
        <f ca="1">IFERROR(VLOOKUP(R$2,Rango_Admin_DailyPred,MATCH($F42,Rango_Admin_DailyPred_Primera,0),0),"-")</f>
        <v>-</v>
      </c>
      <c r="S42" s="412" t="str">
        <f ca="1">IFERROR(VLOOKUP(S$2,Rango_Admin_DailyPred,MATCH($F42,Rango_Admin_DailyPred_Primera,0),0),"-")</f>
        <v>-</v>
      </c>
      <c r="T42" s="412" t="str">
        <f ca="1">IFERROR(VLOOKUP(T$2,Rango_Admin_DailyPred,MATCH($F42,Rango_Admin_DailyPred_Primera,0),0),"-")</f>
        <v>-</v>
      </c>
      <c r="U42" s="412" t="str">
        <f ca="1">IFERROR(VLOOKUP(U$2,Rango_Admin_DailyPred,MATCH($F42,Rango_Admin_DailyPred_Primera,0),0),"-")</f>
        <v>-</v>
      </c>
      <c r="V42" s="412" t="str">
        <f ca="1">IFERROR(VLOOKUP(V$2,Rango_Admin_DailyPred,MATCH($F42,Rango_Admin_DailyPred_Primera,0),0),"-")</f>
        <v>-</v>
      </c>
      <c r="W42" s="412" t="str">
        <f ca="1">IFERROR(VLOOKUP(W$2,Rango_Admin_DailyPred,MATCH($F42,Rango_Admin_DailyPred_Primera,0),0),"-")</f>
        <v>-</v>
      </c>
      <c r="X42" s="412" t="str">
        <f ca="1">IFERROR(VLOOKUP(X$2,Rango_Admin_DailyPred,MATCH($F42,Rango_Admin_DailyPred_Primera,0),0),"-")</f>
        <v>-</v>
      </c>
      <c r="Y42" s="412" t="str">
        <f ca="1">IFERROR(VLOOKUP(Y$2,Rango_Admin_DailyPred,MATCH($F42,Rango_Admin_DailyPred_Primera,0),0),"-")</f>
        <v>-</v>
      </c>
      <c r="Z42" s="412" t="str">
        <f ca="1">IFERROR(VLOOKUP(Z$2,Rango_Admin_DailyPred,MATCH($F42,Rango_Admin_DailyPred_Primera,0),0),"-")</f>
        <v>-</v>
      </c>
      <c r="AA42" s="412" t="str">
        <f ca="1">IFERROR(VLOOKUP(AA$2,Rango_Admin_DailyPred,MATCH($F42,Rango_Admin_DailyPred_Primera,0),0),"-")</f>
        <v>-</v>
      </c>
      <c r="AB42" s="412" t="str">
        <f ca="1">IFERROR(VLOOKUP(AB$2,Rango_Admin_DailyPred,MATCH($F42,Rango_Admin_DailyPred_Primera,0),0),"-")</f>
        <v>-</v>
      </c>
      <c r="AC42" s="412" t="str">
        <f ca="1">IFERROR(VLOOKUP(AC$2,Rango_Admin_DailyPred,MATCH($F42,Rango_Admin_DailyPred_Primera,0),0),"-")</f>
        <v>-</v>
      </c>
      <c r="AD42" s="412" t="str">
        <f ca="1">IFERROR(VLOOKUP(AD$2,Rango_Admin_DailyPred,MATCH($F42,Rango_Admin_DailyPred_Primera,0),0),"-")</f>
        <v>-</v>
      </c>
      <c r="AE42" s="412" t="str">
        <f ca="1">IFERROR(VLOOKUP(AE$2,Rango_Admin_DailyPred,MATCH($F42,Rango_Admin_DailyPred_Primera,0),0),"-")</f>
        <v>-</v>
      </c>
      <c r="AF42" s="412" t="str">
        <f ca="1">IFERROR(VLOOKUP(AF$2,Rango_Admin_DailyPred,MATCH($F42,Rango_Admin_DailyPred_Primera,0),0),"-")</f>
        <v>-</v>
      </c>
      <c r="AG42" s="412" t="str">
        <f ca="1">IFERROR(VLOOKUP(AG$2,Rango_Admin_DailyPred,MATCH($F42,Rango_Admin_DailyPred_Primera,0),0),"-")</f>
        <v>-</v>
      </c>
      <c r="AH42" s="412" t="str">
        <f ca="1">IFERROR(VLOOKUP(AH$2,Rango_Admin_DailyPred,MATCH($F42,Rango_Admin_DailyPred_Primera,0),0),"-")</f>
        <v>-</v>
      </c>
      <c r="AI42" s="412" t="str">
        <f ca="1">IFERROR(VLOOKUP(AI$2,Rango_Admin_DailyPred,MATCH($F42,Rango_Admin_DailyPred_Primera,0),0),"-")</f>
        <v>-</v>
      </c>
      <c r="AJ42" s="412" t="str">
        <f ca="1">IFERROR(VLOOKUP(AJ$2,Rango_Admin_DailyPred,MATCH($F42,Rango_Admin_DailyPred_Primera,0),0),"-")</f>
        <v>-</v>
      </c>
      <c r="AK42" s="412" t="str">
        <f ca="1">IFERROR(VLOOKUP(AK$2,Rango_Admin_DailyPred,MATCH($F42,Rango_Admin_DailyPred_Primera,0),0),"-")</f>
        <v>-</v>
      </c>
      <c r="AL42" s="412" t="str">
        <f ca="1">IFERROR(VLOOKUP(AL$2,Rango_Admin_DailyPred,MATCH($F42,Rango_Admin_DailyPred_Primera,0),0),"-")</f>
        <v>-</v>
      </c>
      <c r="AM42" s="287"/>
      <c r="AN42" s="287"/>
      <c r="AO42" s="287"/>
    </row>
    <row r="43" spans="1:41">
      <c r="E43" s="772">
        <f t="shared" si="3"/>
        <v>126</v>
      </c>
      <c r="F43" s="393" t="str" cm="1">
        <f t="array" ref="F43">IFERROR(INDEX(Rango_Admin_DailyPred_Primera,1,E43),"-")</f>
        <v>Pegar Valores Nombre J40</v>
      </c>
      <c r="G43" s="412">
        <f ca="1">IFERROR(VLOOKUP(G$2,Rango_Admin_DailyPred,MATCH($F43,Rango_Admin_DailyPred_Primera,0),0),"-")</f>
        <v>0</v>
      </c>
      <c r="H43" s="412">
        <f ca="1">IFERROR(VLOOKUP(H$2,Rango_Admin_DailyPred,MATCH($F43,Rango_Admin_DailyPred_Primera,0),0),"-")</f>
        <v>0</v>
      </c>
      <c r="I43" s="412" t="str">
        <f ca="1">IFERROR(VLOOKUP(I$2,Rango_Admin_DailyPred,MATCH($F43,Rango_Admin_DailyPred_Primera,0),0),"-")</f>
        <v>-</v>
      </c>
      <c r="J43" s="412" t="str">
        <f ca="1">IFERROR(VLOOKUP(J$2,Rango_Admin_DailyPred,MATCH($F43,Rango_Admin_DailyPred_Primera,0),0),"-")</f>
        <v>-</v>
      </c>
      <c r="K43" s="412" t="str">
        <f ca="1">IFERROR(VLOOKUP(K$2,Rango_Admin_DailyPred,MATCH($F43,Rango_Admin_DailyPred_Primera,0),0),"-")</f>
        <v>-</v>
      </c>
      <c r="L43" s="412" t="str">
        <f ca="1">IFERROR(VLOOKUP(L$2,Rango_Admin_DailyPred,MATCH($F43,Rango_Admin_DailyPred_Primera,0),0),"-")</f>
        <v>-</v>
      </c>
      <c r="M43" s="412" t="str">
        <f ca="1">IFERROR(VLOOKUP(M$2,Rango_Admin_DailyPred,MATCH($F43,Rango_Admin_DailyPred_Primera,0),0),"-")</f>
        <v>-</v>
      </c>
      <c r="N43" s="412" t="str">
        <f ca="1">IFERROR(VLOOKUP(N$2,Rango_Admin_DailyPred,MATCH($F43,Rango_Admin_DailyPred_Primera,0),0),"-")</f>
        <v>-</v>
      </c>
      <c r="O43" s="412" t="str">
        <f ca="1">IFERROR(VLOOKUP(O$2,Rango_Admin_DailyPred,MATCH($F43,Rango_Admin_DailyPred_Primera,0),0),"-")</f>
        <v>-</v>
      </c>
      <c r="P43" s="412" t="str">
        <f ca="1">IFERROR(VLOOKUP(P$2,Rango_Admin_DailyPred,MATCH($F43,Rango_Admin_DailyPred_Primera,0),0),"-")</f>
        <v>-</v>
      </c>
      <c r="Q43" s="412" t="str">
        <f ca="1">IFERROR(VLOOKUP(Q$2,Rango_Admin_DailyPred,MATCH($F43,Rango_Admin_DailyPred_Primera,0),0),"-")</f>
        <v>-</v>
      </c>
      <c r="R43" s="412" t="str">
        <f ca="1">IFERROR(VLOOKUP(R$2,Rango_Admin_DailyPred,MATCH($F43,Rango_Admin_DailyPred_Primera,0),0),"-")</f>
        <v>-</v>
      </c>
      <c r="S43" s="412" t="str">
        <f ca="1">IFERROR(VLOOKUP(S$2,Rango_Admin_DailyPred,MATCH($F43,Rango_Admin_DailyPred_Primera,0),0),"-")</f>
        <v>-</v>
      </c>
      <c r="T43" s="412" t="str">
        <f ca="1">IFERROR(VLOOKUP(T$2,Rango_Admin_DailyPred,MATCH($F43,Rango_Admin_DailyPred_Primera,0),0),"-")</f>
        <v>-</v>
      </c>
      <c r="U43" s="412" t="str">
        <f ca="1">IFERROR(VLOOKUP(U$2,Rango_Admin_DailyPred,MATCH($F43,Rango_Admin_DailyPred_Primera,0),0),"-")</f>
        <v>-</v>
      </c>
      <c r="V43" s="412" t="str">
        <f ca="1">IFERROR(VLOOKUP(V$2,Rango_Admin_DailyPred,MATCH($F43,Rango_Admin_DailyPred_Primera,0),0),"-")</f>
        <v>-</v>
      </c>
      <c r="W43" s="412" t="str">
        <f ca="1">IFERROR(VLOOKUP(W$2,Rango_Admin_DailyPred,MATCH($F43,Rango_Admin_DailyPred_Primera,0),0),"-")</f>
        <v>-</v>
      </c>
      <c r="X43" s="412" t="str">
        <f ca="1">IFERROR(VLOOKUP(X$2,Rango_Admin_DailyPred,MATCH($F43,Rango_Admin_DailyPred_Primera,0),0),"-")</f>
        <v>-</v>
      </c>
      <c r="Y43" s="412" t="str">
        <f ca="1">IFERROR(VLOOKUP(Y$2,Rango_Admin_DailyPred,MATCH($F43,Rango_Admin_DailyPred_Primera,0),0),"-")</f>
        <v>-</v>
      </c>
      <c r="Z43" s="412" t="str">
        <f ca="1">IFERROR(VLOOKUP(Z$2,Rango_Admin_DailyPred,MATCH($F43,Rango_Admin_DailyPred_Primera,0),0),"-")</f>
        <v>-</v>
      </c>
      <c r="AA43" s="412" t="str">
        <f ca="1">IFERROR(VLOOKUP(AA$2,Rango_Admin_DailyPred,MATCH($F43,Rango_Admin_DailyPred_Primera,0),0),"-")</f>
        <v>-</v>
      </c>
      <c r="AB43" s="412" t="str">
        <f ca="1">IFERROR(VLOOKUP(AB$2,Rango_Admin_DailyPred,MATCH($F43,Rango_Admin_DailyPred_Primera,0),0),"-")</f>
        <v>-</v>
      </c>
      <c r="AC43" s="412" t="str">
        <f ca="1">IFERROR(VLOOKUP(AC$2,Rango_Admin_DailyPred,MATCH($F43,Rango_Admin_DailyPred_Primera,0),0),"-")</f>
        <v>-</v>
      </c>
      <c r="AD43" s="412" t="str">
        <f ca="1">IFERROR(VLOOKUP(AD$2,Rango_Admin_DailyPred,MATCH($F43,Rango_Admin_DailyPred_Primera,0),0),"-")</f>
        <v>-</v>
      </c>
      <c r="AE43" s="412" t="str">
        <f ca="1">IFERROR(VLOOKUP(AE$2,Rango_Admin_DailyPred,MATCH($F43,Rango_Admin_DailyPred_Primera,0),0),"-")</f>
        <v>-</v>
      </c>
      <c r="AF43" s="412" t="str">
        <f ca="1">IFERROR(VLOOKUP(AF$2,Rango_Admin_DailyPred,MATCH($F43,Rango_Admin_DailyPred_Primera,0),0),"-")</f>
        <v>-</v>
      </c>
      <c r="AG43" s="412" t="str">
        <f ca="1">IFERROR(VLOOKUP(AG$2,Rango_Admin_DailyPred,MATCH($F43,Rango_Admin_DailyPred_Primera,0),0),"-")</f>
        <v>-</v>
      </c>
      <c r="AH43" s="412" t="str">
        <f ca="1">IFERROR(VLOOKUP(AH$2,Rango_Admin_DailyPred,MATCH($F43,Rango_Admin_DailyPred_Primera,0),0),"-")</f>
        <v>-</v>
      </c>
      <c r="AI43" s="412" t="str">
        <f ca="1">IFERROR(VLOOKUP(AI$2,Rango_Admin_DailyPred,MATCH($F43,Rango_Admin_DailyPred_Primera,0),0),"-")</f>
        <v>-</v>
      </c>
      <c r="AJ43" s="412" t="str">
        <f ca="1">IFERROR(VLOOKUP(AJ$2,Rango_Admin_DailyPred,MATCH($F43,Rango_Admin_DailyPred_Primera,0),0),"-")</f>
        <v>-</v>
      </c>
      <c r="AK43" s="412" t="str">
        <f ca="1">IFERROR(VLOOKUP(AK$2,Rango_Admin_DailyPred,MATCH($F43,Rango_Admin_DailyPred_Primera,0),0),"-")</f>
        <v>-</v>
      </c>
      <c r="AL43" s="412" t="str">
        <f ca="1">IFERROR(VLOOKUP(AL$2,Rango_Admin_DailyPred,MATCH($F43,Rango_Admin_DailyPred_Primera,0),0),"-")</f>
        <v>-</v>
      </c>
      <c r="AM43" s="287"/>
      <c r="AN43" s="287"/>
      <c r="AO43" s="287"/>
    </row>
    <row r="44" spans="1:41">
      <c r="E44" s="772"/>
      <c r="F44" s="393" t="str" cm="1">
        <f t="array" ref="F44">IFERROR(INDEX(Rango_Admin_DailyPred_Primera,1,E44),"-")</f>
        <v>FASE DE GRUPOS</v>
      </c>
      <c r="G44" s="412" t="str">
        <f ca="1">IFERROR(VLOOKUP(G$2,Rango_Admin_DailyPred,MATCH($F44,Rango_Admin_DailyPred_Primera,0),0),"-")</f>
        <v>Catar-Suiza</v>
      </c>
      <c r="H44" s="412" t="str">
        <f ca="1">IFERROR(VLOOKUP(H$2,Rango_Admin_DailyPred,MATCH($F44,Rango_Admin_DailyPred_Primera,0),0),"-")</f>
        <v>Estados Unidos-Paraguay</v>
      </c>
      <c r="I44" s="412" t="str">
        <f ca="1">IFERROR(VLOOKUP(I$2,Rango_Admin_DailyPred,MATCH($F44,Rango_Admin_DailyPred_Primera,0),0),"-")</f>
        <v>-</v>
      </c>
      <c r="J44" s="412" t="str">
        <f ca="1">IFERROR(VLOOKUP(J$2,Rango_Admin_DailyPred,MATCH($F44,Rango_Admin_DailyPred_Primera,0),0),"-")</f>
        <v>-</v>
      </c>
      <c r="K44" s="412" t="str">
        <f ca="1">IFERROR(VLOOKUP(K$2,Rango_Admin_DailyPred,MATCH($F44,Rango_Admin_DailyPred_Primera,0),0),"-")</f>
        <v>-</v>
      </c>
      <c r="L44" s="412" t="str">
        <f ca="1">IFERROR(VLOOKUP(L$2,Rango_Admin_DailyPred,MATCH($F44,Rango_Admin_DailyPred_Primera,0),0),"-")</f>
        <v>-</v>
      </c>
      <c r="M44" s="412" t="str">
        <f ca="1">IFERROR(VLOOKUP(M$2,Rango_Admin_DailyPred,MATCH($F44,Rango_Admin_DailyPred_Primera,0),0),"-")</f>
        <v>-</v>
      </c>
      <c r="N44" s="412" t="str">
        <f ca="1">IFERROR(VLOOKUP(N$2,Rango_Admin_DailyPred,MATCH($F44,Rango_Admin_DailyPred_Primera,0),0),"-")</f>
        <v>-</v>
      </c>
      <c r="O44" s="412" t="str">
        <f ca="1">IFERROR(VLOOKUP(O$2,Rango_Admin_DailyPred,MATCH($F44,Rango_Admin_DailyPred_Primera,0),0),"-")</f>
        <v>-</v>
      </c>
      <c r="P44" s="412" t="str">
        <f ca="1">IFERROR(VLOOKUP(P$2,Rango_Admin_DailyPred,MATCH($F44,Rango_Admin_DailyPred_Primera,0),0),"-")</f>
        <v>-</v>
      </c>
      <c r="Q44" s="412" t="str">
        <f ca="1">IFERROR(VLOOKUP(Q$2,Rango_Admin_DailyPred,MATCH($F44,Rango_Admin_DailyPred_Primera,0),0),"-")</f>
        <v>-</v>
      </c>
      <c r="R44" s="412" t="str">
        <f ca="1">IFERROR(VLOOKUP(R$2,Rango_Admin_DailyPred,MATCH($F44,Rango_Admin_DailyPred_Primera,0),0),"-")</f>
        <v>-</v>
      </c>
      <c r="S44" s="412" t="str">
        <f ca="1">IFERROR(VLOOKUP(S$2,Rango_Admin_DailyPred,MATCH($F44,Rango_Admin_DailyPred_Primera,0),0),"-")</f>
        <v>-</v>
      </c>
      <c r="T44" s="412" t="str">
        <f ca="1">IFERROR(VLOOKUP(T$2,Rango_Admin_DailyPred,MATCH($F44,Rango_Admin_DailyPred_Primera,0),0),"-")</f>
        <v>-</v>
      </c>
      <c r="U44" s="412" t="str">
        <f ca="1">IFERROR(VLOOKUP(U$2,Rango_Admin_DailyPred,MATCH($F44,Rango_Admin_DailyPred_Primera,0),0),"-")</f>
        <v>-</v>
      </c>
      <c r="V44" s="412" t="str">
        <f ca="1">IFERROR(VLOOKUP(V$2,Rango_Admin_DailyPred,MATCH($F44,Rango_Admin_DailyPred_Primera,0),0),"-")</f>
        <v>-</v>
      </c>
      <c r="W44" s="412" t="str">
        <f ca="1">IFERROR(VLOOKUP(W$2,Rango_Admin_DailyPred,MATCH($F44,Rango_Admin_DailyPred_Primera,0),0),"-")</f>
        <v>-</v>
      </c>
      <c r="X44" s="412" t="str">
        <f ca="1">IFERROR(VLOOKUP(X$2,Rango_Admin_DailyPred,MATCH($F44,Rango_Admin_DailyPred_Primera,0),0),"-")</f>
        <v>-</v>
      </c>
      <c r="Y44" s="412" t="str">
        <f ca="1">IFERROR(VLOOKUP(Y$2,Rango_Admin_DailyPred,MATCH($F44,Rango_Admin_DailyPred_Primera,0),0),"-")</f>
        <v>-</v>
      </c>
      <c r="Z44" s="412" t="str">
        <f ca="1">IFERROR(VLOOKUP(Z$2,Rango_Admin_DailyPred,MATCH($F44,Rango_Admin_DailyPred_Primera,0),0),"-")</f>
        <v>-</v>
      </c>
      <c r="AA44" s="412" t="str">
        <f ca="1">IFERROR(VLOOKUP(AA$2,Rango_Admin_DailyPred,MATCH($F44,Rango_Admin_DailyPred_Primera,0),0),"-")</f>
        <v>-</v>
      </c>
      <c r="AB44" s="412" t="str">
        <f ca="1">IFERROR(VLOOKUP(AB$2,Rango_Admin_DailyPred,MATCH($F44,Rango_Admin_DailyPred_Primera,0),0),"-")</f>
        <v>-</v>
      </c>
      <c r="AC44" s="412" t="str">
        <f ca="1">IFERROR(VLOOKUP(AC$2,Rango_Admin_DailyPred,MATCH($F44,Rango_Admin_DailyPred_Primera,0),0),"-")</f>
        <v>-</v>
      </c>
      <c r="AD44" s="412" t="str">
        <f ca="1">IFERROR(VLOOKUP(AD$2,Rango_Admin_DailyPred,MATCH($F44,Rango_Admin_DailyPred_Primera,0),0),"-")</f>
        <v>-</v>
      </c>
      <c r="AE44" s="412" t="str">
        <f ca="1">IFERROR(VLOOKUP(AE$2,Rango_Admin_DailyPred,MATCH($F44,Rango_Admin_DailyPred_Primera,0),0),"-")</f>
        <v>-</v>
      </c>
      <c r="AF44" s="412" t="str">
        <f ca="1">IFERROR(VLOOKUP(AF$2,Rango_Admin_DailyPred,MATCH($F44,Rango_Admin_DailyPred_Primera,0),0),"-")</f>
        <v>-</v>
      </c>
      <c r="AG44" s="412" t="str">
        <f ca="1">IFERROR(VLOOKUP(AG$2,Rango_Admin_DailyPred,MATCH($F44,Rango_Admin_DailyPred_Primera,0),0),"-")</f>
        <v>-</v>
      </c>
      <c r="AH44" s="412" t="str">
        <f ca="1">IFERROR(VLOOKUP(AH$2,Rango_Admin_DailyPred,MATCH($F44,Rango_Admin_DailyPred_Primera,0),0),"-")</f>
        <v>-</v>
      </c>
      <c r="AI44" s="412" t="str">
        <f ca="1">IFERROR(VLOOKUP(AI$2,Rango_Admin_DailyPred,MATCH($F44,Rango_Admin_DailyPred_Primera,0),0),"-")</f>
        <v>-</v>
      </c>
      <c r="AJ44" s="412" t="str">
        <f ca="1">IFERROR(VLOOKUP(AJ$2,Rango_Admin_DailyPred,MATCH($F44,Rango_Admin_DailyPred_Primera,0),0),"-")</f>
        <v>-</v>
      </c>
      <c r="AK44" s="412" t="str">
        <f ca="1">IFERROR(VLOOKUP(AK$2,Rango_Admin_DailyPred,MATCH($F44,Rango_Admin_DailyPred_Primera,0),0),"-")</f>
        <v>-</v>
      </c>
      <c r="AL44" s="412" t="str">
        <f ca="1">IFERROR(VLOOKUP(AL$2,Rango_Admin_DailyPred,MATCH($F44,Rango_Admin_DailyPred_Primera,0),0),"-")</f>
        <v>-</v>
      </c>
      <c r="AM44" s="287"/>
      <c r="AN44" s="287"/>
      <c r="AO44" s="287"/>
    </row>
    <row r="45" spans="1:41">
      <c r="E45" s="772"/>
      <c r="F45" s="393" t="str" cm="1">
        <f t="array" ref="F45">IFERROR(INDEX(Rango_Admin_DailyPred_Primera,1,E45),"-")</f>
        <v>FASE DE GRUPOS</v>
      </c>
      <c r="G45" s="412" t="str">
        <f ca="1">IFERROR(VLOOKUP(G$2,Rango_Admin_DailyPred,MATCH($F45,Rango_Admin_DailyPred_Primera,0),0),"-")</f>
        <v>Catar-Suiza</v>
      </c>
      <c r="H45" s="412" t="str">
        <f ca="1">IFERROR(VLOOKUP(H$2,Rango_Admin_DailyPred,MATCH($F45,Rango_Admin_DailyPred_Primera,0),0),"-")</f>
        <v>Estados Unidos-Paraguay</v>
      </c>
      <c r="I45" s="412" t="str">
        <f ca="1">IFERROR(VLOOKUP(I$2,Rango_Admin_DailyPred,MATCH($F45,Rango_Admin_DailyPred_Primera,0),0),"-")</f>
        <v>-</v>
      </c>
      <c r="J45" s="412" t="str">
        <f ca="1">IFERROR(VLOOKUP(J$2,Rango_Admin_DailyPred,MATCH($F45,Rango_Admin_DailyPred_Primera,0),0),"-")</f>
        <v>-</v>
      </c>
      <c r="K45" s="412" t="str">
        <f ca="1">IFERROR(VLOOKUP(K$2,Rango_Admin_DailyPred,MATCH($F45,Rango_Admin_DailyPred_Primera,0),0),"-")</f>
        <v>-</v>
      </c>
      <c r="L45" s="412" t="str">
        <f ca="1">IFERROR(VLOOKUP(L$2,Rango_Admin_DailyPred,MATCH($F45,Rango_Admin_DailyPred_Primera,0),0),"-")</f>
        <v>-</v>
      </c>
      <c r="M45" s="412" t="str">
        <f ca="1">IFERROR(VLOOKUP(M$2,Rango_Admin_DailyPred,MATCH($F45,Rango_Admin_DailyPred_Primera,0),0),"-")</f>
        <v>-</v>
      </c>
      <c r="N45" s="412" t="str">
        <f ca="1">IFERROR(VLOOKUP(N$2,Rango_Admin_DailyPred,MATCH($F45,Rango_Admin_DailyPred_Primera,0),0),"-")</f>
        <v>-</v>
      </c>
      <c r="O45" s="412" t="str">
        <f ca="1">IFERROR(VLOOKUP(O$2,Rango_Admin_DailyPred,MATCH($F45,Rango_Admin_DailyPred_Primera,0),0),"-")</f>
        <v>-</v>
      </c>
      <c r="P45" s="412" t="str">
        <f ca="1">IFERROR(VLOOKUP(P$2,Rango_Admin_DailyPred,MATCH($F45,Rango_Admin_DailyPred_Primera,0),0),"-")</f>
        <v>-</v>
      </c>
      <c r="Q45" s="412" t="str">
        <f ca="1">IFERROR(VLOOKUP(Q$2,Rango_Admin_DailyPred,MATCH($F45,Rango_Admin_DailyPred_Primera,0),0),"-")</f>
        <v>-</v>
      </c>
      <c r="R45" s="412" t="str">
        <f ca="1">IFERROR(VLOOKUP(R$2,Rango_Admin_DailyPred,MATCH($F45,Rango_Admin_DailyPred_Primera,0),0),"-")</f>
        <v>-</v>
      </c>
      <c r="S45" s="412" t="str">
        <f ca="1">IFERROR(VLOOKUP(S$2,Rango_Admin_DailyPred,MATCH($F45,Rango_Admin_DailyPred_Primera,0),0),"-")</f>
        <v>-</v>
      </c>
      <c r="T45" s="412" t="str">
        <f ca="1">IFERROR(VLOOKUP(T$2,Rango_Admin_DailyPred,MATCH($F45,Rango_Admin_DailyPred_Primera,0),0),"-")</f>
        <v>-</v>
      </c>
      <c r="U45" s="412" t="str">
        <f ca="1">IFERROR(VLOOKUP(U$2,Rango_Admin_DailyPred,MATCH($F45,Rango_Admin_DailyPred_Primera,0),0),"-")</f>
        <v>-</v>
      </c>
      <c r="V45" s="412" t="str">
        <f ca="1">IFERROR(VLOOKUP(V$2,Rango_Admin_DailyPred,MATCH($F45,Rango_Admin_DailyPred_Primera,0),0),"-")</f>
        <v>-</v>
      </c>
      <c r="W45" s="412" t="str">
        <f ca="1">IFERROR(VLOOKUP(W$2,Rango_Admin_DailyPred,MATCH($F45,Rango_Admin_DailyPred_Primera,0),0),"-")</f>
        <v>-</v>
      </c>
      <c r="X45" s="412" t="str">
        <f ca="1">IFERROR(VLOOKUP(X$2,Rango_Admin_DailyPred,MATCH($F45,Rango_Admin_DailyPred_Primera,0),0),"-")</f>
        <v>-</v>
      </c>
      <c r="Y45" s="412" t="str">
        <f ca="1">IFERROR(VLOOKUP(Y$2,Rango_Admin_DailyPred,MATCH($F45,Rango_Admin_DailyPred_Primera,0),0),"-")</f>
        <v>-</v>
      </c>
      <c r="Z45" s="412" t="str">
        <f ca="1">IFERROR(VLOOKUP(Z$2,Rango_Admin_DailyPred,MATCH($F45,Rango_Admin_DailyPred_Primera,0),0),"-")</f>
        <v>-</v>
      </c>
      <c r="AA45" s="412" t="str">
        <f ca="1">IFERROR(VLOOKUP(AA$2,Rango_Admin_DailyPred,MATCH($F45,Rango_Admin_DailyPred_Primera,0),0),"-")</f>
        <v>-</v>
      </c>
      <c r="AB45" s="412" t="str">
        <f ca="1">IFERROR(VLOOKUP(AB$2,Rango_Admin_DailyPred,MATCH($F45,Rango_Admin_DailyPred_Primera,0),0),"-")</f>
        <v>-</v>
      </c>
      <c r="AC45" s="412" t="str">
        <f ca="1">IFERROR(VLOOKUP(AC$2,Rango_Admin_DailyPred,MATCH($F45,Rango_Admin_DailyPred_Primera,0),0),"-")</f>
        <v>-</v>
      </c>
      <c r="AD45" s="412" t="str">
        <f ca="1">IFERROR(VLOOKUP(AD$2,Rango_Admin_DailyPred,MATCH($F45,Rango_Admin_DailyPred_Primera,0),0),"-")</f>
        <v>-</v>
      </c>
      <c r="AE45" s="412" t="str">
        <f ca="1">IFERROR(VLOOKUP(AE$2,Rango_Admin_DailyPred,MATCH($F45,Rango_Admin_DailyPred_Primera,0),0),"-")</f>
        <v>-</v>
      </c>
      <c r="AF45" s="412" t="str">
        <f ca="1">IFERROR(VLOOKUP(AF$2,Rango_Admin_DailyPred,MATCH($F45,Rango_Admin_DailyPred_Primera,0),0),"-")</f>
        <v>-</v>
      </c>
      <c r="AG45" s="412" t="str">
        <f ca="1">IFERROR(VLOOKUP(AG$2,Rango_Admin_DailyPred,MATCH($F45,Rango_Admin_DailyPred_Primera,0),0),"-")</f>
        <v>-</v>
      </c>
      <c r="AH45" s="412" t="str">
        <f ca="1">IFERROR(VLOOKUP(AH$2,Rango_Admin_DailyPred,MATCH($F45,Rango_Admin_DailyPred_Primera,0),0),"-")</f>
        <v>-</v>
      </c>
      <c r="AI45" s="412" t="str">
        <f ca="1">IFERROR(VLOOKUP(AI$2,Rango_Admin_DailyPred,MATCH($F45,Rango_Admin_DailyPred_Primera,0),0),"-")</f>
        <v>-</v>
      </c>
      <c r="AJ45" s="412" t="str">
        <f ca="1">IFERROR(VLOOKUP(AJ$2,Rango_Admin_DailyPred,MATCH($F45,Rango_Admin_DailyPred_Primera,0),0),"-")</f>
        <v>-</v>
      </c>
      <c r="AK45" s="412" t="str">
        <f ca="1">IFERROR(VLOOKUP(AK$2,Rango_Admin_DailyPred,MATCH($F45,Rango_Admin_DailyPred_Primera,0),0),"-")</f>
        <v>-</v>
      </c>
      <c r="AL45" s="412" t="str">
        <f ca="1">IFERROR(VLOOKUP(AL$2,Rango_Admin_DailyPred,MATCH($F45,Rango_Admin_DailyPred_Primera,0),0),"-")</f>
        <v>-</v>
      </c>
      <c r="AM45" s="287"/>
      <c r="AN45" s="287"/>
      <c r="AO45" s="287"/>
    </row>
    <row r="46" spans="1:41">
      <c r="E46" s="772"/>
      <c r="F46" s="393" t="str" cm="1">
        <f t="array" ref="F46">IFERROR(INDEX(Rango_Admin_DailyPred_Primera,1,E46),"-")</f>
        <v>FASE DE GRUPOS</v>
      </c>
      <c r="G46" s="412" t="str">
        <f ca="1">IFERROR(VLOOKUP(G$2,Rango_Admin_DailyPred,MATCH($F46,Rango_Admin_DailyPred_Primera,0),0),"-")</f>
        <v>Catar-Suiza</v>
      </c>
      <c r="H46" s="412" t="str">
        <f ca="1">IFERROR(VLOOKUP(H$2,Rango_Admin_DailyPred,MATCH($F46,Rango_Admin_DailyPred_Primera,0),0),"-")</f>
        <v>Estados Unidos-Paraguay</v>
      </c>
      <c r="I46" s="412" t="str">
        <f ca="1">IFERROR(VLOOKUP(I$2,Rango_Admin_DailyPred,MATCH($F46,Rango_Admin_DailyPred_Primera,0),0),"-")</f>
        <v>-</v>
      </c>
      <c r="J46" s="412" t="str">
        <f ca="1">IFERROR(VLOOKUP(J$2,Rango_Admin_DailyPred,MATCH($F46,Rango_Admin_DailyPred_Primera,0),0),"-")</f>
        <v>-</v>
      </c>
      <c r="K46" s="412" t="str">
        <f ca="1">IFERROR(VLOOKUP(K$2,Rango_Admin_DailyPred,MATCH($F46,Rango_Admin_DailyPred_Primera,0),0),"-")</f>
        <v>-</v>
      </c>
      <c r="L46" s="412" t="str">
        <f ca="1">IFERROR(VLOOKUP(L$2,Rango_Admin_DailyPred,MATCH($F46,Rango_Admin_DailyPred_Primera,0),0),"-")</f>
        <v>-</v>
      </c>
      <c r="M46" s="412" t="str">
        <f ca="1">IFERROR(VLOOKUP(M$2,Rango_Admin_DailyPred,MATCH($F46,Rango_Admin_DailyPred_Primera,0),0),"-")</f>
        <v>-</v>
      </c>
      <c r="N46" s="412" t="str">
        <f ca="1">IFERROR(VLOOKUP(N$2,Rango_Admin_DailyPred,MATCH($F46,Rango_Admin_DailyPred_Primera,0),0),"-")</f>
        <v>-</v>
      </c>
      <c r="O46" s="412" t="str">
        <f ca="1">IFERROR(VLOOKUP(O$2,Rango_Admin_DailyPred,MATCH($F46,Rango_Admin_DailyPred_Primera,0),0),"-")</f>
        <v>-</v>
      </c>
      <c r="P46" s="412" t="str">
        <f ca="1">IFERROR(VLOOKUP(P$2,Rango_Admin_DailyPred,MATCH($F46,Rango_Admin_DailyPred_Primera,0),0),"-")</f>
        <v>-</v>
      </c>
      <c r="Q46" s="412" t="str">
        <f ca="1">IFERROR(VLOOKUP(Q$2,Rango_Admin_DailyPred,MATCH($F46,Rango_Admin_DailyPred_Primera,0),0),"-")</f>
        <v>-</v>
      </c>
      <c r="R46" s="412" t="str">
        <f ca="1">IFERROR(VLOOKUP(R$2,Rango_Admin_DailyPred,MATCH($F46,Rango_Admin_DailyPred_Primera,0),0),"-")</f>
        <v>-</v>
      </c>
      <c r="S46" s="412" t="str">
        <f ca="1">IFERROR(VLOOKUP(S$2,Rango_Admin_DailyPred,MATCH($F46,Rango_Admin_DailyPred_Primera,0),0),"-")</f>
        <v>-</v>
      </c>
      <c r="T46" s="412" t="str">
        <f ca="1">IFERROR(VLOOKUP(T$2,Rango_Admin_DailyPred,MATCH($F46,Rango_Admin_DailyPred_Primera,0),0),"-")</f>
        <v>-</v>
      </c>
      <c r="U46" s="412" t="str">
        <f ca="1">IFERROR(VLOOKUP(U$2,Rango_Admin_DailyPred,MATCH($F46,Rango_Admin_DailyPred_Primera,0),0),"-")</f>
        <v>-</v>
      </c>
      <c r="V46" s="412" t="str">
        <f ca="1">IFERROR(VLOOKUP(V$2,Rango_Admin_DailyPred,MATCH($F46,Rango_Admin_DailyPred_Primera,0),0),"-")</f>
        <v>-</v>
      </c>
      <c r="W46" s="412" t="str">
        <f ca="1">IFERROR(VLOOKUP(W$2,Rango_Admin_DailyPred,MATCH($F46,Rango_Admin_DailyPred_Primera,0),0),"-")</f>
        <v>-</v>
      </c>
      <c r="X46" s="412" t="str">
        <f ca="1">IFERROR(VLOOKUP(X$2,Rango_Admin_DailyPred,MATCH($F46,Rango_Admin_DailyPred_Primera,0),0),"-")</f>
        <v>-</v>
      </c>
      <c r="Y46" s="412" t="str">
        <f ca="1">IFERROR(VLOOKUP(Y$2,Rango_Admin_DailyPred,MATCH($F46,Rango_Admin_DailyPred_Primera,0),0),"-")</f>
        <v>-</v>
      </c>
      <c r="Z46" s="412" t="str">
        <f ca="1">IFERROR(VLOOKUP(Z$2,Rango_Admin_DailyPred,MATCH($F46,Rango_Admin_DailyPred_Primera,0),0),"-")</f>
        <v>-</v>
      </c>
      <c r="AA46" s="412" t="str">
        <f ca="1">IFERROR(VLOOKUP(AA$2,Rango_Admin_DailyPred,MATCH($F46,Rango_Admin_DailyPred_Primera,0),0),"-")</f>
        <v>-</v>
      </c>
      <c r="AB46" s="412" t="str">
        <f ca="1">IFERROR(VLOOKUP(AB$2,Rango_Admin_DailyPred,MATCH($F46,Rango_Admin_DailyPred_Primera,0),0),"-")</f>
        <v>-</v>
      </c>
      <c r="AC46" s="412" t="str">
        <f ca="1">IFERROR(VLOOKUP(AC$2,Rango_Admin_DailyPred,MATCH($F46,Rango_Admin_DailyPred_Primera,0),0),"-")</f>
        <v>-</v>
      </c>
      <c r="AD46" s="412" t="str">
        <f ca="1">IFERROR(VLOOKUP(AD$2,Rango_Admin_DailyPred,MATCH($F46,Rango_Admin_DailyPred_Primera,0),0),"-")</f>
        <v>-</v>
      </c>
      <c r="AE46" s="412" t="str">
        <f ca="1">IFERROR(VLOOKUP(AE$2,Rango_Admin_DailyPred,MATCH($F46,Rango_Admin_DailyPred_Primera,0),0),"-")</f>
        <v>-</v>
      </c>
      <c r="AF46" s="412" t="str">
        <f ca="1">IFERROR(VLOOKUP(AF$2,Rango_Admin_DailyPred,MATCH($F46,Rango_Admin_DailyPred_Primera,0),0),"-")</f>
        <v>-</v>
      </c>
      <c r="AG46" s="412" t="str">
        <f ca="1">IFERROR(VLOOKUP(AG$2,Rango_Admin_DailyPred,MATCH($F46,Rango_Admin_DailyPred_Primera,0),0),"-")</f>
        <v>-</v>
      </c>
      <c r="AH46" s="412" t="str">
        <f ca="1">IFERROR(VLOOKUP(AH$2,Rango_Admin_DailyPred,MATCH($F46,Rango_Admin_DailyPred_Primera,0),0),"-")</f>
        <v>-</v>
      </c>
      <c r="AI46" s="412" t="str">
        <f ca="1">IFERROR(VLOOKUP(AI$2,Rango_Admin_DailyPred,MATCH($F46,Rango_Admin_DailyPred_Primera,0),0),"-")</f>
        <v>-</v>
      </c>
      <c r="AJ46" s="412" t="str">
        <f ca="1">IFERROR(VLOOKUP(AJ$2,Rango_Admin_DailyPred,MATCH($F46,Rango_Admin_DailyPred_Primera,0),0),"-")</f>
        <v>-</v>
      </c>
      <c r="AK46" s="412" t="str">
        <f ca="1">IFERROR(VLOOKUP(AK$2,Rango_Admin_DailyPred,MATCH($F46,Rango_Admin_DailyPred_Primera,0),0),"-")</f>
        <v>-</v>
      </c>
      <c r="AL46" s="412" t="str">
        <f ca="1">IFERROR(VLOOKUP(AL$2,Rango_Admin_DailyPred,MATCH($F46,Rango_Admin_DailyPred_Primera,0),0),"-")</f>
        <v>-</v>
      </c>
      <c r="AM46" s="287"/>
      <c r="AN46" s="287"/>
      <c r="AO46" s="287"/>
    </row>
    <row r="47" spans="1:41">
      <c r="E47" s="772"/>
      <c r="F47" s="393" t="str" cm="1">
        <f t="array" ref="F47">IFERROR(INDEX(Rango_Admin_DailyPred_Primera,1,E47),"-")</f>
        <v>FASE DE GRUPOS</v>
      </c>
      <c r="G47" s="412" t="str">
        <f ca="1">IFERROR(VLOOKUP(G$2,Rango_Admin_DailyPred,MATCH($F47,Rango_Admin_DailyPred_Primera,0),0),"-")</f>
        <v>Catar-Suiza</v>
      </c>
      <c r="H47" s="412" t="str">
        <f ca="1">IFERROR(VLOOKUP(H$2,Rango_Admin_DailyPred,MATCH($F47,Rango_Admin_DailyPred_Primera,0),0),"-")</f>
        <v>Estados Unidos-Paraguay</v>
      </c>
      <c r="I47" s="412" t="str">
        <f ca="1">IFERROR(VLOOKUP(I$2,Rango_Admin_DailyPred,MATCH($F47,Rango_Admin_DailyPred_Primera,0),0),"-")</f>
        <v>-</v>
      </c>
      <c r="J47" s="412" t="str">
        <f ca="1">IFERROR(VLOOKUP(J$2,Rango_Admin_DailyPred,MATCH($F47,Rango_Admin_DailyPred_Primera,0),0),"-")</f>
        <v>-</v>
      </c>
      <c r="K47" s="412" t="str">
        <f ca="1">IFERROR(VLOOKUP(K$2,Rango_Admin_DailyPred,MATCH($F47,Rango_Admin_DailyPred_Primera,0),0),"-")</f>
        <v>-</v>
      </c>
      <c r="L47" s="412" t="str">
        <f ca="1">IFERROR(VLOOKUP(L$2,Rango_Admin_DailyPred,MATCH($F47,Rango_Admin_DailyPred_Primera,0),0),"-")</f>
        <v>-</v>
      </c>
      <c r="M47" s="412" t="str">
        <f ca="1">IFERROR(VLOOKUP(M$2,Rango_Admin_DailyPred,MATCH($F47,Rango_Admin_DailyPred_Primera,0),0),"-")</f>
        <v>-</v>
      </c>
      <c r="N47" s="412" t="str">
        <f ca="1">IFERROR(VLOOKUP(N$2,Rango_Admin_DailyPred,MATCH($F47,Rango_Admin_DailyPred_Primera,0),0),"-")</f>
        <v>-</v>
      </c>
      <c r="O47" s="412" t="str">
        <f ca="1">IFERROR(VLOOKUP(O$2,Rango_Admin_DailyPred,MATCH($F47,Rango_Admin_DailyPred_Primera,0),0),"-")</f>
        <v>-</v>
      </c>
      <c r="P47" s="412" t="str">
        <f ca="1">IFERROR(VLOOKUP(P$2,Rango_Admin_DailyPred,MATCH($F47,Rango_Admin_DailyPred_Primera,0),0),"-")</f>
        <v>-</v>
      </c>
      <c r="Q47" s="412" t="str">
        <f ca="1">IFERROR(VLOOKUP(Q$2,Rango_Admin_DailyPred,MATCH($F47,Rango_Admin_DailyPred_Primera,0),0),"-")</f>
        <v>-</v>
      </c>
      <c r="R47" s="412" t="str">
        <f ca="1">IFERROR(VLOOKUP(R$2,Rango_Admin_DailyPred,MATCH($F47,Rango_Admin_DailyPred_Primera,0),0),"-")</f>
        <v>-</v>
      </c>
      <c r="S47" s="412" t="str">
        <f ca="1">IFERROR(VLOOKUP(S$2,Rango_Admin_DailyPred,MATCH($F47,Rango_Admin_DailyPred_Primera,0),0),"-")</f>
        <v>-</v>
      </c>
      <c r="T47" s="412" t="str">
        <f ca="1">IFERROR(VLOOKUP(T$2,Rango_Admin_DailyPred,MATCH($F47,Rango_Admin_DailyPred_Primera,0),0),"-")</f>
        <v>-</v>
      </c>
      <c r="U47" s="412" t="str">
        <f ca="1">IFERROR(VLOOKUP(U$2,Rango_Admin_DailyPred,MATCH($F47,Rango_Admin_DailyPred_Primera,0),0),"-")</f>
        <v>-</v>
      </c>
      <c r="V47" s="412" t="str">
        <f ca="1">IFERROR(VLOOKUP(V$2,Rango_Admin_DailyPred,MATCH($F47,Rango_Admin_DailyPred_Primera,0),0),"-")</f>
        <v>-</v>
      </c>
      <c r="W47" s="412" t="str">
        <f ca="1">IFERROR(VLOOKUP(W$2,Rango_Admin_DailyPred,MATCH($F47,Rango_Admin_DailyPred_Primera,0),0),"-")</f>
        <v>-</v>
      </c>
      <c r="X47" s="412" t="str">
        <f ca="1">IFERROR(VLOOKUP(X$2,Rango_Admin_DailyPred,MATCH($F47,Rango_Admin_DailyPred_Primera,0),0),"-")</f>
        <v>-</v>
      </c>
      <c r="Y47" s="412" t="str">
        <f ca="1">IFERROR(VLOOKUP(Y$2,Rango_Admin_DailyPred,MATCH($F47,Rango_Admin_DailyPred_Primera,0),0),"-")</f>
        <v>-</v>
      </c>
      <c r="Z47" s="412" t="str">
        <f ca="1">IFERROR(VLOOKUP(Z$2,Rango_Admin_DailyPred,MATCH($F47,Rango_Admin_DailyPred_Primera,0),0),"-")</f>
        <v>-</v>
      </c>
      <c r="AA47" s="412" t="str">
        <f ca="1">IFERROR(VLOOKUP(AA$2,Rango_Admin_DailyPred,MATCH($F47,Rango_Admin_DailyPred_Primera,0),0),"-")</f>
        <v>-</v>
      </c>
      <c r="AB47" s="412" t="str">
        <f ca="1">IFERROR(VLOOKUP(AB$2,Rango_Admin_DailyPred,MATCH($F47,Rango_Admin_DailyPred_Primera,0),0),"-")</f>
        <v>-</v>
      </c>
      <c r="AC47" s="412" t="str">
        <f ca="1">IFERROR(VLOOKUP(AC$2,Rango_Admin_DailyPred,MATCH($F47,Rango_Admin_DailyPred_Primera,0),0),"-")</f>
        <v>-</v>
      </c>
      <c r="AD47" s="412" t="str">
        <f ca="1">IFERROR(VLOOKUP(AD$2,Rango_Admin_DailyPred,MATCH($F47,Rango_Admin_DailyPred_Primera,0),0),"-")</f>
        <v>-</v>
      </c>
      <c r="AE47" s="412" t="str">
        <f ca="1">IFERROR(VLOOKUP(AE$2,Rango_Admin_DailyPred,MATCH($F47,Rango_Admin_DailyPred_Primera,0),0),"-")</f>
        <v>-</v>
      </c>
      <c r="AF47" s="412" t="str">
        <f ca="1">IFERROR(VLOOKUP(AF$2,Rango_Admin_DailyPred,MATCH($F47,Rango_Admin_DailyPred_Primera,0),0),"-")</f>
        <v>-</v>
      </c>
      <c r="AG47" s="412" t="str">
        <f ca="1">IFERROR(VLOOKUP(AG$2,Rango_Admin_DailyPred,MATCH($F47,Rango_Admin_DailyPred_Primera,0),0),"-")</f>
        <v>-</v>
      </c>
      <c r="AH47" s="412" t="str">
        <f ca="1">IFERROR(VLOOKUP(AH$2,Rango_Admin_DailyPred,MATCH($F47,Rango_Admin_DailyPred_Primera,0),0),"-")</f>
        <v>-</v>
      </c>
      <c r="AI47" s="412" t="str">
        <f ca="1">IFERROR(VLOOKUP(AI$2,Rango_Admin_DailyPred,MATCH($F47,Rango_Admin_DailyPred_Primera,0),0),"-")</f>
        <v>-</v>
      </c>
      <c r="AJ47" s="412" t="str">
        <f ca="1">IFERROR(VLOOKUP(AJ$2,Rango_Admin_DailyPred,MATCH($F47,Rango_Admin_DailyPred_Primera,0),0),"-")</f>
        <v>-</v>
      </c>
      <c r="AK47" s="412" t="str">
        <f ca="1">IFERROR(VLOOKUP(AK$2,Rango_Admin_DailyPred,MATCH($F47,Rango_Admin_DailyPred_Primera,0),0),"-")</f>
        <v>-</v>
      </c>
      <c r="AL47" s="412" t="str">
        <f ca="1">IFERROR(VLOOKUP(AL$2,Rango_Admin_DailyPred,MATCH($F47,Rango_Admin_DailyPred_Primera,0),0),"-")</f>
        <v>-</v>
      </c>
      <c r="AM47" s="287"/>
      <c r="AN47" s="287"/>
      <c r="AO47" s="287"/>
    </row>
  </sheetData>
  <dataValidations count="1">
    <dataValidation type="list" allowBlank="1" showInputMessage="1" showErrorMessage="1" sqref="H1">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F4:AL47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6"/>
  <dimension ref="A1:AN72"/>
  <sheetViews>
    <sheetView workbookViewId="0">
      <selection activeCell="I1" sqref="I1"/>
    </sheetView>
  </sheetViews>
  <sheetFormatPr baseColWidth="10" defaultColWidth="0" defaultRowHeight="15"/>
  <cols>
    <col min="1" max="1" width="23.5703125" style="5" customWidth="1"/>
    <col min="2" max="2" width="22.5703125" style="5" customWidth="1"/>
    <col min="3" max="3" width="13.28515625" style="5" customWidth="1"/>
    <col min="4" max="4" width="13.28515625" style="16"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D1" s="13"/>
      <c r="E1" s="13"/>
      <c r="F1" s="13"/>
      <c r="G1" s="13"/>
      <c r="H1" s="394" t="str">
        <f>Idiomas!D496</f>
        <v>Dia seleccionado en "Daily Prediction"</v>
      </c>
      <c r="I1" s="739">
        <f>DailyPrediction!H1</f>
        <v>46186</v>
      </c>
      <c r="J1" s="287"/>
      <c r="K1" s="15">
        <f ca="1">VLOOKUP($I$1,Equipos!$Q$2:$R$37,2,0)</f>
        <v>3</v>
      </c>
      <c r="L1" s="287"/>
      <c r="M1" s="287"/>
      <c r="N1" s="287"/>
      <c r="O1" s="287"/>
      <c r="P1" s="287"/>
      <c r="Q1" s="287"/>
      <c r="R1" s="287"/>
      <c r="S1" s="287"/>
      <c r="T1" s="287"/>
      <c r="U1" s="287"/>
      <c r="V1" s="287"/>
      <c r="W1" s="287"/>
      <c r="X1" s="287"/>
      <c r="Y1" s="287"/>
      <c r="Z1" s="287"/>
      <c r="AA1" s="287"/>
      <c r="AB1" s="287"/>
      <c r="AC1" s="287"/>
      <c r="AD1" s="287"/>
      <c r="AE1" s="287"/>
      <c r="AF1" s="287"/>
      <c r="AG1" s="287"/>
      <c r="AH1" s="287"/>
      <c r="AI1" s="287"/>
      <c r="AJ1" s="287"/>
      <c r="AK1" s="287"/>
      <c r="AL1" s="287"/>
      <c r="AM1" s="287"/>
      <c r="AN1" s="287"/>
    </row>
    <row r="2" spans="1:40" hidden="1">
      <c r="D2" s="15"/>
      <c r="E2" s="287"/>
      <c r="F2" s="15"/>
      <c r="G2" s="15"/>
      <c r="H2" s="15" t="str" cm="1">
        <f t="array" aca="1" ref="H2:AM2" ca="1">TRANSPOSE($A$4:$A$35)</f>
        <v>Catar-Suiza</v>
      </c>
      <c r="I2" s="15" t="str">
        <f ca="1"/>
        <v>Estados Unidos-Paraguay</v>
      </c>
      <c r="J2" s="15" t="str">
        <f ca="1"/>
        <v/>
      </c>
      <c r="K2" s="15" t="str">
        <f ca="1"/>
        <v/>
      </c>
      <c r="L2" s="15" t="str">
        <f ca="1"/>
        <v/>
      </c>
      <c r="M2" s="15" t="str">
        <f ca="1"/>
        <v/>
      </c>
      <c r="N2" s="15" t="str">
        <f ca="1"/>
        <v/>
      </c>
      <c r="O2" s="15" t="str">
        <f ca="1"/>
        <v/>
      </c>
      <c r="P2" s="15" t="str">
        <f ca="1"/>
        <v/>
      </c>
      <c r="Q2" s="15" t="str">
        <f ca="1"/>
        <v/>
      </c>
      <c r="R2" s="15" t="str">
        <f ca="1"/>
        <v/>
      </c>
      <c r="S2" s="15" t="str">
        <f ca="1"/>
        <v/>
      </c>
      <c r="T2" s="15" t="str">
        <f ca="1"/>
        <v/>
      </c>
      <c r="U2" s="15" t="str">
        <f ca="1"/>
        <v/>
      </c>
      <c r="V2" s="15" t="str">
        <f ca="1"/>
        <v/>
      </c>
      <c r="W2" s="15" t="str">
        <f ca="1"/>
        <v/>
      </c>
      <c r="X2" s="15" t="str">
        <f ca="1"/>
        <v/>
      </c>
      <c r="Y2" s="15" t="str">
        <f ca="1"/>
        <v/>
      </c>
      <c r="Z2" s="15" t="str">
        <f ca="1"/>
        <v/>
      </c>
      <c r="AA2" s="15" t="str">
        <f ca="1"/>
        <v/>
      </c>
      <c r="AB2" s="15" t="str">
        <f ca="1"/>
        <v/>
      </c>
      <c r="AC2" s="15" t="str">
        <f ca="1"/>
        <v/>
      </c>
      <c r="AD2" s="15" t="str">
        <f ca="1"/>
        <v/>
      </c>
      <c r="AE2" s="15" t="str">
        <f ca="1"/>
        <v/>
      </c>
      <c r="AF2" s="15" t="str">
        <f ca="1"/>
        <v/>
      </c>
      <c r="AG2" s="15" t="str">
        <f ca="1"/>
        <v/>
      </c>
      <c r="AH2" s="15" t="str">
        <f ca="1"/>
        <v/>
      </c>
      <c r="AI2" s="15" t="str">
        <f ca="1"/>
        <v/>
      </c>
      <c r="AJ2" s="15" t="str">
        <f ca="1"/>
        <v/>
      </c>
      <c r="AK2" s="15" t="str">
        <f ca="1"/>
        <v/>
      </c>
      <c r="AL2" s="15" t="str">
        <f ca="1"/>
        <v/>
      </c>
      <c r="AM2" s="15" t="str">
        <f ca="1"/>
        <v/>
      </c>
      <c r="AN2" s="287"/>
    </row>
    <row r="3" spans="1:40" ht="50.1" customHeight="1" thickBot="1">
      <c r="D3" s="15"/>
      <c r="E3" s="429" t="str">
        <f>Idiomas!D479</f>
        <v>Pos</v>
      </c>
      <c r="F3" s="429" t="str">
        <f>Idiomas!D480</f>
        <v>Nombre</v>
      </c>
      <c r="G3" s="429" t="str">
        <f>Idiomas!D481</f>
        <v>Puntos Día / Eliminatoria</v>
      </c>
      <c r="H3" s="429" t="str" cm="1">
        <f t="array" aca="1" ref="H3:AM3" ca="1">TRANSPOSE($B$4:$B$35)</f>
        <v>Catar-Suiza
 (-)</v>
      </c>
      <c r="I3" s="429" t="str">
        <f ca="1"/>
        <v>Estados Unidos-Paraguay
 (-)</v>
      </c>
      <c r="J3" s="429" t="str">
        <f ca="1"/>
        <v/>
      </c>
      <c r="K3" s="429" t="str">
        <f ca="1"/>
        <v/>
      </c>
      <c r="L3" s="429" t="str">
        <f ca="1"/>
        <v/>
      </c>
      <c r="M3" s="429" t="str">
        <f ca="1"/>
        <v/>
      </c>
      <c r="N3" s="429" t="str">
        <f ca="1"/>
        <v/>
      </c>
      <c r="O3" s="429" t="str">
        <f ca="1"/>
        <v/>
      </c>
      <c r="P3" s="429" t="str">
        <f ca="1"/>
        <v/>
      </c>
      <c r="Q3" s="429" t="str">
        <f ca="1"/>
        <v/>
      </c>
      <c r="R3" s="429" t="str">
        <f ca="1"/>
        <v/>
      </c>
      <c r="S3" s="429" t="str">
        <f ca="1"/>
        <v/>
      </c>
      <c r="T3" s="429" t="str">
        <f ca="1"/>
        <v/>
      </c>
      <c r="U3" s="429" t="str">
        <f ca="1"/>
        <v/>
      </c>
      <c r="V3" s="429" t="str">
        <f ca="1"/>
        <v/>
      </c>
      <c r="W3" s="429" t="str">
        <f ca="1"/>
        <v/>
      </c>
      <c r="X3" s="429" t="str">
        <f ca="1"/>
        <v/>
      </c>
      <c r="Y3" s="429" t="str">
        <f ca="1"/>
        <v/>
      </c>
      <c r="Z3" s="429" t="str">
        <f ca="1"/>
        <v/>
      </c>
      <c r="AA3" s="429" t="str">
        <f ca="1"/>
        <v/>
      </c>
      <c r="AB3" s="429" t="str">
        <f ca="1"/>
        <v/>
      </c>
      <c r="AC3" s="429" t="str">
        <f ca="1"/>
        <v/>
      </c>
      <c r="AD3" s="429" t="str">
        <f ca="1"/>
        <v/>
      </c>
      <c r="AE3" s="429" t="str">
        <f ca="1"/>
        <v/>
      </c>
      <c r="AF3" s="429" t="str">
        <f ca="1"/>
        <v/>
      </c>
      <c r="AG3" s="429" t="str">
        <f ca="1"/>
        <v/>
      </c>
      <c r="AH3" s="429" t="str">
        <f ca="1"/>
        <v/>
      </c>
      <c r="AI3" s="429" t="str">
        <f ca="1"/>
        <v/>
      </c>
      <c r="AJ3" s="429" t="str">
        <f ca="1"/>
        <v/>
      </c>
      <c r="AK3" s="429" t="str">
        <f ca="1"/>
        <v/>
      </c>
      <c r="AL3" s="429" t="str">
        <f ca="1"/>
        <v/>
      </c>
      <c r="AM3" s="429" t="str">
        <f ca="1"/>
        <v/>
      </c>
      <c r="AN3" s="287"/>
    </row>
    <row r="4" spans="1:40" ht="15.75" thickTop="1">
      <c r="A4" s="5" t="str" cm="1">
        <f t="array" aca="1" ref="A4" ca="1">IFERROR(INDEX(ADMIN!$K$6:$K$258,SMALL(IF(ADMIN!$G$6:$G$258=$K$1,ROW(ADMIN!$G$6:$G$258)-ROW(ADMIN!$G$6)+1),ROWS($A$1:A1))),"")</f>
        <v>Catar-Suiza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Catar-Suiza
 (-)</v>
      </c>
      <c r="C4" s="5">
        <v>1</v>
      </c>
      <c r="D4" s="82"/>
      <c r="E4" s="395">
        <f ca="1">IFERROR(HLOOKUP(C4,Rango_Admin_DailyClas,3,FALSE),"-")</f>
        <v>1</v>
      </c>
      <c r="F4" s="428" t="str">
        <f ca="1">IFERROR(HLOOKUP(C4,Rango_Admin_DailyClas,5,FALSE),"-")</f>
        <v>GORKA</v>
      </c>
      <c r="G4" s="18">
        <f ca="1">IFERROR(HLOOKUP(C4,Rango_Admin_DailyClas,4,FALSE),"-")</f>
        <v>0</v>
      </c>
      <c r="H4" s="412">
        <f ca="1">IFERROR(VLOOKUP(H$2,Rango_Admin_DailyPred,MATCH($F4,Rango_Admin_DailyPred_Primera,0)+1,0),"-")</f>
        <v>0</v>
      </c>
      <c r="I4" s="412">
        <f ca="1">IFERROR(VLOOKUP(I$2,Rango_Admin_DailyPred,MATCH($F4,Rango_Admin_DailyPred_Primera,0)+1,0),"-")</f>
        <v>0</v>
      </c>
      <c r="J4" s="412" t="str">
        <f ca="1">IFERROR(VLOOKUP(J$2,Rango_Admin_DailyPred,MATCH($F4,Rango_Admin_DailyPred_Primera,0)+1,0),"-")</f>
        <v>-</v>
      </c>
      <c r="K4" s="412" t="str">
        <f ca="1">IFERROR(VLOOKUP(K$2,Rango_Admin_DailyPred,MATCH($F4,Rango_Admin_DailyPred_Primera,0)+1,0),"-")</f>
        <v>-</v>
      </c>
      <c r="L4" s="412" t="str">
        <f ca="1">IFERROR(VLOOKUP(L$2,Rango_Admin_DailyPred,MATCH($F4,Rango_Admin_DailyPred_Primera,0)+1,0),"-")</f>
        <v>-</v>
      </c>
      <c r="M4" s="412" t="str">
        <f ca="1">IFERROR(VLOOKUP(M$2,Rango_Admin_DailyPred,MATCH($F4,Rango_Admin_DailyPred_Primera,0)+1,0),"-")</f>
        <v>-</v>
      </c>
      <c r="N4" s="412" t="str">
        <f ca="1">IFERROR(VLOOKUP(N$2,Rango_Admin_DailyPred,MATCH($F4,Rango_Admin_DailyPred_Primera,0)+1,0),"-")</f>
        <v>-</v>
      </c>
      <c r="O4" s="412" t="str">
        <f ca="1">IFERROR(VLOOKUP(O$2,Rango_Admin_DailyPred,MATCH($F4,Rango_Admin_DailyPred_Primera,0)+1,0),"-")</f>
        <v>-</v>
      </c>
      <c r="P4" s="412" t="str">
        <f ca="1">IFERROR(VLOOKUP(P$2,Rango_Admin_DailyPred,MATCH($F4,Rango_Admin_DailyPred_Primera,0)+1,0),"-")</f>
        <v>-</v>
      </c>
      <c r="Q4" s="412" t="str">
        <f ca="1">IFERROR(VLOOKUP(Q$2,Rango_Admin_DailyPred,MATCH($F4,Rango_Admin_DailyPred_Primera,0)+1,0),"-")</f>
        <v>-</v>
      </c>
      <c r="R4" s="412" t="str">
        <f ca="1">IFERROR(VLOOKUP(R$2,Rango_Admin_DailyPred,MATCH($F4,Rango_Admin_DailyPred_Primera,0)+1,0),"-")</f>
        <v>-</v>
      </c>
      <c r="S4" s="412" t="str">
        <f ca="1">IFERROR(VLOOKUP(S$2,Rango_Admin_DailyPred,MATCH($F4,Rango_Admin_DailyPred_Primera,0)+1,0),"-")</f>
        <v>-</v>
      </c>
      <c r="T4" s="412" t="str">
        <f ca="1">IFERROR(VLOOKUP(T$2,Rango_Admin_DailyPred,MATCH($F4,Rango_Admin_DailyPred_Primera,0)+1,0),"-")</f>
        <v>-</v>
      </c>
      <c r="U4" s="412" t="str">
        <f ca="1">IFERROR(VLOOKUP(U$2,Rango_Admin_DailyPred,MATCH($F4,Rango_Admin_DailyPred_Primera,0)+1,0),"-")</f>
        <v>-</v>
      </c>
      <c r="V4" s="412" t="str">
        <f ca="1">IFERROR(VLOOKUP(V$2,Rango_Admin_DailyPred,MATCH($F4,Rango_Admin_DailyPred_Primera,0)+1,0),"-")</f>
        <v>-</v>
      </c>
      <c r="W4" s="412" t="str">
        <f ca="1">IFERROR(VLOOKUP(W$2,Rango_Admin_DailyPred,MATCH($F4,Rango_Admin_DailyPred_Primera,0)+1,0),"-")</f>
        <v>-</v>
      </c>
      <c r="X4" s="412" t="str">
        <f ca="1">IFERROR(VLOOKUP(X$2,Rango_Admin_DailyPred,MATCH($F4,Rango_Admin_DailyPred_Primera,0)+1,0),"-")</f>
        <v>-</v>
      </c>
      <c r="Y4" s="412" t="str">
        <f ca="1">IFERROR(VLOOKUP(Y$2,Rango_Admin_DailyPred,MATCH($F4,Rango_Admin_DailyPred_Primera,0)+1,0),"-")</f>
        <v>-</v>
      </c>
      <c r="Z4" s="412" t="str">
        <f ca="1">IFERROR(VLOOKUP(Z$2,Rango_Admin_DailyPred,MATCH($F4,Rango_Admin_DailyPred_Primera,0)+1,0),"-")</f>
        <v>-</v>
      </c>
      <c r="AA4" s="412" t="str">
        <f ca="1">IFERROR(VLOOKUP(AA$2,Rango_Admin_DailyPred,MATCH($F4,Rango_Admin_DailyPred_Primera,0)+1,0),"-")</f>
        <v>-</v>
      </c>
      <c r="AB4" s="412" t="str">
        <f ca="1">IFERROR(VLOOKUP(AB$2,Rango_Admin_DailyPred,MATCH($F4,Rango_Admin_DailyPred_Primera,0)+1,0),"-")</f>
        <v>-</v>
      </c>
      <c r="AC4" s="412" t="str">
        <f ca="1">IFERROR(VLOOKUP(AC$2,Rango_Admin_DailyPred,MATCH($F4,Rango_Admin_DailyPred_Primera,0)+1,0),"-")</f>
        <v>-</v>
      </c>
      <c r="AD4" s="412" t="str">
        <f ca="1">IFERROR(VLOOKUP(AD$2,Rango_Admin_DailyPred,MATCH($F4,Rango_Admin_DailyPred_Primera,0)+1,0),"-")</f>
        <v>-</v>
      </c>
      <c r="AE4" s="412" t="str">
        <f ca="1">IFERROR(VLOOKUP(AE$2,Rango_Admin_DailyPred,MATCH($F4,Rango_Admin_DailyPred_Primera,0)+1,0),"-")</f>
        <v>-</v>
      </c>
      <c r="AF4" s="412" t="str">
        <f ca="1">IFERROR(VLOOKUP(AF$2,Rango_Admin_DailyPred,MATCH($F4,Rango_Admin_DailyPred_Primera,0)+1,0),"-")</f>
        <v>-</v>
      </c>
      <c r="AG4" s="412" t="str">
        <f ca="1">IFERROR(VLOOKUP(AG$2,Rango_Admin_DailyPred,MATCH($F4,Rango_Admin_DailyPred_Primera,0)+1,0),"-")</f>
        <v>-</v>
      </c>
      <c r="AH4" s="412" t="str">
        <f ca="1">IFERROR(VLOOKUP(AH$2,Rango_Admin_DailyPred,MATCH($F4,Rango_Admin_DailyPred_Primera,0)+1,0),"-")</f>
        <v>-</v>
      </c>
      <c r="AI4" s="412" t="str">
        <f ca="1">IFERROR(VLOOKUP(AI$2,Rango_Admin_DailyPred,MATCH($F4,Rango_Admin_DailyPred_Primera,0)+1,0),"-")</f>
        <v>-</v>
      </c>
      <c r="AJ4" s="412" t="str">
        <f ca="1">IFERROR(VLOOKUP(AJ$2,Rango_Admin_DailyPred,MATCH($F4,Rango_Admin_DailyPred_Primera,0)+1,0),"-")</f>
        <v>-</v>
      </c>
      <c r="AK4" s="412" t="str">
        <f ca="1">IFERROR(VLOOKUP(AK$2,Rango_Admin_DailyPred,MATCH($F4,Rango_Admin_DailyPred_Primera,0)+1,0),"-")</f>
        <v>-</v>
      </c>
      <c r="AL4" s="412" t="str">
        <f ca="1">IFERROR(VLOOKUP(AL$2,Rango_Admin_DailyPred,MATCH($F4,Rango_Admin_DailyPred_Primera,0)+1,0),"-")</f>
        <v>-</v>
      </c>
      <c r="AM4" s="412" t="str">
        <f ca="1">IFERROR(VLOOKUP(AM$2,Rango_Admin_DailyPred,MATCH($F4,Rango_Admin_DailyPred_Primera,0)+1,0),"-")</f>
        <v>-</v>
      </c>
      <c r="AN4" s="287"/>
    </row>
    <row r="5" spans="1:40">
      <c r="A5" s="5" t="str" cm="1">
        <f t="array" aca="1" ref="A5" ca="1">IFERROR(INDEX(ADMIN!$K$6:$K$258,SMALL(IF(ADMIN!$G$6:$G$258=$K$1,ROW(ADMIN!$G$6:$G$258)-ROW(ADMIN!$G$6)+1),ROWS($A$1:A2))),"")</f>
        <v>Estados Unidos-Paraguay</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Estados Unidos-Paraguay
 (-)</v>
      </c>
      <c r="C5" s="5">
        <v>2</v>
      </c>
      <c r="D5" s="82"/>
      <c r="E5" s="395">
        <f ca="1">IFERROR(HLOOKUP(C5,Rango_Admin_DailyClas,3,FALSE),"-")</f>
        <v>1</v>
      </c>
      <c r="F5" s="428" t="str">
        <f ca="1">IFERROR(HLOOKUP(C5,Rango_Admin_DailyClas,5,FALSE),"-")</f>
        <v>NOVE</v>
      </c>
      <c r="G5" s="18">
        <f ca="1">IFERROR(HLOOKUP(C5,Rango_Admin_DailyClas,4,FALSE),"-")</f>
        <v>0</v>
      </c>
      <c r="H5" s="412">
        <f ca="1">IFERROR(VLOOKUP(H$2,Rango_Admin_DailyPred,MATCH($F5,Rango_Admin_DailyPred_Primera,0)+1,0),"-")</f>
        <v>0</v>
      </c>
      <c r="I5" s="412">
        <f ca="1">IFERROR(VLOOKUP(I$2,Rango_Admin_DailyPred,MATCH($F5,Rango_Admin_DailyPred_Primera,0)+1,0),"-")</f>
        <v>0</v>
      </c>
      <c r="J5" s="412" t="str">
        <f ca="1">IFERROR(VLOOKUP(J$2,Rango_Admin_DailyPred,MATCH($F5,Rango_Admin_DailyPred_Primera,0)+1,0),"-")</f>
        <v>-</v>
      </c>
      <c r="K5" s="412" t="str">
        <f ca="1">IFERROR(VLOOKUP(K$2,Rango_Admin_DailyPred,MATCH($F5,Rango_Admin_DailyPred_Primera,0)+1,0),"-")</f>
        <v>-</v>
      </c>
      <c r="L5" s="412" t="str">
        <f ca="1">IFERROR(VLOOKUP(L$2,Rango_Admin_DailyPred,MATCH($F5,Rango_Admin_DailyPred_Primera,0)+1,0),"-")</f>
        <v>-</v>
      </c>
      <c r="M5" s="412" t="str">
        <f ca="1">IFERROR(VLOOKUP(M$2,Rango_Admin_DailyPred,MATCH($F5,Rango_Admin_DailyPred_Primera,0)+1,0),"-")</f>
        <v>-</v>
      </c>
      <c r="N5" s="412" t="str">
        <f ca="1">IFERROR(VLOOKUP(N$2,Rango_Admin_DailyPred,MATCH($F5,Rango_Admin_DailyPred_Primera,0)+1,0),"-")</f>
        <v>-</v>
      </c>
      <c r="O5" s="412" t="str">
        <f ca="1">IFERROR(VLOOKUP(O$2,Rango_Admin_DailyPred,MATCH($F5,Rango_Admin_DailyPred_Primera,0)+1,0),"-")</f>
        <v>-</v>
      </c>
      <c r="P5" s="412" t="str">
        <f ca="1">IFERROR(VLOOKUP(P$2,Rango_Admin_DailyPred,MATCH($F5,Rango_Admin_DailyPred_Primera,0)+1,0),"-")</f>
        <v>-</v>
      </c>
      <c r="Q5" s="412" t="str">
        <f ca="1">IFERROR(VLOOKUP(Q$2,Rango_Admin_DailyPred,MATCH($F5,Rango_Admin_DailyPred_Primera,0)+1,0),"-")</f>
        <v>-</v>
      </c>
      <c r="R5" s="412" t="str">
        <f ca="1">IFERROR(VLOOKUP(R$2,Rango_Admin_DailyPred,MATCH($F5,Rango_Admin_DailyPred_Primera,0)+1,0),"-")</f>
        <v>-</v>
      </c>
      <c r="S5" s="412" t="str">
        <f ca="1">IFERROR(VLOOKUP(S$2,Rango_Admin_DailyPred,MATCH($F5,Rango_Admin_DailyPred_Primera,0)+1,0),"-")</f>
        <v>-</v>
      </c>
      <c r="T5" s="412" t="str">
        <f ca="1">IFERROR(VLOOKUP(T$2,Rango_Admin_DailyPred,MATCH($F5,Rango_Admin_DailyPred_Primera,0)+1,0),"-")</f>
        <v>-</v>
      </c>
      <c r="U5" s="412" t="str">
        <f ca="1">IFERROR(VLOOKUP(U$2,Rango_Admin_DailyPred,MATCH($F5,Rango_Admin_DailyPred_Primera,0)+1,0),"-")</f>
        <v>-</v>
      </c>
      <c r="V5" s="412" t="str">
        <f ca="1">IFERROR(VLOOKUP(V$2,Rango_Admin_DailyPred,MATCH($F5,Rango_Admin_DailyPred_Primera,0)+1,0),"-")</f>
        <v>-</v>
      </c>
      <c r="W5" s="412" t="str">
        <f ca="1">IFERROR(VLOOKUP(W$2,Rango_Admin_DailyPred,MATCH($F5,Rango_Admin_DailyPred_Primera,0)+1,0),"-")</f>
        <v>-</v>
      </c>
      <c r="X5" s="412" t="str">
        <f ca="1">IFERROR(VLOOKUP(X$2,Rango_Admin_DailyPred,MATCH($F5,Rango_Admin_DailyPred_Primera,0)+1,0),"-")</f>
        <v>-</v>
      </c>
      <c r="Y5" s="412" t="str">
        <f ca="1">IFERROR(VLOOKUP(Y$2,Rango_Admin_DailyPred,MATCH($F5,Rango_Admin_DailyPred_Primera,0)+1,0),"-")</f>
        <v>-</v>
      </c>
      <c r="Z5" s="412" t="str">
        <f ca="1">IFERROR(VLOOKUP(Z$2,Rango_Admin_DailyPred,MATCH($F5,Rango_Admin_DailyPred_Primera,0)+1,0),"-")</f>
        <v>-</v>
      </c>
      <c r="AA5" s="412" t="str">
        <f ca="1">IFERROR(VLOOKUP(AA$2,Rango_Admin_DailyPred,MATCH($F5,Rango_Admin_DailyPred_Primera,0)+1,0),"-")</f>
        <v>-</v>
      </c>
      <c r="AB5" s="412" t="str">
        <f ca="1">IFERROR(VLOOKUP(AB$2,Rango_Admin_DailyPred,MATCH($F5,Rango_Admin_DailyPred_Primera,0)+1,0),"-")</f>
        <v>-</v>
      </c>
      <c r="AC5" s="412" t="str">
        <f ca="1">IFERROR(VLOOKUP(AC$2,Rango_Admin_DailyPred,MATCH($F5,Rango_Admin_DailyPred_Primera,0)+1,0),"-")</f>
        <v>-</v>
      </c>
      <c r="AD5" s="412" t="str">
        <f ca="1">IFERROR(VLOOKUP(AD$2,Rango_Admin_DailyPred,MATCH($F5,Rango_Admin_DailyPred_Primera,0)+1,0),"-")</f>
        <v>-</v>
      </c>
      <c r="AE5" s="412" t="str">
        <f ca="1">IFERROR(VLOOKUP(AE$2,Rango_Admin_DailyPred,MATCH($F5,Rango_Admin_DailyPred_Primera,0)+1,0),"-")</f>
        <v>-</v>
      </c>
      <c r="AF5" s="412" t="str">
        <f ca="1">IFERROR(VLOOKUP(AF$2,Rango_Admin_DailyPred,MATCH($F5,Rango_Admin_DailyPred_Primera,0)+1,0),"-")</f>
        <v>-</v>
      </c>
      <c r="AG5" s="412" t="str">
        <f ca="1">IFERROR(VLOOKUP(AG$2,Rango_Admin_DailyPred,MATCH($F5,Rango_Admin_DailyPred_Primera,0)+1,0),"-")</f>
        <v>-</v>
      </c>
      <c r="AH5" s="412" t="str">
        <f ca="1">IFERROR(VLOOKUP(AH$2,Rango_Admin_DailyPred,MATCH($F5,Rango_Admin_DailyPred_Primera,0)+1,0),"-")</f>
        <v>-</v>
      </c>
      <c r="AI5" s="412" t="str">
        <f ca="1">IFERROR(VLOOKUP(AI$2,Rango_Admin_DailyPred,MATCH($F5,Rango_Admin_DailyPred_Primera,0)+1,0),"-")</f>
        <v>-</v>
      </c>
      <c r="AJ5" s="412" t="str">
        <f ca="1">IFERROR(VLOOKUP(AJ$2,Rango_Admin_DailyPred,MATCH($F5,Rango_Admin_DailyPred_Primera,0)+1,0),"-")</f>
        <v>-</v>
      </c>
      <c r="AK5" s="412" t="str">
        <f ca="1">IFERROR(VLOOKUP(AK$2,Rango_Admin_DailyPred,MATCH($F5,Rango_Admin_DailyPred_Primera,0)+1,0),"-")</f>
        <v>-</v>
      </c>
      <c r="AL5" s="412" t="str">
        <f ca="1">IFERROR(VLOOKUP(AL$2,Rango_Admin_DailyPred,MATCH($F5,Rango_Admin_DailyPred_Primera,0)+1,0),"-")</f>
        <v>-</v>
      </c>
      <c r="AM5" s="412" t="str">
        <f ca="1">IFERROR(VLOOKUP(AM$2,Rango_Admin_DailyPred,MATCH($F5,Rango_Admin_DailyPred_Primera,0)+1,0),"-")</f>
        <v>-</v>
      </c>
      <c r="AN5" s="287"/>
    </row>
    <row r="6" spans="1:40">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82"/>
      <c r="E6" s="395">
        <f ca="1">IFERROR(HLOOKUP(C6,Rango_Admin_DailyClas,3,FALSE),"-")</f>
        <v>1</v>
      </c>
      <c r="F6" s="428" t="str">
        <f ca="1">IFERROR(HLOOKUP(C6,Rango_Admin_DailyClas,5,FALSE),"-")</f>
        <v>SERGIO</v>
      </c>
      <c r="G6" s="18">
        <f ca="1">IFERROR(HLOOKUP(C6,Rango_Admin_DailyClas,4,FALSE),"-")</f>
        <v>0</v>
      </c>
      <c r="H6" s="412">
        <f ca="1">IFERROR(VLOOKUP(H$2,Rango_Admin_DailyPred,MATCH($F6,Rango_Admin_DailyPred_Primera,0)+1,0),"-")</f>
        <v>0</v>
      </c>
      <c r="I6" s="412">
        <f ca="1">IFERROR(VLOOKUP(I$2,Rango_Admin_DailyPred,MATCH($F6,Rango_Admin_DailyPred_Primera,0)+1,0),"-")</f>
        <v>0</v>
      </c>
      <c r="J6" s="412" t="str">
        <f ca="1">IFERROR(VLOOKUP(J$2,Rango_Admin_DailyPred,MATCH($F6,Rango_Admin_DailyPred_Primera,0)+1,0),"-")</f>
        <v>-</v>
      </c>
      <c r="K6" s="412" t="str">
        <f ca="1">IFERROR(VLOOKUP(K$2,Rango_Admin_DailyPred,MATCH($F6,Rango_Admin_DailyPred_Primera,0)+1,0),"-")</f>
        <v>-</v>
      </c>
      <c r="L6" s="412" t="str">
        <f ca="1">IFERROR(VLOOKUP(L$2,Rango_Admin_DailyPred,MATCH($F6,Rango_Admin_DailyPred_Primera,0)+1,0),"-")</f>
        <v>-</v>
      </c>
      <c r="M6" s="412" t="str">
        <f ca="1">IFERROR(VLOOKUP(M$2,Rango_Admin_DailyPred,MATCH($F6,Rango_Admin_DailyPred_Primera,0)+1,0),"-")</f>
        <v>-</v>
      </c>
      <c r="N6" s="412" t="str">
        <f ca="1">IFERROR(VLOOKUP(N$2,Rango_Admin_DailyPred,MATCH($F6,Rango_Admin_DailyPred_Primera,0)+1,0),"-")</f>
        <v>-</v>
      </c>
      <c r="O6" s="412" t="str">
        <f ca="1">IFERROR(VLOOKUP(O$2,Rango_Admin_DailyPred,MATCH($F6,Rango_Admin_DailyPred_Primera,0)+1,0),"-")</f>
        <v>-</v>
      </c>
      <c r="P6" s="412" t="str">
        <f ca="1">IFERROR(VLOOKUP(P$2,Rango_Admin_DailyPred,MATCH($F6,Rango_Admin_DailyPred_Primera,0)+1,0),"-")</f>
        <v>-</v>
      </c>
      <c r="Q6" s="412" t="str">
        <f ca="1">IFERROR(VLOOKUP(Q$2,Rango_Admin_DailyPred,MATCH($F6,Rango_Admin_DailyPred_Primera,0)+1,0),"-")</f>
        <v>-</v>
      </c>
      <c r="R6" s="412" t="str">
        <f ca="1">IFERROR(VLOOKUP(R$2,Rango_Admin_DailyPred,MATCH($F6,Rango_Admin_DailyPred_Primera,0)+1,0),"-")</f>
        <v>-</v>
      </c>
      <c r="S6" s="412" t="str">
        <f ca="1">IFERROR(VLOOKUP(S$2,Rango_Admin_DailyPred,MATCH($F6,Rango_Admin_DailyPred_Primera,0)+1,0),"-")</f>
        <v>-</v>
      </c>
      <c r="T6" s="412" t="str">
        <f ca="1">IFERROR(VLOOKUP(T$2,Rango_Admin_DailyPred,MATCH($F6,Rango_Admin_DailyPred_Primera,0)+1,0),"-")</f>
        <v>-</v>
      </c>
      <c r="U6" s="412" t="str">
        <f ca="1">IFERROR(VLOOKUP(U$2,Rango_Admin_DailyPred,MATCH($F6,Rango_Admin_DailyPred_Primera,0)+1,0),"-")</f>
        <v>-</v>
      </c>
      <c r="V6" s="412" t="str">
        <f ca="1">IFERROR(VLOOKUP(V$2,Rango_Admin_DailyPred,MATCH($F6,Rango_Admin_DailyPred_Primera,0)+1,0),"-")</f>
        <v>-</v>
      </c>
      <c r="W6" s="412" t="str">
        <f ca="1">IFERROR(VLOOKUP(W$2,Rango_Admin_DailyPred,MATCH($F6,Rango_Admin_DailyPred_Primera,0)+1,0),"-")</f>
        <v>-</v>
      </c>
      <c r="X6" s="412" t="str">
        <f ca="1">IFERROR(VLOOKUP(X$2,Rango_Admin_DailyPred,MATCH($F6,Rango_Admin_DailyPred_Primera,0)+1,0),"-")</f>
        <v>-</v>
      </c>
      <c r="Y6" s="412" t="str">
        <f ca="1">IFERROR(VLOOKUP(Y$2,Rango_Admin_DailyPred,MATCH($F6,Rango_Admin_DailyPred_Primera,0)+1,0),"-")</f>
        <v>-</v>
      </c>
      <c r="Z6" s="412" t="str">
        <f ca="1">IFERROR(VLOOKUP(Z$2,Rango_Admin_DailyPred,MATCH($F6,Rango_Admin_DailyPred_Primera,0)+1,0),"-")</f>
        <v>-</v>
      </c>
      <c r="AA6" s="412" t="str">
        <f ca="1">IFERROR(VLOOKUP(AA$2,Rango_Admin_DailyPred,MATCH($F6,Rango_Admin_DailyPred_Primera,0)+1,0),"-")</f>
        <v>-</v>
      </c>
      <c r="AB6" s="412" t="str">
        <f ca="1">IFERROR(VLOOKUP(AB$2,Rango_Admin_DailyPred,MATCH($F6,Rango_Admin_DailyPred_Primera,0)+1,0),"-")</f>
        <v>-</v>
      </c>
      <c r="AC6" s="412" t="str">
        <f ca="1">IFERROR(VLOOKUP(AC$2,Rango_Admin_DailyPred,MATCH($F6,Rango_Admin_DailyPred_Primera,0)+1,0),"-")</f>
        <v>-</v>
      </c>
      <c r="AD6" s="412" t="str">
        <f ca="1">IFERROR(VLOOKUP(AD$2,Rango_Admin_DailyPred,MATCH($F6,Rango_Admin_DailyPred_Primera,0)+1,0),"-")</f>
        <v>-</v>
      </c>
      <c r="AE6" s="412" t="str">
        <f ca="1">IFERROR(VLOOKUP(AE$2,Rango_Admin_DailyPred,MATCH($F6,Rango_Admin_DailyPred_Primera,0)+1,0),"-")</f>
        <v>-</v>
      </c>
      <c r="AF6" s="412" t="str">
        <f ca="1">IFERROR(VLOOKUP(AF$2,Rango_Admin_DailyPred,MATCH($F6,Rango_Admin_DailyPred_Primera,0)+1,0),"-")</f>
        <v>-</v>
      </c>
      <c r="AG6" s="412" t="str">
        <f ca="1">IFERROR(VLOOKUP(AG$2,Rango_Admin_DailyPred,MATCH($F6,Rango_Admin_DailyPred_Primera,0)+1,0),"-")</f>
        <v>-</v>
      </c>
      <c r="AH6" s="412" t="str">
        <f ca="1">IFERROR(VLOOKUP(AH$2,Rango_Admin_DailyPred,MATCH($F6,Rango_Admin_DailyPred_Primera,0)+1,0),"-")</f>
        <v>-</v>
      </c>
      <c r="AI6" s="412" t="str">
        <f ca="1">IFERROR(VLOOKUP(AI$2,Rango_Admin_DailyPred,MATCH($F6,Rango_Admin_DailyPred_Primera,0)+1,0),"-")</f>
        <v>-</v>
      </c>
      <c r="AJ6" s="412" t="str">
        <f ca="1">IFERROR(VLOOKUP(AJ$2,Rango_Admin_DailyPred,MATCH($F6,Rango_Admin_DailyPred_Primera,0)+1,0),"-")</f>
        <v>-</v>
      </c>
      <c r="AK6" s="412" t="str">
        <f ca="1">IFERROR(VLOOKUP(AK$2,Rango_Admin_DailyPred,MATCH($F6,Rango_Admin_DailyPred_Primera,0)+1,0),"-")</f>
        <v>-</v>
      </c>
      <c r="AL6" s="412" t="str">
        <f ca="1">IFERROR(VLOOKUP(AL$2,Rango_Admin_DailyPred,MATCH($F6,Rango_Admin_DailyPred_Primera,0)+1,0),"-")</f>
        <v>-</v>
      </c>
      <c r="AM6" s="412" t="str">
        <f ca="1">IFERROR(VLOOKUP(AM$2,Rango_Admin_DailyPred,MATCH($F6,Rango_Admin_DailyPred_Primera,0)+1,0),"-")</f>
        <v>-</v>
      </c>
      <c r="AN6" s="287"/>
    </row>
    <row r="7" spans="1:40">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82"/>
      <c r="E7" s="395">
        <f ca="1">IFERROR(HLOOKUP(C7,Rango_Admin_DailyClas,3,FALSE),"-")</f>
        <v>1</v>
      </c>
      <c r="F7" s="428" t="str">
        <f ca="1">IFERROR(HLOOKUP(C7,Rango_Admin_DailyClas,5,FALSE),"-")</f>
        <v>JUANJO</v>
      </c>
      <c r="G7" s="18">
        <f ca="1">IFERROR(HLOOKUP(C7,Rango_Admin_DailyClas,4,FALSE),"-")</f>
        <v>0</v>
      </c>
      <c r="H7" s="412">
        <f ca="1">IFERROR(VLOOKUP(H$2,Rango_Admin_DailyPred,MATCH($F7,Rango_Admin_DailyPred_Primera,0)+1,0),"-")</f>
        <v>0</v>
      </c>
      <c r="I7" s="412">
        <f ca="1">IFERROR(VLOOKUP(I$2,Rango_Admin_DailyPred,MATCH($F7,Rango_Admin_DailyPred_Primera,0)+1,0),"-")</f>
        <v>0</v>
      </c>
      <c r="J7" s="412" t="str">
        <f ca="1">IFERROR(VLOOKUP(J$2,Rango_Admin_DailyPred,MATCH($F7,Rango_Admin_DailyPred_Primera,0)+1,0),"-")</f>
        <v>-</v>
      </c>
      <c r="K7" s="412" t="str">
        <f ca="1">IFERROR(VLOOKUP(K$2,Rango_Admin_DailyPred,MATCH($F7,Rango_Admin_DailyPred_Primera,0)+1,0),"-")</f>
        <v>-</v>
      </c>
      <c r="L7" s="412" t="str">
        <f ca="1">IFERROR(VLOOKUP(L$2,Rango_Admin_DailyPred,MATCH($F7,Rango_Admin_DailyPred_Primera,0)+1,0),"-")</f>
        <v>-</v>
      </c>
      <c r="M7" s="412" t="str">
        <f ca="1">IFERROR(VLOOKUP(M$2,Rango_Admin_DailyPred,MATCH($F7,Rango_Admin_DailyPred_Primera,0)+1,0),"-")</f>
        <v>-</v>
      </c>
      <c r="N7" s="412" t="str">
        <f ca="1">IFERROR(VLOOKUP(N$2,Rango_Admin_DailyPred,MATCH($F7,Rango_Admin_DailyPred_Primera,0)+1,0),"-")</f>
        <v>-</v>
      </c>
      <c r="O7" s="412" t="str">
        <f ca="1">IFERROR(VLOOKUP(O$2,Rango_Admin_DailyPred,MATCH($F7,Rango_Admin_DailyPred_Primera,0)+1,0),"-")</f>
        <v>-</v>
      </c>
      <c r="P7" s="412" t="str">
        <f ca="1">IFERROR(VLOOKUP(P$2,Rango_Admin_DailyPred,MATCH($F7,Rango_Admin_DailyPred_Primera,0)+1,0),"-")</f>
        <v>-</v>
      </c>
      <c r="Q7" s="412" t="str">
        <f ca="1">IFERROR(VLOOKUP(Q$2,Rango_Admin_DailyPred,MATCH($F7,Rango_Admin_DailyPred_Primera,0)+1,0),"-")</f>
        <v>-</v>
      </c>
      <c r="R7" s="412" t="str">
        <f ca="1">IFERROR(VLOOKUP(R$2,Rango_Admin_DailyPred,MATCH($F7,Rango_Admin_DailyPred_Primera,0)+1,0),"-")</f>
        <v>-</v>
      </c>
      <c r="S7" s="412" t="str">
        <f ca="1">IFERROR(VLOOKUP(S$2,Rango_Admin_DailyPred,MATCH($F7,Rango_Admin_DailyPred_Primera,0)+1,0),"-")</f>
        <v>-</v>
      </c>
      <c r="T7" s="412" t="str">
        <f ca="1">IFERROR(VLOOKUP(T$2,Rango_Admin_DailyPred,MATCH($F7,Rango_Admin_DailyPred_Primera,0)+1,0),"-")</f>
        <v>-</v>
      </c>
      <c r="U7" s="412" t="str">
        <f ca="1">IFERROR(VLOOKUP(U$2,Rango_Admin_DailyPred,MATCH($F7,Rango_Admin_DailyPred_Primera,0)+1,0),"-")</f>
        <v>-</v>
      </c>
      <c r="V7" s="412" t="str">
        <f ca="1">IFERROR(VLOOKUP(V$2,Rango_Admin_DailyPred,MATCH($F7,Rango_Admin_DailyPred_Primera,0)+1,0),"-")</f>
        <v>-</v>
      </c>
      <c r="W7" s="412" t="str">
        <f ca="1">IFERROR(VLOOKUP(W$2,Rango_Admin_DailyPred,MATCH($F7,Rango_Admin_DailyPred_Primera,0)+1,0),"-")</f>
        <v>-</v>
      </c>
      <c r="X7" s="412" t="str">
        <f ca="1">IFERROR(VLOOKUP(X$2,Rango_Admin_DailyPred,MATCH($F7,Rango_Admin_DailyPred_Primera,0)+1,0),"-")</f>
        <v>-</v>
      </c>
      <c r="Y7" s="412" t="str">
        <f ca="1">IFERROR(VLOOKUP(Y$2,Rango_Admin_DailyPred,MATCH($F7,Rango_Admin_DailyPred_Primera,0)+1,0),"-")</f>
        <v>-</v>
      </c>
      <c r="Z7" s="412" t="str">
        <f ca="1">IFERROR(VLOOKUP(Z$2,Rango_Admin_DailyPred,MATCH($F7,Rango_Admin_DailyPred_Primera,0)+1,0),"-")</f>
        <v>-</v>
      </c>
      <c r="AA7" s="412" t="str">
        <f ca="1">IFERROR(VLOOKUP(AA$2,Rango_Admin_DailyPred,MATCH($F7,Rango_Admin_DailyPred_Primera,0)+1,0),"-")</f>
        <v>-</v>
      </c>
      <c r="AB7" s="412" t="str">
        <f ca="1">IFERROR(VLOOKUP(AB$2,Rango_Admin_DailyPred,MATCH($F7,Rango_Admin_DailyPred_Primera,0)+1,0),"-")</f>
        <v>-</v>
      </c>
      <c r="AC7" s="412" t="str">
        <f ca="1">IFERROR(VLOOKUP(AC$2,Rango_Admin_DailyPred,MATCH($F7,Rango_Admin_DailyPred_Primera,0)+1,0),"-")</f>
        <v>-</v>
      </c>
      <c r="AD7" s="412" t="str">
        <f ca="1">IFERROR(VLOOKUP(AD$2,Rango_Admin_DailyPred,MATCH($F7,Rango_Admin_DailyPred_Primera,0)+1,0),"-")</f>
        <v>-</v>
      </c>
      <c r="AE7" s="412" t="str">
        <f ca="1">IFERROR(VLOOKUP(AE$2,Rango_Admin_DailyPred,MATCH($F7,Rango_Admin_DailyPred_Primera,0)+1,0),"-")</f>
        <v>-</v>
      </c>
      <c r="AF7" s="412" t="str">
        <f ca="1">IFERROR(VLOOKUP(AF$2,Rango_Admin_DailyPred,MATCH($F7,Rango_Admin_DailyPred_Primera,0)+1,0),"-")</f>
        <v>-</v>
      </c>
      <c r="AG7" s="412" t="str">
        <f ca="1">IFERROR(VLOOKUP(AG$2,Rango_Admin_DailyPred,MATCH($F7,Rango_Admin_DailyPred_Primera,0)+1,0),"-")</f>
        <v>-</v>
      </c>
      <c r="AH7" s="412" t="str">
        <f ca="1">IFERROR(VLOOKUP(AH$2,Rango_Admin_DailyPred,MATCH($F7,Rango_Admin_DailyPred_Primera,0)+1,0),"-")</f>
        <v>-</v>
      </c>
      <c r="AI7" s="412" t="str">
        <f ca="1">IFERROR(VLOOKUP(AI$2,Rango_Admin_DailyPred,MATCH($F7,Rango_Admin_DailyPred_Primera,0)+1,0),"-")</f>
        <v>-</v>
      </c>
      <c r="AJ7" s="412" t="str">
        <f ca="1">IFERROR(VLOOKUP(AJ$2,Rango_Admin_DailyPred,MATCH($F7,Rango_Admin_DailyPred_Primera,0)+1,0),"-")</f>
        <v>-</v>
      </c>
      <c r="AK7" s="412" t="str">
        <f ca="1">IFERROR(VLOOKUP(AK$2,Rango_Admin_DailyPred,MATCH($F7,Rango_Admin_DailyPred_Primera,0)+1,0),"-")</f>
        <v>-</v>
      </c>
      <c r="AL7" s="412" t="str">
        <f ca="1">IFERROR(VLOOKUP(AL$2,Rango_Admin_DailyPred,MATCH($F7,Rango_Admin_DailyPred_Primera,0)+1,0),"-")</f>
        <v>-</v>
      </c>
      <c r="AM7" s="412" t="str">
        <f ca="1">IFERROR(VLOOKUP(AM$2,Rango_Admin_DailyPred,MATCH($F7,Rango_Admin_DailyPred_Primera,0)+1,0),"-")</f>
        <v>-</v>
      </c>
      <c r="AN7" s="287"/>
    </row>
    <row r="8" spans="1:40">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82"/>
      <c r="E8" s="395">
        <f ca="1">IFERROR(HLOOKUP(C8,Rango_Admin_DailyClas,3,FALSE),"-")</f>
        <v>1</v>
      </c>
      <c r="F8" s="428" t="str">
        <f ca="1">IFERROR(HLOOKUP(C8,Rango_Admin_DailyClas,5,FALSE),"-")</f>
        <v>GARBAN</v>
      </c>
      <c r="G8" s="18">
        <f ca="1">IFERROR(HLOOKUP(C8,Rango_Admin_DailyClas,4,FALSE),"-")</f>
        <v>0</v>
      </c>
      <c r="H8" s="412">
        <f ca="1">IFERROR(VLOOKUP(H$2,Rango_Admin_DailyPred,MATCH($F8,Rango_Admin_DailyPred_Primera,0)+1,0),"-")</f>
        <v>0</v>
      </c>
      <c r="I8" s="412">
        <f ca="1">IFERROR(VLOOKUP(I$2,Rango_Admin_DailyPred,MATCH($F8,Rango_Admin_DailyPred_Primera,0)+1,0),"-")</f>
        <v>0</v>
      </c>
      <c r="J8" s="412" t="str">
        <f ca="1">IFERROR(VLOOKUP(J$2,Rango_Admin_DailyPred,MATCH($F8,Rango_Admin_DailyPred_Primera,0)+1,0),"-")</f>
        <v>-</v>
      </c>
      <c r="K8" s="412" t="str">
        <f ca="1">IFERROR(VLOOKUP(K$2,Rango_Admin_DailyPred,MATCH($F8,Rango_Admin_DailyPred_Primera,0)+1,0),"-")</f>
        <v>-</v>
      </c>
      <c r="L8" s="412" t="str">
        <f ca="1">IFERROR(VLOOKUP(L$2,Rango_Admin_DailyPred,MATCH($F8,Rango_Admin_DailyPred_Primera,0)+1,0),"-")</f>
        <v>-</v>
      </c>
      <c r="M8" s="412" t="str">
        <f ca="1">IFERROR(VLOOKUP(M$2,Rango_Admin_DailyPred,MATCH($F8,Rango_Admin_DailyPred_Primera,0)+1,0),"-")</f>
        <v>-</v>
      </c>
      <c r="N8" s="412" t="str">
        <f ca="1">IFERROR(VLOOKUP(N$2,Rango_Admin_DailyPred,MATCH($F8,Rango_Admin_DailyPred_Primera,0)+1,0),"-")</f>
        <v>-</v>
      </c>
      <c r="O8" s="412" t="str">
        <f ca="1">IFERROR(VLOOKUP(O$2,Rango_Admin_DailyPred,MATCH($F8,Rango_Admin_DailyPred_Primera,0)+1,0),"-")</f>
        <v>-</v>
      </c>
      <c r="P8" s="412" t="str">
        <f ca="1">IFERROR(VLOOKUP(P$2,Rango_Admin_DailyPred,MATCH($F8,Rango_Admin_DailyPred_Primera,0)+1,0),"-")</f>
        <v>-</v>
      </c>
      <c r="Q8" s="412" t="str">
        <f ca="1">IFERROR(VLOOKUP(Q$2,Rango_Admin_DailyPred,MATCH($F8,Rango_Admin_DailyPred_Primera,0)+1,0),"-")</f>
        <v>-</v>
      </c>
      <c r="R8" s="412" t="str">
        <f ca="1">IFERROR(VLOOKUP(R$2,Rango_Admin_DailyPred,MATCH($F8,Rango_Admin_DailyPred_Primera,0)+1,0),"-")</f>
        <v>-</v>
      </c>
      <c r="S8" s="412" t="str">
        <f ca="1">IFERROR(VLOOKUP(S$2,Rango_Admin_DailyPred,MATCH($F8,Rango_Admin_DailyPred_Primera,0)+1,0),"-")</f>
        <v>-</v>
      </c>
      <c r="T8" s="412" t="str">
        <f ca="1">IFERROR(VLOOKUP(T$2,Rango_Admin_DailyPred,MATCH($F8,Rango_Admin_DailyPred_Primera,0)+1,0),"-")</f>
        <v>-</v>
      </c>
      <c r="U8" s="412" t="str">
        <f ca="1">IFERROR(VLOOKUP(U$2,Rango_Admin_DailyPred,MATCH($F8,Rango_Admin_DailyPred_Primera,0)+1,0),"-")</f>
        <v>-</v>
      </c>
      <c r="V8" s="412" t="str">
        <f ca="1">IFERROR(VLOOKUP(V$2,Rango_Admin_DailyPred,MATCH($F8,Rango_Admin_DailyPred_Primera,0)+1,0),"-")</f>
        <v>-</v>
      </c>
      <c r="W8" s="412" t="str">
        <f ca="1">IFERROR(VLOOKUP(W$2,Rango_Admin_DailyPred,MATCH($F8,Rango_Admin_DailyPred_Primera,0)+1,0),"-")</f>
        <v>-</v>
      </c>
      <c r="X8" s="412" t="str">
        <f ca="1">IFERROR(VLOOKUP(X$2,Rango_Admin_DailyPred,MATCH($F8,Rango_Admin_DailyPred_Primera,0)+1,0),"-")</f>
        <v>-</v>
      </c>
      <c r="Y8" s="412" t="str">
        <f ca="1">IFERROR(VLOOKUP(Y$2,Rango_Admin_DailyPred,MATCH($F8,Rango_Admin_DailyPred_Primera,0)+1,0),"-")</f>
        <v>-</v>
      </c>
      <c r="Z8" s="412" t="str">
        <f ca="1">IFERROR(VLOOKUP(Z$2,Rango_Admin_DailyPred,MATCH($F8,Rango_Admin_DailyPred_Primera,0)+1,0),"-")</f>
        <v>-</v>
      </c>
      <c r="AA8" s="412" t="str">
        <f ca="1">IFERROR(VLOOKUP(AA$2,Rango_Admin_DailyPred,MATCH($F8,Rango_Admin_DailyPred_Primera,0)+1,0),"-")</f>
        <v>-</v>
      </c>
      <c r="AB8" s="412" t="str">
        <f ca="1">IFERROR(VLOOKUP(AB$2,Rango_Admin_DailyPred,MATCH($F8,Rango_Admin_DailyPred_Primera,0)+1,0),"-")</f>
        <v>-</v>
      </c>
      <c r="AC8" s="412" t="str">
        <f ca="1">IFERROR(VLOOKUP(AC$2,Rango_Admin_DailyPred,MATCH($F8,Rango_Admin_DailyPred_Primera,0)+1,0),"-")</f>
        <v>-</v>
      </c>
      <c r="AD8" s="412" t="str">
        <f ca="1">IFERROR(VLOOKUP(AD$2,Rango_Admin_DailyPred,MATCH($F8,Rango_Admin_DailyPred_Primera,0)+1,0),"-")</f>
        <v>-</v>
      </c>
      <c r="AE8" s="412" t="str">
        <f ca="1">IFERROR(VLOOKUP(AE$2,Rango_Admin_DailyPred,MATCH($F8,Rango_Admin_DailyPred_Primera,0)+1,0),"-")</f>
        <v>-</v>
      </c>
      <c r="AF8" s="412" t="str">
        <f ca="1">IFERROR(VLOOKUP(AF$2,Rango_Admin_DailyPred,MATCH($F8,Rango_Admin_DailyPred_Primera,0)+1,0),"-")</f>
        <v>-</v>
      </c>
      <c r="AG8" s="412" t="str">
        <f ca="1">IFERROR(VLOOKUP(AG$2,Rango_Admin_DailyPred,MATCH($F8,Rango_Admin_DailyPred_Primera,0)+1,0),"-")</f>
        <v>-</v>
      </c>
      <c r="AH8" s="412" t="str">
        <f ca="1">IFERROR(VLOOKUP(AH$2,Rango_Admin_DailyPred,MATCH($F8,Rango_Admin_DailyPred_Primera,0)+1,0),"-")</f>
        <v>-</v>
      </c>
      <c r="AI8" s="412" t="str">
        <f ca="1">IFERROR(VLOOKUP(AI$2,Rango_Admin_DailyPred,MATCH($F8,Rango_Admin_DailyPred_Primera,0)+1,0),"-")</f>
        <v>-</v>
      </c>
      <c r="AJ8" s="412" t="str">
        <f ca="1">IFERROR(VLOOKUP(AJ$2,Rango_Admin_DailyPred,MATCH($F8,Rango_Admin_DailyPred_Primera,0)+1,0),"-")</f>
        <v>-</v>
      </c>
      <c r="AK8" s="412" t="str">
        <f ca="1">IFERROR(VLOOKUP(AK$2,Rango_Admin_DailyPred,MATCH($F8,Rango_Admin_DailyPred_Primera,0)+1,0),"-")</f>
        <v>-</v>
      </c>
      <c r="AL8" s="412" t="str">
        <f ca="1">IFERROR(VLOOKUP(AL$2,Rango_Admin_DailyPred,MATCH($F8,Rango_Admin_DailyPred_Primera,0)+1,0),"-")</f>
        <v>-</v>
      </c>
      <c r="AM8" s="412" t="str">
        <f ca="1">IFERROR(VLOOKUP(AM$2,Rango_Admin_DailyPred,MATCH($F8,Rango_Admin_DailyPred_Primera,0)+1,0),"-")</f>
        <v>-</v>
      </c>
      <c r="AN8" s="287"/>
    </row>
    <row r="9" spans="1:40">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5">
        <v>6</v>
      </c>
      <c r="D9" s="82"/>
      <c r="E9" s="395">
        <f ca="1">IFERROR(HLOOKUP(C9,Rango_Admin_DailyClas,3,FALSE),"-")</f>
        <v>1</v>
      </c>
      <c r="F9" s="428" t="str">
        <f ca="1">IFERROR(HLOOKUP(C9,Rango_Admin_DailyClas,5,FALSE),"-")</f>
        <v>JAVI</v>
      </c>
      <c r="G9" s="18">
        <f ca="1">IFERROR(HLOOKUP(C9,Rango_Admin_DailyClas,4,FALSE),"-")</f>
        <v>0</v>
      </c>
      <c r="H9" s="412">
        <f ca="1">IFERROR(VLOOKUP(H$2,Rango_Admin_DailyPred,MATCH($F9,Rango_Admin_DailyPred_Primera,0)+1,0),"-")</f>
        <v>0</v>
      </c>
      <c r="I9" s="412">
        <f ca="1">IFERROR(VLOOKUP(I$2,Rango_Admin_DailyPred,MATCH($F9,Rango_Admin_DailyPred_Primera,0)+1,0),"-")</f>
        <v>0</v>
      </c>
      <c r="J9" s="412" t="str">
        <f ca="1">IFERROR(VLOOKUP(J$2,Rango_Admin_DailyPred,MATCH($F9,Rango_Admin_DailyPred_Primera,0)+1,0),"-")</f>
        <v>-</v>
      </c>
      <c r="K9" s="412" t="str">
        <f ca="1">IFERROR(VLOOKUP(K$2,Rango_Admin_DailyPred,MATCH($F9,Rango_Admin_DailyPred_Primera,0)+1,0),"-")</f>
        <v>-</v>
      </c>
      <c r="L9" s="412" t="str">
        <f ca="1">IFERROR(VLOOKUP(L$2,Rango_Admin_DailyPred,MATCH($F9,Rango_Admin_DailyPred_Primera,0)+1,0),"-")</f>
        <v>-</v>
      </c>
      <c r="M9" s="412" t="str">
        <f ca="1">IFERROR(VLOOKUP(M$2,Rango_Admin_DailyPred,MATCH($F9,Rango_Admin_DailyPred_Primera,0)+1,0),"-")</f>
        <v>-</v>
      </c>
      <c r="N9" s="412" t="str">
        <f ca="1">IFERROR(VLOOKUP(N$2,Rango_Admin_DailyPred,MATCH($F9,Rango_Admin_DailyPred_Primera,0)+1,0),"-")</f>
        <v>-</v>
      </c>
      <c r="O9" s="412" t="str">
        <f ca="1">IFERROR(VLOOKUP(O$2,Rango_Admin_DailyPred,MATCH($F9,Rango_Admin_DailyPred_Primera,0)+1,0),"-")</f>
        <v>-</v>
      </c>
      <c r="P9" s="412" t="str">
        <f ca="1">IFERROR(VLOOKUP(P$2,Rango_Admin_DailyPred,MATCH($F9,Rango_Admin_DailyPred_Primera,0)+1,0),"-")</f>
        <v>-</v>
      </c>
      <c r="Q9" s="412" t="str">
        <f ca="1">IFERROR(VLOOKUP(Q$2,Rango_Admin_DailyPred,MATCH($F9,Rango_Admin_DailyPred_Primera,0)+1,0),"-")</f>
        <v>-</v>
      </c>
      <c r="R9" s="412" t="str">
        <f ca="1">IFERROR(VLOOKUP(R$2,Rango_Admin_DailyPred,MATCH($F9,Rango_Admin_DailyPred_Primera,0)+1,0),"-")</f>
        <v>-</v>
      </c>
      <c r="S9" s="412" t="str">
        <f ca="1">IFERROR(VLOOKUP(S$2,Rango_Admin_DailyPred,MATCH($F9,Rango_Admin_DailyPred_Primera,0)+1,0),"-")</f>
        <v>-</v>
      </c>
      <c r="T9" s="412" t="str">
        <f ca="1">IFERROR(VLOOKUP(T$2,Rango_Admin_DailyPred,MATCH($F9,Rango_Admin_DailyPred_Primera,0)+1,0),"-")</f>
        <v>-</v>
      </c>
      <c r="U9" s="412" t="str">
        <f ca="1">IFERROR(VLOOKUP(U$2,Rango_Admin_DailyPred,MATCH($F9,Rango_Admin_DailyPred_Primera,0)+1,0),"-")</f>
        <v>-</v>
      </c>
      <c r="V9" s="412" t="str">
        <f ca="1">IFERROR(VLOOKUP(V$2,Rango_Admin_DailyPred,MATCH($F9,Rango_Admin_DailyPred_Primera,0)+1,0),"-")</f>
        <v>-</v>
      </c>
      <c r="W9" s="412" t="str">
        <f ca="1">IFERROR(VLOOKUP(W$2,Rango_Admin_DailyPred,MATCH($F9,Rango_Admin_DailyPred_Primera,0)+1,0),"-")</f>
        <v>-</v>
      </c>
      <c r="X9" s="412" t="str">
        <f ca="1">IFERROR(VLOOKUP(X$2,Rango_Admin_DailyPred,MATCH($F9,Rango_Admin_DailyPred_Primera,0)+1,0),"-")</f>
        <v>-</v>
      </c>
      <c r="Y9" s="412" t="str">
        <f ca="1">IFERROR(VLOOKUP(Y$2,Rango_Admin_DailyPred,MATCH($F9,Rango_Admin_DailyPred_Primera,0)+1,0),"-")</f>
        <v>-</v>
      </c>
      <c r="Z9" s="412" t="str">
        <f ca="1">IFERROR(VLOOKUP(Z$2,Rango_Admin_DailyPred,MATCH($F9,Rango_Admin_DailyPred_Primera,0)+1,0),"-")</f>
        <v>-</v>
      </c>
      <c r="AA9" s="412" t="str">
        <f ca="1">IFERROR(VLOOKUP(AA$2,Rango_Admin_DailyPred,MATCH($F9,Rango_Admin_DailyPred_Primera,0)+1,0),"-")</f>
        <v>-</v>
      </c>
      <c r="AB9" s="412" t="str">
        <f ca="1">IFERROR(VLOOKUP(AB$2,Rango_Admin_DailyPred,MATCH($F9,Rango_Admin_DailyPred_Primera,0)+1,0),"-")</f>
        <v>-</v>
      </c>
      <c r="AC9" s="412" t="str">
        <f ca="1">IFERROR(VLOOKUP(AC$2,Rango_Admin_DailyPred,MATCH($F9,Rango_Admin_DailyPred_Primera,0)+1,0),"-")</f>
        <v>-</v>
      </c>
      <c r="AD9" s="412" t="str">
        <f ca="1">IFERROR(VLOOKUP(AD$2,Rango_Admin_DailyPred,MATCH($F9,Rango_Admin_DailyPred_Primera,0)+1,0),"-")</f>
        <v>-</v>
      </c>
      <c r="AE9" s="412" t="str">
        <f ca="1">IFERROR(VLOOKUP(AE$2,Rango_Admin_DailyPred,MATCH($F9,Rango_Admin_DailyPred_Primera,0)+1,0),"-")</f>
        <v>-</v>
      </c>
      <c r="AF9" s="412" t="str">
        <f ca="1">IFERROR(VLOOKUP(AF$2,Rango_Admin_DailyPred,MATCH($F9,Rango_Admin_DailyPred_Primera,0)+1,0),"-")</f>
        <v>-</v>
      </c>
      <c r="AG9" s="412" t="str">
        <f ca="1">IFERROR(VLOOKUP(AG$2,Rango_Admin_DailyPred,MATCH($F9,Rango_Admin_DailyPred_Primera,0)+1,0),"-")</f>
        <v>-</v>
      </c>
      <c r="AH9" s="412" t="str">
        <f ca="1">IFERROR(VLOOKUP(AH$2,Rango_Admin_DailyPred,MATCH($F9,Rango_Admin_DailyPred_Primera,0)+1,0),"-")</f>
        <v>-</v>
      </c>
      <c r="AI9" s="412" t="str">
        <f ca="1">IFERROR(VLOOKUP(AI$2,Rango_Admin_DailyPred,MATCH($F9,Rango_Admin_DailyPred_Primera,0)+1,0),"-")</f>
        <v>-</v>
      </c>
      <c r="AJ9" s="412" t="str">
        <f ca="1">IFERROR(VLOOKUP(AJ$2,Rango_Admin_DailyPred,MATCH($F9,Rango_Admin_DailyPred_Primera,0)+1,0),"-")</f>
        <v>-</v>
      </c>
      <c r="AK9" s="412" t="str">
        <f ca="1">IFERROR(VLOOKUP(AK$2,Rango_Admin_DailyPred,MATCH($F9,Rango_Admin_DailyPred_Primera,0)+1,0),"-")</f>
        <v>-</v>
      </c>
      <c r="AL9" s="412" t="str">
        <f ca="1">IFERROR(VLOOKUP(AL$2,Rango_Admin_DailyPred,MATCH($F9,Rango_Admin_DailyPred_Primera,0)+1,0),"-")</f>
        <v>-</v>
      </c>
      <c r="AM9" s="412" t="str">
        <f ca="1">IFERROR(VLOOKUP(AM$2,Rango_Admin_DailyPred,MATCH($F9,Rango_Admin_DailyPred_Primera,0)+1,0),"-")</f>
        <v>-</v>
      </c>
      <c r="AN9" s="287"/>
    </row>
    <row r="10" spans="1:40">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5">
        <v>7</v>
      </c>
      <c r="D10" s="82"/>
      <c r="E10" s="395">
        <f ca="1">IFERROR(HLOOKUP(C10,Rango_Admin_DailyClas,3,FALSE),"-")</f>
        <v>1</v>
      </c>
      <c r="F10" s="428" t="str">
        <f ca="1">IFERROR(HLOOKUP(C10,Rango_Admin_DailyClas,5,FALSE),"-")</f>
        <v>LAURA</v>
      </c>
      <c r="G10" s="18">
        <f ca="1">IFERROR(HLOOKUP(C10,Rango_Admin_DailyClas,4,FALSE),"-")</f>
        <v>0</v>
      </c>
      <c r="H10" s="412">
        <f ca="1">IFERROR(VLOOKUP(H$2,Rango_Admin_DailyPred,MATCH($F10,Rango_Admin_DailyPred_Primera,0)+1,0),"-")</f>
        <v>0</v>
      </c>
      <c r="I10" s="412">
        <f ca="1">IFERROR(VLOOKUP(I$2,Rango_Admin_DailyPred,MATCH($F10,Rango_Admin_DailyPred_Primera,0)+1,0),"-")</f>
        <v>0</v>
      </c>
      <c r="J10" s="412" t="str">
        <f ca="1">IFERROR(VLOOKUP(J$2,Rango_Admin_DailyPred,MATCH($F10,Rango_Admin_DailyPred_Primera,0)+1,0),"-")</f>
        <v>-</v>
      </c>
      <c r="K10" s="412" t="str">
        <f ca="1">IFERROR(VLOOKUP(K$2,Rango_Admin_DailyPred,MATCH($F10,Rango_Admin_DailyPred_Primera,0)+1,0),"-")</f>
        <v>-</v>
      </c>
      <c r="L10" s="412" t="str">
        <f ca="1">IFERROR(VLOOKUP(L$2,Rango_Admin_DailyPred,MATCH($F10,Rango_Admin_DailyPred_Primera,0)+1,0),"-")</f>
        <v>-</v>
      </c>
      <c r="M10" s="412" t="str">
        <f ca="1">IFERROR(VLOOKUP(M$2,Rango_Admin_DailyPred,MATCH($F10,Rango_Admin_DailyPred_Primera,0)+1,0),"-")</f>
        <v>-</v>
      </c>
      <c r="N10" s="412" t="str">
        <f ca="1">IFERROR(VLOOKUP(N$2,Rango_Admin_DailyPred,MATCH($F10,Rango_Admin_DailyPred_Primera,0)+1,0),"-")</f>
        <v>-</v>
      </c>
      <c r="O10" s="412" t="str">
        <f ca="1">IFERROR(VLOOKUP(O$2,Rango_Admin_DailyPred,MATCH($F10,Rango_Admin_DailyPred_Primera,0)+1,0),"-")</f>
        <v>-</v>
      </c>
      <c r="P10" s="412" t="str">
        <f ca="1">IFERROR(VLOOKUP(P$2,Rango_Admin_DailyPred,MATCH($F10,Rango_Admin_DailyPred_Primera,0)+1,0),"-")</f>
        <v>-</v>
      </c>
      <c r="Q10" s="412" t="str">
        <f ca="1">IFERROR(VLOOKUP(Q$2,Rango_Admin_DailyPred,MATCH($F10,Rango_Admin_DailyPred_Primera,0)+1,0),"-")</f>
        <v>-</v>
      </c>
      <c r="R10" s="412" t="str">
        <f ca="1">IFERROR(VLOOKUP(R$2,Rango_Admin_DailyPred,MATCH($F10,Rango_Admin_DailyPred_Primera,0)+1,0),"-")</f>
        <v>-</v>
      </c>
      <c r="S10" s="412" t="str">
        <f ca="1">IFERROR(VLOOKUP(S$2,Rango_Admin_DailyPred,MATCH($F10,Rango_Admin_DailyPred_Primera,0)+1,0),"-")</f>
        <v>-</v>
      </c>
      <c r="T10" s="412" t="str">
        <f ca="1">IFERROR(VLOOKUP(T$2,Rango_Admin_DailyPred,MATCH($F10,Rango_Admin_DailyPred_Primera,0)+1,0),"-")</f>
        <v>-</v>
      </c>
      <c r="U10" s="412" t="str">
        <f ca="1">IFERROR(VLOOKUP(U$2,Rango_Admin_DailyPred,MATCH($F10,Rango_Admin_DailyPred_Primera,0)+1,0),"-")</f>
        <v>-</v>
      </c>
      <c r="V10" s="412" t="str">
        <f ca="1">IFERROR(VLOOKUP(V$2,Rango_Admin_DailyPred,MATCH($F10,Rango_Admin_DailyPred_Primera,0)+1,0),"-")</f>
        <v>-</v>
      </c>
      <c r="W10" s="412" t="str">
        <f ca="1">IFERROR(VLOOKUP(W$2,Rango_Admin_DailyPred,MATCH($F10,Rango_Admin_DailyPred_Primera,0)+1,0),"-")</f>
        <v>-</v>
      </c>
      <c r="X10" s="412" t="str">
        <f ca="1">IFERROR(VLOOKUP(X$2,Rango_Admin_DailyPred,MATCH($F10,Rango_Admin_DailyPred_Primera,0)+1,0),"-")</f>
        <v>-</v>
      </c>
      <c r="Y10" s="412" t="str">
        <f ca="1">IFERROR(VLOOKUP(Y$2,Rango_Admin_DailyPred,MATCH($F10,Rango_Admin_DailyPred_Primera,0)+1,0),"-")</f>
        <v>-</v>
      </c>
      <c r="Z10" s="412" t="str">
        <f ca="1">IFERROR(VLOOKUP(Z$2,Rango_Admin_DailyPred,MATCH($F10,Rango_Admin_DailyPred_Primera,0)+1,0),"-")</f>
        <v>-</v>
      </c>
      <c r="AA10" s="412" t="str">
        <f ca="1">IFERROR(VLOOKUP(AA$2,Rango_Admin_DailyPred,MATCH($F10,Rango_Admin_DailyPred_Primera,0)+1,0),"-")</f>
        <v>-</v>
      </c>
      <c r="AB10" s="412" t="str">
        <f ca="1">IFERROR(VLOOKUP(AB$2,Rango_Admin_DailyPred,MATCH($F10,Rango_Admin_DailyPred_Primera,0)+1,0),"-")</f>
        <v>-</v>
      </c>
      <c r="AC10" s="412" t="str">
        <f ca="1">IFERROR(VLOOKUP(AC$2,Rango_Admin_DailyPred,MATCH($F10,Rango_Admin_DailyPred_Primera,0)+1,0),"-")</f>
        <v>-</v>
      </c>
      <c r="AD10" s="412" t="str">
        <f ca="1">IFERROR(VLOOKUP(AD$2,Rango_Admin_DailyPred,MATCH($F10,Rango_Admin_DailyPred_Primera,0)+1,0),"-")</f>
        <v>-</v>
      </c>
      <c r="AE10" s="412" t="str">
        <f ca="1">IFERROR(VLOOKUP(AE$2,Rango_Admin_DailyPred,MATCH($F10,Rango_Admin_DailyPred_Primera,0)+1,0),"-")</f>
        <v>-</v>
      </c>
      <c r="AF10" s="412" t="str">
        <f ca="1">IFERROR(VLOOKUP(AF$2,Rango_Admin_DailyPred,MATCH($F10,Rango_Admin_DailyPred_Primera,0)+1,0),"-")</f>
        <v>-</v>
      </c>
      <c r="AG10" s="412" t="str">
        <f ca="1">IFERROR(VLOOKUP(AG$2,Rango_Admin_DailyPred,MATCH($F10,Rango_Admin_DailyPred_Primera,0)+1,0),"-")</f>
        <v>-</v>
      </c>
      <c r="AH10" s="412" t="str">
        <f ca="1">IFERROR(VLOOKUP(AH$2,Rango_Admin_DailyPred,MATCH($F10,Rango_Admin_DailyPred_Primera,0)+1,0),"-")</f>
        <v>-</v>
      </c>
      <c r="AI10" s="412" t="str">
        <f ca="1">IFERROR(VLOOKUP(AI$2,Rango_Admin_DailyPred,MATCH($F10,Rango_Admin_DailyPred_Primera,0)+1,0),"-")</f>
        <v>-</v>
      </c>
      <c r="AJ10" s="412" t="str">
        <f ca="1">IFERROR(VLOOKUP(AJ$2,Rango_Admin_DailyPred,MATCH($F10,Rango_Admin_DailyPred_Primera,0)+1,0),"-")</f>
        <v>-</v>
      </c>
      <c r="AK10" s="412" t="str">
        <f ca="1">IFERROR(VLOOKUP(AK$2,Rango_Admin_DailyPred,MATCH($F10,Rango_Admin_DailyPred_Primera,0)+1,0),"-")</f>
        <v>-</v>
      </c>
      <c r="AL10" s="412" t="str">
        <f ca="1">IFERROR(VLOOKUP(AL$2,Rango_Admin_DailyPred,MATCH($F10,Rango_Admin_DailyPred_Primera,0)+1,0),"-")</f>
        <v>-</v>
      </c>
      <c r="AM10" s="412" t="str">
        <f ca="1">IFERROR(VLOOKUP(AM$2,Rango_Admin_DailyPred,MATCH($F10,Rango_Admin_DailyPred_Primera,0)+1,0),"-")</f>
        <v>-</v>
      </c>
      <c r="AN10" s="287"/>
    </row>
    <row r="11" spans="1:40">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5">
        <v>8</v>
      </c>
      <c r="D11" s="82"/>
      <c r="E11" s="395">
        <f ca="1">IFERROR(HLOOKUP(C11,Rango_Admin_DailyClas,3,FALSE),"-")</f>
        <v>1</v>
      </c>
      <c r="F11" s="428" t="str">
        <f ca="1">IFERROR(HLOOKUP(C11,Rango_Admin_DailyClas,5,FALSE),"-")</f>
        <v>JUANMI</v>
      </c>
      <c r="G11" s="18">
        <f ca="1">IFERROR(HLOOKUP(C11,Rango_Admin_DailyClas,4,FALSE),"-")</f>
        <v>0</v>
      </c>
      <c r="H11" s="412">
        <f ca="1">IFERROR(VLOOKUP(H$2,Rango_Admin_DailyPred,MATCH($F11,Rango_Admin_DailyPred_Primera,0)+1,0),"-")</f>
        <v>0</v>
      </c>
      <c r="I11" s="412">
        <f ca="1">IFERROR(VLOOKUP(I$2,Rango_Admin_DailyPred,MATCH($F11,Rango_Admin_DailyPred_Primera,0)+1,0),"-")</f>
        <v>0</v>
      </c>
      <c r="J11" s="412" t="str">
        <f ca="1">IFERROR(VLOOKUP(J$2,Rango_Admin_DailyPred,MATCH($F11,Rango_Admin_DailyPred_Primera,0)+1,0),"-")</f>
        <v>-</v>
      </c>
      <c r="K11" s="412" t="str">
        <f ca="1">IFERROR(VLOOKUP(K$2,Rango_Admin_DailyPred,MATCH($F11,Rango_Admin_DailyPred_Primera,0)+1,0),"-")</f>
        <v>-</v>
      </c>
      <c r="L11" s="412" t="str">
        <f ca="1">IFERROR(VLOOKUP(L$2,Rango_Admin_DailyPred,MATCH($F11,Rango_Admin_DailyPred_Primera,0)+1,0),"-")</f>
        <v>-</v>
      </c>
      <c r="M11" s="412" t="str">
        <f ca="1">IFERROR(VLOOKUP(M$2,Rango_Admin_DailyPred,MATCH($F11,Rango_Admin_DailyPred_Primera,0)+1,0),"-")</f>
        <v>-</v>
      </c>
      <c r="N11" s="412" t="str">
        <f ca="1">IFERROR(VLOOKUP(N$2,Rango_Admin_DailyPred,MATCH($F11,Rango_Admin_DailyPred_Primera,0)+1,0),"-")</f>
        <v>-</v>
      </c>
      <c r="O11" s="412" t="str">
        <f ca="1">IFERROR(VLOOKUP(O$2,Rango_Admin_DailyPred,MATCH($F11,Rango_Admin_DailyPred_Primera,0)+1,0),"-")</f>
        <v>-</v>
      </c>
      <c r="P11" s="412" t="str">
        <f ca="1">IFERROR(VLOOKUP(P$2,Rango_Admin_DailyPred,MATCH($F11,Rango_Admin_DailyPred_Primera,0)+1,0),"-")</f>
        <v>-</v>
      </c>
      <c r="Q11" s="412" t="str">
        <f ca="1">IFERROR(VLOOKUP(Q$2,Rango_Admin_DailyPred,MATCH($F11,Rango_Admin_DailyPred_Primera,0)+1,0),"-")</f>
        <v>-</v>
      </c>
      <c r="R11" s="412" t="str">
        <f ca="1">IFERROR(VLOOKUP(R$2,Rango_Admin_DailyPred,MATCH($F11,Rango_Admin_DailyPred_Primera,0)+1,0),"-")</f>
        <v>-</v>
      </c>
      <c r="S11" s="412" t="str">
        <f ca="1">IFERROR(VLOOKUP(S$2,Rango_Admin_DailyPred,MATCH($F11,Rango_Admin_DailyPred_Primera,0)+1,0),"-")</f>
        <v>-</v>
      </c>
      <c r="T11" s="412" t="str">
        <f ca="1">IFERROR(VLOOKUP(T$2,Rango_Admin_DailyPred,MATCH($F11,Rango_Admin_DailyPred_Primera,0)+1,0),"-")</f>
        <v>-</v>
      </c>
      <c r="U11" s="412" t="str">
        <f ca="1">IFERROR(VLOOKUP(U$2,Rango_Admin_DailyPred,MATCH($F11,Rango_Admin_DailyPred_Primera,0)+1,0),"-")</f>
        <v>-</v>
      </c>
      <c r="V11" s="412" t="str">
        <f ca="1">IFERROR(VLOOKUP(V$2,Rango_Admin_DailyPred,MATCH($F11,Rango_Admin_DailyPred_Primera,0)+1,0),"-")</f>
        <v>-</v>
      </c>
      <c r="W11" s="412" t="str">
        <f ca="1">IFERROR(VLOOKUP(W$2,Rango_Admin_DailyPred,MATCH($F11,Rango_Admin_DailyPred_Primera,0)+1,0),"-")</f>
        <v>-</v>
      </c>
      <c r="X11" s="412" t="str">
        <f ca="1">IFERROR(VLOOKUP(X$2,Rango_Admin_DailyPred,MATCH($F11,Rango_Admin_DailyPred_Primera,0)+1,0),"-")</f>
        <v>-</v>
      </c>
      <c r="Y11" s="412" t="str">
        <f ca="1">IFERROR(VLOOKUP(Y$2,Rango_Admin_DailyPred,MATCH($F11,Rango_Admin_DailyPred_Primera,0)+1,0),"-")</f>
        <v>-</v>
      </c>
      <c r="Z11" s="412" t="str">
        <f ca="1">IFERROR(VLOOKUP(Z$2,Rango_Admin_DailyPred,MATCH($F11,Rango_Admin_DailyPred_Primera,0)+1,0),"-")</f>
        <v>-</v>
      </c>
      <c r="AA11" s="412" t="str">
        <f ca="1">IFERROR(VLOOKUP(AA$2,Rango_Admin_DailyPred,MATCH($F11,Rango_Admin_DailyPred_Primera,0)+1,0),"-")</f>
        <v>-</v>
      </c>
      <c r="AB11" s="412" t="str">
        <f ca="1">IFERROR(VLOOKUP(AB$2,Rango_Admin_DailyPred,MATCH($F11,Rango_Admin_DailyPred_Primera,0)+1,0),"-")</f>
        <v>-</v>
      </c>
      <c r="AC11" s="412" t="str">
        <f ca="1">IFERROR(VLOOKUP(AC$2,Rango_Admin_DailyPred,MATCH($F11,Rango_Admin_DailyPred_Primera,0)+1,0),"-")</f>
        <v>-</v>
      </c>
      <c r="AD11" s="412" t="str">
        <f ca="1">IFERROR(VLOOKUP(AD$2,Rango_Admin_DailyPred,MATCH($F11,Rango_Admin_DailyPred_Primera,0)+1,0),"-")</f>
        <v>-</v>
      </c>
      <c r="AE11" s="412" t="str">
        <f ca="1">IFERROR(VLOOKUP(AE$2,Rango_Admin_DailyPred,MATCH($F11,Rango_Admin_DailyPred_Primera,0)+1,0),"-")</f>
        <v>-</v>
      </c>
      <c r="AF11" s="412" t="str">
        <f ca="1">IFERROR(VLOOKUP(AF$2,Rango_Admin_DailyPred,MATCH($F11,Rango_Admin_DailyPred_Primera,0)+1,0),"-")</f>
        <v>-</v>
      </c>
      <c r="AG11" s="412" t="str">
        <f ca="1">IFERROR(VLOOKUP(AG$2,Rango_Admin_DailyPred,MATCH($F11,Rango_Admin_DailyPred_Primera,0)+1,0),"-")</f>
        <v>-</v>
      </c>
      <c r="AH11" s="412" t="str">
        <f ca="1">IFERROR(VLOOKUP(AH$2,Rango_Admin_DailyPred,MATCH($F11,Rango_Admin_DailyPred_Primera,0)+1,0),"-")</f>
        <v>-</v>
      </c>
      <c r="AI11" s="412" t="str">
        <f ca="1">IFERROR(VLOOKUP(AI$2,Rango_Admin_DailyPred,MATCH($F11,Rango_Admin_DailyPred_Primera,0)+1,0),"-")</f>
        <v>-</v>
      </c>
      <c r="AJ11" s="412" t="str">
        <f ca="1">IFERROR(VLOOKUP(AJ$2,Rango_Admin_DailyPred,MATCH($F11,Rango_Admin_DailyPred_Primera,0)+1,0),"-")</f>
        <v>-</v>
      </c>
      <c r="AK11" s="412" t="str">
        <f ca="1">IFERROR(VLOOKUP(AK$2,Rango_Admin_DailyPred,MATCH($F11,Rango_Admin_DailyPred_Primera,0)+1,0),"-")</f>
        <v>-</v>
      </c>
      <c r="AL11" s="412" t="str">
        <f ca="1">IFERROR(VLOOKUP(AL$2,Rango_Admin_DailyPred,MATCH($F11,Rango_Admin_DailyPred_Primera,0)+1,0),"-")</f>
        <v>-</v>
      </c>
      <c r="AM11" s="412" t="str">
        <f ca="1">IFERROR(VLOOKUP(AM$2,Rango_Admin_DailyPred,MATCH($F11,Rango_Admin_DailyPred_Primera,0)+1,0),"-")</f>
        <v>-</v>
      </c>
      <c r="AN11" s="287"/>
    </row>
    <row r="12" spans="1:40">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5">
        <v>9</v>
      </c>
      <c r="D12" s="82"/>
      <c r="E12" s="395">
        <f ca="1">IFERROR(HLOOKUP(C12,Rango_Admin_DailyClas,3,FALSE),"-")</f>
        <v>1</v>
      </c>
      <c r="F12" s="428" t="str">
        <f ca="1">IFERROR(HLOOKUP(C12,Rango_Admin_DailyClas,5,FALSE),"-")</f>
        <v>JORGE</v>
      </c>
      <c r="G12" s="18">
        <f ca="1">IFERROR(HLOOKUP(C12,Rango_Admin_DailyClas,4,FALSE),"-")</f>
        <v>0</v>
      </c>
      <c r="H12" s="412">
        <f ca="1">IFERROR(VLOOKUP(H$2,Rango_Admin_DailyPred,MATCH($F12,Rango_Admin_DailyPred_Primera,0)+1,0),"-")</f>
        <v>0</v>
      </c>
      <c r="I12" s="412">
        <f ca="1">IFERROR(VLOOKUP(I$2,Rango_Admin_DailyPred,MATCH($F12,Rango_Admin_DailyPred_Primera,0)+1,0),"-")</f>
        <v>0</v>
      </c>
      <c r="J12" s="412" t="str">
        <f ca="1">IFERROR(VLOOKUP(J$2,Rango_Admin_DailyPred,MATCH($F12,Rango_Admin_DailyPred_Primera,0)+1,0),"-")</f>
        <v>-</v>
      </c>
      <c r="K12" s="412" t="str">
        <f ca="1">IFERROR(VLOOKUP(K$2,Rango_Admin_DailyPred,MATCH($F12,Rango_Admin_DailyPred_Primera,0)+1,0),"-")</f>
        <v>-</v>
      </c>
      <c r="L12" s="412" t="str">
        <f ca="1">IFERROR(VLOOKUP(L$2,Rango_Admin_DailyPred,MATCH($F12,Rango_Admin_DailyPred_Primera,0)+1,0),"-")</f>
        <v>-</v>
      </c>
      <c r="M12" s="412" t="str">
        <f ca="1">IFERROR(VLOOKUP(M$2,Rango_Admin_DailyPred,MATCH($F12,Rango_Admin_DailyPred_Primera,0)+1,0),"-")</f>
        <v>-</v>
      </c>
      <c r="N12" s="412" t="str">
        <f ca="1">IFERROR(VLOOKUP(N$2,Rango_Admin_DailyPred,MATCH($F12,Rango_Admin_DailyPred_Primera,0)+1,0),"-")</f>
        <v>-</v>
      </c>
      <c r="O12" s="412" t="str">
        <f ca="1">IFERROR(VLOOKUP(O$2,Rango_Admin_DailyPred,MATCH($F12,Rango_Admin_DailyPred_Primera,0)+1,0),"-")</f>
        <v>-</v>
      </c>
      <c r="P12" s="412" t="str">
        <f ca="1">IFERROR(VLOOKUP(P$2,Rango_Admin_DailyPred,MATCH($F12,Rango_Admin_DailyPred_Primera,0)+1,0),"-")</f>
        <v>-</v>
      </c>
      <c r="Q12" s="412" t="str">
        <f ca="1">IFERROR(VLOOKUP(Q$2,Rango_Admin_DailyPred,MATCH($F12,Rango_Admin_DailyPred_Primera,0)+1,0),"-")</f>
        <v>-</v>
      </c>
      <c r="R12" s="412" t="str">
        <f ca="1">IFERROR(VLOOKUP(R$2,Rango_Admin_DailyPred,MATCH($F12,Rango_Admin_DailyPred_Primera,0)+1,0),"-")</f>
        <v>-</v>
      </c>
      <c r="S12" s="412" t="str">
        <f ca="1">IFERROR(VLOOKUP(S$2,Rango_Admin_DailyPred,MATCH($F12,Rango_Admin_DailyPred_Primera,0)+1,0),"-")</f>
        <v>-</v>
      </c>
      <c r="T12" s="412" t="str">
        <f ca="1">IFERROR(VLOOKUP(T$2,Rango_Admin_DailyPred,MATCH($F12,Rango_Admin_DailyPred_Primera,0)+1,0),"-")</f>
        <v>-</v>
      </c>
      <c r="U12" s="412" t="str">
        <f ca="1">IFERROR(VLOOKUP(U$2,Rango_Admin_DailyPred,MATCH($F12,Rango_Admin_DailyPred_Primera,0)+1,0),"-")</f>
        <v>-</v>
      </c>
      <c r="V12" s="412" t="str">
        <f ca="1">IFERROR(VLOOKUP(V$2,Rango_Admin_DailyPred,MATCH($F12,Rango_Admin_DailyPred_Primera,0)+1,0),"-")</f>
        <v>-</v>
      </c>
      <c r="W12" s="412" t="str">
        <f ca="1">IFERROR(VLOOKUP(W$2,Rango_Admin_DailyPred,MATCH($F12,Rango_Admin_DailyPred_Primera,0)+1,0),"-")</f>
        <v>-</v>
      </c>
      <c r="X12" s="412" t="str">
        <f ca="1">IFERROR(VLOOKUP(X$2,Rango_Admin_DailyPred,MATCH($F12,Rango_Admin_DailyPred_Primera,0)+1,0),"-")</f>
        <v>-</v>
      </c>
      <c r="Y12" s="412" t="str">
        <f ca="1">IFERROR(VLOOKUP(Y$2,Rango_Admin_DailyPred,MATCH($F12,Rango_Admin_DailyPred_Primera,0)+1,0),"-")</f>
        <v>-</v>
      </c>
      <c r="Z12" s="412" t="str">
        <f ca="1">IFERROR(VLOOKUP(Z$2,Rango_Admin_DailyPred,MATCH($F12,Rango_Admin_DailyPred_Primera,0)+1,0),"-")</f>
        <v>-</v>
      </c>
      <c r="AA12" s="412" t="str">
        <f ca="1">IFERROR(VLOOKUP(AA$2,Rango_Admin_DailyPred,MATCH($F12,Rango_Admin_DailyPred_Primera,0)+1,0),"-")</f>
        <v>-</v>
      </c>
      <c r="AB12" s="412" t="str">
        <f ca="1">IFERROR(VLOOKUP(AB$2,Rango_Admin_DailyPred,MATCH($F12,Rango_Admin_DailyPred_Primera,0)+1,0),"-")</f>
        <v>-</v>
      </c>
      <c r="AC12" s="412" t="str">
        <f ca="1">IFERROR(VLOOKUP(AC$2,Rango_Admin_DailyPred,MATCH($F12,Rango_Admin_DailyPred_Primera,0)+1,0),"-")</f>
        <v>-</v>
      </c>
      <c r="AD12" s="412" t="str">
        <f ca="1">IFERROR(VLOOKUP(AD$2,Rango_Admin_DailyPred,MATCH($F12,Rango_Admin_DailyPred_Primera,0)+1,0),"-")</f>
        <v>-</v>
      </c>
      <c r="AE12" s="412" t="str">
        <f ca="1">IFERROR(VLOOKUP(AE$2,Rango_Admin_DailyPred,MATCH($F12,Rango_Admin_DailyPred_Primera,0)+1,0),"-")</f>
        <v>-</v>
      </c>
      <c r="AF12" s="412" t="str">
        <f ca="1">IFERROR(VLOOKUP(AF$2,Rango_Admin_DailyPred,MATCH($F12,Rango_Admin_DailyPred_Primera,0)+1,0),"-")</f>
        <v>-</v>
      </c>
      <c r="AG12" s="412" t="str">
        <f ca="1">IFERROR(VLOOKUP(AG$2,Rango_Admin_DailyPred,MATCH($F12,Rango_Admin_DailyPred_Primera,0)+1,0),"-")</f>
        <v>-</v>
      </c>
      <c r="AH12" s="412" t="str">
        <f ca="1">IFERROR(VLOOKUP(AH$2,Rango_Admin_DailyPred,MATCH($F12,Rango_Admin_DailyPred_Primera,0)+1,0),"-")</f>
        <v>-</v>
      </c>
      <c r="AI12" s="412" t="str">
        <f ca="1">IFERROR(VLOOKUP(AI$2,Rango_Admin_DailyPred,MATCH($F12,Rango_Admin_DailyPred_Primera,0)+1,0),"-")</f>
        <v>-</v>
      </c>
      <c r="AJ12" s="412" t="str">
        <f ca="1">IFERROR(VLOOKUP(AJ$2,Rango_Admin_DailyPred,MATCH($F12,Rango_Admin_DailyPred_Primera,0)+1,0),"-")</f>
        <v>-</v>
      </c>
      <c r="AK12" s="412" t="str">
        <f ca="1">IFERROR(VLOOKUP(AK$2,Rango_Admin_DailyPred,MATCH($F12,Rango_Admin_DailyPred_Primera,0)+1,0),"-")</f>
        <v>-</v>
      </c>
      <c r="AL12" s="412" t="str">
        <f ca="1">IFERROR(VLOOKUP(AL$2,Rango_Admin_DailyPred,MATCH($F12,Rango_Admin_DailyPred_Primera,0)+1,0),"-")</f>
        <v>-</v>
      </c>
      <c r="AM12" s="412" t="str">
        <f ca="1">IFERROR(VLOOKUP(AM$2,Rango_Admin_DailyPred,MATCH($F12,Rango_Admin_DailyPred_Primera,0)+1,0),"-")</f>
        <v>-</v>
      </c>
      <c r="AN12" s="287"/>
    </row>
    <row r="13" spans="1:40">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5">
        <v>10</v>
      </c>
      <c r="D13" s="82"/>
      <c r="E13" s="395">
        <f ca="1">IFERROR(HLOOKUP(C13,Rango_Admin_DailyClas,3,FALSE),"-")</f>
        <v>1</v>
      </c>
      <c r="F13" s="428" t="str">
        <f ca="1">IFERROR(HLOOKUP(C13,Rango_Admin_DailyClas,5,FALSE),"-")</f>
        <v>ANDER</v>
      </c>
      <c r="G13" s="18">
        <f ca="1">IFERROR(HLOOKUP(C13,Rango_Admin_DailyClas,4,FALSE),"-")</f>
        <v>0</v>
      </c>
      <c r="H13" s="412">
        <f ca="1">IFERROR(VLOOKUP(H$2,Rango_Admin_DailyPred,MATCH($F13,Rango_Admin_DailyPred_Primera,0)+1,0),"-")</f>
        <v>0</v>
      </c>
      <c r="I13" s="412">
        <f ca="1">IFERROR(VLOOKUP(I$2,Rango_Admin_DailyPred,MATCH($F13,Rango_Admin_DailyPred_Primera,0)+1,0),"-")</f>
        <v>0</v>
      </c>
      <c r="J13" s="412" t="str">
        <f ca="1">IFERROR(VLOOKUP(J$2,Rango_Admin_DailyPred,MATCH($F13,Rango_Admin_DailyPred_Primera,0)+1,0),"-")</f>
        <v>-</v>
      </c>
      <c r="K13" s="412" t="str">
        <f ca="1">IFERROR(VLOOKUP(K$2,Rango_Admin_DailyPred,MATCH($F13,Rango_Admin_DailyPred_Primera,0)+1,0),"-")</f>
        <v>-</v>
      </c>
      <c r="L13" s="412" t="str">
        <f ca="1">IFERROR(VLOOKUP(L$2,Rango_Admin_DailyPred,MATCH($F13,Rango_Admin_DailyPred_Primera,0)+1,0),"-")</f>
        <v>-</v>
      </c>
      <c r="M13" s="412" t="str">
        <f ca="1">IFERROR(VLOOKUP(M$2,Rango_Admin_DailyPred,MATCH($F13,Rango_Admin_DailyPred_Primera,0)+1,0),"-")</f>
        <v>-</v>
      </c>
      <c r="N13" s="412" t="str">
        <f ca="1">IFERROR(VLOOKUP(N$2,Rango_Admin_DailyPred,MATCH($F13,Rango_Admin_DailyPred_Primera,0)+1,0),"-")</f>
        <v>-</v>
      </c>
      <c r="O13" s="412" t="str">
        <f ca="1">IFERROR(VLOOKUP(O$2,Rango_Admin_DailyPred,MATCH($F13,Rango_Admin_DailyPred_Primera,0)+1,0),"-")</f>
        <v>-</v>
      </c>
      <c r="P13" s="412" t="str">
        <f ca="1">IFERROR(VLOOKUP(P$2,Rango_Admin_DailyPred,MATCH($F13,Rango_Admin_DailyPred_Primera,0)+1,0),"-")</f>
        <v>-</v>
      </c>
      <c r="Q13" s="412" t="str">
        <f ca="1">IFERROR(VLOOKUP(Q$2,Rango_Admin_DailyPred,MATCH($F13,Rango_Admin_DailyPred_Primera,0)+1,0),"-")</f>
        <v>-</v>
      </c>
      <c r="R13" s="412" t="str">
        <f ca="1">IFERROR(VLOOKUP(R$2,Rango_Admin_DailyPred,MATCH($F13,Rango_Admin_DailyPred_Primera,0)+1,0),"-")</f>
        <v>-</v>
      </c>
      <c r="S13" s="412" t="str">
        <f ca="1">IFERROR(VLOOKUP(S$2,Rango_Admin_DailyPred,MATCH($F13,Rango_Admin_DailyPred_Primera,0)+1,0),"-")</f>
        <v>-</v>
      </c>
      <c r="T13" s="412" t="str">
        <f ca="1">IFERROR(VLOOKUP(T$2,Rango_Admin_DailyPred,MATCH($F13,Rango_Admin_DailyPred_Primera,0)+1,0),"-")</f>
        <v>-</v>
      </c>
      <c r="U13" s="412" t="str">
        <f ca="1">IFERROR(VLOOKUP(U$2,Rango_Admin_DailyPred,MATCH($F13,Rango_Admin_DailyPred_Primera,0)+1,0),"-")</f>
        <v>-</v>
      </c>
      <c r="V13" s="412" t="str">
        <f ca="1">IFERROR(VLOOKUP(V$2,Rango_Admin_DailyPred,MATCH($F13,Rango_Admin_DailyPred_Primera,0)+1,0),"-")</f>
        <v>-</v>
      </c>
      <c r="W13" s="412" t="str">
        <f ca="1">IFERROR(VLOOKUP(W$2,Rango_Admin_DailyPred,MATCH($F13,Rango_Admin_DailyPred_Primera,0)+1,0),"-")</f>
        <v>-</v>
      </c>
      <c r="X13" s="412" t="str">
        <f ca="1">IFERROR(VLOOKUP(X$2,Rango_Admin_DailyPred,MATCH($F13,Rango_Admin_DailyPred_Primera,0)+1,0),"-")</f>
        <v>-</v>
      </c>
      <c r="Y13" s="412" t="str">
        <f ca="1">IFERROR(VLOOKUP(Y$2,Rango_Admin_DailyPred,MATCH($F13,Rango_Admin_DailyPred_Primera,0)+1,0),"-")</f>
        <v>-</v>
      </c>
      <c r="Z13" s="412" t="str">
        <f ca="1">IFERROR(VLOOKUP(Z$2,Rango_Admin_DailyPred,MATCH($F13,Rango_Admin_DailyPred_Primera,0)+1,0),"-")</f>
        <v>-</v>
      </c>
      <c r="AA13" s="412" t="str">
        <f ca="1">IFERROR(VLOOKUP(AA$2,Rango_Admin_DailyPred,MATCH($F13,Rango_Admin_DailyPred_Primera,0)+1,0),"-")</f>
        <v>-</v>
      </c>
      <c r="AB13" s="412" t="str">
        <f ca="1">IFERROR(VLOOKUP(AB$2,Rango_Admin_DailyPred,MATCH($F13,Rango_Admin_DailyPred_Primera,0)+1,0),"-")</f>
        <v>-</v>
      </c>
      <c r="AC13" s="412" t="str">
        <f ca="1">IFERROR(VLOOKUP(AC$2,Rango_Admin_DailyPred,MATCH($F13,Rango_Admin_DailyPred_Primera,0)+1,0),"-")</f>
        <v>-</v>
      </c>
      <c r="AD13" s="412" t="str">
        <f ca="1">IFERROR(VLOOKUP(AD$2,Rango_Admin_DailyPred,MATCH($F13,Rango_Admin_DailyPred_Primera,0)+1,0),"-")</f>
        <v>-</v>
      </c>
      <c r="AE13" s="412" t="str">
        <f ca="1">IFERROR(VLOOKUP(AE$2,Rango_Admin_DailyPred,MATCH($F13,Rango_Admin_DailyPred_Primera,0)+1,0),"-")</f>
        <v>-</v>
      </c>
      <c r="AF13" s="412" t="str">
        <f ca="1">IFERROR(VLOOKUP(AF$2,Rango_Admin_DailyPred,MATCH($F13,Rango_Admin_DailyPred_Primera,0)+1,0),"-")</f>
        <v>-</v>
      </c>
      <c r="AG13" s="412" t="str">
        <f ca="1">IFERROR(VLOOKUP(AG$2,Rango_Admin_DailyPred,MATCH($F13,Rango_Admin_DailyPred_Primera,0)+1,0),"-")</f>
        <v>-</v>
      </c>
      <c r="AH13" s="412" t="str">
        <f ca="1">IFERROR(VLOOKUP(AH$2,Rango_Admin_DailyPred,MATCH($F13,Rango_Admin_DailyPred_Primera,0)+1,0),"-")</f>
        <v>-</v>
      </c>
      <c r="AI13" s="412" t="str">
        <f ca="1">IFERROR(VLOOKUP(AI$2,Rango_Admin_DailyPred,MATCH($F13,Rango_Admin_DailyPred_Primera,0)+1,0),"-")</f>
        <v>-</v>
      </c>
      <c r="AJ13" s="412" t="str">
        <f ca="1">IFERROR(VLOOKUP(AJ$2,Rango_Admin_DailyPred,MATCH($F13,Rango_Admin_DailyPred_Primera,0)+1,0),"-")</f>
        <v>-</v>
      </c>
      <c r="AK13" s="412" t="str">
        <f ca="1">IFERROR(VLOOKUP(AK$2,Rango_Admin_DailyPred,MATCH($F13,Rango_Admin_DailyPred_Primera,0)+1,0),"-")</f>
        <v>-</v>
      </c>
      <c r="AL13" s="412" t="str">
        <f ca="1">IFERROR(VLOOKUP(AL$2,Rango_Admin_DailyPred,MATCH($F13,Rango_Admin_DailyPred_Primera,0)+1,0),"-")</f>
        <v>-</v>
      </c>
      <c r="AM13" s="412" t="str">
        <f ca="1">IFERROR(VLOOKUP(AM$2,Rango_Admin_DailyPred,MATCH($F13,Rango_Admin_DailyPred_Primera,0)+1,0),"-")</f>
        <v>-</v>
      </c>
      <c r="AN13" s="287"/>
    </row>
    <row r="14" spans="1:40">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5">
        <v>11</v>
      </c>
      <c r="D14" s="82"/>
      <c r="E14" s="395">
        <f ca="1">IFERROR(HLOOKUP(C14,Rango_Admin_DailyClas,3,FALSE),"-")</f>
        <v>1</v>
      </c>
      <c r="F14" s="428" t="str">
        <f ca="1">IFERROR(HLOOKUP(C14,Rango_Admin_DailyClas,5,FALSE),"-")</f>
        <v>BORJA</v>
      </c>
      <c r="G14" s="18">
        <f ca="1">IFERROR(HLOOKUP(C14,Rango_Admin_DailyClas,4,FALSE),"-")</f>
        <v>0</v>
      </c>
      <c r="H14" s="412">
        <f ca="1">IFERROR(VLOOKUP(H$2,Rango_Admin_DailyPred,MATCH($F14,Rango_Admin_DailyPred_Primera,0)+1,0),"-")</f>
        <v>0</v>
      </c>
      <c r="I14" s="412">
        <f ca="1">IFERROR(VLOOKUP(I$2,Rango_Admin_DailyPred,MATCH($F14,Rango_Admin_DailyPred_Primera,0)+1,0),"-")</f>
        <v>0</v>
      </c>
      <c r="J14" s="412" t="str">
        <f ca="1">IFERROR(VLOOKUP(J$2,Rango_Admin_DailyPred,MATCH($F14,Rango_Admin_DailyPred_Primera,0)+1,0),"-")</f>
        <v>-</v>
      </c>
      <c r="K14" s="412" t="str">
        <f ca="1">IFERROR(VLOOKUP(K$2,Rango_Admin_DailyPred,MATCH($F14,Rango_Admin_DailyPred_Primera,0)+1,0),"-")</f>
        <v>-</v>
      </c>
      <c r="L14" s="412" t="str">
        <f ca="1">IFERROR(VLOOKUP(L$2,Rango_Admin_DailyPred,MATCH($F14,Rango_Admin_DailyPred_Primera,0)+1,0),"-")</f>
        <v>-</v>
      </c>
      <c r="M14" s="412" t="str">
        <f ca="1">IFERROR(VLOOKUP(M$2,Rango_Admin_DailyPred,MATCH($F14,Rango_Admin_DailyPred_Primera,0)+1,0),"-")</f>
        <v>-</v>
      </c>
      <c r="N14" s="412" t="str">
        <f ca="1">IFERROR(VLOOKUP(N$2,Rango_Admin_DailyPred,MATCH($F14,Rango_Admin_DailyPred_Primera,0)+1,0),"-")</f>
        <v>-</v>
      </c>
      <c r="O14" s="412" t="str">
        <f ca="1">IFERROR(VLOOKUP(O$2,Rango_Admin_DailyPred,MATCH($F14,Rango_Admin_DailyPred_Primera,0)+1,0),"-")</f>
        <v>-</v>
      </c>
      <c r="P14" s="412" t="str">
        <f ca="1">IFERROR(VLOOKUP(P$2,Rango_Admin_DailyPred,MATCH($F14,Rango_Admin_DailyPred_Primera,0)+1,0),"-")</f>
        <v>-</v>
      </c>
      <c r="Q14" s="412" t="str">
        <f ca="1">IFERROR(VLOOKUP(Q$2,Rango_Admin_DailyPred,MATCH($F14,Rango_Admin_DailyPred_Primera,0)+1,0),"-")</f>
        <v>-</v>
      </c>
      <c r="R14" s="412" t="str">
        <f ca="1">IFERROR(VLOOKUP(R$2,Rango_Admin_DailyPred,MATCH($F14,Rango_Admin_DailyPred_Primera,0)+1,0),"-")</f>
        <v>-</v>
      </c>
      <c r="S14" s="412" t="str">
        <f ca="1">IFERROR(VLOOKUP(S$2,Rango_Admin_DailyPred,MATCH($F14,Rango_Admin_DailyPred_Primera,0)+1,0),"-")</f>
        <v>-</v>
      </c>
      <c r="T14" s="412" t="str">
        <f ca="1">IFERROR(VLOOKUP(T$2,Rango_Admin_DailyPred,MATCH($F14,Rango_Admin_DailyPred_Primera,0)+1,0),"-")</f>
        <v>-</v>
      </c>
      <c r="U14" s="412" t="str">
        <f ca="1">IFERROR(VLOOKUP(U$2,Rango_Admin_DailyPred,MATCH($F14,Rango_Admin_DailyPred_Primera,0)+1,0),"-")</f>
        <v>-</v>
      </c>
      <c r="V14" s="412" t="str">
        <f ca="1">IFERROR(VLOOKUP(V$2,Rango_Admin_DailyPred,MATCH($F14,Rango_Admin_DailyPred_Primera,0)+1,0),"-")</f>
        <v>-</v>
      </c>
      <c r="W14" s="412" t="str">
        <f ca="1">IFERROR(VLOOKUP(W$2,Rango_Admin_DailyPred,MATCH($F14,Rango_Admin_DailyPred_Primera,0)+1,0),"-")</f>
        <v>-</v>
      </c>
      <c r="X14" s="412" t="str">
        <f ca="1">IFERROR(VLOOKUP(X$2,Rango_Admin_DailyPred,MATCH($F14,Rango_Admin_DailyPred_Primera,0)+1,0),"-")</f>
        <v>-</v>
      </c>
      <c r="Y14" s="412" t="str">
        <f ca="1">IFERROR(VLOOKUP(Y$2,Rango_Admin_DailyPred,MATCH($F14,Rango_Admin_DailyPred_Primera,0)+1,0),"-")</f>
        <v>-</v>
      </c>
      <c r="Z14" s="412" t="str">
        <f ca="1">IFERROR(VLOOKUP(Z$2,Rango_Admin_DailyPred,MATCH($F14,Rango_Admin_DailyPred_Primera,0)+1,0),"-")</f>
        <v>-</v>
      </c>
      <c r="AA14" s="412" t="str">
        <f ca="1">IFERROR(VLOOKUP(AA$2,Rango_Admin_DailyPred,MATCH($F14,Rango_Admin_DailyPred_Primera,0)+1,0),"-")</f>
        <v>-</v>
      </c>
      <c r="AB14" s="412" t="str">
        <f ca="1">IFERROR(VLOOKUP(AB$2,Rango_Admin_DailyPred,MATCH($F14,Rango_Admin_DailyPred_Primera,0)+1,0),"-")</f>
        <v>-</v>
      </c>
      <c r="AC14" s="412" t="str">
        <f ca="1">IFERROR(VLOOKUP(AC$2,Rango_Admin_DailyPred,MATCH($F14,Rango_Admin_DailyPred_Primera,0)+1,0),"-")</f>
        <v>-</v>
      </c>
      <c r="AD14" s="412" t="str">
        <f ca="1">IFERROR(VLOOKUP(AD$2,Rango_Admin_DailyPred,MATCH($F14,Rango_Admin_DailyPred_Primera,0)+1,0),"-")</f>
        <v>-</v>
      </c>
      <c r="AE14" s="412" t="str">
        <f ca="1">IFERROR(VLOOKUP(AE$2,Rango_Admin_DailyPred,MATCH($F14,Rango_Admin_DailyPred_Primera,0)+1,0),"-")</f>
        <v>-</v>
      </c>
      <c r="AF14" s="412" t="str">
        <f ca="1">IFERROR(VLOOKUP(AF$2,Rango_Admin_DailyPred,MATCH($F14,Rango_Admin_DailyPred_Primera,0)+1,0),"-")</f>
        <v>-</v>
      </c>
      <c r="AG14" s="412" t="str">
        <f ca="1">IFERROR(VLOOKUP(AG$2,Rango_Admin_DailyPred,MATCH($F14,Rango_Admin_DailyPred_Primera,0)+1,0),"-")</f>
        <v>-</v>
      </c>
      <c r="AH14" s="412" t="str">
        <f ca="1">IFERROR(VLOOKUP(AH$2,Rango_Admin_DailyPred,MATCH($F14,Rango_Admin_DailyPred_Primera,0)+1,0),"-")</f>
        <v>-</v>
      </c>
      <c r="AI14" s="412" t="str">
        <f ca="1">IFERROR(VLOOKUP(AI$2,Rango_Admin_DailyPred,MATCH($F14,Rango_Admin_DailyPred_Primera,0)+1,0),"-")</f>
        <v>-</v>
      </c>
      <c r="AJ14" s="412" t="str">
        <f ca="1">IFERROR(VLOOKUP(AJ$2,Rango_Admin_DailyPred,MATCH($F14,Rango_Admin_DailyPred_Primera,0)+1,0),"-")</f>
        <v>-</v>
      </c>
      <c r="AK14" s="412" t="str">
        <f ca="1">IFERROR(VLOOKUP(AK$2,Rango_Admin_DailyPred,MATCH($F14,Rango_Admin_DailyPred_Primera,0)+1,0),"-")</f>
        <v>-</v>
      </c>
      <c r="AL14" s="412" t="str">
        <f ca="1">IFERROR(VLOOKUP(AL$2,Rango_Admin_DailyPred,MATCH($F14,Rango_Admin_DailyPred_Primera,0)+1,0),"-")</f>
        <v>-</v>
      </c>
      <c r="AM14" s="412" t="str">
        <f ca="1">IFERROR(VLOOKUP(AM$2,Rango_Admin_DailyPred,MATCH($F14,Rango_Admin_DailyPred_Primera,0)+1,0),"-")</f>
        <v>-</v>
      </c>
      <c r="AN14" s="287"/>
    </row>
    <row r="15" spans="1:40">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5">
        <v>12</v>
      </c>
      <c r="D15" s="82"/>
      <c r="E15" s="395">
        <f ca="1">IFERROR(HLOOKUP(C15,Rango_Admin_DailyClas,3,FALSE),"-")</f>
        <v>1</v>
      </c>
      <c r="F15" s="428" t="str">
        <f ca="1">IFERROR(HLOOKUP(C15,Rango_Admin_DailyClas,5,FALSE),"-")</f>
        <v>MIKEL</v>
      </c>
      <c r="G15" s="18">
        <f ca="1">IFERROR(HLOOKUP(C15,Rango_Admin_DailyClas,4,FALSE),"-")</f>
        <v>0</v>
      </c>
      <c r="H15" s="412">
        <f ca="1">IFERROR(VLOOKUP(H$2,Rango_Admin_DailyPred,MATCH($F15,Rango_Admin_DailyPred_Primera,0)+1,0),"-")</f>
        <v>0</v>
      </c>
      <c r="I15" s="412">
        <f ca="1">IFERROR(VLOOKUP(I$2,Rango_Admin_DailyPred,MATCH($F15,Rango_Admin_DailyPred_Primera,0)+1,0),"-")</f>
        <v>0</v>
      </c>
      <c r="J15" s="412" t="str">
        <f ca="1">IFERROR(VLOOKUP(J$2,Rango_Admin_DailyPred,MATCH($F15,Rango_Admin_DailyPred_Primera,0)+1,0),"-")</f>
        <v>-</v>
      </c>
      <c r="K15" s="412" t="str">
        <f ca="1">IFERROR(VLOOKUP(K$2,Rango_Admin_DailyPred,MATCH($F15,Rango_Admin_DailyPred_Primera,0)+1,0),"-")</f>
        <v>-</v>
      </c>
      <c r="L15" s="412" t="str">
        <f ca="1">IFERROR(VLOOKUP(L$2,Rango_Admin_DailyPred,MATCH($F15,Rango_Admin_DailyPred_Primera,0)+1,0),"-")</f>
        <v>-</v>
      </c>
      <c r="M15" s="412" t="str">
        <f ca="1">IFERROR(VLOOKUP(M$2,Rango_Admin_DailyPred,MATCH($F15,Rango_Admin_DailyPred_Primera,0)+1,0),"-")</f>
        <v>-</v>
      </c>
      <c r="N15" s="412" t="str">
        <f ca="1">IFERROR(VLOOKUP(N$2,Rango_Admin_DailyPred,MATCH($F15,Rango_Admin_DailyPred_Primera,0)+1,0),"-")</f>
        <v>-</v>
      </c>
      <c r="O15" s="412" t="str">
        <f ca="1">IFERROR(VLOOKUP(O$2,Rango_Admin_DailyPred,MATCH($F15,Rango_Admin_DailyPred_Primera,0)+1,0),"-")</f>
        <v>-</v>
      </c>
      <c r="P15" s="412" t="str">
        <f ca="1">IFERROR(VLOOKUP(P$2,Rango_Admin_DailyPred,MATCH($F15,Rango_Admin_DailyPred_Primera,0)+1,0),"-")</f>
        <v>-</v>
      </c>
      <c r="Q15" s="412" t="str">
        <f ca="1">IFERROR(VLOOKUP(Q$2,Rango_Admin_DailyPred,MATCH($F15,Rango_Admin_DailyPred_Primera,0)+1,0),"-")</f>
        <v>-</v>
      </c>
      <c r="R15" s="412" t="str">
        <f ca="1">IFERROR(VLOOKUP(R$2,Rango_Admin_DailyPred,MATCH($F15,Rango_Admin_DailyPred_Primera,0)+1,0),"-")</f>
        <v>-</v>
      </c>
      <c r="S15" s="412" t="str">
        <f ca="1">IFERROR(VLOOKUP(S$2,Rango_Admin_DailyPred,MATCH($F15,Rango_Admin_DailyPred_Primera,0)+1,0),"-")</f>
        <v>-</v>
      </c>
      <c r="T15" s="412" t="str">
        <f ca="1">IFERROR(VLOOKUP(T$2,Rango_Admin_DailyPred,MATCH($F15,Rango_Admin_DailyPred_Primera,0)+1,0),"-")</f>
        <v>-</v>
      </c>
      <c r="U15" s="412" t="str">
        <f ca="1">IFERROR(VLOOKUP(U$2,Rango_Admin_DailyPred,MATCH($F15,Rango_Admin_DailyPred_Primera,0)+1,0),"-")</f>
        <v>-</v>
      </c>
      <c r="V15" s="412" t="str">
        <f ca="1">IFERROR(VLOOKUP(V$2,Rango_Admin_DailyPred,MATCH($F15,Rango_Admin_DailyPred_Primera,0)+1,0),"-")</f>
        <v>-</v>
      </c>
      <c r="W15" s="412" t="str">
        <f ca="1">IFERROR(VLOOKUP(W$2,Rango_Admin_DailyPred,MATCH($F15,Rango_Admin_DailyPred_Primera,0)+1,0),"-")</f>
        <v>-</v>
      </c>
      <c r="X15" s="412" t="str">
        <f ca="1">IFERROR(VLOOKUP(X$2,Rango_Admin_DailyPred,MATCH($F15,Rango_Admin_DailyPred_Primera,0)+1,0),"-")</f>
        <v>-</v>
      </c>
      <c r="Y15" s="412" t="str">
        <f ca="1">IFERROR(VLOOKUP(Y$2,Rango_Admin_DailyPred,MATCH($F15,Rango_Admin_DailyPred_Primera,0)+1,0),"-")</f>
        <v>-</v>
      </c>
      <c r="Z15" s="412" t="str">
        <f ca="1">IFERROR(VLOOKUP(Z$2,Rango_Admin_DailyPred,MATCH($F15,Rango_Admin_DailyPred_Primera,0)+1,0),"-")</f>
        <v>-</v>
      </c>
      <c r="AA15" s="412" t="str">
        <f ca="1">IFERROR(VLOOKUP(AA$2,Rango_Admin_DailyPred,MATCH($F15,Rango_Admin_DailyPred_Primera,0)+1,0),"-")</f>
        <v>-</v>
      </c>
      <c r="AB15" s="412" t="str">
        <f ca="1">IFERROR(VLOOKUP(AB$2,Rango_Admin_DailyPred,MATCH($F15,Rango_Admin_DailyPred_Primera,0)+1,0),"-")</f>
        <v>-</v>
      </c>
      <c r="AC15" s="412" t="str">
        <f ca="1">IFERROR(VLOOKUP(AC$2,Rango_Admin_DailyPred,MATCH($F15,Rango_Admin_DailyPred_Primera,0)+1,0),"-")</f>
        <v>-</v>
      </c>
      <c r="AD15" s="412" t="str">
        <f ca="1">IFERROR(VLOOKUP(AD$2,Rango_Admin_DailyPred,MATCH($F15,Rango_Admin_DailyPred_Primera,0)+1,0),"-")</f>
        <v>-</v>
      </c>
      <c r="AE15" s="412" t="str">
        <f ca="1">IFERROR(VLOOKUP(AE$2,Rango_Admin_DailyPred,MATCH($F15,Rango_Admin_DailyPred_Primera,0)+1,0),"-")</f>
        <v>-</v>
      </c>
      <c r="AF15" s="412" t="str">
        <f ca="1">IFERROR(VLOOKUP(AF$2,Rango_Admin_DailyPred,MATCH($F15,Rango_Admin_DailyPred_Primera,0)+1,0),"-")</f>
        <v>-</v>
      </c>
      <c r="AG15" s="412" t="str">
        <f ca="1">IFERROR(VLOOKUP(AG$2,Rango_Admin_DailyPred,MATCH($F15,Rango_Admin_DailyPred_Primera,0)+1,0),"-")</f>
        <v>-</v>
      </c>
      <c r="AH15" s="412" t="str">
        <f ca="1">IFERROR(VLOOKUP(AH$2,Rango_Admin_DailyPred,MATCH($F15,Rango_Admin_DailyPred_Primera,0)+1,0),"-")</f>
        <v>-</v>
      </c>
      <c r="AI15" s="412" t="str">
        <f ca="1">IFERROR(VLOOKUP(AI$2,Rango_Admin_DailyPred,MATCH($F15,Rango_Admin_DailyPred_Primera,0)+1,0),"-")</f>
        <v>-</v>
      </c>
      <c r="AJ15" s="412" t="str">
        <f ca="1">IFERROR(VLOOKUP(AJ$2,Rango_Admin_DailyPred,MATCH($F15,Rango_Admin_DailyPred_Primera,0)+1,0),"-")</f>
        <v>-</v>
      </c>
      <c r="AK15" s="412" t="str">
        <f ca="1">IFERROR(VLOOKUP(AK$2,Rango_Admin_DailyPred,MATCH($F15,Rango_Admin_DailyPred_Primera,0)+1,0),"-")</f>
        <v>-</v>
      </c>
      <c r="AL15" s="412" t="str">
        <f ca="1">IFERROR(VLOOKUP(AL$2,Rango_Admin_DailyPred,MATCH($F15,Rango_Admin_DailyPred_Primera,0)+1,0),"-")</f>
        <v>-</v>
      </c>
      <c r="AM15" s="412" t="str">
        <f ca="1">IFERROR(VLOOKUP(AM$2,Rango_Admin_DailyPred,MATCH($F15,Rango_Admin_DailyPred_Primera,0)+1,0),"-")</f>
        <v>-</v>
      </c>
      <c r="AN15" s="287"/>
    </row>
    <row r="16" spans="1:40">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5">
        <v>13</v>
      </c>
      <c r="D16" s="82"/>
      <c r="E16" s="395">
        <f ca="1">IFERROR(HLOOKUP(C16,Rango_Admin_DailyClas,3,FALSE),"-")</f>
        <v>1</v>
      </c>
      <c r="F16" s="428" t="str">
        <f ca="1">IFERROR(HLOOKUP(C16,Rango_Admin_DailyClas,5,FALSE),"-")</f>
        <v>JON</v>
      </c>
      <c r="G16" s="18">
        <f ca="1">IFERROR(HLOOKUP(C16,Rango_Admin_DailyClas,4,FALSE),"-")</f>
        <v>0</v>
      </c>
      <c r="H16" s="412">
        <f ca="1">IFERROR(VLOOKUP(H$2,Rango_Admin_DailyPred,MATCH($F16,Rango_Admin_DailyPred_Primera,0)+1,0),"-")</f>
        <v>0</v>
      </c>
      <c r="I16" s="412">
        <f ca="1">IFERROR(VLOOKUP(I$2,Rango_Admin_DailyPred,MATCH($F16,Rango_Admin_DailyPred_Primera,0)+1,0),"-")</f>
        <v>0</v>
      </c>
      <c r="J16" s="412" t="str">
        <f ca="1">IFERROR(VLOOKUP(J$2,Rango_Admin_DailyPred,MATCH($F16,Rango_Admin_DailyPred_Primera,0)+1,0),"-")</f>
        <v>-</v>
      </c>
      <c r="K16" s="412" t="str">
        <f ca="1">IFERROR(VLOOKUP(K$2,Rango_Admin_DailyPred,MATCH($F16,Rango_Admin_DailyPred_Primera,0)+1,0),"-")</f>
        <v>-</v>
      </c>
      <c r="L16" s="412" t="str">
        <f ca="1">IFERROR(VLOOKUP(L$2,Rango_Admin_DailyPred,MATCH($F16,Rango_Admin_DailyPred_Primera,0)+1,0),"-")</f>
        <v>-</v>
      </c>
      <c r="M16" s="412" t="str">
        <f ca="1">IFERROR(VLOOKUP(M$2,Rango_Admin_DailyPred,MATCH($F16,Rango_Admin_DailyPred_Primera,0)+1,0),"-")</f>
        <v>-</v>
      </c>
      <c r="N16" s="412" t="str">
        <f ca="1">IFERROR(VLOOKUP(N$2,Rango_Admin_DailyPred,MATCH($F16,Rango_Admin_DailyPred_Primera,0)+1,0),"-")</f>
        <v>-</v>
      </c>
      <c r="O16" s="412" t="str">
        <f ca="1">IFERROR(VLOOKUP(O$2,Rango_Admin_DailyPred,MATCH($F16,Rango_Admin_DailyPred_Primera,0)+1,0),"-")</f>
        <v>-</v>
      </c>
      <c r="P16" s="412" t="str">
        <f ca="1">IFERROR(VLOOKUP(P$2,Rango_Admin_DailyPred,MATCH($F16,Rango_Admin_DailyPred_Primera,0)+1,0),"-")</f>
        <v>-</v>
      </c>
      <c r="Q16" s="412" t="str">
        <f ca="1">IFERROR(VLOOKUP(Q$2,Rango_Admin_DailyPred,MATCH($F16,Rango_Admin_DailyPred_Primera,0)+1,0),"-")</f>
        <v>-</v>
      </c>
      <c r="R16" s="412" t="str">
        <f ca="1">IFERROR(VLOOKUP(R$2,Rango_Admin_DailyPred,MATCH($F16,Rango_Admin_DailyPred_Primera,0)+1,0),"-")</f>
        <v>-</v>
      </c>
      <c r="S16" s="412" t="str">
        <f ca="1">IFERROR(VLOOKUP(S$2,Rango_Admin_DailyPred,MATCH($F16,Rango_Admin_DailyPred_Primera,0)+1,0),"-")</f>
        <v>-</v>
      </c>
      <c r="T16" s="412" t="str">
        <f ca="1">IFERROR(VLOOKUP(T$2,Rango_Admin_DailyPred,MATCH($F16,Rango_Admin_DailyPred_Primera,0)+1,0),"-")</f>
        <v>-</v>
      </c>
      <c r="U16" s="412" t="str">
        <f ca="1">IFERROR(VLOOKUP(U$2,Rango_Admin_DailyPred,MATCH($F16,Rango_Admin_DailyPred_Primera,0)+1,0),"-")</f>
        <v>-</v>
      </c>
      <c r="V16" s="412" t="str">
        <f ca="1">IFERROR(VLOOKUP(V$2,Rango_Admin_DailyPred,MATCH($F16,Rango_Admin_DailyPred_Primera,0)+1,0),"-")</f>
        <v>-</v>
      </c>
      <c r="W16" s="412" t="str">
        <f ca="1">IFERROR(VLOOKUP(W$2,Rango_Admin_DailyPred,MATCH($F16,Rango_Admin_DailyPred_Primera,0)+1,0),"-")</f>
        <v>-</v>
      </c>
      <c r="X16" s="412" t="str">
        <f ca="1">IFERROR(VLOOKUP(X$2,Rango_Admin_DailyPred,MATCH($F16,Rango_Admin_DailyPred_Primera,0)+1,0),"-")</f>
        <v>-</v>
      </c>
      <c r="Y16" s="412" t="str">
        <f ca="1">IFERROR(VLOOKUP(Y$2,Rango_Admin_DailyPred,MATCH($F16,Rango_Admin_DailyPred_Primera,0)+1,0),"-")</f>
        <v>-</v>
      </c>
      <c r="Z16" s="412" t="str">
        <f ca="1">IFERROR(VLOOKUP(Z$2,Rango_Admin_DailyPred,MATCH($F16,Rango_Admin_DailyPred_Primera,0)+1,0),"-")</f>
        <v>-</v>
      </c>
      <c r="AA16" s="412" t="str">
        <f ca="1">IFERROR(VLOOKUP(AA$2,Rango_Admin_DailyPred,MATCH($F16,Rango_Admin_DailyPred_Primera,0)+1,0),"-")</f>
        <v>-</v>
      </c>
      <c r="AB16" s="412" t="str">
        <f ca="1">IFERROR(VLOOKUP(AB$2,Rango_Admin_DailyPred,MATCH($F16,Rango_Admin_DailyPred_Primera,0)+1,0),"-")</f>
        <v>-</v>
      </c>
      <c r="AC16" s="412" t="str">
        <f ca="1">IFERROR(VLOOKUP(AC$2,Rango_Admin_DailyPred,MATCH($F16,Rango_Admin_DailyPred_Primera,0)+1,0),"-")</f>
        <v>-</v>
      </c>
      <c r="AD16" s="412" t="str">
        <f ca="1">IFERROR(VLOOKUP(AD$2,Rango_Admin_DailyPred,MATCH($F16,Rango_Admin_DailyPred_Primera,0)+1,0),"-")</f>
        <v>-</v>
      </c>
      <c r="AE16" s="412" t="str">
        <f ca="1">IFERROR(VLOOKUP(AE$2,Rango_Admin_DailyPred,MATCH($F16,Rango_Admin_DailyPred_Primera,0)+1,0),"-")</f>
        <v>-</v>
      </c>
      <c r="AF16" s="412" t="str">
        <f ca="1">IFERROR(VLOOKUP(AF$2,Rango_Admin_DailyPred,MATCH($F16,Rango_Admin_DailyPred_Primera,0)+1,0),"-")</f>
        <v>-</v>
      </c>
      <c r="AG16" s="412" t="str">
        <f ca="1">IFERROR(VLOOKUP(AG$2,Rango_Admin_DailyPred,MATCH($F16,Rango_Admin_DailyPred_Primera,0)+1,0),"-")</f>
        <v>-</v>
      </c>
      <c r="AH16" s="412" t="str">
        <f ca="1">IFERROR(VLOOKUP(AH$2,Rango_Admin_DailyPred,MATCH($F16,Rango_Admin_DailyPred_Primera,0)+1,0),"-")</f>
        <v>-</v>
      </c>
      <c r="AI16" s="412" t="str">
        <f ca="1">IFERROR(VLOOKUP(AI$2,Rango_Admin_DailyPred,MATCH($F16,Rango_Admin_DailyPred_Primera,0)+1,0),"-")</f>
        <v>-</v>
      </c>
      <c r="AJ16" s="412" t="str">
        <f ca="1">IFERROR(VLOOKUP(AJ$2,Rango_Admin_DailyPred,MATCH($F16,Rango_Admin_DailyPred_Primera,0)+1,0),"-")</f>
        <v>-</v>
      </c>
      <c r="AK16" s="412" t="str">
        <f ca="1">IFERROR(VLOOKUP(AK$2,Rango_Admin_DailyPred,MATCH($F16,Rango_Admin_DailyPred_Primera,0)+1,0),"-")</f>
        <v>-</v>
      </c>
      <c r="AL16" s="412" t="str">
        <f ca="1">IFERROR(VLOOKUP(AL$2,Rango_Admin_DailyPred,MATCH($F16,Rango_Admin_DailyPred_Primera,0)+1,0),"-")</f>
        <v>-</v>
      </c>
      <c r="AM16" s="412" t="str">
        <f ca="1">IFERROR(VLOOKUP(AM$2,Rango_Admin_DailyPred,MATCH($F16,Rango_Admin_DailyPred_Primera,0)+1,0),"-")</f>
        <v>-</v>
      </c>
      <c r="AN16" s="287"/>
    </row>
    <row r="17" spans="1:40">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5">
        <v>14</v>
      </c>
      <c r="D17" s="82"/>
      <c r="E17" s="395">
        <f ca="1">IFERROR(HLOOKUP(C17,Rango_Admin_DailyClas,3,FALSE),"-")</f>
        <v>1</v>
      </c>
      <c r="F17" s="428" t="str">
        <f ca="1">IFERROR(HLOOKUP(C17,Rango_Admin_DailyClas,5,FALSE),"-")</f>
        <v>GALDER</v>
      </c>
      <c r="G17" s="18">
        <f ca="1">IFERROR(HLOOKUP(C17,Rango_Admin_DailyClas,4,FALSE),"-")</f>
        <v>0</v>
      </c>
      <c r="H17" s="412">
        <f ca="1">IFERROR(VLOOKUP(H$2,Rango_Admin_DailyPred,MATCH($F17,Rango_Admin_DailyPred_Primera,0)+1,0),"-")</f>
        <v>0</v>
      </c>
      <c r="I17" s="412">
        <f ca="1">IFERROR(VLOOKUP(I$2,Rango_Admin_DailyPred,MATCH($F17,Rango_Admin_DailyPred_Primera,0)+1,0),"-")</f>
        <v>0</v>
      </c>
      <c r="J17" s="412" t="str">
        <f ca="1">IFERROR(VLOOKUP(J$2,Rango_Admin_DailyPred,MATCH($F17,Rango_Admin_DailyPred_Primera,0)+1,0),"-")</f>
        <v>-</v>
      </c>
      <c r="K17" s="412" t="str">
        <f ca="1">IFERROR(VLOOKUP(K$2,Rango_Admin_DailyPred,MATCH($F17,Rango_Admin_DailyPred_Primera,0)+1,0),"-")</f>
        <v>-</v>
      </c>
      <c r="L17" s="412" t="str">
        <f ca="1">IFERROR(VLOOKUP(L$2,Rango_Admin_DailyPred,MATCH($F17,Rango_Admin_DailyPred_Primera,0)+1,0),"-")</f>
        <v>-</v>
      </c>
      <c r="M17" s="412" t="str">
        <f ca="1">IFERROR(VLOOKUP(M$2,Rango_Admin_DailyPred,MATCH($F17,Rango_Admin_DailyPred_Primera,0)+1,0),"-")</f>
        <v>-</v>
      </c>
      <c r="N17" s="412" t="str">
        <f ca="1">IFERROR(VLOOKUP(N$2,Rango_Admin_DailyPred,MATCH($F17,Rango_Admin_DailyPred_Primera,0)+1,0),"-")</f>
        <v>-</v>
      </c>
      <c r="O17" s="412" t="str">
        <f ca="1">IFERROR(VLOOKUP(O$2,Rango_Admin_DailyPred,MATCH($F17,Rango_Admin_DailyPred_Primera,0)+1,0),"-")</f>
        <v>-</v>
      </c>
      <c r="P17" s="412" t="str">
        <f ca="1">IFERROR(VLOOKUP(P$2,Rango_Admin_DailyPred,MATCH($F17,Rango_Admin_DailyPred_Primera,0)+1,0),"-")</f>
        <v>-</v>
      </c>
      <c r="Q17" s="412" t="str">
        <f ca="1">IFERROR(VLOOKUP(Q$2,Rango_Admin_DailyPred,MATCH($F17,Rango_Admin_DailyPred_Primera,0)+1,0),"-")</f>
        <v>-</v>
      </c>
      <c r="R17" s="412" t="str">
        <f ca="1">IFERROR(VLOOKUP(R$2,Rango_Admin_DailyPred,MATCH($F17,Rango_Admin_DailyPred_Primera,0)+1,0),"-")</f>
        <v>-</v>
      </c>
      <c r="S17" s="412" t="str">
        <f ca="1">IFERROR(VLOOKUP(S$2,Rango_Admin_DailyPred,MATCH($F17,Rango_Admin_DailyPred_Primera,0)+1,0),"-")</f>
        <v>-</v>
      </c>
      <c r="T17" s="412" t="str">
        <f ca="1">IFERROR(VLOOKUP(T$2,Rango_Admin_DailyPred,MATCH($F17,Rango_Admin_DailyPred_Primera,0)+1,0),"-")</f>
        <v>-</v>
      </c>
      <c r="U17" s="412" t="str">
        <f ca="1">IFERROR(VLOOKUP(U$2,Rango_Admin_DailyPred,MATCH($F17,Rango_Admin_DailyPred_Primera,0)+1,0),"-")</f>
        <v>-</v>
      </c>
      <c r="V17" s="412" t="str">
        <f ca="1">IFERROR(VLOOKUP(V$2,Rango_Admin_DailyPred,MATCH($F17,Rango_Admin_DailyPred_Primera,0)+1,0),"-")</f>
        <v>-</v>
      </c>
      <c r="W17" s="412" t="str">
        <f ca="1">IFERROR(VLOOKUP(W$2,Rango_Admin_DailyPred,MATCH($F17,Rango_Admin_DailyPred_Primera,0)+1,0),"-")</f>
        <v>-</v>
      </c>
      <c r="X17" s="412" t="str">
        <f ca="1">IFERROR(VLOOKUP(X$2,Rango_Admin_DailyPred,MATCH($F17,Rango_Admin_DailyPred_Primera,0)+1,0),"-")</f>
        <v>-</v>
      </c>
      <c r="Y17" s="412" t="str">
        <f ca="1">IFERROR(VLOOKUP(Y$2,Rango_Admin_DailyPred,MATCH($F17,Rango_Admin_DailyPred_Primera,0)+1,0),"-")</f>
        <v>-</v>
      </c>
      <c r="Z17" s="412" t="str">
        <f ca="1">IFERROR(VLOOKUP(Z$2,Rango_Admin_DailyPred,MATCH($F17,Rango_Admin_DailyPred_Primera,0)+1,0),"-")</f>
        <v>-</v>
      </c>
      <c r="AA17" s="412" t="str">
        <f ca="1">IFERROR(VLOOKUP(AA$2,Rango_Admin_DailyPred,MATCH($F17,Rango_Admin_DailyPred_Primera,0)+1,0),"-")</f>
        <v>-</v>
      </c>
      <c r="AB17" s="412" t="str">
        <f ca="1">IFERROR(VLOOKUP(AB$2,Rango_Admin_DailyPred,MATCH($F17,Rango_Admin_DailyPred_Primera,0)+1,0),"-")</f>
        <v>-</v>
      </c>
      <c r="AC17" s="412" t="str">
        <f ca="1">IFERROR(VLOOKUP(AC$2,Rango_Admin_DailyPred,MATCH($F17,Rango_Admin_DailyPred_Primera,0)+1,0),"-")</f>
        <v>-</v>
      </c>
      <c r="AD17" s="412" t="str">
        <f ca="1">IFERROR(VLOOKUP(AD$2,Rango_Admin_DailyPred,MATCH($F17,Rango_Admin_DailyPred_Primera,0)+1,0),"-")</f>
        <v>-</v>
      </c>
      <c r="AE17" s="412" t="str">
        <f ca="1">IFERROR(VLOOKUP(AE$2,Rango_Admin_DailyPred,MATCH($F17,Rango_Admin_DailyPred_Primera,0)+1,0),"-")</f>
        <v>-</v>
      </c>
      <c r="AF17" s="412" t="str">
        <f ca="1">IFERROR(VLOOKUP(AF$2,Rango_Admin_DailyPred,MATCH($F17,Rango_Admin_DailyPred_Primera,0)+1,0),"-")</f>
        <v>-</v>
      </c>
      <c r="AG17" s="412" t="str">
        <f ca="1">IFERROR(VLOOKUP(AG$2,Rango_Admin_DailyPred,MATCH($F17,Rango_Admin_DailyPred_Primera,0)+1,0),"-")</f>
        <v>-</v>
      </c>
      <c r="AH17" s="412" t="str">
        <f ca="1">IFERROR(VLOOKUP(AH$2,Rango_Admin_DailyPred,MATCH($F17,Rango_Admin_DailyPred_Primera,0)+1,0),"-")</f>
        <v>-</v>
      </c>
      <c r="AI17" s="412" t="str">
        <f ca="1">IFERROR(VLOOKUP(AI$2,Rango_Admin_DailyPred,MATCH($F17,Rango_Admin_DailyPred_Primera,0)+1,0),"-")</f>
        <v>-</v>
      </c>
      <c r="AJ17" s="412" t="str">
        <f ca="1">IFERROR(VLOOKUP(AJ$2,Rango_Admin_DailyPred,MATCH($F17,Rango_Admin_DailyPred_Primera,0)+1,0),"-")</f>
        <v>-</v>
      </c>
      <c r="AK17" s="412" t="str">
        <f ca="1">IFERROR(VLOOKUP(AK$2,Rango_Admin_DailyPred,MATCH($F17,Rango_Admin_DailyPred_Primera,0)+1,0),"-")</f>
        <v>-</v>
      </c>
      <c r="AL17" s="412" t="str">
        <f ca="1">IFERROR(VLOOKUP(AL$2,Rango_Admin_DailyPred,MATCH($F17,Rango_Admin_DailyPred_Primera,0)+1,0),"-")</f>
        <v>-</v>
      </c>
      <c r="AM17" s="412" t="str">
        <f ca="1">IFERROR(VLOOKUP(AM$2,Rango_Admin_DailyPred,MATCH($F17,Rango_Admin_DailyPred_Primera,0)+1,0),"-")</f>
        <v>-</v>
      </c>
      <c r="AN17" s="287"/>
    </row>
    <row r="18" spans="1:40">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5">
        <v>15</v>
      </c>
      <c r="D18" s="82"/>
      <c r="E18" s="395">
        <f ca="1">IFERROR(HLOOKUP(C18,Rango_Admin_DailyClas,3,FALSE),"-")</f>
        <v>1</v>
      </c>
      <c r="F18" s="428" t="str">
        <f ca="1">IFERROR(HLOOKUP(C18,Rango_Admin_DailyClas,5,FALSE),"-")</f>
        <v>ASIER</v>
      </c>
      <c r="G18" s="18">
        <f ca="1">IFERROR(HLOOKUP(C18,Rango_Admin_DailyClas,4,FALSE),"-")</f>
        <v>0</v>
      </c>
      <c r="H18" s="412">
        <f ca="1">IFERROR(VLOOKUP(H$2,Rango_Admin_DailyPred,MATCH($F18,Rango_Admin_DailyPred_Primera,0)+1,0),"-")</f>
        <v>0</v>
      </c>
      <c r="I18" s="412">
        <f ca="1">IFERROR(VLOOKUP(I$2,Rango_Admin_DailyPred,MATCH($F18,Rango_Admin_DailyPred_Primera,0)+1,0),"-")</f>
        <v>0</v>
      </c>
      <c r="J18" s="412" t="str">
        <f ca="1">IFERROR(VLOOKUP(J$2,Rango_Admin_DailyPred,MATCH($F18,Rango_Admin_DailyPred_Primera,0)+1,0),"-")</f>
        <v>-</v>
      </c>
      <c r="K18" s="412" t="str">
        <f ca="1">IFERROR(VLOOKUP(K$2,Rango_Admin_DailyPred,MATCH($F18,Rango_Admin_DailyPred_Primera,0)+1,0),"-")</f>
        <v>-</v>
      </c>
      <c r="L18" s="412" t="str">
        <f ca="1">IFERROR(VLOOKUP(L$2,Rango_Admin_DailyPred,MATCH($F18,Rango_Admin_DailyPred_Primera,0)+1,0),"-")</f>
        <v>-</v>
      </c>
      <c r="M18" s="412" t="str">
        <f ca="1">IFERROR(VLOOKUP(M$2,Rango_Admin_DailyPred,MATCH($F18,Rango_Admin_DailyPred_Primera,0)+1,0),"-")</f>
        <v>-</v>
      </c>
      <c r="N18" s="412" t="str">
        <f ca="1">IFERROR(VLOOKUP(N$2,Rango_Admin_DailyPred,MATCH($F18,Rango_Admin_DailyPred_Primera,0)+1,0),"-")</f>
        <v>-</v>
      </c>
      <c r="O18" s="412" t="str">
        <f ca="1">IFERROR(VLOOKUP(O$2,Rango_Admin_DailyPred,MATCH($F18,Rango_Admin_DailyPred_Primera,0)+1,0),"-")</f>
        <v>-</v>
      </c>
      <c r="P18" s="412" t="str">
        <f ca="1">IFERROR(VLOOKUP(P$2,Rango_Admin_DailyPred,MATCH($F18,Rango_Admin_DailyPred_Primera,0)+1,0),"-")</f>
        <v>-</v>
      </c>
      <c r="Q18" s="412" t="str">
        <f ca="1">IFERROR(VLOOKUP(Q$2,Rango_Admin_DailyPred,MATCH($F18,Rango_Admin_DailyPred_Primera,0)+1,0),"-")</f>
        <v>-</v>
      </c>
      <c r="R18" s="412" t="str">
        <f ca="1">IFERROR(VLOOKUP(R$2,Rango_Admin_DailyPred,MATCH($F18,Rango_Admin_DailyPred_Primera,0)+1,0),"-")</f>
        <v>-</v>
      </c>
      <c r="S18" s="412" t="str">
        <f ca="1">IFERROR(VLOOKUP(S$2,Rango_Admin_DailyPred,MATCH($F18,Rango_Admin_DailyPred_Primera,0)+1,0),"-")</f>
        <v>-</v>
      </c>
      <c r="T18" s="412" t="str">
        <f ca="1">IFERROR(VLOOKUP(T$2,Rango_Admin_DailyPred,MATCH($F18,Rango_Admin_DailyPred_Primera,0)+1,0),"-")</f>
        <v>-</v>
      </c>
      <c r="U18" s="412" t="str">
        <f ca="1">IFERROR(VLOOKUP(U$2,Rango_Admin_DailyPred,MATCH($F18,Rango_Admin_DailyPred_Primera,0)+1,0),"-")</f>
        <v>-</v>
      </c>
      <c r="V18" s="412" t="str">
        <f ca="1">IFERROR(VLOOKUP(V$2,Rango_Admin_DailyPred,MATCH($F18,Rango_Admin_DailyPred_Primera,0)+1,0),"-")</f>
        <v>-</v>
      </c>
      <c r="W18" s="412" t="str">
        <f ca="1">IFERROR(VLOOKUP(W$2,Rango_Admin_DailyPred,MATCH($F18,Rango_Admin_DailyPred_Primera,0)+1,0),"-")</f>
        <v>-</v>
      </c>
      <c r="X18" s="412" t="str">
        <f ca="1">IFERROR(VLOOKUP(X$2,Rango_Admin_DailyPred,MATCH($F18,Rango_Admin_DailyPred_Primera,0)+1,0),"-")</f>
        <v>-</v>
      </c>
      <c r="Y18" s="412" t="str">
        <f ca="1">IFERROR(VLOOKUP(Y$2,Rango_Admin_DailyPred,MATCH($F18,Rango_Admin_DailyPred_Primera,0)+1,0),"-")</f>
        <v>-</v>
      </c>
      <c r="Z18" s="412" t="str">
        <f ca="1">IFERROR(VLOOKUP(Z$2,Rango_Admin_DailyPred,MATCH($F18,Rango_Admin_DailyPred_Primera,0)+1,0),"-")</f>
        <v>-</v>
      </c>
      <c r="AA18" s="412" t="str">
        <f ca="1">IFERROR(VLOOKUP(AA$2,Rango_Admin_DailyPred,MATCH($F18,Rango_Admin_DailyPred_Primera,0)+1,0),"-")</f>
        <v>-</v>
      </c>
      <c r="AB18" s="412" t="str">
        <f ca="1">IFERROR(VLOOKUP(AB$2,Rango_Admin_DailyPred,MATCH($F18,Rango_Admin_DailyPred_Primera,0)+1,0),"-")</f>
        <v>-</v>
      </c>
      <c r="AC18" s="412" t="str">
        <f ca="1">IFERROR(VLOOKUP(AC$2,Rango_Admin_DailyPred,MATCH($F18,Rango_Admin_DailyPred_Primera,0)+1,0),"-")</f>
        <v>-</v>
      </c>
      <c r="AD18" s="412" t="str">
        <f ca="1">IFERROR(VLOOKUP(AD$2,Rango_Admin_DailyPred,MATCH($F18,Rango_Admin_DailyPred_Primera,0)+1,0),"-")</f>
        <v>-</v>
      </c>
      <c r="AE18" s="412" t="str">
        <f ca="1">IFERROR(VLOOKUP(AE$2,Rango_Admin_DailyPred,MATCH($F18,Rango_Admin_DailyPred_Primera,0)+1,0),"-")</f>
        <v>-</v>
      </c>
      <c r="AF18" s="412" t="str">
        <f ca="1">IFERROR(VLOOKUP(AF$2,Rango_Admin_DailyPred,MATCH($F18,Rango_Admin_DailyPred_Primera,0)+1,0),"-")</f>
        <v>-</v>
      </c>
      <c r="AG18" s="412" t="str">
        <f ca="1">IFERROR(VLOOKUP(AG$2,Rango_Admin_DailyPred,MATCH($F18,Rango_Admin_DailyPred_Primera,0)+1,0),"-")</f>
        <v>-</v>
      </c>
      <c r="AH18" s="412" t="str">
        <f ca="1">IFERROR(VLOOKUP(AH$2,Rango_Admin_DailyPred,MATCH($F18,Rango_Admin_DailyPred_Primera,0)+1,0),"-")</f>
        <v>-</v>
      </c>
      <c r="AI18" s="412" t="str">
        <f ca="1">IFERROR(VLOOKUP(AI$2,Rango_Admin_DailyPred,MATCH($F18,Rango_Admin_DailyPred_Primera,0)+1,0),"-")</f>
        <v>-</v>
      </c>
      <c r="AJ18" s="412" t="str">
        <f ca="1">IFERROR(VLOOKUP(AJ$2,Rango_Admin_DailyPred,MATCH($F18,Rango_Admin_DailyPred_Primera,0)+1,0),"-")</f>
        <v>-</v>
      </c>
      <c r="AK18" s="412" t="str">
        <f ca="1">IFERROR(VLOOKUP(AK$2,Rango_Admin_DailyPred,MATCH($F18,Rango_Admin_DailyPred_Primera,0)+1,0),"-")</f>
        <v>-</v>
      </c>
      <c r="AL18" s="412" t="str">
        <f ca="1">IFERROR(VLOOKUP(AL$2,Rango_Admin_DailyPred,MATCH($F18,Rango_Admin_DailyPred_Primera,0)+1,0),"-")</f>
        <v>-</v>
      </c>
      <c r="AM18" s="412" t="str">
        <f ca="1">IFERROR(VLOOKUP(AM$2,Rango_Admin_DailyPred,MATCH($F18,Rango_Admin_DailyPred_Primera,0)+1,0),"-")</f>
        <v>-</v>
      </c>
      <c r="AN18" s="287"/>
    </row>
    <row r="19" spans="1:40">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5">
        <v>16</v>
      </c>
      <c r="D19" s="82"/>
      <c r="E19" s="395">
        <f ca="1">IFERROR(HLOOKUP(C19,Rango_Admin_DailyClas,3,FALSE),"-")</f>
        <v>1</v>
      </c>
      <c r="F19" s="428" t="str">
        <f ca="1">IFERROR(HLOOKUP(C19,Rango_Admin_DailyClas,5,FALSE),"-")</f>
        <v>PEIO</v>
      </c>
      <c r="G19" s="18">
        <f ca="1">IFERROR(HLOOKUP(C19,Rango_Admin_DailyClas,4,FALSE),"-")</f>
        <v>0</v>
      </c>
      <c r="H19" s="412">
        <f ca="1">IFERROR(VLOOKUP(H$2,Rango_Admin_DailyPred,MATCH($F19,Rango_Admin_DailyPred_Primera,0)+1,0),"-")</f>
        <v>0</v>
      </c>
      <c r="I19" s="412">
        <f ca="1">IFERROR(VLOOKUP(I$2,Rango_Admin_DailyPred,MATCH($F19,Rango_Admin_DailyPred_Primera,0)+1,0),"-")</f>
        <v>0</v>
      </c>
      <c r="J19" s="412" t="str">
        <f ca="1">IFERROR(VLOOKUP(J$2,Rango_Admin_DailyPred,MATCH($F19,Rango_Admin_DailyPred_Primera,0)+1,0),"-")</f>
        <v>-</v>
      </c>
      <c r="K19" s="412" t="str">
        <f ca="1">IFERROR(VLOOKUP(K$2,Rango_Admin_DailyPred,MATCH($F19,Rango_Admin_DailyPred_Primera,0)+1,0),"-")</f>
        <v>-</v>
      </c>
      <c r="L19" s="412" t="str">
        <f ca="1">IFERROR(VLOOKUP(L$2,Rango_Admin_DailyPred,MATCH($F19,Rango_Admin_DailyPred_Primera,0)+1,0),"-")</f>
        <v>-</v>
      </c>
      <c r="M19" s="412" t="str">
        <f ca="1">IFERROR(VLOOKUP(M$2,Rango_Admin_DailyPred,MATCH($F19,Rango_Admin_DailyPred_Primera,0)+1,0),"-")</f>
        <v>-</v>
      </c>
      <c r="N19" s="412" t="str">
        <f ca="1">IFERROR(VLOOKUP(N$2,Rango_Admin_DailyPred,MATCH($F19,Rango_Admin_DailyPred_Primera,0)+1,0),"-")</f>
        <v>-</v>
      </c>
      <c r="O19" s="412" t="str">
        <f ca="1">IFERROR(VLOOKUP(O$2,Rango_Admin_DailyPred,MATCH($F19,Rango_Admin_DailyPred_Primera,0)+1,0),"-")</f>
        <v>-</v>
      </c>
      <c r="P19" s="412" t="str">
        <f ca="1">IFERROR(VLOOKUP(P$2,Rango_Admin_DailyPred,MATCH($F19,Rango_Admin_DailyPred_Primera,0)+1,0),"-")</f>
        <v>-</v>
      </c>
      <c r="Q19" s="412" t="str">
        <f ca="1">IFERROR(VLOOKUP(Q$2,Rango_Admin_DailyPred,MATCH($F19,Rango_Admin_DailyPred_Primera,0)+1,0),"-")</f>
        <v>-</v>
      </c>
      <c r="R19" s="412" t="str">
        <f ca="1">IFERROR(VLOOKUP(R$2,Rango_Admin_DailyPred,MATCH($F19,Rango_Admin_DailyPred_Primera,0)+1,0),"-")</f>
        <v>-</v>
      </c>
      <c r="S19" s="412" t="str">
        <f ca="1">IFERROR(VLOOKUP(S$2,Rango_Admin_DailyPred,MATCH($F19,Rango_Admin_DailyPred_Primera,0)+1,0),"-")</f>
        <v>-</v>
      </c>
      <c r="T19" s="412" t="str">
        <f ca="1">IFERROR(VLOOKUP(T$2,Rango_Admin_DailyPred,MATCH($F19,Rango_Admin_DailyPred_Primera,0)+1,0),"-")</f>
        <v>-</v>
      </c>
      <c r="U19" s="412" t="str">
        <f ca="1">IFERROR(VLOOKUP(U$2,Rango_Admin_DailyPred,MATCH($F19,Rango_Admin_DailyPred_Primera,0)+1,0),"-")</f>
        <v>-</v>
      </c>
      <c r="V19" s="412" t="str">
        <f ca="1">IFERROR(VLOOKUP(V$2,Rango_Admin_DailyPred,MATCH($F19,Rango_Admin_DailyPred_Primera,0)+1,0),"-")</f>
        <v>-</v>
      </c>
      <c r="W19" s="412" t="str">
        <f ca="1">IFERROR(VLOOKUP(W$2,Rango_Admin_DailyPred,MATCH($F19,Rango_Admin_DailyPred_Primera,0)+1,0),"-")</f>
        <v>-</v>
      </c>
      <c r="X19" s="412" t="str">
        <f ca="1">IFERROR(VLOOKUP(X$2,Rango_Admin_DailyPred,MATCH($F19,Rango_Admin_DailyPred_Primera,0)+1,0),"-")</f>
        <v>-</v>
      </c>
      <c r="Y19" s="412" t="str">
        <f ca="1">IFERROR(VLOOKUP(Y$2,Rango_Admin_DailyPred,MATCH($F19,Rango_Admin_DailyPred_Primera,0)+1,0),"-")</f>
        <v>-</v>
      </c>
      <c r="Z19" s="412" t="str">
        <f ca="1">IFERROR(VLOOKUP(Z$2,Rango_Admin_DailyPred,MATCH($F19,Rango_Admin_DailyPred_Primera,0)+1,0),"-")</f>
        <v>-</v>
      </c>
      <c r="AA19" s="412" t="str">
        <f ca="1">IFERROR(VLOOKUP(AA$2,Rango_Admin_DailyPred,MATCH($F19,Rango_Admin_DailyPred_Primera,0)+1,0),"-")</f>
        <v>-</v>
      </c>
      <c r="AB19" s="412" t="str">
        <f ca="1">IFERROR(VLOOKUP(AB$2,Rango_Admin_DailyPred,MATCH($F19,Rango_Admin_DailyPred_Primera,0)+1,0),"-")</f>
        <v>-</v>
      </c>
      <c r="AC19" s="412" t="str">
        <f ca="1">IFERROR(VLOOKUP(AC$2,Rango_Admin_DailyPred,MATCH($F19,Rango_Admin_DailyPred_Primera,0)+1,0),"-")</f>
        <v>-</v>
      </c>
      <c r="AD19" s="412" t="str">
        <f ca="1">IFERROR(VLOOKUP(AD$2,Rango_Admin_DailyPred,MATCH($F19,Rango_Admin_DailyPred_Primera,0)+1,0),"-")</f>
        <v>-</v>
      </c>
      <c r="AE19" s="412" t="str">
        <f ca="1">IFERROR(VLOOKUP(AE$2,Rango_Admin_DailyPred,MATCH($F19,Rango_Admin_DailyPred_Primera,0)+1,0),"-")</f>
        <v>-</v>
      </c>
      <c r="AF19" s="412" t="str">
        <f ca="1">IFERROR(VLOOKUP(AF$2,Rango_Admin_DailyPred,MATCH($F19,Rango_Admin_DailyPred_Primera,0)+1,0),"-")</f>
        <v>-</v>
      </c>
      <c r="AG19" s="412" t="str">
        <f ca="1">IFERROR(VLOOKUP(AG$2,Rango_Admin_DailyPred,MATCH($F19,Rango_Admin_DailyPred_Primera,0)+1,0),"-")</f>
        <v>-</v>
      </c>
      <c r="AH19" s="412" t="str">
        <f ca="1">IFERROR(VLOOKUP(AH$2,Rango_Admin_DailyPred,MATCH($F19,Rango_Admin_DailyPred_Primera,0)+1,0),"-")</f>
        <v>-</v>
      </c>
      <c r="AI19" s="412" t="str">
        <f ca="1">IFERROR(VLOOKUP(AI$2,Rango_Admin_DailyPred,MATCH($F19,Rango_Admin_DailyPred_Primera,0)+1,0),"-")</f>
        <v>-</v>
      </c>
      <c r="AJ19" s="412" t="str">
        <f ca="1">IFERROR(VLOOKUP(AJ$2,Rango_Admin_DailyPred,MATCH($F19,Rango_Admin_DailyPred_Primera,0)+1,0),"-")</f>
        <v>-</v>
      </c>
      <c r="AK19" s="412" t="str">
        <f ca="1">IFERROR(VLOOKUP(AK$2,Rango_Admin_DailyPred,MATCH($F19,Rango_Admin_DailyPred_Primera,0)+1,0),"-")</f>
        <v>-</v>
      </c>
      <c r="AL19" s="412" t="str">
        <f ca="1">IFERROR(VLOOKUP(AL$2,Rango_Admin_DailyPred,MATCH($F19,Rango_Admin_DailyPred_Primera,0)+1,0),"-")</f>
        <v>-</v>
      </c>
      <c r="AM19" s="412" t="str">
        <f ca="1">IFERROR(VLOOKUP(AM$2,Rango_Admin_DailyPred,MATCH($F19,Rango_Admin_DailyPred_Primera,0)+1,0),"-")</f>
        <v>-</v>
      </c>
      <c r="AN19" s="287"/>
    </row>
    <row r="20" spans="1:40">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5">
        <v>17</v>
      </c>
      <c r="D20" s="82"/>
      <c r="E20" s="395">
        <f ca="1">IFERROR(HLOOKUP(C20,Rango_Admin_DailyClas,3,FALSE),"-")</f>
        <v>1</v>
      </c>
      <c r="F20" s="428" t="str">
        <f ca="1">IFERROR(HLOOKUP(C20,Rango_Admin_DailyClas,5,FALSE),"-")</f>
        <v>GANEKO</v>
      </c>
      <c r="G20" s="18">
        <f ca="1">IFERROR(HLOOKUP(C20,Rango_Admin_DailyClas,4,FALSE),"-")</f>
        <v>0</v>
      </c>
      <c r="H20" s="412">
        <f ca="1">IFERROR(VLOOKUP(H$2,Rango_Admin_DailyPred,MATCH($F20,Rango_Admin_DailyPred_Primera,0)+1,0),"-")</f>
        <v>0</v>
      </c>
      <c r="I20" s="412">
        <f ca="1">IFERROR(VLOOKUP(I$2,Rango_Admin_DailyPred,MATCH($F20,Rango_Admin_DailyPred_Primera,0)+1,0),"-")</f>
        <v>0</v>
      </c>
      <c r="J20" s="412" t="str">
        <f ca="1">IFERROR(VLOOKUP(J$2,Rango_Admin_DailyPred,MATCH($F20,Rango_Admin_DailyPred_Primera,0)+1,0),"-")</f>
        <v>-</v>
      </c>
      <c r="K20" s="412" t="str">
        <f ca="1">IFERROR(VLOOKUP(K$2,Rango_Admin_DailyPred,MATCH($F20,Rango_Admin_DailyPred_Primera,0)+1,0),"-")</f>
        <v>-</v>
      </c>
      <c r="L20" s="412" t="str">
        <f ca="1">IFERROR(VLOOKUP(L$2,Rango_Admin_DailyPred,MATCH($F20,Rango_Admin_DailyPred_Primera,0)+1,0),"-")</f>
        <v>-</v>
      </c>
      <c r="M20" s="412" t="str">
        <f ca="1">IFERROR(VLOOKUP(M$2,Rango_Admin_DailyPred,MATCH($F20,Rango_Admin_DailyPred_Primera,0)+1,0),"-")</f>
        <v>-</v>
      </c>
      <c r="N20" s="412" t="str">
        <f ca="1">IFERROR(VLOOKUP(N$2,Rango_Admin_DailyPred,MATCH($F20,Rango_Admin_DailyPred_Primera,0)+1,0),"-")</f>
        <v>-</v>
      </c>
      <c r="O20" s="412" t="str">
        <f ca="1">IFERROR(VLOOKUP(O$2,Rango_Admin_DailyPred,MATCH($F20,Rango_Admin_DailyPred_Primera,0)+1,0),"-")</f>
        <v>-</v>
      </c>
      <c r="P20" s="412" t="str">
        <f ca="1">IFERROR(VLOOKUP(P$2,Rango_Admin_DailyPred,MATCH($F20,Rango_Admin_DailyPred_Primera,0)+1,0),"-")</f>
        <v>-</v>
      </c>
      <c r="Q20" s="412" t="str">
        <f ca="1">IFERROR(VLOOKUP(Q$2,Rango_Admin_DailyPred,MATCH($F20,Rango_Admin_DailyPred_Primera,0)+1,0),"-")</f>
        <v>-</v>
      </c>
      <c r="R20" s="412" t="str">
        <f ca="1">IFERROR(VLOOKUP(R$2,Rango_Admin_DailyPred,MATCH($F20,Rango_Admin_DailyPred_Primera,0)+1,0),"-")</f>
        <v>-</v>
      </c>
      <c r="S20" s="412" t="str">
        <f ca="1">IFERROR(VLOOKUP(S$2,Rango_Admin_DailyPred,MATCH($F20,Rango_Admin_DailyPred_Primera,0)+1,0),"-")</f>
        <v>-</v>
      </c>
      <c r="T20" s="412" t="str">
        <f ca="1">IFERROR(VLOOKUP(T$2,Rango_Admin_DailyPred,MATCH($F20,Rango_Admin_DailyPred_Primera,0)+1,0),"-")</f>
        <v>-</v>
      </c>
      <c r="U20" s="412" t="str">
        <f ca="1">IFERROR(VLOOKUP(U$2,Rango_Admin_DailyPred,MATCH($F20,Rango_Admin_DailyPred_Primera,0)+1,0),"-")</f>
        <v>-</v>
      </c>
      <c r="V20" s="412" t="str">
        <f ca="1">IFERROR(VLOOKUP(V$2,Rango_Admin_DailyPred,MATCH($F20,Rango_Admin_DailyPred_Primera,0)+1,0),"-")</f>
        <v>-</v>
      </c>
      <c r="W20" s="412" t="str">
        <f ca="1">IFERROR(VLOOKUP(W$2,Rango_Admin_DailyPred,MATCH($F20,Rango_Admin_DailyPred_Primera,0)+1,0),"-")</f>
        <v>-</v>
      </c>
      <c r="X20" s="412" t="str">
        <f ca="1">IFERROR(VLOOKUP(X$2,Rango_Admin_DailyPred,MATCH($F20,Rango_Admin_DailyPred_Primera,0)+1,0),"-")</f>
        <v>-</v>
      </c>
      <c r="Y20" s="412" t="str">
        <f ca="1">IFERROR(VLOOKUP(Y$2,Rango_Admin_DailyPred,MATCH($F20,Rango_Admin_DailyPred_Primera,0)+1,0),"-")</f>
        <v>-</v>
      </c>
      <c r="Z20" s="412" t="str">
        <f ca="1">IFERROR(VLOOKUP(Z$2,Rango_Admin_DailyPred,MATCH($F20,Rango_Admin_DailyPred_Primera,0)+1,0),"-")</f>
        <v>-</v>
      </c>
      <c r="AA20" s="412" t="str">
        <f ca="1">IFERROR(VLOOKUP(AA$2,Rango_Admin_DailyPred,MATCH($F20,Rango_Admin_DailyPred_Primera,0)+1,0),"-")</f>
        <v>-</v>
      </c>
      <c r="AB20" s="412" t="str">
        <f ca="1">IFERROR(VLOOKUP(AB$2,Rango_Admin_DailyPred,MATCH($F20,Rango_Admin_DailyPred_Primera,0)+1,0),"-")</f>
        <v>-</v>
      </c>
      <c r="AC20" s="412" t="str">
        <f ca="1">IFERROR(VLOOKUP(AC$2,Rango_Admin_DailyPred,MATCH($F20,Rango_Admin_DailyPred_Primera,0)+1,0),"-")</f>
        <v>-</v>
      </c>
      <c r="AD20" s="412" t="str">
        <f ca="1">IFERROR(VLOOKUP(AD$2,Rango_Admin_DailyPred,MATCH($F20,Rango_Admin_DailyPred_Primera,0)+1,0),"-")</f>
        <v>-</v>
      </c>
      <c r="AE20" s="412" t="str">
        <f ca="1">IFERROR(VLOOKUP(AE$2,Rango_Admin_DailyPred,MATCH($F20,Rango_Admin_DailyPred_Primera,0)+1,0),"-")</f>
        <v>-</v>
      </c>
      <c r="AF20" s="412" t="str">
        <f ca="1">IFERROR(VLOOKUP(AF$2,Rango_Admin_DailyPred,MATCH($F20,Rango_Admin_DailyPred_Primera,0)+1,0),"-")</f>
        <v>-</v>
      </c>
      <c r="AG20" s="412" t="str">
        <f ca="1">IFERROR(VLOOKUP(AG$2,Rango_Admin_DailyPred,MATCH($F20,Rango_Admin_DailyPred_Primera,0)+1,0),"-")</f>
        <v>-</v>
      </c>
      <c r="AH20" s="412" t="str">
        <f ca="1">IFERROR(VLOOKUP(AH$2,Rango_Admin_DailyPred,MATCH($F20,Rango_Admin_DailyPred_Primera,0)+1,0),"-")</f>
        <v>-</v>
      </c>
      <c r="AI20" s="412" t="str">
        <f ca="1">IFERROR(VLOOKUP(AI$2,Rango_Admin_DailyPred,MATCH($F20,Rango_Admin_DailyPred_Primera,0)+1,0),"-")</f>
        <v>-</v>
      </c>
      <c r="AJ20" s="412" t="str">
        <f ca="1">IFERROR(VLOOKUP(AJ$2,Rango_Admin_DailyPred,MATCH($F20,Rango_Admin_DailyPred_Primera,0)+1,0),"-")</f>
        <v>-</v>
      </c>
      <c r="AK20" s="412" t="str">
        <f ca="1">IFERROR(VLOOKUP(AK$2,Rango_Admin_DailyPred,MATCH($F20,Rango_Admin_DailyPred_Primera,0)+1,0),"-")</f>
        <v>-</v>
      </c>
      <c r="AL20" s="412" t="str">
        <f ca="1">IFERROR(VLOOKUP(AL$2,Rango_Admin_DailyPred,MATCH($F20,Rango_Admin_DailyPred_Primera,0)+1,0),"-")</f>
        <v>-</v>
      </c>
      <c r="AM20" s="412" t="str">
        <f ca="1">IFERROR(VLOOKUP(AM$2,Rango_Admin_DailyPred,MATCH($F20,Rango_Admin_DailyPred_Primera,0)+1,0),"-")</f>
        <v>-</v>
      </c>
      <c r="AN20" s="287"/>
    </row>
    <row r="21" spans="1:40">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5">
        <v>18</v>
      </c>
      <c r="D21" s="82"/>
      <c r="E21" s="395">
        <f ca="1">IFERROR(HLOOKUP(C21,Rango_Admin_DailyClas,3,FALSE),"-")</f>
        <v>1</v>
      </c>
      <c r="F21" s="428" t="str">
        <f ca="1">IFERROR(HLOOKUP(C21,Rango_Admin_DailyClas,5,FALSE),"-")</f>
        <v>AITOR</v>
      </c>
      <c r="G21" s="18">
        <f ca="1">IFERROR(HLOOKUP(C21,Rango_Admin_DailyClas,4,FALSE),"-")</f>
        <v>0</v>
      </c>
      <c r="H21" s="412">
        <f ca="1">IFERROR(VLOOKUP(H$2,Rango_Admin_DailyPred,MATCH($F21,Rango_Admin_DailyPred_Primera,0)+1,0),"-")</f>
        <v>0</v>
      </c>
      <c r="I21" s="412">
        <f ca="1">IFERROR(VLOOKUP(I$2,Rango_Admin_DailyPred,MATCH($F21,Rango_Admin_DailyPred_Primera,0)+1,0),"-")</f>
        <v>0</v>
      </c>
      <c r="J21" s="412" t="str">
        <f ca="1">IFERROR(VLOOKUP(J$2,Rango_Admin_DailyPred,MATCH($F21,Rango_Admin_DailyPred_Primera,0)+1,0),"-")</f>
        <v>-</v>
      </c>
      <c r="K21" s="412" t="str">
        <f ca="1">IFERROR(VLOOKUP(K$2,Rango_Admin_DailyPred,MATCH($F21,Rango_Admin_DailyPred_Primera,0)+1,0),"-")</f>
        <v>-</v>
      </c>
      <c r="L21" s="412" t="str">
        <f ca="1">IFERROR(VLOOKUP(L$2,Rango_Admin_DailyPred,MATCH($F21,Rango_Admin_DailyPred_Primera,0)+1,0),"-")</f>
        <v>-</v>
      </c>
      <c r="M21" s="412" t="str">
        <f ca="1">IFERROR(VLOOKUP(M$2,Rango_Admin_DailyPred,MATCH($F21,Rango_Admin_DailyPred_Primera,0)+1,0),"-")</f>
        <v>-</v>
      </c>
      <c r="N21" s="412" t="str">
        <f ca="1">IFERROR(VLOOKUP(N$2,Rango_Admin_DailyPred,MATCH($F21,Rango_Admin_DailyPred_Primera,0)+1,0),"-")</f>
        <v>-</v>
      </c>
      <c r="O21" s="412" t="str">
        <f ca="1">IFERROR(VLOOKUP(O$2,Rango_Admin_DailyPred,MATCH($F21,Rango_Admin_DailyPred_Primera,0)+1,0),"-")</f>
        <v>-</v>
      </c>
      <c r="P21" s="412" t="str">
        <f ca="1">IFERROR(VLOOKUP(P$2,Rango_Admin_DailyPred,MATCH($F21,Rango_Admin_DailyPred_Primera,0)+1,0),"-")</f>
        <v>-</v>
      </c>
      <c r="Q21" s="412" t="str">
        <f ca="1">IFERROR(VLOOKUP(Q$2,Rango_Admin_DailyPred,MATCH($F21,Rango_Admin_DailyPred_Primera,0)+1,0),"-")</f>
        <v>-</v>
      </c>
      <c r="R21" s="412" t="str">
        <f ca="1">IFERROR(VLOOKUP(R$2,Rango_Admin_DailyPred,MATCH($F21,Rango_Admin_DailyPred_Primera,0)+1,0),"-")</f>
        <v>-</v>
      </c>
      <c r="S21" s="412" t="str">
        <f ca="1">IFERROR(VLOOKUP(S$2,Rango_Admin_DailyPred,MATCH($F21,Rango_Admin_DailyPred_Primera,0)+1,0),"-")</f>
        <v>-</v>
      </c>
      <c r="T21" s="412" t="str">
        <f ca="1">IFERROR(VLOOKUP(T$2,Rango_Admin_DailyPred,MATCH($F21,Rango_Admin_DailyPred_Primera,0)+1,0),"-")</f>
        <v>-</v>
      </c>
      <c r="U21" s="412" t="str">
        <f ca="1">IFERROR(VLOOKUP(U$2,Rango_Admin_DailyPred,MATCH($F21,Rango_Admin_DailyPred_Primera,0)+1,0),"-")</f>
        <v>-</v>
      </c>
      <c r="V21" s="412" t="str">
        <f ca="1">IFERROR(VLOOKUP(V$2,Rango_Admin_DailyPred,MATCH($F21,Rango_Admin_DailyPred_Primera,0)+1,0),"-")</f>
        <v>-</v>
      </c>
      <c r="W21" s="412" t="str">
        <f ca="1">IFERROR(VLOOKUP(W$2,Rango_Admin_DailyPred,MATCH($F21,Rango_Admin_DailyPred_Primera,0)+1,0),"-")</f>
        <v>-</v>
      </c>
      <c r="X21" s="412" t="str">
        <f ca="1">IFERROR(VLOOKUP(X$2,Rango_Admin_DailyPred,MATCH($F21,Rango_Admin_DailyPred_Primera,0)+1,0),"-")</f>
        <v>-</v>
      </c>
      <c r="Y21" s="412" t="str">
        <f ca="1">IFERROR(VLOOKUP(Y$2,Rango_Admin_DailyPred,MATCH($F21,Rango_Admin_DailyPred_Primera,0)+1,0),"-")</f>
        <v>-</v>
      </c>
      <c r="Z21" s="412" t="str">
        <f ca="1">IFERROR(VLOOKUP(Z$2,Rango_Admin_DailyPred,MATCH($F21,Rango_Admin_DailyPred_Primera,0)+1,0),"-")</f>
        <v>-</v>
      </c>
      <c r="AA21" s="412" t="str">
        <f ca="1">IFERROR(VLOOKUP(AA$2,Rango_Admin_DailyPred,MATCH($F21,Rango_Admin_DailyPred_Primera,0)+1,0),"-")</f>
        <v>-</v>
      </c>
      <c r="AB21" s="412" t="str">
        <f ca="1">IFERROR(VLOOKUP(AB$2,Rango_Admin_DailyPred,MATCH($F21,Rango_Admin_DailyPred_Primera,0)+1,0),"-")</f>
        <v>-</v>
      </c>
      <c r="AC21" s="412" t="str">
        <f ca="1">IFERROR(VLOOKUP(AC$2,Rango_Admin_DailyPred,MATCH($F21,Rango_Admin_DailyPred_Primera,0)+1,0),"-")</f>
        <v>-</v>
      </c>
      <c r="AD21" s="412" t="str">
        <f ca="1">IFERROR(VLOOKUP(AD$2,Rango_Admin_DailyPred,MATCH($F21,Rango_Admin_DailyPred_Primera,0)+1,0),"-")</f>
        <v>-</v>
      </c>
      <c r="AE21" s="412" t="str">
        <f ca="1">IFERROR(VLOOKUP(AE$2,Rango_Admin_DailyPred,MATCH($F21,Rango_Admin_DailyPred_Primera,0)+1,0),"-")</f>
        <v>-</v>
      </c>
      <c r="AF21" s="412" t="str">
        <f ca="1">IFERROR(VLOOKUP(AF$2,Rango_Admin_DailyPred,MATCH($F21,Rango_Admin_DailyPred_Primera,0)+1,0),"-")</f>
        <v>-</v>
      </c>
      <c r="AG21" s="412" t="str">
        <f ca="1">IFERROR(VLOOKUP(AG$2,Rango_Admin_DailyPred,MATCH($F21,Rango_Admin_DailyPred_Primera,0)+1,0),"-")</f>
        <v>-</v>
      </c>
      <c r="AH21" s="412" t="str">
        <f ca="1">IFERROR(VLOOKUP(AH$2,Rango_Admin_DailyPred,MATCH($F21,Rango_Admin_DailyPred_Primera,0)+1,0),"-")</f>
        <v>-</v>
      </c>
      <c r="AI21" s="412" t="str">
        <f ca="1">IFERROR(VLOOKUP(AI$2,Rango_Admin_DailyPred,MATCH($F21,Rango_Admin_DailyPred_Primera,0)+1,0),"-")</f>
        <v>-</v>
      </c>
      <c r="AJ21" s="412" t="str">
        <f ca="1">IFERROR(VLOOKUP(AJ$2,Rango_Admin_DailyPred,MATCH($F21,Rango_Admin_DailyPred_Primera,0)+1,0),"-")</f>
        <v>-</v>
      </c>
      <c r="AK21" s="412" t="str">
        <f ca="1">IFERROR(VLOOKUP(AK$2,Rango_Admin_DailyPred,MATCH($F21,Rango_Admin_DailyPred_Primera,0)+1,0),"-")</f>
        <v>-</v>
      </c>
      <c r="AL21" s="412" t="str">
        <f ca="1">IFERROR(VLOOKUP(AL$2,Rango_Admin_DailyPred,MATCH($F21,Rango_Admin_DailyPred_Primera,0)+1,0),"-")</f>
        <v>-</v>
      </c>
      <c r="AM21" s="412" t="str">
        <f ca="1">IFERROR(VLOOKUP(AM$2,Rango_Admin_DailyPred,MATCH($F21,Rango_Admin_DailyPred_Primera,0)+1,0),"-")</f>
        <v>-</v>
      </c>
      <c r="AN21" s="287"/>
    </row>
    <row r="22" spans="1:40" hidden="1">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5">
        <v>19</v>
      </c>
      <c r="D22" s="82"/>
      <c r="E22" s="395">
        <f ca="1">IFERROR(HLOOKUP(C22,Rango_Admin_DailyClas,3,FALSE),"-")</f>
        <v>1</v>
      </c>
      <c r="F22" s="428" t="str">
        <f ca="1">IFERROR(HLOOKUP(C22,Rango_Admin_DailyClas,5,FALSE),"-")</f>
        <v>Pegar Valores Nombre J19</v>
      </c>
      <c r="G22" s="18">
        <f ca="1">IFERROR(HLOOKUP(C22,Rango_Admin_DailyClas,4,FALSE),"-")</f>
        <v>0</v>
      </c>
      <c r="H22" s="412">
        <f ca="1">IFERROR(VLOOKUP(H$2,Rango_Admin_DailyPred,MATCH($F22,Rango_Admin_DailyPred_Primera,0)+1,0),"-")</f>
        <v>0</v>
      </c>
      <c r="I22" s="412">
        <f ca="1">IFERROR(VLOOKUP(I$2,Rango_Admin_DailyPred,MATCH($F22,Rango_Admin_DailyPred_Primera,0)+1,0),"-")</f>
        <v>0</v>
      </c>
      <c r="J22" s="412" t="str">
        <f ca="1">IFERROR(VLOOKUP(J$2,Rango_Admin_DailyPred,MATCH($F22,Rango_Admin_DailyPred_Primera,0)+1,0),"-")</f>
        <v>-</v>
      </c>
      <c r="K22" s="412" t="str">
        <f ca="1">IFERROR(VLOOKUP(K$2,Rango_Admin_DailyPred,MATCH($F22,Rango_Admin_DailyPred_Primera,0)+1,0),"-")</f>
        <v>-</v>
      </c>
      <c r="L22" s="412" t="str">
        <f ca="1">IFERROR(VLOOKUP(L$2,Rango_Admin_DailyPred,MATCH($F22,Rango_Admin_DailyPred_Primera,0)+1,0),"-")</f>
        <v>-</v>
      </c>
      <c r="M22" s="412" t="str">
        <f ca="1">IFERROR(VLOOKUP(M$2,Rango_Admin_DailyPred,MATCH($F22,Rango_Admin_DailyPred_Primera,0)+1,0),"-")</f>
        <v>-</v>
      </c>
      <c r="N22" s="412" t="str">
        <f ca="1">IFERROR(VLOOKUP(N$2,Rango_Admin_DailyPred,MATCH($F22,Rango_Admin_DailyPred_Primera,0)+1,0),"-")</f>
        <v>-</v>
      </c>
      <c r="O22" s="412" t="str">
        <f ca="1">IFERROR(VLOOKUP(O$2,Rango_Admin_DailyPred,MATCH($F22,Rango_Admin_DailyPred_Primera,0)+1,0),"-")</f>
        <v>-</v>
      </c>
      <c r="P22" s="412" t="str">
        <f ca="1">IFERROR(VLOOKUP(P$2,Rango_Admin_DailyPred,MATCH($F22,Rango_Admin_DailyPred_Primera,0)+1,0),"-")</f>
        <v>-</v>
      </c>
      <c r="Q22" s="412" t="str">
        <f ca="1">IFERROR(VLOOKUP(Q$2,Rango_Admin_DailyPred,MATCH($F22,Rango_Admin_DailyPred_Primera,0)+1,0),"-")</f>
        <v>-</v>
      </c>
      <c r="R22" s="412" t="str">
        <f ca="1">IFERROR(VLOOKUP(R$2,Rango_Admin_DailyPred,MATCH($F22,Rango_Admin_DailyPred_Primera,0)+1,0),"-")</f>
        <v>-</v>
      </c>
      <c r="S22" s="412" t="str">
        <f ca="1">IFERROR(VLOOKUP(S$2,Rango_Admin_DailyPred,MATCH($F22,Rango_Admin_DailyPred_Primera,0)+1,0),"-")</f>
        <v>-</v>
      </c>
      <c r="T22" s="412" t="str">
        <f ca="1">IFERROR(VLOOKUP(T$2,Rango_Admin_DailyPred,MATCH($F22,Rango_Admin_DailyPred_Primera,0)+1,0),"-")</f>
        <v>-</v>
      </c>
      <c r="U22" s="412" t="str">
        <f ca="1">IFERROR(VLOOKUP(U$2,Rango_Admin_DailyPred,MATCH($F22,Rango_Admin_DailyPred_Primera,0)+1,0),"-")</f>
        <v>-</v>
      </c>
      <c r="V22" s="412" t="str">
        <f ca="1">IFERROR(VLOOKUP(V$2,Rango_Admin_DailyPred,MATCH($F22,Rango_Admin_DailyPred_Primera,0)+1,0),"-")</f>
        <v>-</v>
      </c>
      <c r="W22" s="412" t="str">
        <f ca="1">IFERROR(VLOOKUP(W$2,Rango_Admin_DailyPred,MATCH($F22,Rango_Admin_DailyPred_Primera,0)+1,0),"-")</f>
        <v>-</v>
      </c>
      <c r="X22" s="412" t="str">
        <f ca="1">IFERROR(VLOOKUP(X$2,Rango_Admin_DailyPred,MATCH($F22,Rango_Admin_DailyPred_Primera,0)+1,0),"-")</f>
        <v>-</v>
      </c>
      <c r="Y22" s="412" t="str">
        <f ca="1">IFERROR(VLOOKUP(Y$2,Rango_Admin_DailyPred,MATCH($F22,Rango_Admin_DailyPred_Primera,0)+1,0),"-")</f>
        <v>-</v>
      </c>
      <c r="Z22" s="412" t="str">
        <f ca="1">IFERROR(VLOOKUP(Z$2,Rango_Admin_DailyPred,MATCH($F22,Rango_Admin_DailyPred_Primera,0)+1,0),"-")</f>
        <v>-</v>
      </c>
      <c r="AA22" s="412" t="str">
        <f ca="1">IFERROR(VLOOKUP(AA$2,Rango_Admin_DailyPred,MATCH($F22,Rango_Admin_DailyPred_Primera,0)+1,0),"-")</f>
        <v>-</v>
      </c>
      <c r="AB22" s="412" t="str">
        <f ca="1">IFERROR(VLOOKUP(AB$2,Rango_Admin_DailyPred,MATCH($F22,Rango_Admin_DailyPred_Primera,0)+1,0),"-")</f>
        <v>-</v>
      </c>
      <c r="AC22" s="412" t="str">
        <f ca="1">IFERROR(VLOOKUP(AC$2,Rango_Admin_DailyPred,MATCH($F22,Rango_Admin_DailyPred_Primera,0)+1,0),"-")</f>
        <v>-</v>
      </c>
      <c r="AD22" s="412" t="str">
        <f ca="1">IFERROR(VLOOKUP(AD$2,Rango_Admin_DailyPred,MATCH($F22,Rango_Admin_DailyPred_Primera,0)+1,0),"-")</f>
        <v>-</v>
      </c>
      <c r="AE22" s="412" t="str">
        <f ca="1">IFERROR(VLOOKUP(AE$2,Rango_Admin_DailyPred,MATCH($F22,Rango_Admin_DailyPred_Primera,0)+1,0),"-")</f>
        <v>-</v>
      </c>
      <c r="AF22" s="412" t="str">
        <f ca="1">IFERROR(VLOOKUP(AF$2,Rango_Admin_DailyPred,MATCH($F22,Rango_Admin_DailyPred_Primera,0)+1,0),"-")</f>
        <v>-</v>
      </c>
      <c r="AG22" s="412" t="str">
        <f ca="1">IFERROR(VLOOKUP(AG$2,Rango_Admin_DailyPred,MATCH($F22,Rango_Admin_DailyPred_Primera,0)+1,0),"-")</f>
        <v>-</v>
      </c>
      <c r="AH22" s="412" t="str">
        <f ca="1">IFERROR(VLOOKUP(AH$2,Rango_Admin_DailyPred,MATCH($F22,Rango_Admin_DailyPred_Primera,0)+1,0),"-")</f>
        <v>-</v>
      </c>
      <c r="AI22" s="412" t="str">
        <f ca="1">IFERROR(VLOOKUP(AI$2,Rango_Admin_DailyPred,MATCH($F22,Rango_Admin_DailyPred_Primera,0)+1,0),"-")</f>
        <v>-</v>
      </c>
      <c r="AJ22" s="412" t="str">
        <f ca="1">IFERROR(VLOOKUP(AJ$2,Rango_Admin_DailyPred,MATCH($F22,Rango_Admin_DailyPred_Primera,0)+1,0),"-")</f>
        <v>-</v>
      </c>
      <c r="AK22" s="412" t="str">
        <f ca="1">IFERROR(VLOOKUP(AK$2,Rango_Admin_DailyPred,MATCH($F22,Rango_Admin_DailyPred_Primera,0)+1,0),"-")</f>
        <v>-</v>
      </c>
      <c r="AL22" s="412" t="str">
        <f ca="1">IFERROR(VLOOKUP(AL$2,Rango_Admin_DailyPred,MATCH($F22,Rango_Admin_DailyPred_Primera,0)+1,0),"-")</f>
        <v>-</v>
      </c>
      <c r="AM22" s="412" t="str">
        <f ca="1">IFERROR(VLOOKUP(AM$2,Rango_Admin_DailyPred,MATCH($F22,Rango_Admin_DailyPred_Primera,0)+1,0),"-")</f>
        <v>-</v>
      </c>
      <c r="AN22" s="287"/>
    </row>
    <row r="23" spans="1:40" hidden="1">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5">
        <v>20</v>
      </c>
      <c r="D23" s="82"/>
      <c r="E23" s="395">
        <f ca="1">IFERROR(HLOOKUP(C23,Rango_Admin_DailyClas,3,FALSE),"-")</f>
        <v>1</v>
      </c>
      <c r="F23" s="428" t="str">
        <f ca="1">IFERROR(HLOOKUP(C23,Rango_Admin_DailyClas,5,FALSE),"-")</f>
        <v>Pegar Valores Nombre J20</v>
      </c>
      <c r="G23" s="18">
        <f ca="1">IFERROR(HLOOKUP(C23,Rango_Admin_DailyClas,4,FALSE),"-")</f>
        <v>0</v>
      </c>
      <c r="H23" s="412">
        <f ca="1">IFERROR(VLOOKUP(H$2,Rango_Admin_DailyPred,MATCH($F23,Rango_Admin_DailyPred_Primera,0)+1,0),"-")</f>
        <v>0</v>
      </c>
      <c r="I23" s="412">
        <f ca="1">IFERROR(VLOOKUP(I$2,Rango_Admin_DailyPred,MATCH($F23,Rango_Admin_DailyPred_Primera,0)+1,0),"-")</f>
        <v>0</v>
      </c>
      <c r="J23" s="412" t="str">
        <f ca="1">IFERROR(VLOOKUP(J$2,Rango_Admin_DailyPred,MATCH($F23,Rango_Admin_DailyPred_Primera,0)+1,0),"-")</f>
        <v>-</v>
      </c>
      <c r="K23" s="412" t="str">
        <f ca="1">IFERROR(VLOOKUP(K$2,Rango_Admin_DailyPred,MATCH($F23,Rango_Admin_DailyPred_Primera,0)+1,0),"-")</f>
        <v>-</v>
      </c>
      <c r="L23" s="412" t="str">
        <f ca="1">IFERROR(VLOOKUP(L$2,Rango_Admin_DailyPred,MATCH($F23,Rango_Admin_DailyPred_Primera,0)+1,0),"-")</f>
        <v>-</v>
      </c>
      <c r="M23" s="412" t="str">
        <f ca="1">IFERROR(VLOOKUP(M$2,Rango_Admin_DailyPred,MATCH($F23,Rango_Admin_DailyPred_Primera,0)+1,0),"-")</f>
        <v>-</v>
      </c>
      <c r="N23" s="412" t="str">
        <f ca="1">IFERROR(VLOOKUP(N$2,Rango_Admin_DailyPred,MATCH($F23,Rango_Admin_DailyPred_Primera,0)+1,0),"-")</f>
        <v>-</v>
      </c>
      <c r="O23" s="412" t="str">
        <f ca="1">IFERROR(VLOOKUP(O$2,Rango_Admin_DailyPred,MATCH($F23,Rango_Admin_DailyPred_Primera,0)+1,0),"-")</f>
        <v>-</v>
      </c>
      <c r="P23" s="412" t="str">
        <f ca="1">IFERROR(VLOOKUP(P$2,Rango_Admin_DailyPred,MATCH($F23,Rango_Admin_DailyPred_Primera,0)+1,0),"-")</f>
        <v>-</v>
      </c>
      <c r="Q23" s="412" t="str">
        <f ca="1">IFERROR(VLOOKUP(Q$2,Rango_Admin_DailyPred,MATCH($F23,Rango_Admin_DailyPred_Primera,0)+1,0),"-")</f>
        <v>-</v>
      </c>
      <c r="R23" s="412" t="str">
        <f ca="1">IFERROR(VLOOKUP(R$2,Rango_Admin_DailyPred,MATCH($F23,Rango_Admin_DailyPred_Primera,0)+1,0),"-")</f>
        <v>-</v>
      </c>
      <c r="S23" s="412" t="str">
        <f ca="1">IFERROR(VLOOKUP(S$2,Rango_Admin_DailyPred,MATCH($F23,Rango_Admin_DailyPred_Primera,0)+1,0),"-")</f>
        <v>-</v>
      </c>
      <c r="T23" s="412" t="str">
        <f ca="1">IFERROR(VLOOKUP(T$2,Rango_Admin_DailyPred,MATCH($F23,Rango_Admin_DailyPred_Primera,0)+1,0),"-")</f>
        <v>-</v>
      </c>
      <c r="U23" s="412" t="str">
        <f ca="1">IFERROR(VLOOKUP(U$2,Rango_Admin_DailyPred,MATCH($F23,Rango_Admin_DailyPred_Primera,0)+1,0),"-")</f>
        <v>-</v>
      </c>
      <c r="V23" s="412" t="str">
        <f ca="1">IFERROR(VLOOKUP(V$2,Rango_Admin_DailyPred,MATCH($F23,Rango_Admin_DailyPred_Primera,0)+1,0),"-")</f>
        <v>-</v>
      </c>
      <c r="W23" s="412" t="str">
        <f ca="1">IFERROR(VLOOKUP(W$2,Rango_Admin_DailyPred,MATCH($F23,Rango_Admin_DailyPred_Primera,0)+1,0),"-")</f>
        <v>-</v>
      </c>
      <c r="X23" s="412" t="str">
        <f ca="1">IFERROR(VLOOKUP(X$2,Rango_Admin_DailyPred,MATCH($F23,Rango_Admin_DailyPred_Primera,0)+1,0),"-")</f>
        <v>-</v>
      </c>
      <c r="Y23" s="412" t="str">
        <f ca="1">IFERROR(VLOOKUP(Y$2,Rango_Admin_DailyPred,MATCH($F23,Rango_Admin_DailyPred_Primera,0)+1,0),"-")</f>
        <v>-</v>
      </c>
      <c r="Z23" s="412" t="str">
        <f ca="1">IFERROR(VLOOKUP(Z$2,Rango_Admin_DailyPred,MATCH($F23,Rango_Admin_DailyPred_Primera,0)+1,0),"-")</f>
        <v>-</v>
      </c>
      <c r="AA23" s="412" t="str">
        <f ca="1">IFERROR(VLOOKUP(AA$2,Rango_Admin_DailyPred,MATCH($F23,Rango_Admin_DailyPred_Primera,0)+1,0),"-")</f>
        <v>-</v>
      </c>
      <c r="AB23" s="412" t="str">
        <f ca="1">IFERROR(VLOOKUP(AB$2,Rango_Admin_DailyPred,MATCH($F23,Rango_Admin_DailyPred_Primera,0)+1,0),"-")</f>
        <v>-</v>
      </c>
      <c r="AC23" s="412" t="str">
        <f ca="1">IFERROR(VLOOKUP(AC$2,Rango_Admin_DailyPred,MATCH($F23,Rango_Admin_DailyPred_Primera,0)+1,0),"-")</f>
        <v>-</v>
      </c>
      <c r="AD23" s="412" t="str">
        <f ca="1">IFERROR(VLOOKUP(AD$2,Rango_Admin_DailyPred,MATCH($F23,Rango_Admin_DailyPred_Primera,0)+1,0),"-")</f>
        <v>-</v>
      </c>
      <c r="AE23" s="412" t="str">
        <f ca="1">IFERROR(VLOOKUP(AE$2,Rango_Admin_DailyPred,MATCH($F23,Rango_Admin_DailyPred_Primera,0)+1,0),"-")</f>
        <v>-</v>
      </c>
      <c r="AF23" s="412" t="str">
        <f ca="1">IFERROR(VLOOKUP(AF$2,Rango_Admin_DailyPred,MATCH($F23,Rango_Admin_DailyPred_Primera,0)+1,0),"-")</f>
        <v>-</v>
      </c>
      <c r="AG23" s="412" t="str">
        <f ca="1">IFERROR(VLOOKUP(AG$2,Rango_Admin_DailyPred,MATCH($F23,Rango_Admin_DailyPred_Primera,0)+1,0),"-")</f>
        <v>-</v>
      </c>
      <c r="AH23" s="412" t="str">
        <f ca="1">IFERROR(VLOOKUP(AH$2,Rango_Admin_DailyPred,MATCH($F23,Rango_Admin_DailyPred_Primera,0)+1,0),"-")</f>
        <v>-</v>
      </c>
      <c r="AI23" s="412" t="str">
        <f ca="1">IFERROR(VLOOKUP(AI$2,Rango_Admin_DailyPred,MATCH($F23,Rango_Admin_DailyPred_Primera,0)+1,0),"-")</f>
        <v>-</v>
      </c>
      <c r="AJ23" s="412" t="str">
        <f ca="1">IFERROR(VLOOKUP(AJ$2,Rango_Admin_DailyPred,MATCH($F23,Rango_Admin_DailyPred_Primera,0)+1,0),"-")</f>
        <v>-</v>
      </c>
      <c r="AK23" s="412" t="str">
        <f ca="1">IFERROR(VLOOKUP(AK$2,Rango_Admin_DailyPred,MATCH($F23,Rango_Admin_DailyPred_Primera,0)+1,0),"-")</f>
        <v>-</v>
      </c>
      <c r="AL23" s="412" t="str">
        <f ca="1">IFERROR(VLOOKUP(AL$2,Rango_Admin_DailyPred,MATCH($F23,Rango_Admin_DailyPred_Primera,0)+1,0),"-")</f>
        <v>-</v>
      </c>
      <c r="AM23" s="412" t="str">
        <f ca="1">IFERROR(VLOOKUP(AM$2,Rango_Admin_DailyPred,MATCH($F23,Rango_Admin_DailyPred_Primera,0)+1,0),"-")</f>
        <v>-</v>
      </c>
      <c r="AN23" s="287"/>
    </row>
    <row r="24" spans="1:40" hidden="1">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5">
        <v>21</v>
      </c>
      <c r="D24" s="82"/>
      <c r="E24" s="395">
        <f ca="1">IFERROR(HLOOKUP(C24,Rango_Admin_DailyClas,3,FALSE),"-")</f>
        <v>1</v>
      </c>
      <c r="F24" s="428" t="str">
        <f ca="1">IFERROR(HLOOKUP(C24,Rango_Admin_DailyClas,5,FALSE),"-")</f>
        <v>Pegar Valores Nombre J21</v>
      </c>
      <c r="G24" s="18">
        <f ca="1">IFERROR(HLOOKUP(C24,Rango_Admin_DailyClas,4,FALSE),"-")</f>
        <v>0</v>
      </c>
      <c r="H24" s="412">
        <f ca="1">IFERROR(VLOOKUP(H$2,Rango_Admin_DailyPred,MATCH($F24,Rango_Admin_DailyPred_Primera,0)+1,0),"-")</f>
        <v>0</v>
      </c>
      <c r="I24" s="412">
        <f ca="1">IFERROR(VLOOKUP(I$2,Rango_Admin_DailyPred,MATCH($F24,Rango_Admin_DailyPred_Primera,0)+1,0),"-")</f>
        <v>0</v>
      </c>
      <c r="J24" s="412" t="str">
        <f ca="1">IFERROR(VLOOKUP(J$2,Rango_Admin_DailyPred,MATCH($F24,Rango_Admin_DailyPred_Primera,0)+1,0),"-")</f>
        <v>-</v>
      </c>
      <c r="K24" s="412" t="str">
        <f ca="1">IFERROR(VLOOKUP(K$2,Rango_Admin_DailyPred,MATCH($F24,Rango_Admin_DailyPred_Primera,0)+1,0),"-")</f>
        <v>-</v>
      </c>
      <c r="L24" s="412" t="str">
        <f ca="1">IFERROR(VLOOKUP(L$2,Rango_Admin_DailyPred,MATCH($F24,Rango_Admin_DailyPred_Primera,0)+1,0),"-")</f>
        <v>-</v>
      </c>
      <c r="M24" s="412" t="str">
        <f ca="1">IFERROR(VLOOKUP(M$2,Rango_Admin_DailyPred,MATCH($F24,Rango_Admin_DailyPred_Primera,0)+1,0),"-")</f>
        <v>-</v>
      </c>
      <c r="N24" s="412" t="str">
        <f ca="1">IFERROR(VLOOKUP(N$2,Rango_Admin_DailyPred,MATCH($F24,Rango_Admin_DailyPred_Primera,0)+1,0),"-")</f>
        <v>-</v>
      </c>
      <c r="O24" s="412" t="str">
        <f ca="1">IFERROR(VLOOKUP(O$2,Rango_Admin_DailyPred,MATCH($F24,Rango_Admin_DailyPred_Primera,0)+1,0),"-")</f>
        <v>-</v>
      </c>
      <c r="P24" s="412" t="str">
        <f ca="1">IFERROR(VLOOKUP(P$2,Rango_Admin_DailyPred,MATCH($F24,Rango_Admin_DailyPred_Primera,0)+1,0),"-")</f>
        <v>-</v>
      </c>
      <c r="Q24" s="412" t="str">
        <f ca="1">IFERROR(VLOOKUP(Q$2,Rango_Admin_DailyPred,MATCH($F24,Rango_Admin_DailyPred_Primera,0)+1,0),"-")</f>
        <v>-</v>
      </c>
      <c r="R24" s="412" t="str">
        <f ca="1">IFERROR(VLOOKUP(R$2,Rango_Admin_DailyPred,MATCH($F24,Rango_Admin_DailyPred_Primera,0)+1,0),"-")</f>
        <v>-</v>
      </c>
      <c r="S24" s="412" t="str">
        <f ca="1">IFERROR(VLOOKUP(S$2,Rango_Admin_DailyPred,MATCH($F24,Rango_Admin_DailyPred_Primera,0)+1,0),"-")</f>
        <v>-</v>
      </c>
      <c r="T24" s="412" t="str">
        <f ca="1">IFERROR(VLOOKUP(T$2,Rango_Admin_DailyPred,MATCH($F24,Rango_Admin_DailyPred_Primera,0)+1,0),"-")</f>
        <v>-</v>
      </c>
      <c r="U24" s="412" t="str">
        <f ca="1">IFERROR(VLOOKUP(U$2,Rango_Admin_DailyPred,MATCH($F24,Rango_Admin_DailyPred_Primera,0)+1,0),"-")</f>
        <v>-</v>
      </c>
      <c r="V24" s="412" t="str">
        <f ca="1">IFERROR(VLOOKUP(V$2,Rango_Admin_DailyPred,MATCH($F24,Rango_Admin_DailyPred_Primera,0)+1,0),"-")</f>
        <v>-</v>
      </c>
      <c r="W24" s="412" t="str">
        <f ca="1">IFERROR(VLOOKUP(W$2,Rango_Admin_DailyPred,MATCH($F24,Rango_Admin_DailyPred_Primera,0)+1,0),"-")</f>
        <v>-</v>
      </c>
      <c r="X24" s="412" t="str">
        <f ca="1">IFERROR(VLOOKUP(X$2,Rango_Admin_DailyPred,MATCH($F24,Rango_Admin_DailyPred_Primera,0)+1,0),"-")</f>
        <v>-</v>
      </c>
      <c r="Y24" s="412" t="str">
        <f ca="1">IFERROR(VLOOKUP(Y$2,Rango_Admin_DailyPred,MATCH($F24,Rango_Admin_DailyPred_Primera,0)+1,0),"-")</f>
        <v>-</v>
      </c>
      <c r="Z24" s="412" t="str">
        <f ca="1">IFERROR(VLOOKUP(Z$2,Rango_Admin_DailyPred,MATCH($F24,Rango_Admin_DailyPred_Primera,0)+1,0),"-")</f>
        <v>-</v>
      </c>
      <c r="AA24" s="412" t="str">
        <f ca="1">IFERROR(VLOOKUP(AA$2,Rango_Admin_DailyPred,MATCH($F24,Rango_Admin_DailyPred_Primera,0)+1,0),"-")</f>
        <v>-</v>
      </c>
      <c r="AB24" s="412" t="str">
        <f ca="1">IFERROR(VLOOKUP(AB$2,Rango_Admin_DailyPred,MATCH($F24,Rango_Admin_DailyPred_Primera,0)+1,0),"-")</f>
        <v>-</v>
      </c>
      <c r="AC24" s="412" t="str">
        <f ca="1">IFERROR(VLOOKUP(AC$2,Rango_Admin_DailyPred,MATCH($F24,Rango_Admin_DailyPred_Primera,0)+1,0),"-")</f>
        <v>-</v>
      </c>
      <c r="AD24" s="412" t="str">
        <f ca="1">IFERROR(VLOOKUP(AD$2,Rango_Admin_DailyPred,MATCH($F24,Rango_Admin_DailyPred_Primera,0)+1,0),"-")</f>
        <v>-</v>
      </c>
      <c r="AE24" s="412" t="str">
        <f ca="1">IFERROR(VLOOKUP(AE$2,Rango_Admin_DailyPred,MATCH($F24,Rango_Admin_DailyPred_Primera,0)+1,0),"-")</f>
        <v>-</v>
      </c>
      <c r="AF24" s="412" t="str">
        <f ca="1">IFERROR(VLOOKUP(AF$2,Rango_Admin_DailyPred,MATCH($F24,Rango_Admin_DailyPred_Primera,0)+1,0),"-")</f>
        <v>-</v>
      </c>
      <c r="AG24" s="412" t="str">
        <f ca="1">IFERROR(VLOOKUP(AG$2,Rango_Admin_DailyPred,MATCH($F24,Rango_Admin_DailyPred_Primera,0)+1,0),"-")</f>
        <v>-</v>
      </c>
      <c r="AH24" s="412" t="str">
        <f ca="1">IFERROR(VLOOKUP(AH$2,Rango_Admin_DailyPred,MATCH($F24,Rango_Admin_DailyPred_Primera,0)+1,0),"-")</f>
        <v>-</v>
      </c>
      <c r="AI24" s="412" t="str">
        <f ca="1">IFERROR(VLOOKUP(AI$2,Rango_Admin_DailyPred,MATCH($F24,Rango_Admin_DailyPred_Primera,0)+1,0),"-")</f>
        <v>-</v>
      </c>
      <c r="AJ24" s="412" t="str">
        <f ca="1">IFERROR(VLOOKUP(AJ$2,Rango_Admin_DailyPred,MATCH($F24,Rango_Admin_DailyPred_Primera,0)+1,0),"-")</f>
        <v>-</v>
      </c>
      <c r="AK24" s="412" t="str">
        <f ca="1">IFERROR(VLOOKUP(AK$2,Rango_Admin_DailyPred,MATCH($F24,Rango_Admin_DailyPred_Primera,0)+1,0),"-")</f>
        <v>-</v>
      </c>
      <c r="AL24" s="412" t="str">
        <f ca="1">IFERROR(VLOOKUP(AL$2,Rango_Admin_DailyPred,MATCH($F24,Rango_Admin_DailyPred_Primera,0)+1,0),"-")</f>
        <v>-</v>
      </c>
      <c r="AM24" s="412" t="str">
        <f ca="1">IFERROR(VLOOKUP(AM$2,Rango_Admin_DailyPred,MATCH($F24,Rango_Admin_DailyPred_Primera,0)+1,0),"-")</f>
        <v>-</v>
      </c>
      <c r="AN24" s="287"/>
    </row>
    <row r="25" spans="1:40" hidden="1">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5">
        <v>22</v>
      </c>
      <c r="D25" s="82"/>
      <c r="E25" s="395">
        <f ca="1">IFERROR(HLOOKUP(C25,Rango_Admin_DailyClas,3,FALSE),"-")</f>
        <v>1</v>
      </c>
      <c r="F25" s="428" t="str">
        <f ca="1">IFERROR(HLOOKUP(C25,Rango_Admin_DailyClas,5,FALSE),"-")</f>
        <v>Pegar Valores Nombre J22</v>
      </c>
      <c r="G25" s="18">
        <f ca="1">IFERROR(HLOOKUP(C25,Rango_Admin_DailyClas,4,FALSE),"-")</f>
        <v>0</v>
      </c>
      <c r="H25" s="412">
        <f ca="1">IFERROR(VLOOKUP(H$2,Rango_Admin_DailyPred,MATCH($F25,Rango_Admin_DailyPred_Primera,0)+1,0),"-")</f>
        <v>0</v>
      </c>
      <c r="I25" s="412">
        <f ca="1">IFERROR(VLOOKUP(I$2,Rango_Admin_DailyPred,MATCH($F25,Rango_Admin_DailyPred_Primera,0)+1,0),"-")</f>
        <v>0</v>
      </c>
      <c r="J25" s="412" t="str">
        <f ca="1">IFERROR(VLOOKUP(J$2,Rango_Admin_DailyPred,MATCH($F25,Rango_Admin_DailyPred_Primera,0)+1,0),"-")</f>
        <v>-</v>
      </c>
      <c r="K25" s="412" t="str">
        <f ca="1">IFERROR(VLOOKUP(K$2,Rango_Admin_DailyPred,MATCH($F25,Rango_Admin_DailyPred_Primera,0)+1,0),"-")</f>
        <v>-</v>
      </c>
      <c r="L25" s="412" t="str">
        <f ca="1">IFERROR(VLOOKUP(L$2,Rango_Admin_DailyPred,MATCH($F25,Rango_Admin_DailyPred_Primera,0)+1,0),"-")</f>
        <v>-</v>
      </c>
      <c r="M25" s="412" t="str">
        <f ca="1">IFERROR(VLOOKUP(M$2,Rango_Admin_DailyPred,MATCH($F25,Rango_Admin_DailyPred_Primera,0)+1,0),"-")</f>
        <v>-</v>
      </c>
      <c r="N25" s="412" t="str">
        <f ca="1">IFERROR(VLOOKUP(N$2,Rango_Admin_DailyPred,MATCH($F25,Rango_Admin_DailyPred_Primera,0)+1,0),"-")</f>
        <v>-</v>
      </c>
      <c r="O25" s="412" t="str">
        <f ca="1">IFERROR(VLOOKUP(O$2,Rango_Admin_DailyPred,MATCH($F25,Rango_Admin_DailyPred_Primera,0)+1,0),"-")</f>
        <v>-</v>
      </c>
      <c r="P25" s="412" t="str">
        <f ca="1">IFERROR(VLOOKUP(P$2,Rango_Admin_DailyPred,MATCH($F25,Rango_Admin_DailyPred_Primera,0)+1,0),"-")</f>
        <v>-</v>
      </c>
      <c r="Q25" s="412" t="str">
        <f ca="1">IFERROR(VLOOKUP(Q$2,Rango_Admin_DailyPred,MATCH($F25,Rango_Admin_DailyPred_Primera,0)+1,0),"-")</f>
        <v>-</v>
      </c>
      <c r="R25" s="412" t="str">
        <f ca="1">IFERROR(VLOOKUP(R$2,Rango_Admin_DailyPred,MATCH($F25,Rango_Admin_DailyPred_Primera,0)+1,0),"-")</f>
        <v>-</v>
      </c>
      <c r="S25" s="412" t="str">
        <f ca="1">IFERROR(VLOOKUP(S$2,Rango_Admin_DailyPred,MATCH($F25,Rango_Admin_DailyPred_Primera,0)+1,0),"-")</f>
        <v>-</v>
      </c>
      <c r="T25" s="412" t="str">
        <f ca="1">IFERROR(VLOOKUP(T$2,Rango_Admin_DailyPred,MATCH($F25,Rango_Admin_DailyPred_Primera,0)+1,0),"-")</f>
        <v>-</v>
      </c>
      <c r="U25" s="412" t="str">
        <f ca="1">IFERROR(VLOOKUP(U$2,Rango_Admin_DailyPred,MATCH($F25,Rango_Admin_DailyPred_Primera,0)+1,0),"-")</f>
        <v>-</v>
      </c>
      <c r="V25" s="412" t="str">
        <f ca="1">IFERROR(VLOOKUP(V$2,Rango_Admin_DailyPred,MATCH($F25,Rango_Admin_DailyPred_Primera,0)+1,0),"-")</f>
        <v>-</v>
      </c>
      <c r="W25" s="412" t="str">
        <f ca="1">IFERROR(VLOOKUP(W$2,Rango_Admin_DailyPred,MATCH($F25,Rango_Admin_DailyPred_Primera,0)+1,0),"-")</f>
        <v>-</v>
      </c>
      <c r="X25" s="412" t="str">
        <f ca="1">IFERROR(VLOOKUP(X$2,Rango_Admin_DailyPred,MATCH($F25,Rango_Admin_DailyPred_Primera,0)+1,0),"-")</f>
        <v>-</v>
      </c>
      <c r="Y25" s="412" t="str">
        <f ca="1">IFERROR(VLOOKUP(Y$2,Rango_Admin_DailyPred,MATCH($F25,Rango_Admin_DailyPred_Primera,0)+1,0),"-")</f>
        <v>-</v>
      </c>
      <c r="Z25" s="412" t="str">
        <f ca="1">IFERROR(VLOOKUP(Z$2,Rango_Admin_DailyPred,MATCH($F25,Rango_Admin_DailyPred_Primera,0)+1,0),"-")</f>
        <v>-</v>
      </c>
      <c r="AA25" s="412" t="str">
        <f ca="1">IFERROR(VLOOKUP(AA$2,Rango_Admin_DailyPred,MATCH($F25,Rango_Admin_DailyPred_Primera,0)+1,0),"-")</f>
        <v>-</v>
      </c>
      <c r="AB25" s="412" t="str">
        <f ca="1">IFERROR(VLOOKUP(AB$2,Rango_Admin_DailyPred,MATCH($F25,Rango_Admin_DailyPred_Primera,0)+1,0),"-")</f>
        <v>-</v>
      </c>
      <c r="AC25" s="412" t="str">
        <f ca="1">IFERROR(VLOOKUP(AC$2,Rango_Admin_DailyPred,MATCH($F25,Rango_Admin_DailyPred_Primera,0)+1,0),"-")</f>
        <v>-</v>
      </c>
      <c r="AD25" s="412" t="str">
        <f ca="1">IFERROR(VLOOKUP(AD$2,Rango_Admin_DailyPred,MATCH($F25,Rango_Admin_DailyPred_Primera,0)+1,0),"-")</f>
        <v>-</v>
      </c>
      <c r="AE25" s="412" t="str">
        <f ca="1">IFERROR(VLOOKUP(AE$2,Rango_Admin_DailyPred,MATCH($F25,Rango_Admin_DailyPred_Primera,0)+1,0),"-")</f>
        <v>-</v>
      </c>
      <c r="AF25" s="412" t="str">
        <f ca="1">IFERROR(VLOOKUP(AF$2,Rango_Admin_DailyPred,MATCH($F25,Rango_Admin_DailyPred_Primera,0)+1,0),"-")</f>
        <v>-</v>
      </c>
      <c r="AG25" s="412" t="str">
        <f ca="1">IFERROR(VLOOKUP(AG$2,Rango_Admin_DailyPred,MATCH($F25,Rango_Admin_DailyPred_Primera,0)+1,0),"-")</f>
        <v>-</v>
      </c>
      <c r="AH25" s="412" t="str">
        <f ca="1">IFERROR(VLOOKUP(AH$2,Rango_Admin_DailyPred,MATCH($F25,Rango_Admin_DailyPred_Primera,0)+1,0),"-")</f>
        <v>-</v>
      </c>
      <c r="AI25" s="412" t="str">
        <f ca="1">IFERROR(VLOOKUP(AI$2,Rango_Admin_DailyPred,MATCH($F25,Rango_Admin_DailyPred_Primera,0)+1,0),"-")</f>
        <v>-</v>
      </c>
      <c r="AJ25" s="412" t="str">
        <f ca="1">IFERROR(VLOOKUP(AJ$2,Rango_Admin_DailyPred,MATCH($F25,Rango_Admin_DailyPred_Primera,0)+1,0),"-")</f>
        <v>-</v>
      </c>
      <c r="AK25" s="412" t="str">
        <f ca="1">IFERROR(VLOOKUP(AK$2,Rango_Admin_DailyPred,MATCH($F25,Rango_Admin_DailyPred_Primera,0)+1,0),"-")</f>
        <v>-</v>
      </c>
      <c r="AL25" s="412" t="str">
        <f ca="1">IFERROR(VLOOKUP(AL$2,Rango_Admin_DailyPred,MATCH($F25,Rango_Admin_DailyPred_Primera,0)+1,0),"-")</f>
        <v>-</v>
      </c>
      <c r="AM25" s="412" t="str">
        <f ca="1">IFERROR(VLOOKUP(AM$2,Rango_Admin_DailyPred,MATCH($F25,Rango_Admin_DailyPred_Primera,0)+1,0),"-")</f>
        <v>-</v>
      </c>
      <c r="AN25" s="287"/>
    </row>
    <row r="26" spans="1:40" hidden="1">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5">
        <v>23</v>
      </c>
      <c r="D26" s="82"/>
      <c r="E26" s="395">
        <f ca="1">IFERROR(HLOOKUP(C26,Rango_Admin_DailyClas,3,FALSE),"-")</f>
        <v>1</v>
      </c>
      <c r="F26" s="428" t="str">
        <f ca="1">IFERROR(HLOOKUP(C26,Rango_Admin_DailyClas,5,FALSE),"-")</f>
        <v>Pegar Valores Nombre J23</v>
      </c>
      <c r="G26" s="18">
        <f ca="1">IFERROR(HLOOKUP(C26,Rango_Admin_DailyClas,4,FALSE),"-")</f>
        <v>0</v>
      </c>
      <c r="H26" s="412">
        <f ca="1">IFERROR(VLOOKUP(H$2,Rango_Admin_DailyPred,MATCH($F26,Rango_Admin_DailyPred_Primera,0)+1,0),"-")</f>
        <v>0</v>
      </c>
      <c r="I26" s="412">
        <f ca="1">IFERROR(VLOOKUP(I$2,Rango_Admin_DailyPred,MATCH($F26,Rango_Admin_DailyPred_Primera,0)+1,0),"-")</f>
        <v>0</v>
      </c>
      <c r="J26" s="412" t="str">
        <f ca="1">IFERROR(VLOOKUP(J$2,Rango_Admin_DailyPred,MATCH($F26,Rango_Admin_DailyPred_Primera,0)+1,0),"-")</f>
        <v>-</v>
      </c>
      <c r="K26" s="412" t="str">
        <f ca="1">IFERROR(VLOOKUP(K$2,Rango_Admin_DailyPred,MATCH($F26,Rango_Admin_DailyPred_Primera,0)+1,0),"-")</f>
        <v>-</v>
      </c>
      <c r="L26" s="412" t="str">
        <f ca="1">IFERROR(VLOOKUP(L$2,Rango_Admin_DailyPred,MATCH($F26,Rango_Admin_DailyPred_Primera,0)+1,0),"-")</f>
        <v>-</v>
      </c>
      <c r="M26" s="412" t="str">
        <f ca="1">IFERROR(VLOOKUP(M$2,Rango_Admin_DailyPred,MATCH($F26,Rango_Admin_DailyPred_Primera,0)+1,0),"-")</f>
        <v>-</v>
      </c>
      <c r="N26" s="412" t="str">
        <f ca="1">IFERROR(VLOOKUP(N$2,Rango_Admin_DailyPred,MATCH($F26,Rango_Admin_DailyPred_Primera,0)+1,0),"-")</f>
        <v>-</v>
      </c>
      <c r="O26" s="412" t="str">
        <f ca="1">IFERROR(VLOOKUP(O$2,Rango_Admin_DailyPred,MATCH($F26,Rango_Admin_DailyPred_Primera,0)+1,0),"-")</f>
        <v>-</v>
      </c>
      <c r="P26" s="412" t="str">
        <f ca="1">IFERROR(VLOOKUP(P$2,Rango_Admin_DailyPred,MATCH($F26,Rango_Admin_DailyPred_Primera,0)+1,0),"-")</f>
        <v>-</v>
      </c>
      <c r="Q26" s="412" t="str">
        <f ca="1">IFERROR(VLOOKUP(Q$2,Rango_Admin_DailyPred,MATCH($F26,Rango_Admin_DailyPred_Primera,0)+1,0),"-")</f>
        <v>-</v>
      </c>
      <c r="R26" s="412" t="str">
        <f ca="1">IFERROR(VLOOKUP(R$2,Rango_Admin_DailyPred,MATCH($F26,Rango_Admin_DailyPred_Primera,0)+1,0),"-")</f>
        <v>-</v>
      </c>
      <c r="S26" s="412" t="str">
        <f ca="1">IFERROR(VLOOKUP(S$2,Rango_Admin_DailyPred,MATCH($F26,Rango_Admin_DailyPred_Primera,0)+1,0),"-")</f>
        <v>-</v>
      </c>
      <c r="T26" s="412" t="str">
        <f ca="1">IFERROR(VLOOKUP(T$2,Rango_Admin_DailyPred,MATCH($F26,Rango_Admin_DailyPred_Primera,0)+1,0),"-")</f>
        <v>-</v>
      </c>
      <c r="U26" s="412" t="str">
        <f ca="1">IFERROR(VLOOKUP(U$2,Rango_Admin_DailyPred,MATCH($F26,Rango_Admin_DailyPred_Primera,0)+1,0),"-")</f>
        <v>-</v>
      </c>
      <c r="V26" s="412" t="str">
        <f ca="1">IFERROR(VLOOKUP(V$2,Rango_Admin_DailyPred,MATCH($F26,Rango_Admin_DailyPred_Primera,0)+1,0),"-")</f>
        <v>-</v>
      </c>
      <c r="W26" s="412" t="str">
        <f ca="1">IFERROR(VLOOKUP(W$2,Rango_Admin_DailyPred,MATCH($F26,Rango_Admin_DailyPred_Primera,0)+1,0),"-")</f>
        <v>-</v>
      </c>
      <c r="X26" s="412" t="str">
        <f ca="1">IFERROR(VLOOKUP(X$2,Rango_Admin_DailyPred,MATCH($F26,Rango_Admin_DailyPred_Primera,0)+1,0),"-")</f>
        <v>-</v>
      </c>
      <c r="Y26" s="412" t="str">
        <f ca="1">IFERROR(VLOOKUP(Y$2,Rango_Admin_DailyPred,MATCH($F26,Rango_Admin_DailyPred_Primera,0)+1,0),"-")</f>
        <v>-</v>
      </c>
      <c r="Z26" s="412" t="str">
        <f ca="1">IFERROR(VLOOKUP(Z$2,Rango_Admin_DailyPred,MATCH($F26,Rango_Admin_DailyPred_Primera,0)+1,0),"-")</f>
        <v>-</v>
      </c>
      <c r="AA26" s="412" t="str">
        <f ca="1">IFERROR(VLOOKUP(AA$2,Rango_Admin_DailyPred,MATCH($F26,Rango_Admin_DailyPred_Primera,0)+1,0),"-")</f>
        <v>-</v>
      </c>
      <c r="AB26" s="412" t="str">
        <f ca="1">IFERROR(VLOOKUP(AB$2,Rango_Admin_DailyPred,MATCH($F26,Rango_Admin_DailyPred_Primera,0)+1,0),"-")</f>
        <v>-</v>
      </c>
      <c r="AC26" s="412" t="str">
        <f ca="1">IFERROR(VLOOKUP(AC$2,Rango_Admin_DailyPred,MATCH($F26,Rango_Admin_DailyPred_Primera,0)+1,0),"-")</f>
        <v>-</v>
      </c>
      <c r="AD26" s="412" t="str">
        <f ca="1">IFERROR(VLOOKUP(AD$2,Rango_Admin_DailyPred,MATCH($F26,Rango_Admin_DailyPred_Primera,0)+1,0),"-")</f>
        <v>-</v>
      </c>
      <c r="AE26" s="412" t="str">
        <f ca="1">IFERROR(VLOOKUP(AE$2,Rango_Admin_DailyPred,MATCH($F26,Rango_Admin_DailyPred_Primera,0)+1,0),"-")</f>
        <v>-</v>
      </c>
      <c r="AF26" s="412" t="str">
        <f ca="1">IFERROR(VLOOKUP(AF$2,Rango_Admin_DailyPred,MATCH($F26,Rango_Admin_DailyPred_Primera,0)+1,0),"-")</f>
        <v>-</v>
      </c>
      <c r="AG26" s="412" t="str">
        <f ca="1">IFERROR(VLOOKUP(AG$2,Rango_Admin_DailyPred,MATCH($F26,Rango_Admin_DailyPred_Primera,0)+1,0),"-")</f>
        <v>-</v>
      </c>
      <c r="AH26" s="412" t="str">
        <f ca="1">IFERROR(VLOOKUP(AH$2,Rango_Admin_DailyPred,MATCH($F26,Rango_Admin_DailyPred_Primera,0)+1,0),"-")</f>
        <v>-</v>
      </c>
      <c r="AI26" s="412" t="str">
        <f ca="1">IFERROR(VLOOKUP(AI$2,Rango_Admin_DailyPred,MATCH($F26,Rango_Admin_DailyPred_Primera,0)+1,0),"-")</f>
        <v>-</v>
      </c>
      <c r="AJ26" s="412" t="str">
        <f ca="1">IFERROR(VLOOKUP(AJ$2,Rango_Admin_DailyPred,MATCH($F26,Rango_Admin_DailyPred_Primera,0)+1,0),"-")</f>
        <v>-</v>
      </c>
      <c r="AK26" s="412" t="str">
        <f ca="1">IFERROR(VLOOKUP(AK$2,Rango_Admin_DailyPred,MATCH($F26,Rango_Admin_DailyPred_Primera,0)+1,0),"-")</f>
        <v>-</v>
      </c>
      <c r="AL26" s="412" t="str">
        <f ca="1">IFERROR(VLOOKUP(AL$2,Rango_Admin_DailyPred,MATCH($F26,Rango_Admin_DailyPred_Primera,0)+1,0),"-")</f>
        <v>-</v>
      </c>
      <c r="AM26" s="412" t="str">
        <f ca="1">IFERROR(VLOOKUP(AM$2,Rango_Admin_DailyPred,MATCH($F26,Rango_Admin_DailyPred_Primera,0)+1,0),"-")</f>
        <v>-</v>
      </c>
      <c r="AN26" s="287"/>
    </row>
    <row r="27" spans="1:40" hidden="1">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5">
        <v>24</v>
      </c>
      <c r="D27" s="82"/>
      <c r="E27" s="395">
        <f ca="1">IFERROR(HLOOKUP(C27,Rango_Admin_DailyClas,3,FALSE),"-")</f>
        <v>1</v>
      </c>
      <c r="F27" s="428" t="str">
        <f ca="1">IFERROR(HLOOKUP(C27,Rango_Admin_DailyClas,5,FALSE),"-")</f>
        <v>Pegar Valores Nombre J24</v>
      </c>
      <c r="G27" s="18">
        <f ca="1">IFERROR(HLOOKUP(C27,Rango_Admin_DailyClas,4,FALSE),"-")</f>
        <v>0</v>
      </c>
      <c r="H27" s="412">
        <f ca="1">IFERROR(VLOOKUP(H$2,Rango_Admin_DailyPred,MATCH($F27,Rango_Admin_DailyPred_Primera,0)+1,0),"-")</f>
        <v>0</v>
      </c>
      <c r="I27" s="412">
        <f ca="1">IFERROR(VLOOKUP(I$2,Rango_Admin_DailyPred,MATCH($F27,Rango_Admin_DailyPred_Primera,0)+1,0),"-")</f>
        <v>0</v>
      </c>
      <c r="J27" s="412" t="str">
        <f ca="1">IFERROR(VLOOKUP(J$2,Rango_Admin_DailyPred,MATCH($F27,Rango_Admin_DailyPred_Primera,0)+1,0),"-")</f>
        <v>-</v>
      </c>
      <c r="K27" s="412" t="str">
        <f ca="1">IFERROR(VLOOKUP(K$2,Rango_Admin_DailyPred,MATCH($F27,Rango_Admin_DailyPred_Primera,0)+1,0),"-")</f>
        <v>-</v>
      </c>
      <c r="L27" s="412" t="str">
        <f ca="1">IFERROR(VLOOKUP(L$2,Rango_Admin_DailyPred,MATCH($F27,Rango_Admin_DailyPred_Primera,0)+1,0),"-")</f>
        <v>-</v>
      </c>
      <c r="M27" s="412" t="str">
        <f ca="1">IFERROR(VLOOKUP(M$2,Rango_Admin_DailyPred,MATCH($F27,Rango_Admin_DailyPred_Primera,0)+1,0),"-")</f>
        <v>-</v>
      </c>
      <c r="N27" s="412" t="str">
        <f ca="1">IFERROR(VLOOKUP(N$2,Rango_Admin_DailyPred,MATCH($F27,Rango_Admin_DailyPred_Primera,0)+1,0),"-")</f>
        <v>-</v>
      </c>
      <c r="O27" s="412" t="str">
        <f ca="1">IFERROR(VLOOKUP(O$2,Rango_Admin_DailyPred,MATCH($F27,Rango_Admin_DailyPred_Primera,0)+1,0),"-")</f>
        <v>-</v>
      </c>
      <c r="P27" s="412" t="str">
        <f ca="1">IFERROR(VLOOKUP(P$2,Rango_Admin_DailyPred,MATCH($F27,Rango_Admin_DailyPred_Primera,0)+1,0),"-")</f>
        <v>-</v>
      </c>
      <c r="Q27" s="412" t="str">
        <f ca="1">IFERROR(VLOOKUP(Q$2,Rango_Admin_DailyPred,MATCH($F27,Rango_Admin_DailyPred_Primera,0)+1,0),"-")</f>
        <v>-</v>
      </c>
      <c r="R27" s="412" t="str">
        <f ca="1">IFERROR(VLOOKUP(R$2,Rango_Admin_DailyPred,MATCH($F27,Rango_Admin_DailyPred_Primera,0)+1,0),"-")</f>
        <v>-</v>
      </c>
      <c r="S27" s="412" t="str">
        <f ca="1">IFERROR(VLOOKUP(S$2,Rango_Admin_DailyPred,MATCH($F27,Rango_Admin_DailyPred_Primera,0)+1,0),"-")</f>
        <v>-</v>
      </c>
      <c r="T27" s="412" t="str">
        <f ca="1">IFERROR(VLOOKUP(T$2,Rango_Admin_DailyPred,MATCH($F27,Rango_Admin_DailyPred_Primera,0)+1,0),"-")</f>
        <v>-</v>
      </c>
      <c r="U27" s="412" t="str">
        <f ca="1">IFERROR(VLOOKUP(U$2,Rango_Admin_DailyPred,MATCH($F27,Rango_Admin_DailyPred_Primera,0)+1,0),"-")</f>
        <v>-</v>
      </c>
      <c r="V27" s="412" t="str">
        <f ca="1">IFERROR(VLOOKUP(V$2,Rango_Admin_DailyPred,MATCH($F27,Rango_Admin_DailyPred_Primera,0)+1,0),"-")</f>
        <v>-</v>
      </c>
      <c r="W27" s="412" t="str">
        <f ca="1">IFERROR(VLOOKUP(W$2,Rango_Admin_DailyPred,MATCH($F27,Rango_Admin_DailyPred_Primera,0)+1,0),"-")</f>
        <v>-</v>
      </c>
      <c r="X27" s="412" t="str">
        <f ca="1">IFERROR(VLOOKUP(X$2,Rango_Admin_DailyPred,MATCH($F27,Rango_Admin_DailyPred_Primera,0)+1,0),"-")</f>
        <v>-</v>
      </c>
      <c r="Y27" s="412" t="str">
        <f ca="1">IFERROR(VLOOKUP(Y$2,Rango_Admin_DailyPred,MATCH($F27,Rango_Admin_DailyPred_Primera,0)+1,0),"-")</f>
        <v>-</v>
      </c>
      <c r="Z27" s="412" t="str">
        <f ca="1">IFERROR(VLOOKUP(Z$2,Rango_Admin_DailyPred,MATCH($F27,Rango_Admin_DailyPred_Primera,0)+1,0),"-")</f>
        <v>-</v>
      </c>
      <c r="AA27" s="412" t="str">
        <f ca="1">IFERROR(VLOOKUP(AA$2,Rango_Admin_DailyPred,MATCH($F27,Rango_Admin_DailyPred_Primera,0)+1,0),"-")</f>
        <v>-</v>
      </c>
      <c r="AB27" s="412" t="str">
        <f ca="1">IFERROR(VLOOKUP(AB$2,Rango_Admin_DailyPred,MATCH($F27,Rango_Admin_DailyPred_Primera,0)+1,0),"-")</f>
        <v>-</v>
      </c>
      <c r="AC27" s="412" t="str">
        <f ca="1">IFERROR(VLOOKUP(AC$2,Rango_Admin_DailyPred,MATCH($F27,Rango_Admin_DailyPred_Primera,0)+1,0),"-")</f>
        <v>-</v>
      </c>
      <c r="AD27" s="412" t="str">
        <f ca="1">IFERROR(VLOOKUP(AD$2,Rango_Admin_DailyPred,MATCH($F27,Rango_Admin_DailyPred_Primera,0)+1,0),"-")</f>
        <v>-</v>
      </c>
      <c r="AE27" s="412" t="str">
        <f ca="1">IFERROR(VLOOKUP(AE$2,Rango_Admin_DailyPred,MATCH($F27,Rango_Admin_DailyPred_Primera,0)+1,0),"-")</f>
        <v>-</v>
      </c>
      <c r="AF27" s="412" t="str">
        <f ca="1">IFERROR(VLOOKUP(AF$2,Rango_Admin_DailyPred,MATCH($F27,Rango_Admin_DailyPred_Primera,0)+1,0),"-")</f>
        <v>-</v>
      </c>
      <c r="AG27" s="412" t="str">
        <f ca="1">IFERROR(VLOOKUP(AG$2,Rango_Admin_DailyPred,MATCH($F27,Rango_Admin_DailyPred_Primera,0)+1,0),"-")</f>
        <v>-</v>
      </c>
      <c r="AH27" s="412" t="str">
        <f ca="1">IFERROR(VLOOKUP(AH$2,Rango_Admin_DailyPred,MATCH($F27,Rango_Admin_DailyPred_Primera,0)+1,0),"-")</f>
        <v>-</v>
      </c>
      <c r="AI27" s="412" t="str">
        <f ca="1">IFERROR(VLOOKUP(AI$2,Rango_Admin_DailyPred,MATCH($F27,Rango_Admin_DailyPred_Primera,0)+1,0),"-")</f>
        <v>-</v>
      </c>
      <c r="AJ27" s="412" t="str">
        <f ca="1">IFERROR(VLOOKUP(AJ$2,Rango_Admin_DailyPred,MATCH($F27,Rango_Admin_DailyPred_Primera,0)+1,0),"-")</f>
        <v>-</v>
      </c>
      <c r="AK27" s="412" t="str">
        <f ca="1">IFERROR(VLOOKUP(AK$2,Rango_Admin_DailyPred,MATCH($F27,Rango_Admin_DailyPred_Primera,0)+1,0),"-")</f>
        <v>-</v>
      </c>
      <c r="AL27" s="412" t="str">
        <f ca="1">IFERROR(VLOOKUP(AL$2,Rango_Admin_DailyPred,MATCH($F27,Rango_Admin_DailyPred_Primera,0)+1,0),"-")</f>
        <v>-</v>
      </c>
      <c r="AM27" s="412" t="str">
        <f ca="1">IFERROR(VLOOKUP(AM$2,Rango_Admin_DailyPred,MATCH($F27,Rango_Admin_DailyPred_Primera,0)+1,0),"-")</f>
        <v>-</v>
      </c>
      <c r="AN27" s="287"/>
    </row>
    <row r="28" spans="1:40" hidden="1">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5">
        <v>25</v>
      </c>
      <c r="D28" s="82"/>
      <c r="E28" s="395">
        <f ca="1">IFERROR(HLOOKUP(C28,Rango_Admin_DailyClas,3,FALSE),"-")</f>
        <v>1</v>
      </c>
      <c r="F28" s="428" t="str">
        <f ca="1">IFERROR(HLOOKUP(C28,Rango_Admin_DailyClas,5,FALSE),"-")</f>
        <v>Pegar Valores Nombre J25</v>
      </c>
      <c r="G28" s="18">
        <f ca="1">IFERROR(HLOOKUP(C28,Rango_Admin_DailyClas,4,FALSE),"-")</f>
        <v>0</v>
      </c>
      <c r="H28" s="412">
        <f ca="1">IFERROR(VLOOKUP(H$2,Rango_Admin_DailyPred,MATCH($F28,Rango_Admin_DailyPred_Primera,0)+1,0),"-")</f>
        <v>0</v>
      </c>
      <c r="I28" s="412">
        <f ca="1">IFERROR(VLOOKUP(I$2,Rango_Admin_DailyPred,MATCH($F28,Rango_Admin_DailyPred_Primera,0)+1,0),"-")</f>
        <v>0</v>
      </c>
      <c r="J28" s="412" t="str">
        <f ca="1">IFERROR(VLOOKUP(J$2,Rango_Admin_DailyPred,MATCH($F28,Rango_Admin_DailyPred_Primera,0)+1,0),"-")</f>
        <v>-</v>
      </c>
      <c r="K28" s="412" t="str">
        <f ca="1">IFERROR(VLOOKUP(K$2,Rango_Admin_DailyPred,MATCH($F28,Rango_Admin_DailyPred_Primera,0)+1,0),"-")</f>
        <v>-</v>
      </c>
      <c r="L28" s="412" t="str">
        <f ca="1">IFERROR(VLOOKUP(L$2,Rango_Admin_DailyPred,MATCH($F28,Rango_Admin_DailyPred_Primera,0)+1,0),"-")</f>
        <v>-</v>
      </c>
      <c r="M28" s="412" t="str">
        <f ca="1">IFERROR(VLOOKUP(M$2,Rango_Admin_DailyPred,MATCH($F28,Rango_Admin_DailyPred_Primera,0)+1,0),"-")</f>
        <v>-</v>
      </c>
      <c r="N28" s="412" t="str">
        <f ca="1">IFERROR(VLOOKUP(N$2,Rango_Admin_DailyPred,MATCH($F28,Rango_Admin_DailyPred_Primera,0)+1,0),"-")</f>
        <v>-</v>
      </c>
      <c r="O28" s="412" t="str">
        <f ca="1">IFERROR(VLOOKUP(O$2,Rango_Admin_DailyPred,MATCH($F28,Rango_Admin_DailyPred_Primera,0)+1,0),"-")</f>
        <v>-</v>
      </c>
      <c r="P28" s="412" t="str">
        <f ca="1">IFERROR(VLOOKUP(P$2,Rango_Admin_DailyPred,MATCH($F28,Rango_Admin_DailyPred_Primera,0)+1,0),"-")</f>
        <v>-</v>
      </c>
      <c r="Q28" s="412" t="str">
        <f ca="1">IFERROR(VLOOKUP(Q$2,Rango_Admin_DailyPred,MATCH($F28,Rango_Admin_DailyPred_Primera,0)+1,0),"-")</f>
        <v>-</v>
      </c>
      <c r="R28" s="412" t="str">
        <f ca="1">IFERROR(VLOOKUP(R$2,Rango_Admin_DailyPred,MATCH($F28,Rango_Admin_DailyPred_Primera,0)+1,0),"-")</f>
        <v>-</v>
      </c>
      <c r="S28" s="412" t="str">
        <f ca="1">IFERROR(VLOOKUP(S$2,Rango_Admin_DailyPred,MATCH($F28,Rango_Admin_DailyPred_Primera,0)+1,0),"-")</f>
        <v>-</v>
      </c>
      <c r="T28" s="412" t="str">
        <f ca="1">IFERROR(VLOOKUP(T$2,Rango_Admin_DailyPred,MATCH($F28,Rango_Admin_DailyPred_Primera,0)+1,0),"-")</f>
        <v>-</v>
      </c>
      <c r="U28" s="412" t="str">
        <f ca="1">IFERROR(VLOOKUP(U$2,Rango_Admin_DailyPred,MATCH($F28,Rango_Admin_DailyPred_Primera,0)+1,0),"-")</f>
        <v>-</v>
      </c>
      <c r="V28" s="412" t="str">
        <f ca="1">IFERROR(VLOOKUP(V$2,Rango_Admin_DailyPred,MATCH($F28,Rango_Admin_DailyPred_Primera,0)+1,0),"-")</f>
        <v>-</v>
      </c>
      <c r="W28" s="412" t="str">
        <f ca="1">IFERROR(VLOOKUP(W$2,Rango_Admin_DailyPred,MATCH($F28,Rango_Admin_DailyPred_Primera,0)+1,0),"-")</f>
        <v>-</v>
      </c>
      <c r="X28" s="412" t="str">
        <f ca="1">IFERROR(VLOOKUP(X$2,Rango_Admin_DailyPred,MATCH($F28,Rango_Admin_DailyPred_Primera,0)+1,0),"-")</f>
        <v>-</v>
      </c>
      <c r="Y28" s="412" t="str">
        <f ca="1">IFERROR(VLOOKUP(Y$2,Rango_Admin_DailyPred,MATCH($F28,Rango_Admin_DailyPred_Primera,0)+1,0),"-")</f>
        <v>-</v>
      </c>
      <c r="Z28" s="412" t="str">
        <f ca="1">IFERROR(VLOOKUP(Z$2,Rango_Admin_DailyPred,MATCH($F28,Rango_Admin_DailyPred_Primera,0)+1,0),"-")</f>
        <v>-</v>
      </c>
      <c r="AA28" s="412" t="str">
        <f ca="1">IFERROR(VLOOKUP(AA$2,Rango_Admin_DailyPred,MATCH($F28,Rango_Admin_DailyPred_Primera,0)+1,0),"-")</f>
        <v>-</v>
      </c>
      <c r="AB28" s="412" t="str">
        <f ca="1">IFERROR(VLOOKUP(AB$2,Rango_Admin_DailyPred,MATCH($F28,Rango_Admin_DailyPred_Primera,0)+1,0),"-")</f>
        <v>-</v>
      </c>
      <c r="AC28" s="412" t="str">
        <f ca="1">IFERROR(VLOOKUP(AC$2,Rango_Admin_DailyPred,MATCH($F28,Rango_Admin_DailyPred_Primera,0)+1,0),"-")</f>
        <v>-</v>
      </c>
      <c r="AD28" s="412" t="str">
        <f ca="1">IFERROR(VLOOKUP(AD$2,Rango_Admin_DailyPred,MATCH($F28,Rango_Admin_DailyPred_Primera,0)+1,0),"-")</f>
        <v>-</v>
      </c>
      <c r="AE28" s="412" t="str">
        <f ca="1">IFERROR(VLOOKUP(AE$2,Rango_Admin_DailyPred,MATCH($F28,Rango_Admin_DailyPred_Primera,0)+1,0),"-")</f>
        <v>-</v>
      </c>
      <c r="AF28" s="412" t="str">
        <f ca="1">IFERROR(VLOOKUP(AF$2,Rango_Admin_DailyPred,MATCH($F28,Rango_Admin_DailyPred_Primera,0)+1,0),"-")</f>
        <v>-</v>
      </c>
      <c r="AG28" s="412" t="str">
        <f ca="1">IFERROR(VLOOKUP(AG$2,Rango_Admin_DailyPred,MATCH($F28,Rango_Admin_DailyPred_Primera,0)+1,0),"-")</f>
        <v>-</v>
      </c>
      <c r="AH28" s="412" t="str">
        <f ca="1">IFERROR(VLOOKUP(AH$2,Rango_Admin_DailyPred,MATCH($F28,Rango_Admin_DailyPred_Primera,0)+1,0),"-")</f>
        <v>-</v>
      </c>
      <c r="AI28" s="412" t="str">
        <f ca="1">IFERROR(VLOOKUP(AI$2,Rango_Admin_DailyPred,MATCH($F28,Rango_Admin_DailyPred_Primera,0)+1,0),"-")</f>
        <v>-</v>
      </c>
      <c r="AJ28" s="412" t="str">
        <f ca="1">IFERROR(VLOOKUP(AJ$2,Rango_Admin_DailyPred,MATCH($F28,Rango_Admin_DailyPred_Primera,0)+1,0),"-")</f>
        <v>-</v>
      </c>
      <c r="AK28" s="412" t="str">
        <f ca="1">IFERROR(VLOOKUP(AK$2,Rango_Admin_DailyPred,MATCH($F28,Rango_Admin_DailyPred_Primera,0)+1,0),"-")</f>
        <v>-</v>
      </c>
      <c r="AL28" s="412" t="str">
        <f ca="1">IFERROR(VLOOKUP(AL$2,Rango_Admin_DailyPred,MATCH($F28,Rango_Admin_DailyPred_Primera,0)+1,0),"-")</f>
        <v>-</v>
      </c>
      <c r="AM28" s="412" t="str">
        <f ca="1">IFERROR(VLOOKUP(AM$2,Rango_Admin_DailyPred,MATCH($F28,Rango_Admin_DailyPred_Primera,0)+1,0),"-")</f>
        <v>-</v>
      </c>
      <c r="AN28" s="287"/>
    </row>
    <row r="29" spans="1:40" hidden="1">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5">
        <v>26</v>
      </c>
      <c r="D29" s="82"/>
      <c r="E29" s="395">
        <f ca="1">IFERROR(HLOOKUP(C29,Rango_Admin_DailyClas,3,FALSE),"-")</f>
        <v>1</v>
      </c>
      <c r="F29" s="428" t="str">
        <f ca="1">IFERROR(HLOOKUP(C29,Rango_Admin_DailyClas,5,FALSE),"-")</f>
        <v>Pegar Valores Nombre J26</v>
      </c>
      <c r="G29" s="18">
        <f ca="1">IFERROR(HLOOKUP(C29,Rango_Admin_DailyClas,4,FALSE),"-")</f>
        <v>0</v>
      </c>
      <c r="H29" s="412">
        <f ca="1">IFERROR(VLOOKUP(H$2,Rango_Admin_DailyPred,MATCH($F29,Rango_Admin_DailyPred_Primera,0)+1,0),"-")</f>
        <v>0</v>
      </c>
      <c r="I29" s="412">
        <f ca="1">IFERROR(VLOOKUP(I$2,Rango_Admin_DailyPred,MATCH($F29,Rango_Admin_DailyPred_Primera,0)+1,0),"-")</f>
        <v>0</v>
      </c>
      <c r="J29" s="412" t="str">
        <f ca="1">IFERROR(VLOOKUP(J$2,Rango_Admin_DailyPred,MATCH($F29,Rango_Admin_DailyPred_Primera,0)+1,0),"-")</f>
        <v>-</v>
      </c>
      <c r="K29" s="412" t="str">
        <f ca="1">IFERROR(VLOOKUP(K$2,Rango_Admin_DailyPred,MATCH($F29,Rango_Admin_DailyPred_Primera,0)+1,0),"-")</f>
        <v>-</v>
      </c>
      <c r="L29" s="412" t="str">
        <f ca="1">IFERROR(VLOOKUP(L$2,Rango_Admin_DailyPred,MATCH($F29,Rango_Admin_DailyPred_Primera,0)+1,0),"-")</f>
        <v>-</v>
      </c>
      <c r="M29" s="412" t="str">
        <f ca="1">IFERROR(VLOOKUP(M$2,Rango_Admin_DailyPred,MATCH($F29,Rango_Admin_DailyPred_Primera,0)+1,0),"-")</f>
        <v>-</v>
      </c>
      <c r="N29" s="412" t="str">
        <f ca="1">IFERROR(VLOOKUP(N$2,Rango_Admin_DailyPred,MATCH($F29,Rango_Admin_DailyPred_Primera,0)+1,0),"-")</f>
        <v>-</v>
      </c>
      <c r="O29" s="412" t="str">
        <f ca="1">IFERROR(VLOOKUP(O$2,Rango_Admin_DailyPred,MATCH($F29,Rango_Admin_DailyPred_Primera,0)+1,0),"-")</f>
        <v>-</v>
      </c>
      <c r="P29" s="412" t="str">
        <f ca="1">IFERROR(VLOOKUP(P$2,Rango_Admin_DailyPred,MATCH($F29,Rango_Admin_DailyPred_Primera,0)+1,0),"-")</f>
        <v>-</v>
      </c>
      <c r="Q29" s="412" t="str">
        <f ca="1">IFERROR(VLOOKUP(Q$2,Rango_Admin_DailyPred,MATCH($F29,Rango_Admin_DailyPred_Primera,0)+1,0),"-")</f>
        <v>-</v>
      </c>
      <c r="R29" s="412" t="str">
        <f ca="1">IFERROR(VLOOKUP(R$2,Rango_Admin_DailyPred,MATCH($F29,Rango_Admin_DailyPred_Primera,0)+1,0),"-")</f>
        <v>-</v>
      </c>
      <c r="S29" s="412" t="str">
        <f ca="1">IFERROR(VLOOKUP(S$2,Rango_Admin_DailyPred,MATCH($F29,Rango_Admin_DailyPred_Primera,0)+1,0),"-")</f>
        <v>-</v>
      </c>
      <c r="T29" s="412" t="str">
        <f ca="1">IFERROR(VLOOKUP(T$2,Rango_Admin_DailyPred,MATCH($F29,Rango_Admin_DailyPred_Primera,0)+1,0),"-")</f>
        <v>-</v>
      </c>
      <c r="U29" s="412" t="str">
        <f ca="1">IFERROR(VLOOKUP(U$2,Rango_Admin_DailyPred,MATCH($F29,Rango_Admin_DailyPred_Primera,0)+1,0),"-")</f>
        <v>-</v>
      </c>
      <c r="V29" s="412" t="str">
        <f ca="1">IFERROR(VLOOKUP(V$2,Rango_Admin_DailyPred,MATCH($F29,Rango_Admin_DailyPred_Primera,0)+1,0),"-")</f>
        <v>-</v>
      </c>
      <c r="W29" s="412" t="str">
        <f ca="1">IFERROR(VLOOKUP(W$2,Rango_Admin_DailyPred,MATCH($F29,Rango_Admin_DailyPred_Primera,0)+1,0),"-")</f>
        <v>-</v>
      </c>
      <c r="X29" s="412" t="str">
        <f ca="1">IFERROR(VLOOKUP(X$2,Rango_Admin_DailyPred,MATCH($F29,Rango_Admin_DailyPred_Primera,0)+1,0),"-")</f>
        <v>-</v>
      </c>
      <c r="Y29" s="412" t="str">
        <f ca="1">IFERROR(VLOOKUP(Y$2,Rango_Admin_DailyPred,MATCH($F29,Rango_Admin_DailyPred_Primera,0)+1,0),"-")</f>
        <v>-</v>
      </c>
      <c r="Z29" s="412" t="str">
        <f ca="1">IFERROR(VLOOKUP(Z$2,Rango_Admin_DailyPred,MATCH($F29,Rango_Admin_DailyPred_Primera,0)+1,0),"-")</f>
        <v>-</v>
      </c>
      <c r="AA29" s="412" t="str">
        <f ca="1">IFERROR(VLOOKUP(AA$2,Rango_Admin_DailyPred,MATCH($F29,Rango_Admin_DailyPred_Primera,0)+1,0),"-")</f>
        <v>-</v>
      </c>
      <c r="AB29" s="412" t="str">
        <f ca="1">IFERROR(VLOOKUP(AB$2,Rango_Admin_DailyPred,MATCH($F29,Rango_Admin_DailyPred_Primera,0)+1,0),"-")</f>
        <v>-</v>
      </c>
      <c r="AC29" s="412" t="str">
        <f ca="1">IFERROR(VLOOKUP(AC$2,Rango_Admin_DailyPred,MATCH($F29,Rango_Admin_DailyPred_Primera,0)+1,0),"-")</f>
        <v>-</v>
      </c>
      <c r="AD29" s="412" t="str">
        <f ca="1">IFERROR(VLOOKUP(AD$2,Rango_Admin_DailyPred,MATCH($F29,Rango_Admin_DailyPred_Primera,0)+1,0),"-")</f>
        <v>-</v>
      </c>
      <c r="AE29" s="412" t="str">
        <f ca="1">IFERROR(VLOOKUP(AE$2,Rango_Admin_DailyPred,MATCH($F29,Rango_Admin_DailyPred_Primera,0)+1,0),"-")</f>
        <v>-</v>
      </c>
      <c r="AF29" s="412" t="str">
        <f ca="1">IFERROR(VLOOKUP(AF$2,Rango_Admin_DailyPred,MATCH($F29,Rango_Admin_DailyPred_Primera,0)+1,0),"-")</f>
        <v>-</v>
      </c>
      <c r="AG29" s="412" t="str">
        <f ca="1">IFERROR(VLOOKUP(AG$2,Rango_Admin_DailyPred,MATCH($F29,Rango_Admin_DailyPred_Primera,0)+1,0),"-")</f>
        <v>-</v>
      </c>
      <c r="AH29" s="412" t="str">
        <f ca="1">IFERROR(VLOOKUP(AH$2,Rango_Admin_DailyPred,MATCH($F29,Rango_Admin_DailyPred_Primera,0)+1,0),"-")</f>
        <v>-</v>
      </c>
      <c r="AI29" s="412" t="str">
        <f ca="1">IFERROR(VLOOKUP(AI$2,Rango_Admin_DailyPred,MATCH($F29,Rango_Admin_DailyPred_Primera,0)+1,0),"-")</f>
        <v>-</v>
      </c>
      <c r="AJ29" s="412" t="str">
        <f ca="1">IFERROR(VLOOKUP(AJ$2,Rango_Admin_DailyPred,MATCH($F29,Rango_Admin_DailyPred_Primera,0)+1,0),"-")</f>
        <v>-</v>
      </c>
      <c r="AK29" s="412" t="str">
        <f ca="1">IFERROR(VLOOKUP(AK$2,Rango_Admin_DailyPred,MATCH($F29,Rango_Admin_DailyPred_Primera,0)+1,0),"-")</f>
        <v>-</v>
      </c>
      <c r="AL29" s="412" t="str">
        <f ca="1">IFERROR(VLOOKUP(AL$2,Rango_Admin_DailyPred,MATCH($F29,Rango_Admin_DailyPred_Primera,0)+1,0),"-")</f>
        <v>-</v>
      </c>
      <c r="AM29" s="412" t="str">
        <f ca="1">IFERROR(VLOOKUP(AM$2,Rango_Admin_DailyPred,MATCH($F29,Rango_Admin_DailyPred_Primera,0)+1,0),"-")</f>
        <v>-</v>
      </c>
      <c r="AN29" s="287"/>
    </row>
    <row r="30" spans="1:40" hidden="1">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5">
        <v>27</v>
      </c>
      <c r="D30" s="82"/>
      <c r="E30" s="395">
        <f ca="1">IFERROR(HLOOKUP(C30,Rango_Admin_DailyClas,3,FALSE),"-")</f>
        <v>1</v>
      </c>
      <c r="F30" s="428" t="str">
        <f ca="1">IFERROR(HLOOKUP(C30,Rango_Admin_DailyClas,5,FALSE),"-")</f>
        <v>Pegar Valores Nombre J27</v>
      </c>
      <c r="G30" s="18">
        <f ca="1">IFERROR(HLOOKUP(C30,Rango_Admin_DailyClas,4,FALSE),"-")</f>
        <v>0</v>
      </c>
      <c r="H30" s="412">
        <f ca="1">IFERROR(VLOOKUP(H$2,Rango_Admin_DailyPred,MATCH($F30,Rango_Admin_DailyPred_Primera,0)+1,0),"-")</f>
        <v>0</v>
      </c>
      <c r="I30" s="412">
        <f ca="1">IFERROR(VLOOKUP(I$2,Rango_Admin_DailyPred,MATCH($F30,Rango_Admin_DailyPred_Primera,0)+1,0),"-")</f>
        <v>0</v>
      </c>
      <c r="J30" s="412" t="str">
        <f ca="1">IFERROR(VLOOKUP(J$2,Rango_Admin_DailyPred,MATCH($F30,Rango_Admin_DailyPred_Primera,0)+1,0),"-")</f>
        <v>-</v>
      </c>
      <c r="K30" s="412" t="str">
        <f ca="1">IFERROR(VLOOKUP(K$2,Rango_Admin_DailyPred,MATCH($F30,Rango_Admin_DailyPred_Primera,0)+1,0),"-")</f>
        <v>-</v>
      </c>
      <c r="L30" s="412" t="str">
        <f ca="1">IFERROR(VLOOKUP(L$2,Rango_Admin_DailyPred,MATCH($F30,Rango_Admin_DailyPred_Primera,0)+1,0),"-")</f>
        <v>-</v>
      </c>
      <c r="M30" s="412" t="str">
        <f ca="1">IFERROR(VLOOKUP(M$2,Rango_Admin_DailyPred,MATCH($F30,Rango_Admin_DailyPred_Primera,0)+1,0),"-")</f>
        <v>-</v>
      </c>
      <c r="N30" s="412" t="str">
        <f ca="1">IFERROR(VLOOKUP(N$2,Rango_Admin_DailyPred,MATCH($F30,Rango_Admin_DailyPred_Primera,0)+1,0),"-")</f>
        <v>-</v>
      </c>
      <c r="O30" s="412" t="str">
        <f ca="1">IFERROR(VLOOKUP(O$2,Rango_Admin_DailyPred,MATCH($F30,Rango_Admin_DailyPred_Primera,0)+1,0),"-")</f>
        <v>-</v>
      </c>
      <c r="P30" s="412" t="str">
        <f ca="1">IFERROR(VLOOKUP(P$2,Rango_Admin_DailyPred,MATCH($F30,Rango_Admin_DailyPred_Primera,0)+1,0),"-")</f>
        <v>-</v>
      </c>
      <c r="Q30" s="412" t="str">
        <f ca="1">IFERROR(VLOOKUP(Q$2,Rango_Admin_DailyPred,MATCH($F30,Rango_Admin_DailyPred_Primera,0)+1,0),"-")</f>
        <v>-</v>
      </c>
      <c r="R30" s="412" t="str">
        <f ca="1">IFERROR(VLOOKUP(R$2,Rango_Admin_DailyPred,MATCH($F30,Rango_Admin_DailyPred_Primera,0)+1,0),"-")</f>
        <v>-</v>
      </c>
      <c r="S30" s="412" t="str">
        <f ca="1">IFERROR(VLOOKUP(S$2,Rango_Admin_DailyPred,MATCH($F30,Rango_Admin_DailyPred_Primera,0)+1,0),"-")</f>
        <v>-</v>
      </c>
      <c r="T30" s="412" t="str">
        <f ca="1">IFERROR(VLOOKUP(T$2,Rango_Admin_DailyPred,MATCH($F30,Rango_Admin_DailyPred_Primera,0)+1,0),"-")</f>
        <v>-</v>
      </c>
      <c r="U30" s="412" t="str">
        <f ca="1">IFERROR(VLOOKUP(U$2,Rango_Admin_DailyPred,MATCH($F30,Rango_Admin_DailyPred_Primera,0)+1,0),"-")</f>
        <v>-</v>
      </c>
      <c r="V30" s="412" t="str">
        <f ca="1">IFERROR(VLOOKUP(V$2,Rango_Admin_DailyPred,MATCH($F30,Rango_Admin_DailyPred_Primera,0)+1,0),"-")</f>
        <v>-</v>
      </c>
      <c r="W30" s="412" t="str">
        <f ca="1">IFERROR(VLOOKUP(W$2,Rango_Admin_DailyPred,MATCH($F30,Rango_Admin_DailyPred_Primera,0)+1,0),"-")</f>
        <v>-</v>
      </c>
      <c r="X30" s="412" t="str">
        <f ca="1">IFERROR(VLOOKUP(X$2,Rango_Admin_DailyPred,MATCH($F30,Rango_Admin_DailyPred_Primera,0)+1,0),"-")</f>
        <v>-</v>
      </c>
      <c r="Y30" s="412" t="str">
        <f ca="1">IFERROR(VLOOKUP(Y$2,Rango_Admin_DailyPred,MATCH($F30,Rango_Admin_DailyPred_Primera,0)+1,0),"-")</f>
        <v>-</v>
      </c>
      <c r="Z30" s="412" t="str">
        <f ca="1">IFERROR(VLOOKUP(Z$2,Rango_Admin_DailyPred,MATCH($F30,Rango_Admin_DailyPred_Primera,0)+1,0),"-")</f>
        <v>-</v>
      </c>
      <c r="AA30" s="412" t="str">
        <f ca="1">IFERROR(VLOOKUP(AA$2,Rango_Admin_DailyPred,MATCH($F30,Rango_Admin_DailyPred_Primera,0)+1,0),"-")</f>
        <v>-</v>
      </c>
      <c r="AB30" s="412" t="str">
        <f ca="1">IFERROR(VLOOKUP(AB$2,Rango_Admin_DailyPred,MATCH($F30,Rango_Admin_DailyPred_Primera,0)+1,0),"-")</f>
        <v>-</v>
      </c>
      <c r="AC30" s="412" t="str">
        <f ca="1">IFERROR(VLOOKUP(AC$2,Rango_Admin_DailyPred,MATCH($F30,Rango_Admin_DailyPred_Primera,0)+1,0),"-")</f>
        <v>-</v>
      </c>
      <c r="AD30" s="412" t="str">
        <f ca="1">IFERROR(VLOOKUP(AD$2,Rango_Admin_DailyPred,MATCH($F30,Rango_Admin_DailyPred_Primera,0)+1,0),"-")</f>
        <v>-</v>
      </c>
      <c r="AE30" s="412" t="str">
        <f ca="1">IFERROR(VLOOKUP(AE$2,Rango_Admin_DailyPred,MATCH($F30,Rango_Admin_DailyPred_Primera,0)+1,0),"-")</f>
        <v>-</v>
      </c>
      <c r="AF30" s="412" t="str">
        <f ca="1">IFERROR(VLOOKUP(AF$2,Rango_Admin_DailyPred,MATCH($F30,Rango_Admin_DailyPred_Primera,0)+1,0),"-")</f>
        <v>-</v>
      </c>
      <c r="AG30" s="412" t="str">
        <f ca="1">IFERROR(VLOOKUP(AG$2,Rango_Admin_DailyPred,MATCH($F30,Rango_Admin_DailyPred_Primera,0)+1,0),"-")</f>
        <v>-</v>
      </c>
      <c r="AH30" s="412" t="str">
        <f ca="1">IFERROR(VLOOKUP(AH$2,Rango_Admin_DailyPred,MATCH($F30,Rango_Admin_DailyPred_Primera,0)+1,0),"-")</f>
        <v>-</v>
      </c>
      <c r="AI30" s="412" t="str">
        <f ca="1">IFERROR(VLOOKUP(AI$2,Rango_Admin_DailyPred,MATCH($F30,Rango_Admin_DailyPred_Primera,0)+1,0),"-")</f>
        <v>-</v>
      </c>
      <c r="AJ30" s="412" t="str">
        <f ca="1">IFERROR(VLOOKUP(AJ$2,Rango_Admin_DailyPred,MATCH($F30,Rango_Admin_DailyPred_Primera,0)+1,0),"-")</f>
        <v>-</v>
      </c>
      <c r="AK30" s="412" t="str">
        <f ca="1">IFERROR(VLOOKUP(AK$2,Rango_Admin_DailyPred,MATCH($F30,Rango_Admin_DailyPred_Primera,0)+1,0),"-")</f>
        <v>-</v>
      </c>
      <c r="AL30" s="412" t="str">
        <f ca="1">IFERROR(VLOOKUP(AL$2,Rango_Admin_DailyPred,MATCH($F30,Rango_Admin_DailyPred_Primera,0)+1,0),"-")</f>
        <v>-</v>
      </c>
      <c r="AM30" s="412" t="str">
        <f ca="1">IFERROR(VLOOKUP(AM$2,Rango_Admin_DailyPred,MATCH($F30,Rango_Admin_DailyPred_Primera,0)+1,0),"-")</f>
        <v>-</v>
      </c>
      <c r="AN30" s="287"/>
    </row>
    <row r="31" spans="1:40" hidden="1">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5">
        <v>28</v>
      </c>
      <c r="D31" s="82"/>
      <c r="E31" s="395">
        <f ca="1">IFERROR(HLOOKUP(C31,Rango_Admin_DailyClas,3,FALSE),"-")</f>
        <v>1</v>
      </c>
      <c r="F31" s="428" t="str">
        <f ca="1">IFERROR(HLOOKUP(C31,Rango_Admin_DailyClas,5,FALSE),"-")</f>
        <v>Pegar Valores Nombre J28</v>
      </c>
      <c r="G31" s="18">
        <f ca="1">IFERROR(HLOOKUP(C31,Rango_Admin_DailyClas,4,FALSE),"-")</f>
        <v>0</v>
      </c>
      <c r="H31" s="412">
        <f ca="1">IFERROR(VLOOKUP(H$2,Rango_Admin_DailyPred,MATCH($F31,Rango_Admin_DailyPred_Primera,0)+1,0),"-")</f>
        <v>0</v>
      </c>
      <c r="I31" s="412">
        <f ca="1">IFERROR(VLOOKUP(I$2,Rango_Admin_DailyPred,MATCH($F31,Rango_Admin_DailyPred_Primera,0)+1,0),"-")</f>
        <v>0</v>
      </c>
      <c r="J31" s="412" t="str">
        <f ca="1">IFERROR(VLOOKUP(J$2,Rango_Admin_DailyPred,MATCH($F31,Rango_Admin_DailyPred_Primera,0)+1,0),"-")</f>
        <v>-</v>
      </c>
      <c r="K31" s="412" t="str">
        <f ca="1">IFERROR(VLOOKUP(K$2,Rango_Admin_DailyPred,MATCH($F31,Rango_Admin_DailyPred_Primera,0)+1,0),"-")</f>
        <v>-</v>
      </c>
      <c r="L31" s="412" t="str">
        <f ca="1">IFERROR(VLOOKUP(L$2,Rango_Admin_DailyPred,MATCH($F31,Rango_Admin_DailyPred_Primera,0)+1,0),"-")</f>
        <v>-</v>
      </c>
      <c r="M31" s="412" t="str">
        <f ca="1">IFERROR(VLOOKUP(M$2,Rango_Admin_DailyPred,MATCH($F31,Rango_Admin_DailyPred_Primera,0)+1,0),"-")</f>
        <v>-</v>
      </c>
      <c r="N31" s="412" t="str">
        <f ca="1">IFERROR(VLOOKUP(N$2,Rango_Admin_DailyPred,MATCH($F31,Rango_Admin_DailyPred_Primera,0)+1,0),"-")</f>
        <v>-</v>
      </c>
      <c r="O31" s="412" t="str">
        <f ca="1">IFERROR(VLOOKUP(O$2,Rango_Admin_DailyPred,MATCH($F31,Rango_Admin_DailyPred_Primera,0)+1,0),"-")</f>
        <v>-</v>
      </c>
      <c r="P31" s="412" t="str">
        <f ca="1">IFERROR(VLOOKUP(P$2,Rango_Admin_DailyPred,MATCH($F31,Rango_Admin_DailyPred_Primera,0)+1,0),"-")</f>
        <v>-</v>
      </c>
      <c r="Q31" s="412" t="str">
        <f ca="1">IFERROR(VLOOKUP(Q$2,Rango_Admin_DailyPred,MATCH($F31,Rango_Admin_DailyPred_Primera,0)+1,0),"-")</f>
        <v>-</v>
      </c>
      <c r="R31" s="412" t="str">
        <f ca="1">IFERROR(VLOOKUP(R$2,Rango_Admin_DailyPred,MATCH($F31,Rango_Admin_DailyPred_Primera,0)+1,0),"-")</f>
        <v>-</v>
      </c>
      <c r="S31" s="412" t="str">
        <f ca="1">IFERROR(VLOOKUP(S$2,Rango_Admin_DailyPred,MATCH($F31,Rango_Admin_DailyPred_Primera,0)+1,0),"-")</f>
        <v>-</v>
      </c>
      <c r="T31" s="412" t="str">
        <f ca="1">IFERROR(VLOOKUP(T$2,Rango_Admin_DailyPred,MATCH($F31,Rango_Admin_DailyPred_Primera,0)+1,0),"-")</f>
        <v>-</v>
      </c>
      <c r="U31" s="412" t="str">
        <f ca="1">IFERROR(VLOOKUP(U$2,Rango_Admin_DailyPred,MATCH($F31,Rango_Admin_DailyPred_Primera,0)+1,0),"-")</f>
        <v>-</v>
      </c>
      <c r="V31" s="412" t="str">
        <f ca="1">IFERROR(VLOOKUP(V$2,Rango_Admin_DailyPred,MATCH($F31,Rango_Admin_DailyPred_Primera,0)+1,0),"-")</f>
        <v>-</v>
      </c>
      <c r="W31" s="412" t="str">
        <f ca="1">IFERROR(VLOOKUP(W$2,Rango_Admin_DailyPred,MATCH($F31,Rango_Admin_DailyPred_Primera,0)+1,0),"-")</f>
        <v>-</v>
      </c>
      <c r="X31" s="412" t="str">
        <f ca="1">IFERROR(VLOOKUP(X$2,Rango_Admin_DailyPred,MATCH($F31,Rango_Admin_DailyPred_Primera,0)+1,0),"-")</f>
        <v>-</v>
      </c>
      <c r="Y31" s="412" t="str">
        <f ca="1">IFERROR(VLOOKUP(Y$2,Rango_Admin_DailyPred,MATCH($F31,Rango_Admin_DailyPred_Primera,0)+1,0),"-")</f>
        <v>-</v>
      </c>
      <c r="Z31" s="412" t="str">
        <f ca="1">IFERROR(VLOOKUP(Z$2,Rango_Admin_DailyPred,MATCH($F31,Rango_Admin_DailyPred_Primera,0)+1,0),"-")</f>
        <v>-</v>
      </c>
      <c r="AA31" s="412" t="str">
        <f ca="1">IFERROR(VLOOKUP(AA$2,Rango_Admin_DailyPred,MATCH($F31,Rango_Admin_DailyPred_Primera,0)+1,0),"-")</f>
        <v>-</v>
      </c>
      <c r="AB31" s="412" t="str">
        <f ca="1">IFERROR(VLOOKUP(AB$2,Rango_Admin_DailyPred,MATCH($F31,Rango_Admin_DailyPred_Primera,0)+1,0),"-")</f>
        <v>-</v>
      </c>
      <c r="AC31" s="412" t="str">
        <f ca="1">IFERROR(VLOOKUP(AC$2,Rango_Admin_DailyPred,MATCH($F31,Rango_Admin_DailyPred_Primera,0)+1,0),"-")</f>
        <v>-</v>
      </c>
      <c r="AD31" s="412" t="str">
        <f ca="1">IFERROR(VLOOKUP(AD$2,Rango_Admin_DailyPred,MATCH($F31,Rango_Admin_DailyPred_Primera,0)+1,0),"-")</f>
        <v>-</v>
      </c>
      <c r="AE31" s="412" t="str">
        <f ca="1">IFERROR(VLOOKUP(AE$2,Rango_Admin_DailyPred,MATCH($F31,Rango_Admin_DailyPred_Primera,0)+1,0),"-")</f>
        <v>-</v>
      </c>
      <c r="AF31" s="412" t="str">
        <f ca="1">IFERROR(VLOOKUP(AF$2,Rango_Admin_DailyPred,MATCH($F31,Rango_Admin_DailyPred_Primera,0)+1,0),"-")</f>
        <v>-</v>
      </c>
      <c r="AG31" s="412" t="str">
        <f ca="1">IFERROR(VLOOKUP(AG$2,Rango_Admin_DailyPred,MATCH($F31,Rango_Admin_DailyPred_Primera,0)+1,0),"-")</f>
        <v>-</v>
      </c>
      <c r="AH31" s="412" t="str">
        <f ca="1">IFERROR(VLOOKUP(AH$2,Rango_Admin_DailyPred,MATCH($F31,Rango_Admin_DailyPred_Primera,0)+1,0),"-")</f>
        <v>-</v>
      </c>
      <c r="AI31" s="412" t="str">
        <f ca="1">IFERROR(VLOOKUP(AI$2,Rango_Admin_DailyPred,MATCH($F31,Rango_Admin_DailyPred_Primera,0)+1,0),"-")</f>
        <v>-</v>
      </c>
      <c r="AJ31" s="412" t="str">
        <f ca="1">IFERROR(VLOOKUP(AJ$2,Rango_Admin_DailyPred,MATCH($F31,Rango_Admin_DailyPred_Primera,0)+1,0),"-")</f>
        <v>-</v>
      </c>
      <c r="AK31" s="412" t="str">
        <f ca="1">IFERROR(VLOOKUP(AK$2,Rango_Admin_DailyPred,MATCH($F31,Rango_Admin_DailyPred_Primera,0)+1,0),"-")</f>
        <v>-</v>
      </c>
      <c r="AL31" s="412" t="str">
        <f ca="1">IFERROR(VLOOKUP(AL$2,Rango_Admin_DailyPred,MATCH($F31,Rango_Admin_DailyPred_Primera,0)+1,0),"-")</f>
        <v>-</v>
      </c>
      <c r="AM31" s="412" t="str">
        <f ca="1">IFERROR(VLOOKUP(AM$2,Rango_Admin_DailyPred,MATCH($F31,Rango_Admin_DailyPred_Primera,0)+1,0),"-")</f>
        <v>-</v>
      </c>
      <c r="AN31" s="287"/>
    </row>
    <row r="32" spans="1:40" hidden="1">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5">
        <v>29</v>
      </c>
      <c r="D32" s="82"/>
      <c r="E32" s="395">
        <f ca="1">IFERROR(HLOOKUP(C32,Rango_Admin_DailyClas,3,FALSE),"-")</f>
        <v>1</v>
      </c>
      <c r="F32" s="428" t="str">
        <f ca="1">IFERROR(HLOOKUP(C32,Rango_Admin_DailyClas,5,FALSE),"-")</f>
        <v>Pegar Valores Nombre J29</v>
      </c>
      <c r="G32" s="18">
        <f ca="1">IFERROR(HLOOKUP(C32,Rango_Admin_DailyClas,4,FALSE),"-")</f>
        <v>0</v>
      </c>
      <c r="H32" s="412">
        <f ca="1">IFERROR(VLOOKUP(H$2,Rango_Admin_DailyPred,MATCH($F32,Rango_Admin_DailyPred_Primera,0)+1,0),"-")</f>
        <v>0</v>
      </c>
      <c r="I32" s="412">
        <f ca="1">IFERROR(VLOOKUP(I$2,Rango_Admin_DailyPred,MATCH($F32,Rango_Admin_DailyPred_Primera,0)+1,0),"-")</f>
        <v>0</v>
      </c>
      <c r="J32" s="412" t="str">
        <f ca="1">IFERROR(VLOOKUP(J$2,Rango_Admin_DailyPred,MATCH($F32,Rango_Admin_DailyPred_Primera,0)+1,0),"-")</f>
        <v>-</v>
      </c>
      <c r="K32" s="412" t="str">
        <f ca="1">IFERROR(VLOOKUP(K$2,Rango_Admin_DailyPred,MATCH($F32,Rango_Admin_DailyPred_Primera,0)+1,0),"-")</f>
        <v>-</v>
      </c>
      <c r="L32" s="412" t="str">
        <f ca="1">IFERROR(VLOOKUP(L$2,Rango_Admin_DailyPred,MATCH($F32,Rango_Admin_DailyPred_Primera,0)+1,0),"-")</f>
        <v>-</v>
      </c>
      <c r="M32" s="412" t="str">
        <f ca="1">IFERROR(VLOOKUP(M$2,Rango_Admin_DailyPred,MATCH($F32,Rango_Admin_DailyPred_Primera,0)+1,0),"-")</f>
        <v>-</v>
      </c>
      <c r="N32" s="412" t="str">
        <f ca="1">IFERROR(VLOOKUP(N$2,Rango_Admin_DailyPred,MATCH($F32,Rango_Admin_DailyPred_Primera,0)+1,0),"-")</f>
        <v>-</v>
      </c>
      <c r="O32" s="412" t="str">
        <f ca="1">IFERROR(VLOOKUP(O$2,Rango_Admin_DailyPred,MATCH($F32,Rango_Admin_DailyPred_Primera,0)+1,0),"-")</f>
        <v>-</v>
      </c>
      <c r="P32" s="412" t="str">
        <f ca="1">IFERROR(VLOOKUP(P$2,Rango_Admin_DailyPred,MATCH($F32,Rango_Admin_DailyPred_Primera,0)+1,0),"-")</f>
        <v>-</v>
      </c>
      <c r="Q32" s="412" t="str">
        <f ca="1">IFERROR(VLOOKUP(Q$2,Rango_Admin_DailyPred,MATCH($F32,Rango_Admin_DailyPred_Primera,0)+1,0),"-")</f>
        <v>-</v>
      </c>
      <c r="R32" s="412" t="str">
        <f ca="1">IFERROR(VLOOKUP(R$2,Rango_Admin_DailyPred,MATCH($F32,Rango_Admin_DailyPred_Primera,0)+1,0),"-")</f>
        <v>-</v>
      </c>
      <c r="S32" s="412" t="str">
        <f ca="1">IFERROR(VLOOKUP(S$2,Rango_Admin_DailyPred,MATCH($F32,Rango_Admin_DailyPred_Primera,0)+1,0),"-")</f>
        <v>-</v>
      </c>
      <c r="T32" s="412" t="str">
        <f ca="1">IFERROR(VLOOKUP(T$2,Rango_Admin_DailyPred,MATCH($F32,Rango_Admin_DailyPred_Primera,0)+1,0),"-")</f>
        <v>-</v>
      </c>
      <c r="U32" s="412" t="str">
        <f ca="1">IFERROR(VLOOKUP(U$2,Rango_Admin_DailyPred,MATCH($F32,Rango_Admin_DailyPred_Primera,0)+1,0),"-")</f>
        <v>-</v>
      </c>
      <c r="V32" s="412" t="str">
        <f ca="1">IFERROR(VLOOKUP(V$2,Rango_Admin_DailyPred,MATCH($F32,Rango_Admin_DailyPred_Primera,0)+1,0),"-")</f>
        <v>-</v>
      </c>
      <c r="W32" s="412" t="str">
        <f ca="1">IFERROR(VLOOKUP(W$2,Rango_Admin_DailyPred,MATCH($F32,Rango_Admin_DailyPred_Primera,0)+1,0),"-")</f>
        <v>-</v>
      </c>
      <c r="X32" s="412" t="str">
        <f ca="1">IFERROR(VLOOKUP(X$2,Rango_Admin_DailyPred,MATCH($F32,Rango_Admin_DailyPred_Primera,0)+1,0),"-")</f>
        <v>-</v>
      </c>
      <c r="Y32" s="412" t="str">
        <f ca="1">IFERROR(VLOOKUP(Y$2,Rango_Admin_DailyPred,MATCH($F32,Rango_Admin_DailyPred_Primera,0)+1,0),"-")</f>
        <v>-</v>
      </c>
      <c r="Z32" s="412" t="str">
        <f ca="1">IFERROR(VLOOKUP(Z$2,Rango_Admin_DailyPred,MATCH($F32,Rango_Admin_DailyPred_Primera,0)+1,0),"-")</f>
        <v>-</v>
      </c>
      <c r="AA32" s="412" t="str">
        <f ca="1">IFERROR(VLOOKUP(AA$2,Rango_Admin_DailyPred,MATCH($F32,Rango_Admin_DailyPred_Primera,0)+1,0),"-")</f>
        <v>-</v>
      </c>
      <c r="AB32" s="412" t="str">
        <f ca="1">IFERROR(VLOOKUP(AB$2,Rango_Admin_DailyPred,MATCH($F32,Rango_Admin_DailyPred_Primera,0)+1,0),"-")</f>
        <v>-</v>
      </c>
      <c r="AC32" s="412" t="str">
        <f ca="1">IFERROR(VLOOKUP(AC$2,Rango_Admin_DailyPred,MATCH($F32,Rango_Admin_DailyPred_Primera,0)+1,0),"-")</f>
        <v>-</v>
      </c>
      <c r="AD32" s="412" t="str">
        <f ca="1">IFERROR(VLOOKUP(AD$2,Rango_Admin_DailyPred,MATCH($F32,Rango_Admin_DailyPred_Primera,0)+1,0),"-")</f>
        <v>-</v>
      </c>
      <c r="AE32" s="412" t="str">
        <f ca="1">IFERROR(VLOOKUP(AE$2,Rango_Admin_DailyPred,MATCH($F32,Rango_Admin_DailyPred_Primera,0)+1,0),"-")</f>
        <v>-</v>
      </c>
      <c r="AF32" s="412" t="str">
        <f ca="1">IFERROR(VLOOKUP(AF$2,Rango_Admin_DailyPred,MATCH($F32,Rango_Admin_DailyPred_Primera,0)+1,0),"-")</f>
        <v>-</v>
      </c>
      <c r="AG32" s="412" t="str">
        <f ca="1">IFERROR(VLOOKUP(AG$2,Rango_Admin_DailyPred,MATCH($F32,Rango_Admin_DailyPred_Primera,0)+1,0),"-")</f>
        <v>-</v>
      </c>
      <c r="AH32" s="412" t="str">
        <f ca="1">IFERROR(VLOOKUP(AH$2,Rango_Admin_DailyPred,MATCH($F32,Rango_Admin_DailyPred_Primera,0)+1,0),"-")</f>
        <v>-</v>
      </c>
      <c r="AI32" s="412" t="str">
        <f ca="1">IFERROR(VLOOKUP(AI$2,Rango_Admin_DailyPred,MATCH($F32,Rango_Admin_DailyPred_Primera,0)+1,0),"-")</f>
        <v>-</v>
      </c>
      <c r="AJ32" s="412" t="str">
        <f ca="1">IFERROR(VLOOKUP(AJ$2,Rango_Admin_DailyPred,MATCH($F32,Rango_Admin_DailyPred_Primera,0)+1,0),"-")</f>
        <v>-</v>
      </c>
      <c r="AK32" s="412" t="str">
        <f ca="1">IFERROR(VLOOKUP(AK$2,Rango_Admin_DailyPred,MATCH($F32,Rango_Admin_DailyPred_Primera,0)+1,0),"-")</f>
        <v>-</v>
      </c>
      <c r="AL32" s="412" t="str">
        <f ca="1">IFERROR(VLOOKUP(AL$2,Rango_Admin_DailyPred,MATCH($F32,Rango_Admin_DailyPred_Primera,0)+1,0),"-")</f>
        <v>-</v>
      </c>
      <c r="AM32" s="412" t="str">
        <f ca="1">IFERROR(VLOOKUP(AM$2,Rango_Admin_DailyPred,MATCH($F32,Rango_Admin_DailyPred_Primera,0)+1,0),"-")</f>
        <v>-</v>
      </c>
      <c r="AN32" s="287"/>
    </row>
    <row r="33" spans="1:40" hidden="1">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5">
        <v>30</v>
      </c>
      <c r="D33" s="82"/>
      <c r="E33" s="395">
        <f ca="1">IFERROR(HLOOKUP(C33,Rango_Admin_DailyClas,3,FALSE),"-")</f>
        <v>1</v>
      </c>
      <c r="F33" s="428" t="str">
        <f ca="1">IFERROR(HLOOKUP(C33,Rango_Admin_DailyClas,5,FALSE),"-")</f>
        <v>Pegar Valores Nombre J30</v>
      </c>
      <c r="G33" s="18">
        <f ca="1">IFERROR(HLOOKUP(C33,Rango_Admin_DailyClas,4,FALSE),"-")</f>
        <v>0</v>
      </c>
      <c r="H33" s="412">
        <f ca="1">IFERROR(VLOOKUP(H$2,Rango_Admin_DailyPred,MATCH($F33,Rango_Admin_DailyPred_Primera,0)+1,0),"-")</f>
        <v>0</v>
      </c>
      <c r="I33" s="412">
        <f ca="1">IFERROR(VLOOKUP(I$2,Rango_Admin_DailyPred,MATCH($F33,Rango_Admin_DailyPred_Primera,0)+1,0),"-")</f>
        <v>0</v>
      </c>
      <c r="J33" s="412" t="str">
        <f ca="1">IFERROR(VLOOKUP(J$2,Rango_Admin_DailyPred,MATCH($F33,Rango_Admin_DailyPred_Primera,0)+1,0),"-")</f>
        <v>-</v>
      </c>
      <c r="K33" s="412" t="str">
        <f ca="1">IFERROR(VLOOKUP(K$2,Rango_Admin_DailyPred,MATCH($F33,Rango_Admin_DailyPred_Primera,0)+1,0),"-")</f>
        <v>-</v>
      </c>
      <c r="L33" s="412" t="str">
        <f ca="1">IFERROR(VLOOKUP(L$2,Rango_Admin_DailyPred,MATCH($F33,Rango_Admin_DailyPred_Primera,0)+1,0),"-")</f>
        <v>-</v>
      </c>
      <c r="M33" s="412" t="str">
        <f ca="1">IFERROR(VLOOKUP(M$2,Rango_Admin_DailyPred,MATCH($F33,Rango_Admin_DailyPred_Primera,0)+1,0),"-")</f>
        <v>-</v>
      </c>
      <c r="N33" s="412" t="str">
        <f ca="1">IFERROR(VLOOKUP(N$2,Rango_Admin_DailyPred,MATCH($F33,Rango_Admin_DailyPred_Primera,0)+1,0),"-")</f>
        <v>-</v>
      </c>
      <c r="O33" s="412" t="str">
        <f ca="1">IFERROR(VLOOKUP(O$2,Rango_Admin_DailyPred,MATCH($F33,Rango_Admin_DailyPred_Primera,0)+1,0),"-")</f>
        <v>-</v>
      </c>
      <c r="P33" s="412" t="str">
        <f ca="1">IFERROR(VLOOKUP(P$2,Rango_Admin_DailyPred,MATCH($F33,Rango_Admin_DailyPred_Primera,0)+1,0),"-")</f>
        <v>-</v>
      </c>
      <c r="Q33" s="412" t="str">
        <f ca="1">IFERROR(VLOOKUP(Q$2,Rango_Admin_DailyPred,MATCH($F33,Rango_Admin_DailyPred_Primera,0)+1,0),"-")</f>
        <v>-</v>
      </c>
      <c r="R33" s="412" t="str">
        <f ca="1">IFERROR(VLOOKUP(R$2,Rango_Admin_DailyPred,MATCH($F33,Rango_Admin_DailyPred_Primera,0)+1,0),"-")</f>
        <v>-</v>
      </c>
      <c r="S33" s="412" t="str">
        <f ca="1">IFERROR(VLOOKUP(S$2,Rango_Admin_DailyPred,MATCH($F33,Rango_Admin_DailyPred_Primera,0)+1,0),"-")</f>
        <v>-</v>
      </c>
      <c r="T33" s="412" t="str">
        <f ca="1">IFERROR(VLOOKUP(T$2,Rango_Admin_DailyPred,MATCH($F33,Rango_Admin_DailyPred_Primera,0)+1,0),"-")</f>
        <v>-</v>
      </c>
      <c r="U33" s="412" t="str">
        <f ca="1">IFERROR(VLOOKUP(U$2,Rango_Admin_DailyPred,MATCH($F33,Rango_Admin_DailyPred_Primera,0)+1,0),"-")</f>
        <v>-</v>
      </c>
      <c r="V33" s="412" t="str">
        <f ca="1">IFERROR(VLOOKUP(V$2,Rango_Admin_DailyPred,MATCH($F33,Rango_Admin_DailyPred_Primera,0)+1,0),"-")</f>
        <v>-</v>
      </c>
      <c r="W33" s="412" t="str">
        <f ca="1">IFERROR(VLOOKUP(W$2,Rango_Admin_DailyPred,MATCH($F33,Rango_Admin_DailyPred_Primera,0)+1,0),"-")</f>
        <v>-</v>
      </c>
      <c r="X33" s="412" t="str">
        <f ca="1">IFERROR(VLOOKUP(X$2,Rango_Admin_DailyPred,MATCH($F33,Rango_Admin_DailyPred_Primera,0)+1,0),"-")</f>
        <v>-</v>
      </c>
      <c r="Y33" s="412" t="str">
        <f ca="1">IFERROR(VLOOKUP(Y$2,Rango_Admin_DailyPred,MATCH($F33,Rango_Admin_DailyPred_Primera,0)+1,0),"-")</f>
        <v>-</v>
      </c>
      <c r="Z33" s="412" t="str">
        <f ca="1">IFERROR(VLOOKUP(Z$2,Rango_Admin_DailyPred,MATCH($F33,Rango_Admin_DailyPred_Primera,0)+1,0),"-")</f>
        <v>-</v>
      </c>
      <c r="AA33" s="412" t="str">
        <f ca="1">IFERROR(VLOOKUP(AA$2,Rango_Admin_DailyPred,MATCH($F33,Rango_Admin_DailyPred_Primera,0)+1,0),"-")</f>
        <v>-</v>
      </c>
      <c r="AB33" s="412" t="str">
        <f ca="1">IFERROR(VLOOKUP(AB$2,Rango_Admin_DailyPred,MATCH($F33,Rango_Admin_DailyPred_Primera,0)+1,0),"-")</f>
        <v>-</v>
      </c>
      <c r="AC33" s="412" t="str">
        <f ca="1">IFERROR(VLOOKUP(AC$2,Rango_Admin_DailyPred,MATCH($F33,Rango_Admin_DailyPred_Primera,0)+1,0),"-")</f>
        <v>-</v>
      </c>
      <c r="AD33" s="412" t="str">
        <f ca="1">IFERROR(VLOOKUP(AD$2,Rango_Admin_DailyPred,MATCH($F33,Rango_Admin_DailyPred_Primera,0)+1,0),"-")</f>
        <v>-</v>
      </c>
      <c r="AE33" s="412" t="str">
        <f ca="1">IFERROR(VLOOKUP(AE$2,Rango_Admin_DailyPred,MATCH($F33,Rango_Admin_DailyPred_Primera,0)+1,0),"-")</f>
        <v>-</v>
      </c>
      <c r="AF33" s="412" t="str">
        <f ca="1">IFERROR(VLOOKUP(AF$2,Rango_Admin_DailyPred,MATCH($F33,Rango_Admin_DailyPred_Primera,0)+1,0),"-")</f>
        <v>-</v>
      </c>
      <c r="AG33" s="412" t="str">
        <f ca="1">IFERROR(VLOOKUP(AG$2,Rango_Admin_DailyPred,MATCH($F33,Rango_Admin_DailyPred_Primera,0)+1,0),"-")</f>
        <v>-</v>
      </c>
      <c r="AH33" s="412" t="str">
        <f ca="1">IFERROR(VLOOKUP(AH$2,Rango_Admin_DailyPred,MATCH($F33,Rango_Admin_DailyPred_Primera,0)+1,0),"-")</f>
        <v>-</v>
      </c>
      <c r="AI33" s="412" t="str">
        <f ca="1">IFERROR(VLOOKUP(AI$2,Rango_Admin_DailyPred,MATCH($F33,Rango_Admin_DailyPred_Primera,0)+1,0),"-")</f>
        <v>-</v>
      </c>
      <c r="AJ33" s="412" t="str">
        <f ca="1">IFERROR(VLOOKUP(AJ$2,Rango_Admin_DailyPred,MATCH($F33,Rango_Admin_DailyPred_Primera,0)+1,0),"-")</f>
        <v>-</v>
      </c>
      <c r="AK33" s="412" t="str">
        <f ca="1">IFERROR(VLOOKUP(AK$2,Rango_Admin_DailyPred,MATCH($F33,Rango_Admin_DailyPred_Primera,0)+1,0),"-")</f>
        <v>-</v>
      </c>
      <c r="AL33" s="412" t="str">
        <f ca="1">IFERROR(VLOOKUP(AL$2,Rango_Admin_DailyPred,MATCH($F33,Rango_Admin_DailyPred_Primera,0)+1,0),"-")</f>
        <v>-</v>
      </c>
      <c r="AM33" s="412" t="str">
        <f ca="1">IFERROR(VLOOKUP(AM$2,Rango_Admin_DailyPred,MATCH($F33,Rango_Admin_DailyPred_Primera,0)+1,0),"-")</f>
        <v>-</v>
      </c>
      <c r="AN33" s="287"/>
    </row>
    <row r="34" spans="1:40" hidden="1">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5">
        <v>31</v>
      </c>
      <c r="D34" s="82"/>
      <c r="E34" s="395">
        <f ca="1">IFERROR(HLOOKUP(C34,Rango_Admin_DailyClas,3,FALSE),"-")</f>
        <v>1</v>
      </c>
      <c r="F34" s="428" t="str">
        <f ca="1">IFERROR(HLOOKUP(C34,Rango_Admin_DailyClas,5,FALSE),"-")</f>
        <v>Pegar Valores Nombre J31</v>
      </c>
      <c r="G34" s="18">
        <f ca="1">IFERROR(HLOOKUP(C34,Rango_Admin_DailyClas,4,FALSE),"-")</f>
        <v>0</v>
      </c>
      <c r="H34" s="412">
        <f ca="1">IFERROR(VLOOKUP(H$2,Rango_Admin_DailyPred,MATCH($F34,Rango_Admin_DailyPred_Primera,0)+1,0),"-")</f>
        <v>0</v>
      </c>
      <c r="I34" s="412">
        <f ca="1">IFERROR(VLOOKUP(I$2,Rango_Admin_DailyPred,MATCH($F34,Rango_Admin_DailyPred_Primera,0)+1,0),"-")</f>
        <v>0</v>
      </c>
      <c r="J34" s="412" t="str">
        <f ca="1">IFERROR(VLOOKUP(J$2,Rango_Admin_DailyPred,MATCH($F34,Rango_Admin_DailyPred_Primera,0)+1,0),"-")</f>
        <v>-</v>
      </c>
      <c r="K34" s="412" t="str">
        <f ca="1">IFERROR(VLOOKUP(K$2,Rango_Admin_DailyPred,MATCH($F34,Rango_Admin_DailyPred_Primera,0)+1,0),"-")</f>
        <v>-</v>
      </c>
      <c r="L34" s="412" t="str">
        <f ca="1">IFERROR(VLOOKUP(L$2,Rango_Admin_DailyPred,MATCH($F34,Rango_Admin_DailyPred_Primera,0)+1,0),"-")</f>
        <v>-</v>
      </c>
      <c r="M34" s="412" t="str">
        <f ca="1">IFERROR(VLOOKUP(M$2,Rango_Admin_DailyPred,MATCH($F34,Rango_Admin_DailyPred_Primera,0)+1,0),"-")</f>
        <v>-</v>
      </c>
      <c r="N34" s="412" t="str">
        <f ca="1">IFERROR(VLOOKUP(N$2,Rango_Admin_DailyPred,MATCH($F34,Rango_Admin_DailyPred_Primera,0)+1,0),"-")</f>
        <v>-</v>
      </c>
      <c r="O34" s="412" t="str">
        <f ca="1">IFERROR(VLOOKUP(O$2,Rango_Admin_DailyPred,MATCH($F34,Rango_Admin_DailyPred_Primera,0)+1,0),"-")</f>
        <v>-</v>
      </c>
      <c r="P34" s="412" t="str">
        <f ca="1">IFERROR(VLOOKUP(P$2,Rango_Admin_DailyPred,MATCH($F34,Rango_Admin_DailyPred_Primera,0)+1,0),"-")</f>
        <v>-</v>
      </c>
      <c r="Q34" s="412" t="str">
        <f ca="1">IFERROR(VLOOKUP(Q$2,Rango_Admin_DailyPred,MATCH($F34,Rango_Admin_DailyPred_Primera,0)+1,0),"-")</f>
        <v>-</v>
      </c>
      <c r="R34" s="412" t="str">
        <f ca="1">IFERROR(VLOOKUP(R$2,Rango_Admin_DailyPred,MATCH($F34,Rango_Admin_DailyPred_Primera,0)+1,0),"-")</f>
        <v>-</v>
      </c>
      <c r="S34" s="412" t="str">
        <f ca="1">IFERROR(VLOOKUP(S$2,Rango_Admin_DailyPred,MATCH($F34,Rango_Admin_DailyPred_Primera,0)+1,0),"-")</f>
        <v>-</v>
      </c>
      <c r="T34" s="412" t="str">
        <f ca="1">IFERROR(VLOOKUP(T$2,Rango_Admin_DailyPred,MATCH($F34,Rango_Admin_DailyPred_Primera,0)+1,0),"-")</f>
        <v>-</v>
      </c>
      <c r="U34" s="412" t="str">
        <f ca="1">IFERROR(VLOOKUP(U$2,Rango_Admin_DailyPred,MATCH($F34,Rango_Admin_DailyPred_Primera,0)+1,0),"-")</f>
        <v>-</v>
      </c>
      <c r="V34" s="412" t="str">
        <f ca="1">IFERROR(VLOOKUP(V$2,Rango_Admin_DailyPred,MATCH($F34,Rango_Admin_DailyPred_Primera,0)+1,0),"-")</f>
        <v>-</v>
      </c>
      <c r="W34" s="412" t="str">
        <f ca="1">IFERROR(VLOOKUP(W$2,Rango_Admin_DailyPred,MATCH($F34,Rango_Admin_DailyPred_Primera,0)+1,0),"-")</f>
        <v>-</v>
      </c>
      <c r="X34" s="412" t="str">
        <f ca="1">IFERROR(VLOOKUP(X$2,Rango_Admin_DailyPred,MATCH($F34,Rango_Admin_DailyPred_Primera,0)+1,0),"-")</f>
        <v>-</v>
      </c>
      <c r="Y34" s="412" t="str">
        <f ca="1">IFERROR(VLOOKUP(Y$2,Rango_Admin_DailyPred,MATCH($F34,Rango_Admin_DailyPred_Primera,0)+1,0),"-")</f>
        <v>-</v>
      </c>
      <c r="Z34" s="412" t="str">
        <f ca="1">IFERROR(VLOOKUP(Z$2,Rango_Admin_DailyPred,MATCH($F34,Rango_Admin_DailyPred_Primera,0)+1,0),"-")</f>
        <v>-</v>
      </c>
      <c r="AA34" s="412" t="str">
        <f ca="1">IFERROR(VLOOKUP(AA$2,Rango_Admin_DailyPred,MATCH($F34,Rango_Admin_DailyPred_Primera,0)+1,0),"-")</f>
        <v>-</v>
      </c>
      <c r="AB34" s="412" t="str">
        <f ca="1">IFERROR(VLOOKUP(AB$2,Rango_Admin_DailyPred,MATCH($F34,Rango_Admin_DailyPred_Primera,0)+1,0),"-")</f>
        <v>-</v>
      </c>
      <c r="AC34" s="412" t="str">
        <f ca="1">IFERROR(VLOOKUP(AC$2,Rango_Admin_DailyPred,MATCH($F34,Rango_Admin_DailyPred_Primera,0)+1,0),"-")</f>
        <v>-</v>
      </c>
      <c r="AD34" s="412" t="str">
        <f ca="1">IFERROR(VLOOKUP(AD$2,Rango_Admin_DailyPred,MATCH($F34,Rango_Admin_DailyPred_Primera,0)+1,0),"-")</f>
        <v>-</v>
      </c>
      <c r="AE34" s="412" t="str">
        <f ca="1">IFERROR(VLOOKUP(AE$2,Rango_Admin_DailyPred,MATCH($F34,Rango_Admin_DailyPred_Primera,0)+1,0),"-")</f>
        <v>-</v>
      </c>
      <c r="AF34" s="412" t="str">
        <f ca="1">IFERROR(VLOOKUP(AF$2,Rango_Admin_DailyPred,MATCH($F34,Rango_Admin_DailyPred_Primera,0)+1,0),"-")</f>
        <v>-</v>
      </c>
      <c r="AG34" s="412" t="str">
        <f ca="1">IFERROR(VLOOKUP(AG$2,Rango_Admin_DailyPred,MATCH($F34,Rango_Admin_DailyPred_Primera,0)+1,0),"-")</f>
        <v>-</v>
      </c>
      <c r="AH34" s="412" t="str">
        <f ca="1">IFERROR(VLOOKUP(AH$2,Rango_Admin_DailyPred,MATCH($F34,Rango_Admin_DailyPred_Primera,0)+1,0),"-")</f>
        <v>-</v>
      </c>
      <c r="AI34" s="412" t="str">
        <f ca="1">IFERROR(VLOOKUP(AI$2,Rango_Admin_DailyPred,MATCH($F34,Rango_Admin_DailyPred_Primera,0)+1,0),"-")</f>
        <v>-</v>
      </c>
      <c r="AJ34" s="412" t="str">
        <f ca="1">IFERROR(VLOOKUP(AJ$2,Rango_Admin_DailyPred,MATCH($F34,Rango_Admin_DailyPred_Primera,0)+1,0),"-")</f>
        <v>-</v>
      </c>
      <c r="AK34" s="412" t="str">
        <f ca="1">IFERROR(VLOOKUP(AK$2,Rango_Admin_DailyPred,MATCH($F34,Rango_Admin_DailyPred_Primera,0)+1,0),"-")</f>
        <v>-</v>
      </c>
      <c r="AL34" s="412" t="str">
        <f ca="1">IFERROR(VLOOKUP(AL$2,Rango_Admin_DailyPred,MATCH($F34,Rango_Admin_DailyPred_Primera,0)+1,0),"-")</f>
        <v>-</v>
      </c>
      <c r="AM34" s="412" t="str">
        <f ca="1">IFERROR(VLOOKUP(AM$2,Rango_Admin_DailyPred,MATCH($F34,Rango_Admin_DailyPred_Primera,0)+1,0),"-")</f>
        <v>-</v>
      </c>
      <c r="AN34" s="287"/>
    </row>
    <row r="35" spans="1:40" hidden="1">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5">
        <v>32</v>
      </c>
      <c r="D35" s="82"/>
      <c r="E35" s="395">
        <f ca="1">IFERROR(HLOOKUP(C35,Rango_Admin_DailyClas,3,FALSE),"-")</f>
        <v>1</v>
      </c>
      <c r="F35" s="428" t="str">
        <f ca="1">IFERROR(HLOOKUP(C35,Rango_Admin_DailyClas,5,FALSE),"-")</f>
        <v>Pegar Valores Nombre J32</v>
      </c>
      <c r="G35" s="18">
        <f ca="1">IFERROR(HLOOKUP(C35,Rango_Admin_DailyClas,4,FALSE),"-")</f>
        <v>0</v>
      </c>
      <c r="H35" s="412">
        <f ca="1">IFERROR(VLOOKUP(H$2,Rango_Admin_DailyPred,MATCH($F35,Rango_Admin_DailyPred_Primera,0)+1,0),"-")</f>
        <v>0</v>
      </c>
      <c r="I35" s="412">
        <f ca="1">IFERROR(VLOOKUP(I$2,Rango_Admin_DailyPred,MATCH($F35,Rango_Admin_DailyPred_Primera,0)+1,0),"-")</f>
        <v>0</v>
      </c>
      <c r="J35" s="412" t="str">
        <f ca="1">IFERROR(VLOOKUP(J$2,Rango_Admin_DailyPred,MATCH($F35,Rango_Admin_DailyPred_Primera,0)+1,0),"-")</f>
        <v>-</v>
      </c>
      <c r="K35" s="412" t="str">
        <f ca="1">IFERROR(VLOOKUP(K$2,Rango_Admin_DailyPred,MATCH($F35,Rango_Admin_DailyPred_Primera,0)+1,0),"-")</f>
        <v>-</v>
      </c>
      <c r="L35" s="412" t="str">
        <f ca="1">IFERROR(VLOOKUP(L$2,Rango_Admin_DailyPred,MATCH($F35,Rango_Admin_DailyPred_Primera,0)+1,0),"-")</f>
        <v>-</v>
      </c>
      <c r="M35" s="412" t="str">
        <f ca="1">IFERROR(VLOOKUP(M$2,Rango_Admin_DailyPred,MATCH($F35,Rango_Admin_DailyPred_Primera,0)+1,0),"-")</f>
        <v>-</v>
      </c>
      <c r="N35" s="412" t="str">
        <f ca="1">IFERROR(VLOOKUP(N$2,Rango_Admin_DailyPred,MATCH($F35,Rango_Admin_DailyPred_Primera,0)+1,0),"-")</f>
        <v>-</v>
      </c>
      <c r="O35" s="412" t="str">
        <f ca="1">IFERROR(VLOOKUP(O$2,Rango_Admin_DailyPred,MATCH($F35,Rango_Admin_DailyPred_Primera,0)+1,0),"-")</f>
        <v>-</v>
      </c>
      <c r="P35" s="412" t="str">
        <f ca="1">IFERROR(VLOOKUP(P$2,Rango_Admin_DailyPred,MATCH($F35,Rango_Admin_DailyPred_Primera,0)+1,0),"-")</f>
        <v>-</v>
      </c>
      <c r="Q35" s="412" t="str">
        <f ca="1">IFERROR(VLOOKUP(Q$2,Rango_Admin_DailyPred,MATCH($F35,Rango_Admin_DailyPred_Primera,0)+1,0),"-")</f>
        <v>-</v>
      </c>
      <c r="R35" s="412" t="str">
        <f ca="1">IFERROR(VLOOKUP(R$2,Rango_Admin_DailyPred,MATCH($F35,Rango_Admin_DailyPred_Primera,0)+1,0),"-")</f>
        <v>-</v>
      </c>
      <c r="S35" s="412" t="str">
        <f ca="1">IFERROR(VLOOKUP(S$2,Rango_Admin_DailyPred,MATCH($F35,Rango_Admin_DailyPred_Primera,0)+1,0),"-")</f>
        <v>-</v>
      </c>
      <c r="T35" s="412" t="str">
        <f ca="1">IFERROR(VLOOKUP(T$2,Rango_Admin_DailyPred,MATCH($F35,Rango_Admin_DailyPred_Primera,0)+1,0),"-")</f>
        <v>-</v>
      </c>
      <c r="U35" s="412" t="str">
        <f ca="1">IFERROR(VLOOKUP(U$2,Rango_Admin_DailyPred,MATCH($F35,Rango_Admin_DailyPred_Primera,0)+1,0),"-")</f>
        <v>-</v>
      </c>
      <c r="V35" s="412" t="str">
        <f ca="1">IFERROR(VLOOKUP(V$2,Rango_Admin_DailyPred,MATCH($F35,Rango_Admin_DailyPred_Primera,0)+1,0),"-")</f>
        <v>-</v>
      </c>
      <c r="W35" s="412" t="str">
        <f ca="1">IFERROR(VLOOKUP(W$2,Rango_Admin_DailyPred,MATCH($F35,Rango_Admin_DailyPred_Primera,0)+1,0),"-")</f>
        <v>-</v>
      </c>
      <c r="X35" s="412" t="str">
        <f ca="1">IFERROR(VLOOKUP(X$2,Rango_Admin_DailyPred,MATCH($F35,Rango_Admin_DailyPred_Primera,0)+1,0),"-")</f>
        <v>-</v>
      </c>
      <c r="Y35" s="412" t="str">
        <f ca="1">IFERROR(VLOOKUP(Y$2,Rango_Admin_DailyPred,MATCH($F35,Rango_Admin_DailyPred_Primera,0)+1,0),"-")</f>
        <v>-</v>
      </c>
      <c r="Z35" s="412" t="str">
        <f ca="1">IFERROR(VLOOKUP(Z$2,Rango_Admin_DailyPred,MATCH($F35,Rango_Admin_DailyPred_Primera,0)+1,0),"-")</f>
        <v>-</v>
      </c>
      <c r="AA35" s="412" t="str">
        <f ca="1">IFERROR(VLOOKUP(AA$2,Rango_Admin_DailyPred,MATCH($F35,Rango_Admin_DailyPred_Primera,0)+1,0),"-")</f>
        <v>-</v>
      </c>
      <c r="AB35" s="412" t="str">
        <f ca="1">IFERROR(VLOOKUP(AB$2,Rango_Admin_DailyPred,MATCH($F35,Rango_Admin_DailyPred_Primera,0)+1,0),"-")</f>
        <v>-</v>
      </c>
      <c r="AC35" s="412" t="str">
        <f ca="1">IFERROR(VLOOKUP(AC$2,Rango_Admin_DailyPred,MATCH($F35,Rango_Admin_DailyPred_Primera,0)+1,0),"-")</f>
        <v>-</v>
      </c>
      <c r="AD35" s="412" t="str">
        <f ca="1">IFERROR(VLOOKUP(AD$2,Rango_Admin_DailyPred,MATCH($F35,Rango_Admin_DailyPred_Primera,0)+1,0),"-")</f>
        <v>-</v>
      </c>
      <c r="AE35" s="412" t="str">
        <f ca="1">IFERROR(VLOOKUP(AE$2,Rango_Admin_DailyPred,MATCH($F35,Rango_Admin_DailyPred_Primera,0)+1,0),"-")</f>
        <v>-</v>
      </c>
      <c r="AF35" s="412" t="str">
        <f ca="1">IFERROR(VLOOKUP(AF$2,Rango_Admin_DailyPred,MATCH($F35,Rango_Admin_DailyPred_Primera,0)+1,0),"-")</f>
        <v>-</v>
      </c>
      <c r="AG35" s="412" t="str">
        <f ca="1">IFERROR(VLOOKUP(AG$2,Rango_Admin_DailyPred,MATCH($F35,Rango_Admin_DailyPred_Primera,0)+1,0),"-")</f>
        <v>-</v>
      </c>
      <c r="AH35" s="412" t="str">
        <f ca="1">IFERROR(VLOOKUP(AH$2,Rango_Admin_DailyPred,MATCH($F35,Rango_Admin_DailyPred_Primera,0)+1,0),"-")</f>
        <v>-</v>
      </c>
      <c r="AI35" s="412" t="str">
        <f ca="1">IFERROR(VLOOKUP(AI$2,Rango_Admin_DailyPred,MATCH($F35,Rango_Admin_DailyPred_Primera,0)+1,0),"-")</f>
        <v>-</v>
      </c>
      <c r="AJ35" s="412" t="str">
        <f ca="1">IFERROR(VLOOKUP(AJ$2,Rango_Admin_DailyPred,MATCH($F35,Rango_Admin_DailyPred_Primera,0)+1,0),"-")</f>
        <v>-</v>
      </c>
      <c r="AK35" s="412" t="str">
        <f ca="1">IFERROR(VLOOKUP(AK$2,Rango_Admin_DailyPred,MATCH($F35,Rango_Admin_DailyPred_Primera,0)+1,0),"-")</f>
        <v>-</v>
      </c>
      <c r="AL35" s="412" t="str">
        <f ca="1">IFERROR(VLOOKUP(AL$2,Rango_Admin_DailyPred,MATCH($F35,Rango_Admin_DailyPred_Primera,0)+1,0),"-")</f>
        <v>-</v>
      </c>
      <c r="AM35" s="412" t="str">
        <f ca="1">IFERROR(VLOOKUP(AM$2,Rango_Admin_DailyPred,MATCH($F35,Rango_Admin_DailyPred_Primera,0)+1,0),"-")</f>
        <v>-</v>
      </c>
      <c r="AN35" s="287"/>
    </row>
    <row r="36" spans="1:40" hidden="1">
      <c r="C36" s="5">
        <v>33</v>
      </c>
      <c r="D36" s="82"/>
      <c r="E36" s="395">
        <f ca="1">IFERROR(HLOOKUP(C36,Rango_Admin_DailyClas,3,FALSE),"-")</f>
        <v>1</v>
      </c>
      <c r="F36" s="428" t="str">
        <f ca="1">IFERROR(HLOOKUP(C36,Rango_Admin_DailyClas,5,FALSE),"-")</f>
        <v>Pegar Valores Nombre J33</v>
      </c>
      <c r="G36" s="18">
        <f ca="1">IFERROR(HLOOKUP(C36,Rango_Admin_DailyClas,4,FALSE),"-")</f>
        <v>0</v>
      </c>
      <c r="H36" s="412">
        <f ca="1">IFERROR(VLOOKUP(H$2,Rango_Admin_DailyPred,MATCH($F36,Rango_Admin_DailyPred_Primera,0)+1,0),"-")</f>
        <v>0</v>
      </c>
      <c r="I36" s="412">
        <f ca="1">IFERROR(VLOOKUP(I$2,Rango_Admin_DailyPred,MATCH($F36,Rango_Admin_DailyPred_Primera,0)+1,0),"-")</f>
        <v>0</v>
      </c>
      <c r="J36" s="412" t="str">
        <f ca="1">IFERROR(VLOOKUP(J$2,Rango_Admin_DailyPred,MATCH($F36,Rango_Admin_DailyPred_Primera,0)+1,0),"-")</f>
        <v>-</v>
      </c>
      <c r="K36" s="412" t="str">
        <f ca="1">IFERROR(VLOOKUP(K$2,Rango_Admin_DailyPred,MATCH($F36,Rango_Admin_DailyPred_Primera,0)+1,0),"-")</f>
        <v>-</v>
      </c>
      <c r="L36" s="412" t="str">
        <f ca="1">IFERROR(VLOOKUP(L$2,Rango_Admin_DailyPred,MATCH($F36,Rango_Admin_DailyPred_Primera,0)+1,0),"-")</f>
        <v>-</v>
      </c>
      <c r="M36" s="412" t="str">
        <f ca="1">IFERROR(VLOOKUP(M$2,Rango_Admin_DailyPred,MATCH($F36,Rango_Admin_DailyPred_Primera,0)+1,0),"-")</f>
        <v>-</v>
      </c>
      <c r="N36" s="412" t="str">
        <f ca="1">IFERROR(VLOOKUP(N$2,Rango_Admin_DailyPred,MATCH($F36,Rango_Admin_DailyPred_Primera,0)+1,0),"-")</f>
        <v>-</v>
      </c>
      <c r="O36" s="412" t="str">
        <f ca="1">IFERROR(VLOOKUP(O$2,Rango_Admin_DailyPred,MATCH($F36,Rango_Admin_DailyPred_Primera,0)+1,0),"-")</f>
        <v>-</v>
      </c>
      <c r="P36" s="412" t="str">
        <f ca="1">IFERROR(VLOOKUP(P$2,Rango_Admin_DailyPred,MATCH($F36,Rango_Admin_DailyPred_Primera,0)+1,0),"-")</f>
        <v>-</v>
      </c>
      <c r="Q36" s="412" t="str">
        <f ca="1">IFERROR(VLOOKUP(Q$2,Rango_Admin_DailyPred,MATCH($F36,Rango_Admin_DailyPred_Primera,0)+1,0),"-")</f>
        <v>-</v>
      </c>
      <c r="R36" s="412" t="str">
        <f ca="1">IFERROR(VLOOKUP(R$2,Rango_Admin_DailyPred,MATCH($F36,Rango_Admin_DailyPred_Primera,0)+1,0),"-")</f>
        <v>-</v>
      </c>
      <c r="S36" s="412" t="str">
        <f ca="1">IFERROR(VLOOKUP(S$2,Rango_Admin_DailyPred,MATCH($F36,Rango_Admin_DailyPred_Primera,0)+1,0),"-")</f>
        <v>-</v>
      </c>
      <c r="T36" s="412" t="str">
        <f ca="1">IFERROR(VLOOKUP(T$2,Rango_Admin_DailyPred,MATCH($F36,Rango_Admin_DailyPred_Primera,0)+1,0),"-")</f>
        <v>-</v>
      </c>
      <c r="U36" s="412" t="str">
        <f ca="1">IFERROR(VLOOKUP(U$2,Rango_Admin_DailyPred,MATCH($F36,Rango_Admin_DailyPred_Primera,0)+1,0),"-")</f>
        <v>-</v>
      </c>
      <c r="V36" s="412" t="str">
        <f ca="1">IFERROR(VLOOKUP(V$2,Rango_Admin_DailyPred,MATCH($F36,Rango_Admin_DailyPred_Primera,0)+1,0),"-")</f>
        <v>-</v>
      </c>
      <c r="W36" s="412" t="str">
        <f ca="1">IFERROR(VLOOKUP(W$2,Rango_Admin_DailyPred,MATCH($F36,Rango_Admin_DailyPred_Primera,0)+1,0),"-")</f>
        <v>-</v>
      </c>
      <c r="X36" s="412" t="str">
        <f ca="1">IFERROR(VLOOKUP(X$2,Rango_Admin_DailyPred,MATCH($F36,Rango_Admin_DailyPred_Primera,0)+1,0),"-")</f>
        <v>-</v>
      </c>
      <c r="Y36" s="412" t="str">
        <f ca="1">IFERROR(VLOOKUP(Y$2,Rango_Admin_DailyPred,MATCH($F36,Rango_Admin_DailyPred_Primera,0)+1,0),"-")</f>
        <v>-</v>
      </c>
      <c r="Z36" s="412" t="str">
        <f ca="1">IFERROR(VLOOKUP(Z$2,Rango_Admin_DailyPred,MATCH($F36,Rango_Admin_DailyPred_Primera,0)+1,0),"-")</f>
        <v>-</v>
      </c>
      <c r="AA36" s="412" t="str">
        <f ca="1">IFERROR(VLOOKUP(AA$2,Rango_Admin_DailyPred,MATCH($F36,Rango_Admin_DailyPred_Primera,0)+1,0),"-")</f>
        <v>-</v>
      </c>
      <c r="AB36" s="412" t="str">
        <f ca="1">IFERROR(VLOOKUP(AB$2,Rango_Admin_DailyPred,MATCH($F36,Rango_Admin_DailyPred_Primera,0)+1,0),"-")</f>
        <v>-</v>
      </c>
      <c r="AC36" s="412" t="str">
        <f ca="1">IFERROR(VLOOKUP(AC$2,Rango_Admin_DailyPred,MATCH($F36,Rango_Admin_DailyPred_Primera,0)+1,0),"-")</f>
        <v>-</v>
      </c>
      <c r="AD36" s="412" t="str">
        <f ca="1">IFERROR(VLOOKUP(AD$2,Rango_Admin_DailyPred,MATCH($F36,Rango_Admin_DailyPred_Primera,0)+1,0),"-")</f>
        <v>-</v>
      </c>
      <c r="AE36" s="412" t="str">
        <f ca="1">IFERROR(VLOOKUP(AE$2,Rango_Admin_DailyPred,MATCH($F36,Rango_Admin_DailyPred_Primera,0)+1,0),"-")</f>
        <v>-</v>
      </c>
      <c r="AF36" s="412" t="str">
        <f ca="1">IFERROR(VLOOKUP(AF$2,Rango_Admin_DailyPred,MATCH($F36,Rango_Admin_DailyPred_Primera,0)+1,0),"-")</f>
        <v>-</v>
      </c>
      <c r="AG36" s="412" t="str">
        <f ca="1">IFERROR(VLOOKUP(AG$2,Rango_Admin_DailyPred,MATCH($F36,Rango_Admin_DailyPred_Primera,0)+1,0),"-")</f>
        <v>-</v>
      </c>
      <c r="AH36" s="412" t="str">
        <f ca="1">IFERROR(VLOOKUP(AH$2,Rango_Admin_DailyPred,MATCH($F36,Rango_Admin_DailyPred_Primera,0)+1,0),"-")</f>
        <v>-</v>
      </c>
      <c r="AI36" s="412" t="str">
        <f ca="1">IFERROR(VLOOKUP(AI$2,Rango_Admin_DailyPred,MATCH($F36,Rango_Admin_DailyPred_Primera,0)+1,0),"-")</f>
        <v>-</v>
      </c>
      <c r="AJ36" s="412" t="str">
        <f ca="1">IFERROR(VLOOKUP(AJ$2,Rango_Admin_DailyPred,MATCH($F36,Rango_Admin_DailyPred_Primera,0)+1,0),"-")</f>
        <v>-</v>
      </c>
      <c r="AK36" s="412" t="str">
        <f ca="1">IFERROR(VLOOKUP(AK$2,Rango_Admin_DailyPred,MATCH($F36,Rango_Admin_DailyPred_Primera,0)+1,0),"-")</f>
        <v>-</v>
      </c>
      <c r="AL36" s="412" t="str">
        <f ca="1">IFERROR(VLOOKUP(AL$2,Rango_Admin_DailyPred,MATCH($F36,Rango_Admin_DailyPred_Primera,0)+1,0),"-")</f>
        <v>-</v>
      </c>
      <c r="AM36" s="412" t="str">
        <f ca="1">IFERROR(VLOOKUP(AM$2,Rango_Admin_DailyPred,MATCH($F36,Rango_Admin_DailyPred_Primera,0)+1,0),"-")</f>
        <v>-</v>
      </c>
      <c r="AN36" s="287"/>
    </row>
    <row r="37" spans="1:40" hidden="1">
      <c r="C37" s="5">
        <v>34</v>
      </c>
      <c r="D37" s="82"/>
      <c r="E37" s="395">
        <f ca="1">IFERROR(HLOOKUP(C37,Rango_Admin_DailyClas,3,FALSE),"-")</f>
        <v>1</v>
      </c>
      <c r="F37" s="428" t="str">
        <f ca="1">IFERROR(HLOOKUP(C37,Rango_Admin_DailyClas,5,FALSE),"-")</f>
        <v>Pegar Valores Nombre J34</v>
      </c>
      <c r="G37" s="18">
        <f ca="1">IFERROR(HLOOKUP(C37,Rango_Admin_DailyClas,4,FALSE),"-")</f>
        <v>0</v>
      </c>
      <c r="H37" s="412">
        <f ca="1">IFERROR(VLOOKUP(H$2,Rango_Admin_DailyPred,MATCH($F37,Rango_Admin_DailyPred_Primera,0)+1,0),"-")</f>
        <v>0</v>
      </c>
      <c r="I37" s="412">
        <f ca="1">IFERROR(VLOOKUP(I$2,Rango_Admin_DailyPred,MATCH($F37,Rango_Admin_DailyPred_Primera,0)+1,0),"-")</f>
        <v>0</v>
      </c>
      <c r="J37" s="412" t="str">
        <f ca="1">IFERROR(VLOOKUP(J$2,Rango_Admin_DailyPred,MATCH($F37,Rango_Admin_DailyPred_Primera,0)+1,0),"-")</f>
        <v>-</v>
      </c>
      <c r="K37" s="412" t="str">
        <f ca="1">IFERROR(VLOOKUP(K$2,Rango_Admin_DailyPred,MATCH($F37,Rango_Admin_DailyPred_Primera,0)+1,0),"-")</f>
        <v>-</v>
      </c>
      <c r="L37" s="412" t="str">
        <f ca="1">IFERROR(VLOOKUP(L$2,Rango_Admin_DailyPred,MATCH($F37,Rango_Admin_DailyPred_Primera,0)+1,0),"-")</f>
        <v>-</v>
      </c>
      <c r="M37" s="412" t="str">
        <f ca="1">IFERROR(VLOOKUP(M$2,Rango_Admin_DailyPred,MATCH($F37,Rango_Admin_DailyPred_Primera,0)+1,0),"-")</f>
        <v>-</v>
      </c>
      <c r="N37" s="412" t="str">
        <f ca="1">IFERROR(VLOOKUP(N$2,Rango_Admin_DailyPred,MATCH($F37,Rango_Admin_DailyPred_Primera,0)+1,0),"-")</f>
        <v>-</v>
      </c>
      <c r="O37" s="412" t="str">
        <f ca="1">IFERROR(VLOOKUP(O$2,Rango_Admin_DailyPred,MATCH($F37,Rango_Admin_DailyPred_Primera,0)+1,0),"-")</f>
        <v>-</v>
      </c>
      <c r="P37" s="412" t="str">
        <f ca="1">IFERROR(VLOOKUP(P$2,Rango_Admin_DailyPred,MATCH($F37,Rango_Admin_DailyPred_Primera,0)+1,0),"-")</f>
        <v>-</v>
      </c>
      <c r="Q37" s="412" t="str">
        <f ca="1">IFERROR(VLOOKUP(Q$2,Rango_Admin_DailyPred,MATCH($F37,Rango_Admin_DailyPred_Primera,0)+1,0),"-")</f>
        <v>-</v>
      </c>
      <c r="R37" s="412" t="str">
        <f ca="1">IFERROR(VLOOKUP(R$2,Rango_Admin_DailyPred,MATCH($F37,Rango_Admin_DailyPred_Primera,0)+1,0),"-")</f>
        <v>-</v>
      </c>
      <c r="S37" s="412" t="str">
        <f ca="1">IFERROR(VLOOKUP(S$2,Rango_Admin_DailyPred,MATCH($F37,Rango_Admin_DailyPred_Primera,0)+1,0),"-")</f>
        <v>-</v>
      </c>
      <c r="T37" s="412" t="str">
        <f ca="1">IFERROR(VLOOKUP(T$2,Rango_Admin_DailyPred,MATCH($F37,Rango_Admin_DailyPred_Primera,0)+1,0),"-")</f>
        <v>-</v>
      </c>
      <c r="U37" s="412" t="str">
        <f ca="1">IFERROR(VLOOKUP(U$2,Rango_Admin_DailyPred,MATCH($F37,Rango_Admin_DailyPred_Primera,0)+1,0),"-")</f>
        <v>-</v>
      </c>
      <c r="V37" s="412" t="str">
        <f ca="1">IFERROR(VLOOKUP(V$2,Rango_Admin_DailyPred,MATCH($F37,Rango_Admin_DailyPred_Primera,0)+1,0),"-")</f>
        <v>-</v>
      </c>
      <c r="W37" s="412" t="str">
        <f ca="1">IFERROR(VLOOKUP(W$2,Rango_Admin_DailyPred,MATCH($F37,Rango_Admin_DailyPred_Primera,0)+1,0),"-")</f>
        <v>-</v>
      </c>
      <c r="X37" s="412" t="str">
        <f ca="1">IFERROR(VLOOKUP(X$2,Rango_Admin_DailyPred,MATCH($F37,Rango_Admin_DailyPred_Primera,0)+1,0),"-")</f>
        <v>-</v>
      </c>
      <c r="Y37" s="412" t="str">
        <f ca="1">IFERROR(VLOOKUP(Y$2,Rango_Admin_DailyPred,MATCH($F37,Rango_Admin_DailyPred_Primera,0)+1,0),"-")</f>
        <v>-</v>
      </c>
      <c r="Z37" s="412" t="str">
        <f ca="1">IFERROR(VLOOKUP(Z$2,Rango_Admin_DailyPred,MATCH($F37,Rango_Admin_DailyPred_Primera,0)+1,0),"-")</f>
        <v>-</v>
      </c>
      <c r="AA37" s="412" t="str">
        <f ca="1">IFERROR(VLOOKUP(AA$2,Rango_Admin_DailyPred,MATCH($F37,Rango_Admin_DailyPred_Primera,0)+1,0),"-")</f>
        <v>-</v>
      </c>
      <c r="AB37" s="412" t="str">
        <f ca="1">IFERROR(VLOOKUP(AB$2,Rango_Admin_DailyPred,MATCH($F37,Rango_Admin_DailyPred_Primera,0)+1,0),"-")</f>
        <v>-</v>
      </c>
      <c r="AC37" s="412" t="str">
        <f ca="1">IFERROR(VLOOKUP(AC$2,Rango_Admin_DailyPred,MATCH($F37,Rango_Admin_DailyPred_Primera,0)+1,0),"-")</f>
        <v>-</v>
      </c>
      <c r="AD37" s="412" t="str">
        <f ca="1">IFERROR(VLOOKUP(AD$2,Rango_Admin_DailyPred,MATCH($F37,Rango_Admin_DailyPred_Primera,0)+1,0),"-")</f>
        <v>-</v>
      </c>
      <c r="AE37" s="412" t="str">
        <f ca="1">IFERROR(VLOOKUP(AE$2,Rango_Admin_DailyPred,MATCH($F37,Rango_Admin_DailyPred_Primera,0)+1,0),"-")</f>
        <v>-</v>
      </c>
      <c r="AF37" s="412" t="str">
        <f ca="1">IFERROR(VLOOKUP(AF$2,Rango_Admin_DailyPred,MATCH($F37,Rango_Admin_DailyPred_Primera,0)+1,0),"-")</f>
        <v>-</v>
      </c>
      <c r="AG37" s="412" t="str">
        <f ca="1">IFERROR(VLOOKUP(AG$2,Rango_Admin_DailyPred,MATCH($F37,Rango_Admin_DailyPred_Primera,0)+1,0),"-")</f>
        <v>-</v>
      </c>
      <c r="AH37" s="412" t="str">
        <f ca="1">IFERROR(VLOOKUP(AH$2,Rango_Admin_DailyPred,MATCH($F37,Rango_Admin_DailyPred_Primera,0)+1,0),"-")</f>
        <v>-</v>
      </c>
      <c r="AI37" s="412" t="str">
        <f ca="1">IFERROR(VLOOKUP(AI$2,Rango_Admin_DailyPred,MATCH($F37,Rango_Admin_DailyPred_Primera,0)+1,0),"-")</f>
        <v>-</v>
      </c>
      <c r="AJ37" s="412" t="str">
        <f ca="1">IFERROR(VLOOKUP(AJ$2,Rango_Admin_DailyPred,MATCH($F37,Rango_Admin_DailyPred_Primera,0)+1,0),"-")</f>
        <v>-</v>
      </c>
      <c r="AK37" s="412" t="str">
        <f ca="1">IFERROR(VLOOKUP(AK$2,Rango_Admin_DailyPred,MATCH($F37,Rango_Admin_DailyPred_Primera,0)+1,0),"-")</f>
        <v>-</v>
      </c>
      <c r="AL37" s="412" t="str">
        <f ca="1">IFERROR(VLOOKUP(AL$2,Rango_Admin_DailyPred,MATCH($F37,Rango_Admin_DailyPred_Primera,0)+1,0),"-")</f>
        <v>-</v>
      </c>
      <c r="AM37" s="412" t="str">
        <f ca="1">IFERROR(VLOOKUP(AM$2,Rango_Admin_DailyPred,MATCH($F37,Rango_Admin_DailyPred_Primera,0)+1,0),"-")</f>
        <v>-</v>
      </c>
      <c r="AN37" s="287"/>
    </row>
    <row r="38" spans="1:40" hidden="1">
      <c r="C38" s="5">
        <v>35</v>
      </c>
      <c r="D38" s="82"/>
      <c r="E38" s="395">
        <f ca="1">IFERROR(HLOOKUP(C38,Rango_Admin_DailyClas,3,FALSE),"-")</f>
        <v>1</v>
      </c>
      <c r="F38" s="428" t="str">
        <f ca="1">IFERROR(HLOOKUP(C38,Rango_Admin_DailyClas,5,FALSE),"-")</f>
        <v>Pegar Valores Nombre J35</v>
      </c>
      <c r="G38" s="18">
        <f ca="1">IFERROR(HLOOKUP(C38,Rango_Admin_DailyClas,4,FALSE),"-")</f>
        <v>0</v>
      </c>
      <c r="H38" s="412">
        <f ca="1">IFERROR(VLOOKUP(H$2,Rango_Admin_DailyPred,MATCH($F38,Rango_Admin_DailyPred_Primera,0)+1,0),"-")</f>
        <v>0</v>
      </c>
      <c r="I38" s="412">
        <f ca="1">IFERROR(VLOOKUP(I$2,Rango_Admin_DailyPred,MATCH($F38,Rango_Admin_DailyPred_Primera,0)+1,0),"-")</f>
        <v>0</v>
      </c>
      <c r="J38" s="412" t="str">
        <f ca="1">IFERROR(VLOOKUP(J$2,Rango_Admin_DailyPred,MATCH($F38,Rango_Admin_DailyPred_Primera,0)+1,0),"-")</f>
        <v>-</v>
      </c>
      <c r="K38" s="412" t="str">
        <f ca="1">IFERROR(VLOOKUP(K$2,Rango_Admin_DailyPred,MATCH($F38,Rango_Admin_DailyPred_Primera,0)+1,0),"-")</f>
        <v>-</v>
      </c>
      <c r="L38" s="412" t="str">
        <f ca="1">IFERROR(VLOOKUP(L$2,Rango_Admin_DailyPred,MATCH($F38,Rango_Admin_DailyPred_Primera,0)+1,0),"-")</f>
        <v>-</v>
      </c>
      <c r="M38" s="412" t="str">
        <f ca="1">IFERROR(VLOOKUP(M$2,Rango_Admin_DailyPred,MATCH($F38,Rango_Admin_DailyPred_Primera,0)+1,0),"-")</f>
        <v>-</v>
      </c>
      <c r="N38" s="412" t="str">
        <f ca="1">IFERROR(VLOOKUP(N$2,Rango_Admin_DailyPred,MATCH($F38,Rango_Admin_DailyPred_Primera,0)+1,0),"-")</f>
        <v>-</v>
      </c>
      <c r="O38" s="412" t="str">
        <f ca="1">IFERROR(VLOOKUP(O$2,Rango_Admin_DailyPred,MATCH($F38,Rango_Admin_DailyPred_Primera,0)+1,0),"-")</f>
        <v>-</v>
      </c>
      <c r="P38" s="412" t="str">
        <f ca="1">IFERROR(VLOOKUP(P$2,Rango_Admin_DailyPred,MATCH($F38,Rango_Admin_DailyPred_Primera,0)+1,0),"-")</f>
        <v>-</v>
      </c>
      <c r="Q38" s="412" t="str">
        <f ca="1">IFERROR(VLOOKUP(Q$2,Rango_Admin_DailyPred,MATCH($F38,Rango_Admin_DailyPred_Primera,0)+1,0),"-")</f>
        <v>-</v>
      </c>
      <c r="R38" s="412" t="str">
        <f ca="1">IFERROR(VLOOKUP(R$2,Rango_Admin_DailyPred,MATCH($F38,Rango_Admin_DailyPred_Primera,0)+1,0),"-")</f>
        <v>-</v>
      </c>
      <c r="S38" s="412" t="str">
        <f ca="1">IFERROR(VLOOKUP(S$2,Rango_Admin_DailyPred,MATCH($F38,Rango_Admin_DailyPred_Primera,0)+1,0),"-")</f>
        <v>-</v>
      </c>
      <c r="T38" s="412" t="str">
        <f ca="1">IFERROR(VLOOKUP(T$2,Rango_Admin_DailyPred,MATCH($F38,Rango_Admin_DailyPred_Primera,0)+1,0),"-")</f>
        <v>-</v>
      </c>
      <c r="U38" s="412" t="str">
        <f ca="1">IFERROR(VLOOKUP(U$2,Rango_Admin_DailyPred,MATCH($F38,Rango_Admin_DailyPred_Primera,0)+1,0),"-")</f>
        <v>-</v>
      </c>
      <c r="V38" s="412" t="str">
        <f ca="1">IFERROR(VLOOKUP(V$2,Rango_Admin_DailyPred,MATCH($F38,Rango_Admin_DailyPred_Primera,0)+1,0),"-")</f>
        <v>-</v>
      </c>
      <c r="W38" s="412" t="str">
        <f ca="1">IFERROR(VLOOKUP(W$2,Rango_Admin_DailyPred,MATCH($F38,Rango_Admin_DailyPred_Primera,0)+1,0),"-")</f>
        <v>-</v>
      </c>
      <c r="X38" s="412" t="str">
        <f ca="1">IFERROR(VLOOKUP(X$2,Rango_Admin_DailyPred,MATCH($F38,Rango_Admin_DailyPred_Primera,0)+1,0),"-")</f>
        <v>-</v>
      </c>
      <c r="Y38" s="412" t="str">
        <f ca="1">IFERROR(VLOOKUP(Y$2,Rango_Admin_DailyPred,MATCH($F38,Rango_Admin_DailyPred_Primera,0)+1,0),"-")</f>
        <v>-</v>
      </c>
      <c r="Z38" s="412" t="str">
        <f ca="1">IFERROR(VLOOKUP(Z$2,Rango_Admin_DailyPred,MATCH($F38,Rango_Admin_DailyPred_Primera,0)+1,0),"-")</f>
        <v>-</v>
      </c>
      <c r="AA38" s="412" t="str">
        <f ca="1">IFERROR(VLOOKUP(AA$2,Rango_Admin_DailyPred,MATCH($F38,Rango_Admin_DailyPred_Primera,0)+1,0),"-")</f>
        <v>-</v>
      </c>
      <c r="AB38" s="412" t="str">
        <f ca="1">IFERROR(VLOOKUP(AB$2,Rango_Admin_DailyPred,MATCH($F38,Rango_Admin_DailyPred_Primera,0)+1,0),"-")</f>
        <v>-</v>
      </c>
      <c r="AC38" s="412" t="str">
        <f ca="1">IFERROR(VLOOKUP(AC$2,Rango_Admin_DailyPred,MATCH($F38,Rango_Admin_DailyPred_Primera,0)+1,0),"-")</f>
        <v>-</v>
      </c>
      <c r="AD38" s="412" t="str">
        <f ca="1">IFERROR(VLOOKUP(AD$2,Rango_Admin_DailyPred,MATCH($F38,Rango_Admin_DailyPred_Primera,0)+1,0),"-")</f>
        <v>-</v>
      </c>
      <c r="AE38" s="412" t="str">
        <f ca="1">IFERROR(VLOOKUP(AE$2,Rango_Admin_DailyPred,MATCH($F38,Rango_Admin_DailyPred_Primera,0)+1,0),"-")</f>
        <v>-</v>
      </c>
      <c r="AF38" s="412" t="str">
        <f ca="1">IFERROR(VLOOKUP(AF$2,Rango_Admin_DailyPred,MATCH($F38,Rango_Admin_DailyPred_Primera,0)+1,0),"-")</f>
        <v>-</v>
      </c>
      <c r="AG38" s="412" t="str">
        <f ca="1">IFERROR(VLOOKUP(AG$2,Rango_Admin_DailyPred,MATCH($F38,Rango_Admin_DailyPred_Primera,0)+1,0),"-")</f>
        <v>-</v>
      </c>
      <c r="AH38" s="412" t="str">
        <f ca="1">IFERROR(VLOOKUP(AH$2,Rango_Admin_DailyPred,MATCH($F38,Rango_Admin_DailyPred_Primera,0)+1,0),"-")</f>
        <v>-</v>
      </c>
      <c r="AI38" s="412" t="str">
        <f ca="1">IFERROR(VLOOKUP(AI$2,Rango_Admin_DailyPred,MATCH($F38,Rango_Admin_DailyPred_Primera,0)+1,0),"-")</f>
        <v>-</v>
      </c>
      <c r="AJ38" s="412" t="str">
        <f ca="1">IFERROR(VLOOKUP(AJ$2,Rango_Admin_DailyPred,MATCH($F38,Rango_Admin_DailyPred_Primera,0)+1,0),"-")</f>
        <v>-</v>
      </c>
      <c r="AK38" s="412" t="str">
        <f ca="1">IFERROR(VLOOKUP(AK$2,Rango_Admin_DailyPred,MATCH($F38,Rango_Admin_DailyPred_Primera,0)+1,0),"-")</f>
        <v>-</v>
      </c>
      <c r="AL38" s="412" t="str">
        <f ca="1">IFERROR(VLOOKUP(AL$2,Rango_Admin_DailyPred,MATCH($F38,Rango_Admin_DailyPred_Primera,0)+1,0),"-")</f>
        <v>-</v>
      </c>
      <c r="AM38" s="412" t="str">
        <f ca="1">IFERROR(VLOOKUP(AM$2,Rango_Admin_DailyPred,MATCH($F38,Rango_Admin_DailyPred_Primera,0)+1,0),"-")</f>
        <v>-</v>
      </c>
      <c r="AN38" s="287"/>
    </row>
    <row r="39" spans="1:40" hidden="1">
      <c r="C39" s="5">
        <v>36</v>
      </c>
      <c r="D39" s="82"/>
      <c r="E39" s="395">
        <f ca="1">IFERROR(HLOOKUP(C39,Rango_Admin_DailyClas,3,FALSE),"-")</f>
        <v>1</v>
      </c>
      <c r="F39" s="428" t="str">
        <f ca="1">IFERROR(HLOOKUP(C39,Rango_Admin_DailyClas,5,FALSE),"-")</f>
        <v>Pegar Valores Nombre J36</v>
      </c>
      <c r="G39" s="18">
        <f ca="1">IFERROR(HLOOKUP(C39,Rango_Admin_DailyClas,4,FALSE),"-")</f>
        <v>0</v>
      </c>
      <c r="H39" s="412">
        <f ca="1">IFERROR(VLOOKUP(H$2,Rango_Admin_DailyPred,MATCH($F39,Rango_Admin_DailyPred_Primera,0)+1,0),"-")</f>
        <v>0</v>
      </c>
      <c r="I39" s="412">
        <f ca="1">IFERROR(VLOOKUP(I$2,Rango_Admin_DailyPred,MATCH($F39,Rango_Admin_DailyPred_Primera,0)+1,0),"-")</f>
        <v>0</v>
      </c>
      <c r="J39" s="412" t="str">
        <f ca="1">IFERROR(VLOOKUP(J$2,Rango_Admin_DailyPred,MATCH($F39,Rango_Admin_DailyPred_Primera,0)+1,0),"-")</f>
        <v>-</v>
      </c>
      <c r="K39" s="412" t="str">
        <f ca="1">IFERROR(VLOOKUP(K$2,Rango_Admin_DailyPred,MATCH($F39,Rango_Admin_DailyPred_Primera,0)+1,0),"-")</f>
        <v>-</v>
      </c>
      <c r="L39" s="412" t="str">
        <f ca="1">IFERROR(VLOOKUP(L$2,Rango_Admin_DailyPred,MATCH($F39,Rango_Admin_DailyPred_Primera,0)+1,0),"-")</f>
        <v>-</v>
      </c>
      <c r="M39" s="412" t="str">
        <f ca="1">IFERROR(VLOOKUP(M$2,Rango_Admin_DailyPred,MATCH($F39,Rango_Admin_DailyPred_Primera,0)+1,0),"-")</f>
        <v>-</v>
      </c>
      <c r="N39" s="412" t="str">
        <f ca="1">IFERROR(VLOOKUP(N$2,Rango_Admin_DailyPred,MATCH($F39,Rango_Admin_DailyPred_Primera,0)+1,0),"-")</f>
        <v>-</v>
      </c>
      <c r="O39" s="412" t="str">
        <f ca="1">IFERROR(VLOOKUP(O$2,Rango_Admin_DailyPred,MATCH($F39,Rango_Admin_DailyPred_Primera,0)+1,0),"-")</f>
        <v>-</v>
      </c>
      <c r="P39" s="412" t="str">
        <f ca="1">IFERROR(VLOOKUP(P$2,Rango_Admin_DailyPred,MATCH($F39,Rango_Admin_DailyPred_Primera,0)+1,0),"-")</f>
        <v>-</v>
      </c>
      <c r="Q39" s="412" t="str">
        <f ca="1">IFERROR(VLOOKUP(Q$2,Rango_Admin_DailyPred,MATCH($F39,Rango_Admin_DailyPred_Primera,0)+1,0),"-")</f>
        <v>-</v>
      </c>
      <c r="R39" s="412" t="str">
        <f ca="1">IFERROR(VLOOKUP(R$2,Rango_Admin_DailyPred,MATCH($F39,Rango_Admin_DailyPred_Primera,0)+1,0),"-")</f>
        <v>-</v>
      </c>
      <c r="S39" s="412" t="str">
        <f ca="1">IFERROR(VLOOKUP(S$2,Rango_Admin_DailyPred,MATCH($F39,Rango_Admin_DailyPred_Primera,0)+1,0),"-")</f>
        <v>-</v>
      </c>
      <c r="T39" s="412" t="str">
        <f ca="1">IFERROR(VLOOKUP(T$2,Rango_Admin_DailyPred,MATCH($F39,Rango_Admin_DailyPred_Primera,0)+1,0),"-")</f>
        <v>-</v>
      </c>
      <c r="U39" s="412" t="str">
        <f ca="1">IFERROR(VLOOKUP(U$2,Rango_Admin_DailyPred,MATCH($F39,Rango_Admin_DailyPred_Primera,0)+1,0),"-")</f>
        <v>-</v>
      </c>
      <c r="V39" s="412" t="str">
        <f ca="1">IFERROR(VLOOKUP(V$2,Rango_Admin_DailyPred,MATCH($F39,Rango_Admin_DailyPred_Primera,0)+1,0),"-")</f>
        <v>-</v>
      </c>
      <c r="W39" s="412" t="str">
        <f ca="1">IFERROR(VLOOKUP(W$2,Rango_Admin_DailyPred,MATCH($F39,Rango_Admin_DailyPred_Primera,0)+1,0),"-")</f>
        <v>-</v>
      </c>
      <c r="X39" s="412" t="str">
        <f ca="1">IFERROR(VLOOKUP(X$2,Rango_Admin_DailyPred,MATCH($F39,Rango_Admin_DailyPred_Primera,0)+1,0),"-")</f>
        <v>-</v>
      </c>
      <c r="Y39" s="412" t="str">
        <f ca="1">IFERROR(VLOOKUP(Y$2,Rango_Admin_DailyPred,MATCH($F39,Rango_Admin_DailyPred_Primera,0)+1,0),"-")</f>
        <v>-</v>
      </c>
      <c r="Z39" s="412" t="str">
        <f ca="1">IFERROR(VLOOKUP(Z$2,Rango_Admin_DailyPred,MATCH($F39,Rango_Admin_DailyPred_Primera,0)+1,0),"-")</f>
        <v>-</v>
      </c>
      <c r="AA39" s="412" t="str">
        <f ca="1">IFERROR(VLOOKUP(AA$2,Rango_Admin_DailyPred,MATCH($F39,Rango_Admin_DailyPred_Primera,0)+1,0),"-")</f>
        <v>-</v>
      </c>
      <c r="AB39" s="412" t="str">
        <f ca="1">IFERROR(VLOOKUP(AB$2,Rango_Admin_DailyPred,MATCH($F39,Rango_Admin_DailyPred_Primera,0)+1,0),"-")</f>
        <v>-</v>
      </c>
      <c r="AC39" s="412" t="str">
        <f ca="1">IFERROR(VLOOKUP(AC$2,Rango_Admin_DailyPred,MATCH($F39,Rango_Admin_DailyPred_Primera,0)+1,0),"-")</f>
        <v>-</v>
      </c>
      <c r="AD39" s="412" t="str">
        <f ca="1">IFERROR(VLOOKUP(AD$2,Rango_Admin_DailyPred,MATCH($F39,Rango_Admin_DailyPred_Primera,0)+1,0),"-")</f>
        <v>-</v>
      </c>
      <c r="AE39" s="412" t="str">
        <f ca="1">IFERROR(VLOOKUP(AE$2,Rango_Admin_DailyPred,MATCH($F39,Rango_Admin_DailyPred_Primera,0)+1,0),"-")</f>
        <v>-</v>
      </c>
      <c r="AF39" s="412" t="str">
        <f ca="1">IFERROR(VLOOKUP(AF$2,Rango_Admin_DailyPred,MATCH($F39,Rango_Admin_DailyPred_Primera,0)+1,0),"-")</f>
        <v>-</v>
      </c>
      <c r="AG39" s="412" t="str">
        <f ca="1">IFERROR(VLOOKUP(AG$2,Rango_Admin_DailyPred,MATCH($F39,Rango_Admin_DailyPred_Primera,0)+1,0),"-")</f>
        <v>-</v>
      </c>
      <c r="AH39" s="412" t="str">
        <f ca="1">IFERROR(VLOOKUP(AH$2,Rango_Admin_DailyPred,MATCH($F39,Rango_Admin_DailyPred_Primera,0)+1,0),"-")</f>
        <v>-</v>
      </c>
      <c r="AI39" s="412" t="str">
        <f ca="1">IFERROR(VLOOKUP(AI$2,Rango_Admin_DailyPred,MATCH($F39,Rango_Admin_DailyPred_Primera,0)+1,0),"-")</f>
        <v>-</v>
      </c>
      <c r="AJ39" s="412" t="str">
        <f ca="1">IFERROR(VLOOKUP(AJ$2,Rango_Admin_DailyPred,MATCH($F39,Rango_Admin_DailyPred_Primera,0)+1,0),"-")</f>
        <v>-</v>
      </c>
      <c r="AK39" s="412" t="str">
        <f ca="1">IFERROR(VLOOKUP(AK$2,Rango_Admin_DailyPred,MATCH($F39,Rango_Admin_DailyPred_Primera,0)+1,0),"-")</f>
        <v>-</v>
      </c>
      <c r="AL39" s="412" t="str">
        <f ca="1">IFERROR(VLOOKUP(AL$2,Rango_Admin_DailyPred,MATCH($F39,Rango_Admin_DailyPred_Primera,0)+1,0),"-")</f>
        <v>-</v>
      </c>
      <c r="AM39" s="412" t="str">
        <f ca="1">IFERROR(VLOOKUP(AM$2,Rango_Admin_DailyPred,MATCH($F39,Rango_Admin_DailyPred_Primera,0)+1,0),"-")</f>
        <v>-</v>
      </c>
      <c r="AN39" s="287"/>
    </row>
    <row r="40" spans="1:40" hidden="1">
      <c r="C40" s="5">
        <v>37</v>
      </c>
      <c r="D40" s="82"/>
      <c r="E40" s="395">
        <f ca="1">IFERROR(HLOOKUP(C40,Rango_Admin_DailyClas,3,FALSE),"-")</f>
        <v>1</v>
      </c>
      <c r="F40" s="428" t="str">
        <f ca="1">IFERROR(HLOOKUP(C40,Rango_Admin_DailyClas,5,FALSE),"-")</f>
        <v>Pegar Valores Nombre J37</v>
      </c>
      <c r="G40" s="18">
        <f ca="1">IFERROR(HLOOKUP(C40,Rango_Admin_DailyClas,4,FALSE),"-")</f>
        <v>0</v>
      </c>
      <c r="H40" s="412">
        <f ca="1">IFERROR(VLOOKUP(H$2,Rango_Admin_DailyPred,MATCH($F40,Rango_Admin_DailyPred_Primera,0)+1,0),"-")</f>
        <v>0</v>
      </c>
      <c r="I40" s="412">
        <f ca="1">IFERROR(VLOOKUP(I$2,Rango_Admin_DailyPred,MATCH($F40,Rango_Admin_DailyPred_Primera,0)+1,0),"-")</f>
        <v>0</v>
      </c>
      <c r="J40" s="412" t="str">
        <f ca="1">IFERROR(VLOOKUP(J$2,Rango_Admin_DailyPred,MATCH($F40,Rango_Admin_DailyPred_Primera,0)+1,0),"-")</f>
        <v>-</v>
      </c>
      <c r="K40" s="412" t="str">
        <f ca="1">IFERROR(VLOOKUP(K$2,Rango_Admin_DailyPred,MATCH($F40,Rango_Admin_DailyPred_Primera,0)+1,0),"-")</f>
        <v>-</v>
      </c>
      <c r="L40" s="412" t="str">
        <f ca="1">IFERROR(VLOOKUP(L$2,Rango_Admin_DailyPred,MATCH($F40,Rango_Admin_DailyPred_Primera,0)+1,0),"-")</f>
        <v>-</v>
      </c>
      <c r="M40" s="412" t="str">
        <f ca="1">IFERROR(VLOOKUP(M$2,Rango_Admin_DailyPred,MATCH($F40,Rango_Admin_DailyPred_Primera,0)+1,0),"-")</f>
        <v>-</v>
      </c>
      <c r="N40" s="412" t="str">
        <f ca="1">IFERROR(VLOOKUP(N$2,Rango_Admin_DailyPred,MATCH($F40,Rango_Admin_DailyPred_Primera,0)+1,0),"-")</f>
        <v>-</v>
      </c>
      <c r="O40" s="412" t="str">
        <f ca="1">IFERROR(VLOOKUP(O$2,Rango_Admin_DailyPred,MATCH($F40,Rango_Admin_DailyPred_Primera,0)+1,0),"-")</f>
        <v>-</v>
      </c>
      <c r="P40" s="412" t="str">
        <f ca="1">IFERROR(VLOOKUP(P$2,Rango_Admin_DailyPred,MATCH($F40,Rango_Admin_DailyPred_Primera,0)+1,0),"-")</f>
        <v>-</v>
      </c>
      <c r="Q40" s="412" t="str">
        <f ca="1">IFERROR(VLOOKUP(Q$2,Rango_Admin_DailyPred,MATCH($F40,Rango_Admin_DailyPred_Primera,0)+1,0),"-")</f>
        <v>-</v>
      </c>
      <c r="R40" s="412" t="str">
        <f ca="1">IFERROR(VLOOKUP(R$2,Rango_Admin_DailyPred,MATCH($F40,Rango_Admin_DailyPred_Primera,0)+1,0),"-")</f>
        <v>-</v>
      </c>
      <c r="S40" s="412" t="str">
        <f ca="1">IFERROR(VLOOKUP(S$2,Rango_Admin_DailyPred,MATCH($F40,Rango_Admin_DailyPred_Primera,0)+1,0),"-")</f>
        <v>-</v>
      </c>
      <c r="T40" s="412" t="str">
        <f ca="1">IFERROR(VLOOKUP(T$2,Rango_Admin_DailyPred,MATCH($F40,Rango_Admin_DailyPred_Primera,0)+1,0),"-")</f>
        <v>-</v>
      </c>
      <c r="U40" s="412" t="str">
        <f ca="1">IFERROR(VLOOKUP(U$2,Rango_Admin_DailyPred,MATCH($F40,Rango_Admin_DailyPred_Primera,0)+1,0),"-")</f>
        <v>-</v>
      </c>
      <c r="V40" s="412" t="str">
        <f ca="1">IFERROR(VLOOKUP(V$2,Rango_Admin_DailyPred,MATCH($F40,Rango_Admin_DailyPred_Primera,0)+1,0),"-")</f>
        <v>-</v>
      </c>
      <c r="W40" s="412" t="str">
        <f ca="1">IFERROR(VLOOKUP(W$2,Rango_Admin_DailyPred,MATCH($F40,Rango_Admin_DailyPred_Primera,0)+1,0),"-")</f>
        <v>-</v>
      </c>
      <c r="X40" s="412" t="str">
        <f ca="1">IFERROR(VLOOKUP(X$2,Rango_Admin_DailyPred,MATCH($F40,Rango_Admin_DailyPred_Primera,0)+1,0),"-")</f>
        <v>-</v>
      </c>
      <c r="Y40" s="412" t="str">
        <f ca="1">IFERROR(VLOOKUP(Y$2,Rango_Admin_DailyPred,MATCH($F40,Rango_Admin_DailyPred_Primera,0)+1,0),"-")</f>
        <v>-</v>
      </c>
      <c r="Z40" s="412" t="str">
        <f ca="1">IFERROR(VLOOKUP(Z$2,Rango_Admin_DailyPred,MATCH($F40,Rango_Admin_DailyPred_Primera,0)+1,0),"-")</f>
        <v>-</v>
      </c>
      <c r="AA40" s="412" t="str">
        <f ca="1">IFERROR(VLOOKUP(AA$2,Rango_Admin_DailyPred,MATCH($F40,Rango_Admin_DailyPred_Primera,0)+1,0),"-")</f>
        <v>-</v>
      </c>
      <c r="AB40" s="412" t="str">
        <f ca="1">IFERROR(VLOOKUP(AB$2,Rango_Admin_DailyPred,MATCH($F40,Rango_Admin_DailyPred_Primera,0)+1,0),"-")</f>
        <v>-</v>
      </c>
      <c r="AC40" s="412" t="str">
        <f ca="1">IFERROR(VLOOKUP(AC$2,Rango_Admin_DailyPred,MATCH($F40,Rango_Admin_DailyPred_Primera,0)+1,0),"-")</f>
        <v>-</v>
      </c>
      <c r="AD40" s="412" t="str">
        <f ca="1">IFERROR(VLOOKUP(AD$2,Rango_Admin_DailyPred,MATCH($F40,Rango_Admin_DailyPred_Primera,0)+1,0),"-")</f>
        <v>-</v>
      </c>
      <c r="AE40" s="412" t="str">
        <f ca="1">IFERROR(VLOOKUP(AE$2,Rango_Admin_DailyPred,MATCH($F40,Rango_Admin_DailyPred_Primera,0)+1,0),"-")</f>
        <v>-</v>
      </c>
      <c r="AF40" s="412" t="str">
        <f ca="1">IFERROR(VLOOKUP(AF$2,Rango_Admin_DailyPred,MATCH($F40,Rango_Admin_DailyPred_Primera,0)+1,0),"-")</f>
        <v>-</v>
      </c>
      <c r="AG40" s="412" t="str">
        <f ca="1">IFERROR(VLOOKUP(AG$2,Rango_Admin_DailyPred,MATCH($F40,Rango_Admin_DailyPred_Primera,0)+1,0),"-")</f>
        <v>-</v>
      </c>
      <c r="AH40" s="412" t="str">
        <f ca="1">IFERROR(VLOOKUP(AH$2,Rango_Admin_DailyPred,MATCH($F40,Rango_Admin_DailyPred_Primera,0)+1,0),"-")</f>
        <v>-</v>
      </c>
      <c r="AI40" s="412" t="str">
        <f ca="1">IFERROR(VLOOKUP(AI$2,Rango_Admin_DailyPred,MATCH($F40,Rango_Admin_DailyPred_Primera,0)+1,0),"-")</f>
        <v>-</v>
      </c>
      <c r="AJ40" s="412" t="str">
        <f ca="1">IFERROR(VLOOKUP(AJ$2,Rango_Admin_DailyPred,MATCH($F40,Rango_Admin_DailyPred_Primera,0)+1,0),"-")</f>
        <v>-</v>
      </c>
      <c r="AK40" s="412" t="str">
        <f ca="1">IFERROR(VLOOKUP(AK$2,Rango_Admin_DailyPred,MATCH($F40,Rango_Admin_DailyPred_Primera,0)+1,0),"-")</f>
        <v>-</v>
      </c>
      <c r="AL40" s="412" t="str">
        <f ca="1">IFERROR(VLOOKUP(AL$2,Rango_Admin_DailyPred,MATCH($F40,Rango_Admin_DailyPred_Primera,0)+1,0),"-")</f>
        <v>-</v>
      </c>
      <c r="AM40" s="412" t="str">
        <f ca="1">IFERROR(VLOOKUP(AM$2,Rango_Admin_DailyPred,MATCH($F40,Rango_Admin_DailyPred_Primera,0)+1,0),"-")</f>
        <v>-</v>
      </c>
      <c r="AN40" s="287"/>
    </row>
    <row r="41" spans="1:40" hidden="1">
      <c r="C41" s="5">
        <v>38</v>
      </c>
      <c r="D41" s="82"/>
      <c r="E41" s="395">
        <f ca="1">IFERROR(HLOOKUP(C41,Rango_Admin_DailyClas,3,FALSE),"-")</f>
        <v>1</v>
      </c>
      <c r="F41" s="428" t="str">
        <f ca="1">IFERROR(HLOOKUP(C41,Rango_Admin_DailyClas,5,FALSE),"-")</f>
        <v>Pegar Valores Nombre J38</v>
      </c>
      <c r="G41" s="18">
        <f ca="1">IFERROR(HLOOKUP(C41,Rango_Admin_DailyClas,4,FALSE),"-")</f>
        <v>0</v>
      </c>
      <c r="H41" s="412">
        <f ca="1">IFERROR(VLOOKUP(H$2,Rango_Admin_DailyPred,MATCH($F41,Rango_Admin_DailyPred_Primera,0)+1,0),"-")</f>
        <v>0</v>
      </c>
      <c r="I41" s="412">
        <f ca="1">IFERROR(VLOOKUP(I$2,Rango_Admin_DailyPred,MATCH($F41,Rango_Admin_DailyPred_Primera,0)+1,0),"-")</f>
        <v>0</v>
      </c>
      <c r="J41" s="412" t="str">
        <f ca="1">IFERROR(VLOOKUP(J$2,Rango_Admin_DailyPred,MATCH($F41,Rango_Admin_DailyPred_Primera,0)+1,0),"-")</f>
        <v>-</v>
      </c>
      <c r="K41" s="412" t="str">
        <f ca="1">IFERROR(VLOOKUP(K$2,Rango_Admin_DailyPred,MATCH($F41,Rango_Admin_DailyPred_Primera,0)+1,0),"-")</f>
        <v>-</v>
      </c>
      <c r="L41" s="412" t="str">
        <f ca="1">IFERROR(VLOOKUP(L$2,Rango_Admin_DailyPred,MATCH($F41,Rango_Admin_DailyPred_Primera,0)+1,0),"-")</f>
        <v>-</v>
      </c>
      <c r="M41" s="412" t="str">
        <f ca="1">IFERROR(VLOOKUP(M$2,Rango_Admin_DailyPred,MATCH($F41,Rango_Admin_DailyPred_Primera,0)+1,0),"-")</f>
        <v>-</v>
      </c>
      <c r="N41" s="412" t="str">
        <f ca="1">IFERROR(VLOOKUP(N$2,Rango_Admin_DailyPred,MATCH($F41,Rango_Admin_DailyPred_Primera,0)+1,0),"-")</f>
        <v>-</v>
      </c>
      <c r="O41" s="412" t="str">
        <f ca="1">IFERROR(VLOOKUP(O$2,Rango_Admin_DailyPred,MATCH($F41,Rango_Admin_DailyPred_Primera,0)+1,0),"-")</f>
        <v>-</v>
      </c>
      <c r="P41" s="412" t="str">
        <f ca="1">IFERROR(VLOOKUP(P$2,Rango_Admin_DailyPred,MATCH($F41,Rango_Admin_DailyPred_Primera,0)+1,0),"-")</f>
        <v>-</v>
      </c>
      <c r="Q41" s="412" t="str">
        <f ca="1">IFERROR(VLOOKUP(Q$2,Rango_Admin_DailyPred,MATCH($F41,Rango_Admin_DailyPred_Primera,0)+1,0),"-")</f>
        <v>-</v>
      </c>
      <c r="R41" s="412" t="str">
        <f ca="1">IFERROR(VLOOKUP(R$2,Rango_Admin_DailyPred,MATCH($F41,Rango_Admin_DailyPred_Primera,0)+1,0),"-")</f>
        <v>-</v>
      </c>
      <c r="S41" s="412" t="str">
        <f ca="1">IFERROR(VLOOKUP(S$2,Rango_Admin_DailyPred,MATCH($F41,Rango_Admin_DailyPred_Primera,0)+1,0),"-")</f>
        <v>-</v>
      </c>
      <c r="T41" s="412" t="str">
        <f ca="1">IFERROR(VLOOKUP(T$2,Rango_Admin_DailyPred,MATCH($F41,Rango_Admin_DailyPred_Primera,0)+1,0),"-")</f>
        <v>-</v>
      </c>
      <c r="U41" s="412" t="str">
        <f ca="1">IFERROR(VLOOKUP(U$2,Rango_Admin_DailyPred,MATCH($F41,Rango_Admin_DailyPred_Primera,0)+1,0),"-")</f>
        <v>-</v>
      </c>
      <c r="V41" s="412" t="str">
        <f ca="1">IFERROR(VLOOKUP(V$2,Rango_Admin_DailyPred,MATCH($F41,Rango_Admin_DailyPred_Primera,0)+1,0),"-")</f>
        <v>-</v>
      </c>
      <c r="W41" s="412" t="str">
        <f ca="1">IFERROR(VLOOKUP(W$2,Rango_Admin_DailyPred,MATCH($F41,Rango_Admin_DailyPred_Primera,0)+1,0),"-")</f>
        <v>-</v>
      </c>
      <c r="X41" s="412" t="str">
        <f ca="1">IFERROR(VLOOKUP(X$2,Rango_Admin_DailyPred,MATCH($F41,Rango_Admin_DailyPred_Primera,0)+1,0),"-")</f>
        <v>-</v>
      </c>
      <c r="Y41" s="412" t="str">
        <f ca="1">IFERROR(VLOOKUP(Y$2,Rango_Admin_DailyPred,MATCH($F41,Rango_Admin_DailyPred_Primera,0)+1,0),"-")</f>
        <v>-</v>
      </c>
      <c r="Z41" s="412" t="str">
        <f ca="1">IFERROR(VLOOKUP(Z$2,Rango_Admin_DailyPred,MATCH($F41,Rango_Admin_DailyPred_Primera,0)+1,0),"-")</f>
        <v>-</v>
      </c>
      <c r="AA41" s="412" t="str">
        <f ca="1">IFERROR(VLOOKUP(AA$2,Rango_Admin_DailyPred,MATCH($F41,Rango_Admin_DailyPred_Primera,0)+1,0),"-")</f>
        <v>-</v>
      </c>
      <c r="AB41" s="412" t="str">
        <f ca="1">IFERROR(VLOOKUP(AB$2,Rango_Admin_DailyPred,MATCH($F41,Rango_Admin_DailyPred_Primera,0)+1,0),"-")</f>
        <v>-</v>
      </c>
      <c r="AC41" s="412" t="str">
        <f ca="1">IFERROR(VLOOKUP(AC$2,Rango_Admin_DailyPred,MATCH($F41,Rango_Admin_DailyPred_Primera,0)+1,0),"-")</f>
        <v>-</v>
      </c>
      <c r="AD41" s="412" t="str">
        <f ca="1">IFERROR(VLOOKUP(AD$2,Rango_Admin_DailyPred,MATCH($F41,Rango_Admin_DailyPred_Primera,0)+1,0),"-")</f>
        <v>-</v>
      </c>
      <c r="AE41" s="412" t="str">
        <f ca="1">IFERROR(VLOOKUP(AE$2,Rango_Admin_DailyPred,MATCH($F41,Rango_Admin_DailyPred_Primera,0)+1,0),"-")</f>
        <v>-</v>
      </c>
      <c r="AF41" s="412" t="str">
        <f ca="1">IFERROR(VLOOKUP(AF$2,Rango_Admin_DailyPred,MATCH($F41,Rango_Admin_DailyPred_Primera,0)+1,0),"-")</f>
        <v>-</v>
      </c>
      <c r="AG41" s="412" t="str">
        <f ca="1">IFERROR(VLOOKUP(AG$2,Rango_Admin_DailyPred,MATCH($F41,Rango_Admin_DailyPred_Primera,0)+1,0),"-")</f>
        <v>-</v>
      </c>
      <c r="AH41" s="412" t="str">
        <f ca="1">IFERROR(VLOOKUP(AH$2,Rango_Admin_DailyPred,MATCH($F41,Rango_Admin_DailyPred_Primera,0)+1,0),"-")</f>
        <v>-</v>
      </c>
      <c r="AI41" s="412" t="str">
        <f ca="1">IFERROR(VLOOKUP(AI$2,Rango_Admin_DailyPred,MATCH($F41,Rango_Admin_DailyPred_Primera,0)+1,0),"-")</f>
        <v>-</v>
      </c>
      <c r="AJ41" s="412" t="str">
        <f ca="1">IFERROR(VLOOKUP(AJ$2,Rango_Admin_DailyPred,MATCH($F41,Rango_Admin_DailyPred_Primera,0)+1,0),"-")</f>
        <v>-</v>
      </c>
      <c r="AK41" s="412" t="str">
        <f ca="1">IFERROR(VLOOKUP(AK$2,Rango_Admin_DailyPred,MATCH($F41,Rango_Admin_DailyPred_Primera,0)+1,0),"-")</f>
        <v>-</v>
      </c>
      <c r="AL41" s="412" t="str">
        <f ca="1">IFERROR(VLOOKUP(AL$2,Rango_Admin_DailyPred,MATCH($F41,Rango_Admin_DailyPred_Primera,0)+1,0),"-")</f>
        <v>-</v>
      </c>
      <c r="AM41" s="412" t="str">
        <f ca="1">IFERROR(VLOOKUP(AM$2,Rango_Admin_DailyPred,MATCH($F41,Rango_Admin_DailyPred_Primera,0)+1,0),"-")</f>
        <v>-</v>
      </c>
      <c r="AN41" s="287"/>
    </row>
    <row r="42" spans="1:40" hidden="1">
      <c r="C42" s="5">
        <v>39</v>
      </c>
      <c r="D42" s="82"/>
      <c r="E42" s="395">
        <f ca="1">IFERROR(HLOOKUP(C42,Rango_Admin_DailyClas,3,FALSE),"-")</f>
        <v>1</v>
      </c>
      <c r="F42" s="428" t="str">
        <f ca="1">IFERROR(HLOOKUP(C42,Rango_Admin_DailyClas,5,FALSE),"-")</f>
        <v>Pegar Valores Nombre J39</v>
      </c>
      <c r="G42" s="18">
        <f ca="1">IFERROR(HLOOKUP(C42,Rango_Admin_DailyClas,4,FALSE),"-")</f>
        <v>0</v>
      </c>
      <c r="H42" s="412">
        <f ca="1">IFERROR(VLOOKUP(H$2,Rango_Admin_DailyPred,MATCH($F42,Rango_Admin_DailyPred_Primera,0)+1,0),"-")</f>
        <v>0</v>
      </c>
      <c r="I42" s="412">
        <f ca="1">IFERROR(VLOOKUP(I$2,Rango_Admin_DailyPred,MATCH($F42,Rango_Admin_DailyPred_Primera,0)+1,0),"-")</f>
        <v>0</v>
      </c>
      <c r="J42" s="412" t="str">
        <f ca="1">IFERROR(VLOOKUP(J$2,Rango_Admin_DailyPred,MATCH($F42,Rango_Admin_DailyPred_Primera,0)+1,0),"-")</f>
        <v>-</v>
      </c>
      <c r="K42" s="412" t="str">
        <f ca="1">IFERROR(VLOOKUP(K$2,Rango_Admin_DailyPred,MATCH($F42,Rango_Admin_DailyPred_Primera,0)+1,0),"-")</f>
        <v>-</v>
      </c>
      <c r="L42" s="412" t="str">
        <f ca="1">IFERROR(VLOOKUP(L$2,Rango_Admin_DailyPred,MATCH($F42,Rango_Admin_DailyPred_Primera,0)+1,0),"-")</f>
        <v>-</v>
      </c>
      <c r="M42" s="412" t="str">
        <f ca="1">IFERROR(VLOOKUP(M$2,Rango_Admin_DailyPred,MATCH($F42,Rango_Admin_DailyPred_Primera,0)+1,0),"-")</f>
        <v>-</v>
      </c>
      <c r="N42" s="412" t="str">
        <f ca="1">IFERROR(VLOOKUP(N$2,Rango_Admin_DailyPred,MATCH($F42,Rango_Admin_DailyPred_Primera,0)+1,0),"-")</f>
        <v>-</v>
      </c>
      <c r="O42" s="412" t="str">
        <f ca="1">IFERROR(VLOOKUP(O$2,Rango_Admin_DailyPred,MATCH($F42,Rango_Admin_DailyPred_Primera,0)+1,0),"-")</f>
        <v>-</v>
      </c>
      <c r="P42" s="412" t="str">
        <f ca="1">IFERROR(VLOOKUP(P$2,Rango_Admin_DailyPred,MATCH($F42,Rango_Admin_DailyPred_Primera,0)+1,0),"-")</f>
        <v>-</v>
      </c>
      <c r="Q42" s="412" t="str">
        <f ca="1">IFERROR(VLOOKUP(Q$2,Rango_Admin_DailyPred,MATCH($F42,Rango_Admin_DailyPred_Primera,0)+1,0),"-")</f>
        <v>-</v>
      </c>
      <c r="R42" s="412" t="str">
        <f ca="1">IFERROR(VLOOKUP(R$2,Rango_Admin_DailyPred,MATCH($F42,Rango_Admin_DailyPred_Primera,0)+1,0),"-")</f>
        <v>-</v>
      </c>
      <c r="S42" s="412" t="str">
        <f ca="1">IFERROR(VLOOKUP(S$2,Rango_Admin_DailyPred,MATCH($F42,Rango_Admin_DailyPred_Primera,0)+1,0),"-")</f>
        <v>-</v>
      </c>
      <c r="T42" s="412" t="str">
        <f ca="1">IFERROR(VLOOKUP(T$2,Rango_Admin_DailyPred,MATCH($F42,Rango_Admin_DailyPred_Primera,0)+1,0),"-")</f>
        <v>-</v>
      </c>
      <c r="U42" s="412" t="str">
        <f ca="1">IFERROR(VLOOKUP(U$2,Rango_Admin_DailyPred,MATCH($F42,Rango_Admin_DailyPred_Primera,0)+1,0),"-")</f>
        <v>-</v>
      </c>
      <c r="V42" s="412" t="str">
        <f ca="1">IFERROR(VLOOKUP(V$2,Rango_Admin_DailyPred,MATCH($F42,Rango_Admin_DailyPred_Primera,0)+1,0),"-")</f>
        <v>-</v>
      </c>
      <c r="W42" s="412" t="str">
        <f ca="1">IFERROR(VLOOKUP(W$2,Rango_Admin_DailyPred,MATCH($F42,Rango_Admin_DailyPred_Primera,0)+1,0),"-")</f>
        <v>-</v>
      </c>
      <c r="X42" s="412" t="str">
        <f ca="1">IFERROR(VLOOKUP(X$2,Rango_Admin_DailyPred,MATCH($F42,Rango_Admin_DailyPred_Primera,0)+1,0),"-")</f>
        <v>-</v>
      </c>
      <c r="Y42" s="412" t="str">
        <f ca="1">IFERROR(VLOOKUP(Y$2,Rango_Admin_DailyPred,MATCH($F42,Rango_Admin_DailyPred_Primera,0)+1,0),"-")</f>
        <v>-</v>
      </c>
      <c r="Z42" s="412" t="str">
        <f ca="1">IFERROR(VLOOKUP(Z$2,Rango_Admin_DailyPred,MATCH($F42,Rango_Admin_DailyPred_Primera,0)+1,0),"-")</f>
        <v>-</v>
      </c>
      <c r="AA42" s="412" t="str">
        <f ca="1">IFERROR(VLOOKUP(AA$2,Rango_Admin_DailyPred,MATCH($F42,Rango_Admin_DailyPred_Primera,0)+1,0),"-")</f>
        <v>-</v>
      </c>
      <c r="AB42" s="412" t="str">
        <f ca="1">IFERROR(VLOOKUP(AB$2,Rango_Admin_DailyPred,MATCH($F42,Rango_Admin_DailyPred_Primera,0)+1,0),"-")</f>
        <v>-</v>
      </c>
      <c r="AC42" s="412" t="str">
        <f ca="1">IFERROR(VLOOKUP(AC$2,Rango_Admin_DailyPred,MATCH($F42,Rango_Admin_DailyPred_Primera,0)+1,0),"-")</f>
        <v>-</v>
      </c>
      <c r="AD42" s="412" t="str">
        <f ca="1">IFERROR(VLOOKUP(AD$2,Rango_Admin_DailyPred,MATCH($F42,Rango_Admin_DailyPred_Primera,0)+1,0),"-")</f>
        <v>-</v>
      </c>
      <c r="AE42" s="412" t="str">
        <f ca="1">IFERROR(VLOOKUP(AE$2,Rango_Admin_DailyPred,MATCH($F42,Rango_Admin_DailyPred_Primera,0)+1,0),"-")</f>
        <v>-</v>
      </c>
      <c r="AF42" s="412" t="str">
        <f ca="1">IFERROR(VLOOKUP(AF$2,Rango_Admin_DailyPred,MATCH($F42,Rango_Admin_DailyPred_Primera,0)+1,0),"-")</f>
        <v>-</v>
      </c>
      <c r="AG42" s="412" t="str">
        <f ca="1">IFERROR(VLOOKUP(AG$2,Rango_Admin_DailyPred,MATCH($F42,Rango_Admin_DailyPred_Primera,0)+1,0),"-")</f>
        <v>-</v>
      </c>
      <c r="AH42" s="412" t="str">
        <f ca="1">IFERROR(VLOOKUP(AH$2,Rango_Admin_DailyPred,MATCH($F42,Rango_Admin_DailyPred_Primera,0)+1,0),"-")</f>
        <v>-</v>
      </c>
      <c r="AI42" s="412" t="str">
        <f ca="1">IFERROR(VLOOKUP(AI$2,Rango_Admin_DailyPred,MATCH($F42,Rango_Admin_DailyPred_Primera,0)+1,0),"-")</f>
        <v>-</v>
      </c>
      <c r="AJ42" s="412" t="str">
        <f ca="1">IFERROR(VLOOKUP(AJ$2,Rango_Admin_DailyPred,MATCH($F42,Rango_Admin_DailyPred_Primera,0)+1,0),"-")</f>
        <v>-</v>
      </c>
      <c r="AK42" s="412" t="str">
        <f ca="1">IFERROR(VLOOKUP(AK$2,Rango_Admin_DailyPred,MATCH($F42,Rango_Admin_DailyPred_Primera,0)+1,0),"-")</f>
        <v>-</v>
      </c>
      <c r="AL42" s="412" t="str">
        <f ca="1">IFERROR(VLOOKUP(AL$2,Rango_Admin_DailyPred,MATCH($F42,Rango_Admin_DailyPred_Primera,0)+1,0),"-")</f>
        <v>-</v>
      </c>
      <c r="AM42" s="412" t="str">
        <f ca="1">IFERROR(VLOOKUP(AM$2,Rango_Admin_DailyPred,MATCH($F42,Rango_Admin_DailyPred_Primera,0)+1,0),"-")</f>
        <v>-</v>
      </c>
      <c r="AN42" s="287"/>
    </row>
    <row r="43" spans="1:40" hidden="1">
      <c r="C43" s="5">
        <v>40</v>
      </c>
      <c r="D43" s="82"/>
      <c r="E43" s="395">
        <f ca="1">IFERROR(HLOOKUP(C43,Rango_Admin_DailyClas,3,FALSE),"-")</f>
        <v>1</v>
      </c>
      <c r="F43" s="428" t="str">
        <f ca="1">IFERROR(HLOOKUP(C43,Rango_Admin_DailyClas,5,FALSE),"-")</f>
        <v>Pegar Valores Nombre J40</v>
      </c>
      <c r="G43" s="18">
        <f ca="1">IFERROR(HLOOKUP(C43,Rango_Admin_DailyClas,4,FALSE),"-")</f>
        <v>0</v>
      </c>
      <c r="H43" s="412">
        <f ca="1">IFERROR(VLOOKUP(H$2,Rango_Admin_DailyPred,MATCH($F43,Rango_Admin_DailyPred_Primera,0)+1,0),"-")</f>
        <v>0</v>
      </c>
      <c r="I43" s="412">
        <f ca="1">IFERROR(VLOOKUP(I$2,Rango_Admin_DailyPred,MATCH($F43,Rango_Admin_DailyPred_Primera,0)+1,0),"-")</f>
        <v>0</v>
      </c>
      <c r="J43" s="412" t="str">
        <f ca="1">IFERROR(VLOOKUP(J$2,Rango_Admin_DailyPred,MATCH($F43,Rango_Admin_DailyPred_Primera,0)+1,0),"-")</f>
        <v>-</v>
      </c>
      <c r="K43" s="412" t="str">
        <f ca="1">IFERROR(VLOOKUP(K$2,Rango_Admin_DailyPred,MATCH($F43,Rango_Admin_DailyPred_Primera,0)+1,0),"-")</f>
        <v>-</v>
      </c>
      <c r="L43" s="412" t="str">
        <f ca="1">IFERROR(VLOOKUP(L$2,Rango_Admin_DailyPred,MATCH($F43,Rango_Admin_DailyPred_Primera,0)+1,0),"-")</f>
        <v>-</v>
      </c>
      <c r="M43" s="412" t="str">
        <f ca="1">IFERROR(VLOOKUP(M$2,Rango_Admin_DailyPred,MATCH($F43,Rango_Admin_DailyPred_Primera,0)+1,0),"-")</f>
        <v>-</v>
      </c>
      <c r="N43" s="412" t="str">
        <f ca="1">IFERROR(VLOOKUP(N$2,Rango_Admin_DailyPred,MATCH($F43,Rango_Admin_DailyPred_Primera,0)+1,0),"-")</f>
        <v>-</v>
      </c>
      <c r="O43" s="412" t="str">
        <f ca="1">IFERROR(VLOOKUP(O$2,Rango_Admin_DailyPred,MATCH($F43,Rango_Admin_DailyPred_Primera,0)+1,0),"-")</f>
        <v>-</v>
      </c>
      <c r="P43" s="412" t="str">
        <f ca="1">IFERROR(VLOOKUP(P$2,Rango_Admin_DailyPred,MATCH($F43,Rango_Admin_DailyPred_Primera,0)+1,0),"-")</f>
        <v>-</v>
      </c>
      <c r="Q43" s="412" t="str">
        <f ca="1">IFERROR(VLOOKUP(Q$2,Rango_Admin_DailyPred,MATCH($F43,Rango_Admin_DailyPred_Primera,0)+1,0),"-")</f>
        <v>-</v>
      </c>
      <c r="R43" s="412" t="str">
        <f ca="1">IFERROR(VLOOKUP(R$2,Rango_Admin_DailyPred,MATCH($F43,Rango_Admin_DailyPred_Primera,0)+1,0),"-")</f>
        <v>-</v>
      </c>
      <c r="S43" s="412" t="str">
        <f ca="1">IFERROR(VLOOKUP(S$2,Rango_Admin_DailyPred,MATCH($F43,Rango_Admin_DailyPred_Primera,0)+1,0),"-")</f>
        <v>-</v>
      </c>
      <c r="T43" s="412" t="str">
        <f ca="1">IFERROR(VLOOKUP(T$2,Rango_Admin_DailyPred,MATCH($F43,Rango_Admin_DailyPred_Primera,0)+1,0),"-")</f>
        <v>-</v>
      </c>
      <c r="U43" s="412" t="str">
        <f ca="1">IFERROR(VLOOKUP(U$2,Rango_Admin_DailyPred,MATCH($F43,Rango_Admin_DailyPred_Primera,0)+1,0),"-")</f>
        <v>-</v>
      </c>
      <c r="V43" s="412" t="str">
        <f ca="1">IFERROR(VLOOKUP(V$2,Rango_Admin_DailyPred,MATCH($F43,Rango_Admin_DailyPred_Primera,0)+1,0),"-")</f>
        <v>-</v>
      </c>
      <c r="W43" s="412" t="str">
        <f ca="1">IFERROR(VLOOKUP(W$2,Rango_Admin_DailyPred,MATCH($F43,Rango_Admin_DailyPred_Primera,0)+1,0),"-")</f>
        <v>-</v>
      </c>
      <c r="X43" s="412" t="str">
        <f ca="1">IFERROR(VLOOKUP(X$2,Rango_Admin_DailyPred,MATCH($F43,Rango_Admin_DailyPred_Primera,0)+1,0),"-")</f>
        <v>-</v>
      </c>
      <c r="Y43" s="412" t="str">
        <f ca="1">IFERROR(VLOOKUP(Y$2,Rango_Admin_DailyPred,MATCH($F43,Rango_Admin_DailyPred_Primera,0)+1,0),"-")</f>
        <v>-</v>
      </c>
      <c r="Z43" s="412" t="str">
        <f ca="1">IFERROR(VLOOKUP(Z$2,Rango_Admin_DailyPred,MATCH($F43,Rango_Admin_DailyPred_Primera,0)+1,0),"-")</f>
        <v>-</v>
      </c>
      <c r="AA43" s="412" t="str">
        <f ca="1">IFERROR(VLOOKUP(AA$2,Rango_Admin_DailyPred,MATCH($F43,Rango_Admin_DailyPred_Primera,0)+1,0),"-")</f>
        <v>-</v>
      </c>
      <c r="AB43" s="412" t="str">
        <f ca="1">IFERROR(VLOOKUP(AB$2,Rango_Admin_DailyPred,MATCH($F43,Rango_Admin_DailyPred_Primera,0)+1,0),"-")</f>
        <v>-</v>
      </c>
      <c r="AC43" s="412" t="str">
        <f ca="1">IFERROR(VLOOKUP(AC$2,Rango_Admin_DailyPred,MATCH($F43,Rango_Admin_DailyPred_Primera,0)+1,0),"-")</f>
        <v>-</v>
      </c>
      <c r="AD43" s="412" t="str">
        <f ca="1">IFERROR(VLOOKUP(AD$2,Rango_Admin_DailyPred,MATCH($F43,Rango_Admin_DailyPred_Primera,0)+1,0),"-")</f>
        <v>-</v>
      </c>
      <c r="AE43" s="412" t="str">
        <f ca="1">IFERROR(VLOOKUP(AE$2,Rango_Admin_DailyPred,MATCH($F43,Rango_Admin_DailyPred_Primera,0)+1,0),"-")</f>
        <v>-</v>
      </c>
      <c r="AF43" s="412" t="str">
        <f ca="1">IFERROR(VLOOKUP(AF$2,Rango_Admin_DailyPred,MATCH($F43,Rango_Admin_DailyPred_Primera,0)+1,0),"-")</f>
        <v>-</v>
      </c>
      <c r="AG43" s="412" t="str">
        <f ca="1">IFERROR(VLOOKUP(AG$2,Rango_Admin_DailyPred,MATCH($F43,Rango_Admin_DailyPred_Primera,0)+1,0),"-")</f>
        <v>-</v>
      </c>
      <c r="AH43" s="412" t="str">
        <f ca="1">IFERROR(VLOOKUP(AH$2,Rango_Admin_DailyPred,MATCH($F43,Rango_Admin_DailyPred_Primera,0)+1,0),"-")</f>
        <v>-</v>
      </c>
      <c r="AI43" s="412" t="str">
        <f ca="1">IFERROR(VLOOKUP(AI$2,Rango_Admin_DailyPred,MATCH($F43,Rango_Admin_DailyPred_Primera,0)+1,0),"-")</f>
        <v>-</v>
      </c>
      <c r="AJ43" s="412" t="str">
        <f ca="1">IFERROR(VLOOKUP(AJ$2,Rango_Admin_DailyPred,MATCH($F43,Rango_Admin_DailyPred_Primera,0)+1,0),"-")</f>
        <v>-</v>
      </c>
      <c r="AK43" s="412" t="str">
        <f ca="1">IFERROR(VLOOKUP(AK$2,Rango_Admin_DailyPred,MATCH($F43,Rango_Admin_DailyPred_Primera,0)+1,0),"-")</f>
        <v>-</v>
      </c>
      <c r="AL43" s="412" t="str">
        <f ca="1">IFERROR(VLOOKUP(AL$2,Rango_Admin_DailyPred,MATCH($F43,Rango_Admin_DailyPred_Primera,0)+1,0),"-")</f>
        <v>-</v>
      </c>
      <c r="AM43" s="412" t="str">
        <f ca="1">IFERROR(VLOOKUP(AM$2,Rango_Admin_DailyPred,MATCH($F43,Rango_Admin_DailyPred_Primera,0)+1,0),"-")</f>
        <v>-</v>
      </c>
      <c r="AN43" s="287"/>
    </row>
    <row r="44" spans="1:40">
      <c r="D44" s="82"/>
      <c r="E44" s="395" t="str">
        <f ca="1">IFERROR(HLOOKUP(C44,Rango_Admin_DailyClas,3,FALSE),"-")</f>
        <v>-</v>
      </c>
      <c r="F44" s="428" t="str">
        <f ca="1">IFERROR(HLOOKUP(C44,Rango_Admin_DailyClas,5,FALSE),"-")</f>
        <v>-</v>
      </c>
      <c r="G44" s="18" t="str">
        <f ca="1">IFERROR(HLOOKUP(C44,Rango_Admin_DailyClas,4,FALSE),"-")</f>
        <v>-</v>
      </c>
      <c r="H44" s="412" t="str">
        <f ca="1">IFERROR(VLOOKUP(H$2,Rango_Admin_DailyPred,MATCH($F44,Rango_Admin_DailyPred_Primera,0)+1,0),"-")</f>
        <v>-</v>
      </c>
      <c r="I44" s="412" t="str">
        <f ca="1">IFERROR(VLOOKUP(I$2,Rango_Admin_DailyPred,MATCH($F44,Rango_Admin_DailyPred_Primera,0)+1,0),"-")</f>
        <v>-</v>
      </c>
      <c r="J44" s="412" t="str">
        <f ca="1">IFERROR(VLOOKUP(J$2,Rango_Admin_DailyPred,MATCH($F44,Rango_Admin_DailyPred_Primera,0)+1,0),"-")</f>
        <v>-</v>
      </c>
      <c r="K44" s="412" t="str">
        <f ca="1">IFERROR(VLOOKUP(K$2,Rango_Admin_DailyPred,MATCH($F44,Rango_Admin_DailyPred_Primera,0)+1,0),"-")</f>
        <v>-</v>
      </c>
      <c r="L44" s="412" t="str">
        <f ca="1">IFERROR(VLOOKUP(L$2,Rango_Admin_DailyPred,MATCH($F44,Rango_Admin_DailyPred_Primera,0)+1,0),"-")</f>
        <v>-</v>
      </c>
      <c r="M44" s="412" t="str">
        <f ca="1">IFERROR(VLOOKUP(M$2,Rango_Admin_DailyPred,MATCH($F44,Rango_Admin_DailyPred_Primera,0)+1,0),"-")</f>
        <v>-</v>
      </c>
      <c r="N44" s="412" t="str">
        <f ca="1">IFERROR(VLOOKUP(N$2,Rango_Admin_DailyPred,MATCH($F44,Rango_Admin_DailyPred_Primera,0)+1,0),"-")</f>
        <v>-</v>
      </c>
      <c r="O44" s="412" t="str">
        <f ca="1">IFERROR(VLOOKUP(O$2,Rango_Admin_DailyPred,MATCH($F44,Rango_Admin_DailyPred_Primera,0)+1,0),"-")</f>
        <v>-</v>
      </c>
      <c r="P44" s="412" t="str">
        <f ca="1">IFERROR(VLOOKUP(P$2,Rango_Admin_DailyPred,MATCH($F44,Rango_Admin_DailyPred_Primera,0)+1,0),"-")</f>
        <v>-</v>
      </c>
      <c r="Q44" s="412" t="str">
        <f ca="1">IFERROR(VLOOKUP(Q$2,Rango_Admin_DailyPred,MATCH($F44,Rango_Admin_DailyPred_Primera,0)+1,0),"-")</f>
        <v>-</v>
      </c>
      <c r="R44" s="412" t="str">
        <f ca="1">IFERROR(VLOOKUP(R$2,Rango_Admin_DailyPred,MATCH($F44,Rango_Admin_DailyPred_Primera,0)+1,0),"-")</f>
        <v>-</v>
      </c>
      <c r="S44" s="412" t="str">
        <f ca="1">IFERROR(VLOOKUP(S$2,Rango_Admin_DailyPred,MATCH($F44,Rango_Admin_DailyPred_Primera,0)+1,0),"-")</f>
        <v>-</v>
      </c>
      <c r="T44" s="412" t="str">
        <f ca="1">IFERROR(VLOOKUP(T$2,Rango_Admin_DailyPred,MATCH($F44,Rango_Admin_DailyPred_Primera,0)+1,0),"-")</f>
        <v>-</v>
      </c>
      <c r="U44" s="412" t="str">
        <f ca="1">IFERROR(VLOOKUP(U$2,Rango_Admin_DailyPred,MATCH($F44,Rango_Admin_DailyPred_Primera,0)+1,0),"-")</f>
        <v>-</v>
      </c>
      <c r="V44" s="412" t="str">
        <f ca="1">IFERROR(VLOOKUP(V$2,Rango_Admin_DailyPred,MATCH($F44,Rango_Admin_DailyPred_Primera,0)+1,0),"-")</f>
        <v>-</v>
      </c>
      <c r="W44" s="412" t="str">
        <f ca="1">IFERROR(VLOOKUP(W$2,Rango_Admin_DailyPred,MATCH($F44,Rango_Admin_DailyPred_Primera,0)+1,0),"-")</f>
        <v>-</v>
      </c>
      <c r="X44" s="412" t="str">
        <f ca="1">IFERROR(VLOOKUP(X$2,Rango_Admin_DailyPred,MATCH($F44,Rango_Admin_DailyPred_Primera,0)+1,0),"-")</f>
        <v>-</v>
      </c>
      <c r="Y44" s="412" t="str">
        <f ca="1">IFERROR(VLOOKUP(Y$2,Rango_Admin_DailyPred,MATCH($F44,Rango_Admin_DailyPred_Primera,0)+1,0),"-")</f>
        <v>-</v>
      </c>
      <c r="Z44" s="412" t="str">
        <f ca="1">IFERROR(VLOOKUP(Z$2,Rango_Admin_DailyPred,MATCH($F44,Rango_Admin_DailyPred_Primera,0)+1,0),"-")</f>
        <v>-</v>
      </c>
      <c r="AA44" s="412" t="str">
        <f ca="1">IFERROR(VLOOKUP(AA$2,Rango_Admin_DailyPred,MATCH($F44,Rango_Admin_DailyPred_Primera,0)+1,0),"-")</f>
        <v>-</v>
      </c>
      <c r="AB44" s="412" t="str">
        <f ca="1">IFERROR(VLOOKUP(AB$2,Rango_Admin_DailyPred,MATCH($F44,Rango_Admin_DailyPred_Primera,0)+1,0),"-")</f>
        <v>-</v>
      </c>
      <c r="AC44" s="412" t="str">
        <f ca="1">IFERROR(VLOOKUP(AC$2,Rango_Admin_DailyPred,MATCH($F44,Rango_Admin_DailyPred_Primera,0)+1,0),"-")</f>
        <v>-</v>
      </c>
      <c r="AD44" s="412" t="str">
        <f ca="1">IFERROR(VLOOKUP(AD$2,Rango_Admin_DailyPred,MATCH($F44,Rango_Admin_DailyPred_Primera,0)+1,0),"-")</f>
        <v>-</v>
      </c>
      <c r="AE44" s="412" t="str">
        <f ca="1">IFERROR(VLOOKUP(AE$2,Rango_Admin_DailyPred,MATCH($F44,Rango_Admin_DailyPred_Primera,0)+1,0),"-")</f>
        <v>-</v>
      </c>
      <c r="AF44" s="412" t="str">
        <f ca="1">IFERROR(VLOOKUP(AF$2,Rango_Admin_DailyPred,MATCH($F44,Rango_Admin_DailyPred_Primera,0)+1,0),"-")</f>
        <v>-</v>
      </c>
      <c r="AG44" s="412" t="str">
        <f ca="1">IFERROR(VLOOKUP(AG$2,Rango_Admin_DailyPred,MATCH($F44,Rango_Admin_DailyPred_Primera,0)+1,0),"-")</f>
        <v>-</v>
      </c>
      <c r="AH44" s="412" t="str">
        <f ca="1">IFERROR(VLOOKUP(AH$2,Rango_Admin_DailyPred,MATCH($F44,Rango_Admin_DailyPred_Primera,0)+1,0),"-")</f>
        <v>-</v>
      </c>
      <c r="AI44" s="412" t="str">
        <f ca="1">IFERROR(VLOOKUP(AI$2,Rango_Admin_DailyPred,MATCH($F44,Rango_Admin_DailyPred_Primera,0)+1,0),"-")</f>
        <v>-</v>
      </c>
      <c r="AJ44" s="412" t="str">
        <f ca="1">IFERROR(VLOOKUP(AJ$2,Rango_Admin_DailyPred,MATCH($F44,Rango_Admin_DailyPred_Primera,0)+1,0),"-")</f>
        <v>-</v>
      </c>
      <c r="AK44" s="412" t="str">
        <f ca="1">IFERROR(VLOOKUP(AK$2,Rango_Admin_DailyPred,MATCH($F44,Rango_Admin_DailyPred_Primera,0)+1,0),"-")</f>
        <v>-</v>
      </c>
      <c r="AL44" s="412" t="str">
        <f ca="1">IFERROR(VLOOKUP(AL$2,Rango_Admin_DailyPred,MATCH($F44,Rango_Admin_DailyPred_Primera,0)+1,0),"-")</f>
        <v>-</v>
      </c>
      <c r="AM44" s="412" t="str">
        <f ca="1">IFERROR(VLOOKUP(AM$2,Rango_Admin_DailyPred,MATCH($F44,Rango_Admin_DailyPred_Primera,0)+1,0),"-")</f>
        <v>-</v>
      </c>
      <c r="AN44" s="287"/>
    </row>
    <row r="45" spans="1:40">
      <c r="D45" s="82"/>
      <c r="E45" s="395" t="str">
        <f ca="1">IFERROR(HLOOKUP(C45,Rango_Admin_DailyClas,3,FALSE),"-")</f>
        <v>-</v>
      </c>
      <c r="F45" s="428" t="str">
        <f ca="1">IFERROR(HLOOKUP(C45,Rango_Admin_DailyClas,5,FALSE),"-")</f>
        <v>-</v>
      </c>
      <c r="G45" s="18" t="str">
        <f ca="1">IFERROR(HLOOKUP(C45,Rango_Admin_DailyClas,4,FALSE),"-")</f>
        <v>-</v>
      </c>
      <c r="H45" s="412" t="str">
        <f ca="1">IFERROR(VLOOKUP(H$2,Rango_Admin_DailyPred,MATCH($F45,Rango_Admin_DailyPred_Primera,0)+1,0),"-")</f>
        <v>-</v>
      </c>
      <c r="I45" s="412" t="str">
        <f ca="1">IFERROR(VLOOKUP(I$2,Rango_Admin_DailyPred,MATCH($F45,Rango_Admin_DailyPred_Primera,0)+1,0),"-")</f>
        <v>-</v>
      </c>
      <c r="J45" s="412" t="str">
        <f ca="1">IFERROR(VLOOKUP(J$2,Rango_Admin_DailyPred,MATCH($F45,Rango_Admin_DailyPred_Primera,0)+1,0),"-")</f>
        <v>-</v>
      </c>
      <c r="K45" s="412" t="str">
        <f ca="1">IFERROR(VLOOKUP(K$2,Rango_Admin_DailyPred,MATCH($F45,Rango_Admin_DailyPred_Primera,0)+1,0),"-")</f>
        <v>-</v>
      </c>
      <c r="L45" s="412" t="str">
        <f ca="1">IFERROR(VLOOKUP(L$2,Rango_Admin_DailyPred,MATCH($F45,Rango_Admin_DailyPred_Primera,0)+1,0),"-")</f>
        <v>-</v>
      </c>
      <c r="M45" s="412" t="str">
        <f ca="1">IFERROR(VLOOKUP(M$2,Rango_Admin_DailyPred,MATCH($F45,Rango_Admin_DailyPred_Primera,0)+1,0),"-")</f>
        <v>-</v>
      </c>
      <c r="N45" s="412" t="str">
        <f ca="1">IFERROR(VLOOKUP(N$2,Rango_Admin_DailyPred,MATCH($F45,Rango_Admin_DailyPred_Primera,0)+1,0),"-")</f>
        <v>-</v>
      </c>
      <c r="O45" s="412" t="str">
        <f ca="1">IFERROR(VLOOKUP(O$2,Rango_Admin_DailyPred,MATCH($F45,Rango_Admin_DailyPred_Primera,0)+1,0),"-")</f>
        <v>-</v>
      </c>
      <c r="P45" s="412" t="str">
        <f ca="1">IFERROR(VLOOKUP(P$2,Rango_Admin_DailyPred,MATCH($F45,Rango_Admin_DailyPred_Primera,0)+1,0),"-")</f>
        <v>-</v>
      </c>
      <c r="Q45" s="412" t="str">
        <f ca="1">IFERROR(VLOOKUP(Q$2,Rango_Admin_DailyPred,MATCH($F45,Rango_Admin_DailyPred_Primera,0)+1,0),"-")</f>
        <v>-</v>
      </c>
      <c r="R45" s="412" t="str">
        <f ca="1">IFERROR(VLOOKUP(R$2,Rango_Admin_DailyPred,MATCH($F45,Rango_Admin_DailyPred_Primera,0)+1,0),"-")</f>
        <v>-</v>
      </c>
      <c r="S45" s="412" t="str">
        <f ca="1">IFERROR(VLOOKUP(S$2,Rango_Admin_DailyPred,MATCH($F45,Rango_Admin_DailyPred_Primera,0)+1,0),"-")</f>
        <v>-</v>
      </c>
      <c r="T45" s="412" t="str">
        <f ca="1">IFERROR(VLOOKUP(T$2,Rango_Admin_DailyPred,MATCH($F45,Rango_Admin_DailyPred_Primera,0)+1,0),"-")</f>
        <v>-</v>
      </c>
      <c r="U45" s="412" t="str">
        <f ca="1">IFERROR(VLOOKUP(U$2,Rango_Admin_DailyPred,MATCH($F45,Rango_Admin_DailyPred_Primera,0)+1,0),"-")</f>
        <v>-</v>
      </c>
      <c r="V45" s="412" t="str">
        <f ca="1">IFERROR(VLOOKUP(V$2,Rango_Admin_DailyPred,MATCH($F45,Rango_Admin_DailyPred_Primera,0)+1,0),"-")</f>
        <v>-</v>
      </c>
      <c r="W45" s="412" t="str">
        <f ca="1">IFERROR(VLOOKUP(W$2,Rango_Admin_DailyPred,MATCH($F45,Rango_Admin_DailyPred_Primera,0)+1,0),"-")</f>
        <v>-</v>
      </c>
      <c r="X45" s="412" t="str">
        <f ca="1">IFERROR(VLOOKUP(X$2,Rango_Admin_DailyPred,MATCH($F45,Rango_Admin_DailyPred_Primera,0)+1,0),"-")</f>
        <v>-</v>
      </c>
      <c r="Y45" s="412" t="str">
        <f ca="1">IFERROR(VLOOKUP(Y$2,Rango_Admin_DailyPred,MATCH($F45,Rango_Admin_DailyPred_Primera,0)+1,0),"-")</f>
        <v>-</v>
      </c>
      <c r="Z45" s="412" t="str">
        <f ca="1">IFERROR(VLOOKUP(Z$2,Rango_Admin_DailyPred,MATCH($F45,Rango_Admin_DailyPred_Primera,0)+1,0),"-")</f>
        <v>-</v>
      </c>
      <c r="AA45" s="412" t="str">
        <f ca="1">IFERROR(VLOOKUP(AA$2,Rango_Admin_DailyPred,MATCH($F45,Rango_Admin_DailyPred_Primera,0)+1,0),"-")</f>
        <v>-</v>
      </c>
      <c r="AB45" s="412" t="str">
        <f ca="1">IFERROR(VLOOKUP(AB$2,Rango_Admin_DailyPred,MATCH($F45,Rango_Admin_DailyPred_Primera,0)+1,0),"-")</f>
        <v>-</v>
      </c>
      <c r="AC45" s="412" t="str">
        <f ca="1">IFERROR(VLOOKUP(AC$2,Rango_Admin_DailyPred,MATCH($F45,Rango_Admin_DailyPred_Primera,0)+1,0),"-")</f>
        <v>-</v>
      </c>
      <c r="AD45" s="412" t="str">
        <f ca="1">IFERROR(VLOOKUP(AD$2,Rango_Admin_DailyPred,MATCH($F45,Rango_Admin_DailyPred_Primera,0)+1,0),"-")</f>
        <v>-</v>
      </c>
      <c r="AE45" s="412" t="str">
        <f ca="1">IFERROR(VLOOKUP(AE$2,Rango_Admin_DailyPred,MATCH($F45,Rango_Admin_DailyPred_Primera,0)+1,0),"-")</f>
        <v>-</v>
      </c>
      <c r="AF45" s="412" t="str">
        <f ca="1">IFERROR(VLOOKUP(AF$2,Rango_Admin_DailyPred,MATCH($F45,Rango_Admin_DailyPred_Primera,0)+1,0),"-")</f>
        <v>-</v>
      </c>
      <c r="AG45" s="412" t="str">
        <f ca="1">IFERROR(VLOOKUP(AG$2,Rango_Admin_DailyPred,MATCH($F45,Rango_Admin_DailyPred_Primera,0)+1,0),"-")</f>
        <v>-</v>
      </c>
      <c r="AH45" s="412" t="str">
        <f ca="1">IFERROR(VLOOKUP(AH$2,Rango_Admin_DailyPred,MATCH($F45,Rango_Admin_DailyPred_Primera,0)+1,0),"-")</f>
        <v>-</v>
      </c>
      <c r="AI45" s="412" t="str">
        <f ca="1">IFERROR(VLOOKUP(AI$2,Rango_Admin_DailyPred,MATCH($F45,Rango_Admin_DailyPred_Primera,0)+1,0),"-")</f>
        <v>-</v>
      </c>
      <c r="AJ45" s="412" t="str">
        <f ca="1">IFERROR(VLOOKUP(AJ$2,Rango_Admin_DailyPred,MATCH($F45,Rango_Admin_DailyPred_Primera,0)+1,0),"-")</f>
        <v>-</v>
      </c>
      <c r="AK45" s="412" t="str">
        <f ca="1">IFERROR(VLOOKUP(AK$2,Rango_Admin_DailyPred,MATCH($F45,Rango_Admin_DailyPred_Primera,0)+1,0),"-")</f>
        <v>-</v>
      </c>
      <c r="AL45" s="412" t="str">
        <f ca="1">IFERROR(VLOOKUP(AL$2,Rango_Admin_DailyPred,MATCH($F45,Rango_Admin_DailyPred_Primera,0)+1,0),"-")</f>
        <v>-</v>
      </c>
      <c r="AM45" s="412" t="str">
        <f ca="1">IFERROR(VLOOKUP(AM$2,Rango_Admin_DailyPred,MATCH($F45,Rango_Admin_DailyPred_Primera,0)+1,0),"-")</f>
        <v>-</v>
      </c>
      <c r="AN45" s="287"/>
    </row>
    <row r="46" spans="1:40">
      <c r="D46" s="82"/>
      <c r="E46" s="395" t="str">
        <f ca="1">IFERROR(HLOOKUP(C46,Rango_Admin_DailyClas,3,FALSE),"-")</f>
        <v>-</v>
      </c>
      <c r="F46" s="428" t="str">
        <f ca="1">IFERROR(HLOOKUP(C46,Rango_Admin_DailyClas,5,FALSE),"-")</f>
        <v>-</v>
      </c>
      <c r="G46" s="18" t="str">
        <f ca="1">IFERROR(HLOOKUP(C46,Rango_Admin_DailyClas,4,FALSE),"-")</f>
        <v>-</v>
      </c>
      <c r="H46" s="412" t="str">
        <f ca="1">IFERROR(VLOOKUP(H$2,Rango_Admin_DailyPred,MATCH($F46,Rango_Admin_DailyPred_Primera,0)+1,0),"-")</f>
        <v>-</v>
      </c>
      <c r="I46" s="412" t="str">
        <f ca="1">IFERROR(VLOOKUP(I$2,Rango_Admin_DailyPred,MATCH($F46,Rango_Admin_DailyPred_Primera,0)+1,0),"-")</f>
        <v>-</v>
      </c>
      <c r="J46" s="412" t="str">
        <f ca="1">IFERROR(VLOOKUP(J$2,Rango_Admin_DailyPred,MATCH($F46,Rango_Admin_DailyPred_Primera,0)+1,0),"-")</f>
        <v>-</v>
      </c>
      <c r="K46" s="412" t="str">
        <f ca="1">IFERROR(VLOOKUP(K$2,Rango_Admin_DailyPred,MATCH($F46,Rango_Admin_DailyPred_Primera,0)+1,0),"-")</f>
        <v>-</v>
      </c>
      <c r="L46" s="412" t="str">
        <f ca="1">IFERROR(VLOOKUP(L$2,Rango_Admin_DailyPred,MATCH($F46,Rango_Admin_DailyPred_Primera,0)+1,0),"-")</f>
        <v>-</v>
      </c>
      <c r="M46" s="412" t="str">
        <f ca="1">IFERROR(VLOOKUP(M$2,Rango_Admin_DailyPred,MATCH($F46,Rango_Admin_DailyPred_Primera,0)+1,0),"-")</f>
        <v>-</v>
      </c>
      <c r="N46" s="412" t="str">
        <f ca="1">IFERROR(VLOOKUP(N$2,Rango_Admin_DailyPred,MATCH($F46,Rango_Admin_DailyPred_Primera,0)+1,0),"-")</f>
        <v>-</v>
      </c>
      <c r="O46" s="412" t="str">
        <f ca="1">IFERROR(VLOOKUP(O$2,Rango_Admin_DailyPred,MATCH($F46,Rango_Admin_DailyPred_Primera,0)+1,0),"-")</f>
        <v>-</v>
      </c>
      <c r="P46" s="412" t="str">
        <f ca="1">IFERROR(VLOOKUP(P$2,Rango_Admin_DailyPred,MATCH($F46,Rango_Admin_DailyPred_Primera,0)+1,0),"-")</f>
        <v>-</v>
      </c>
      <c r="Q46" s="412" t="str">
        <f ca="1">IFERROR(VLOOKUP(Q$2,Rango_Admin_DailyPred,MATCH($F46,Rango_Admin_DailyPred_Primera,0)+1,0),"-")</f>
        <v>-</v>
      </c>
      <c r="R46" s="412" t="str">
        <f ca="1">IFERROR(VLOOKUP(R$2,Rango_Admin_DailyPred,MATCH($F46,Rango_Admin_DailyPred_Primera,0)+1,0),"-")</f>
        <v>-</v>
      </c>
      <c r="S46" s="412" t="str">
        <f ca="1">IFERROR(VLOOKUP(S$2,Rango_Admin_DailyPred,MATCH($F46,Rango_Admin_DailyPred_Primera,0)+1,0),"-")</f>
        <v>-</v>
      </c>
      <c r="T46" s="412" t="str">
        <f ca="1">IFERROR(VLOOKUP(T$2,Rango_Admin_DailyPred,MATCH($F46,Rango_Admin_DailyPred_Primera,0)+1,0),"-")</f>
        <v>-</v>
      </c>
      <c r="U46" s="412" t="str">
        <f ca="1">IFERROR(VLOOKUP(U$2,Rango_Admin_DailyPred,MATCH($F46,Rango_Admin_DailyPred_Primera,0)+1,0),"-")</f>
        <v>-</v>
      </c>
      <c r="V46" s="412" t="str">
        <f ca="1">IFERROR(VLOOKUP(V$2,Rango_Admin_DailyPred,MATCH($F46,Rango_Admin_DailyPred_Primera,0)+1,0),"-")</f>
        <v>-</v>
      </c>
      <c r="W46" s="412" t="str">
        <f ca="1">IFERROR(VLOOKUP(W$2,Rango_Admin_DailyPred,MATCH($F46,Rango_Admin_DailyPred_Primera,0)+1,0),"-")</f>
        <v>-</v>
      </c>
      <c r="X46" s="412" t="str">
        <f ca="1">IFERROR(VLOOKUP(X$2,Rango_Admin_DailyPred,MATCH($F46,Rango_Admin_DailyPred_Primera,0)+1,0),"-")</f>
        <v>-</v>
      </c>
      <c r="Y46" s="412" t="str">
        <f ca="1">IFERROR(VLOOKUP(Y$2,Rango_Admin_DailyPred,MATCH($F46,Rango_Admin_DailyPred_Primera,0)+1,0),"-")</f>
        <v>-</v>
      </c>
      <c r="Z46" s="412" t="str">
        <f ca="1">IFERROR(VLOOKUP(Z$2,Rango_Admin_DailyPred,MATCH($F46,Rango_Admin_DailyPred_Primera,0)+1,0),"-")</f>
        <v>-</v>
      </c>
      <c r="AA46" s="412" t="str">
        <f ca="1">IFERROR(VLOOKUP(AA$2,Rango_Admin_DailyPred,MATCH($F46,Rango_Admin_DailyPred_Primera,0)+1,0),"-")</f>
        <v>-</v>
      </c>
      <c r="AB46" s="412" t="str">
        <f ca="1">IFERROR(VLOOKUP(AB$2,Rango_Admin_DailyPred,MATCH($F46,Rango_Admin_DailyPred_Primera,0)+1,0),"-")</f>
        <v>-</v>
      </c>
      <c r="AC46" s="412" t="str">
        <f ca="1">IFERROR(VLOOKUP(AC$2,Rango_Admin_DailyPred,MATCH($F46,Rango_Admin_DailyPred_Primera,0)+1,0),"-")</f>
        <v>-</v>
      </c>
      <c r="AD46" s="412" t="str">
        <f ca="1">IFERROR(VLOOKUP(AD$2,Rango_Admin_DailyPred,MATCH($F46,Rango_Admin_DailyPred_Primera,0)+1,0),"-")</f>
        <v>-</v>
      </c>
      <c r="AE46" s="412" t="str">
        <f ca="1">IFERROR(VLOOKUP(AE$2,Rango_Admin_DailyPred,MATCH($F46,Rango_Admin_DailyPred_Primera,0)+1,0),"-")</f>
        <v>-</v>
      </c>
      <c r="AF46" s="412" t="str">
        <f ca="1">IFERROR(VLOOKUP(AF$2,Rango_Admin_DailyPred,MATCH($F46,Rango_Admin_DailyPred_Primera,0)+1,0),"-")</f>
        <v>-</v>
      </c>
      <c r="AG46" s="412" t="str">
        <f ca="1">IFERROR(VLOOKUP(AG$2,Rango_Admin_DailyPred,MATCH($F46,Rango_Admin_DailyPred_Primera,0)+1,0),"-")</f>
        <v>-</v>
      </c>
      <c r="AH46" s="412" t="str">
        <f ca="1">IFERROR(VLOOKUP(AH$2,Rango_Admin_DailyPred,MATCH($F46,Rango_Admin_DailyPred_Primera,0)+1,0),"-")</f>
        <v>-</v>
      </c>
      <c r="AI46" s="412" t="str">
        <f ca="1">IFERROR(VLOOKUP(AI$2,Rango_Admin_DailyPred,MATCH($F46,Rango_Admin_DailyPred_Primera,0)+1,0),"-")</f>
        <v>-</v>
      </c>
      <c r="AJ46" s="412" t="str">
        <f ca="1">IFERROR(VLOOKUP(AJ$2,Rango_Admin_DailyPred,MATCH($F46,Rango_Admin_DailyPred_Primera,0)+1,0),"-")</f>
        <v>-</v>
      </c>
      <c r="AK46" s="412" t="str">
        <f ca="1">IFERROR(VLOOKUP(AK$2,Rango_Admin_DailyPred,MATCH($F46,Rango_Admin_DailyPred_Primera,0)+1,0),"-")</f>
        <v>-</v>
      </c>
      <c r="AL46" s="412" t="str">
        <f ca="1">IFERROR(VLOOKUP(AL$2,Rango_Admin_DailyPred,MATCH($F46,Rango_Admin_DailyPred_Primera,0)+1,0),"-")</f>
        <v>-</v>
      </c>
      <c r="AM46" s="412" t="str">
        <f ca="1">IFERROR(VLOOKUP(AM$2,Rango_Admin_DailyPred,MATCH($F46,Rango_Admin_DailyPred_Primera,0)+1,0),"-")</f>
        <v>-</v>
      </c>
      <c r="AN46" s="287"/>
    </row>
    <row r="47" spans="1:40">
      <c r="D47" s="82"/>
      <c r="E47" s="395" t="str">
        <f ca="1">IFERROR(HLOOKUP(C47,Rango_Admin_DailyClas,3,FALSE),"-")</f>
        <v>-</v>
      </c>
      <c r="F47" s="428" t="str">
        <f ca="1">IFERROR(HLOOKUP(C47,Rango_Admin_DailyClas,5,FALSE),"-")</f>
        <v>-</v>
      </c>
      <c r="G47" s="18" t="str">
        <f ca="1">IFERROR(HLOOKUP(C47,Rango_Admin_DailyClas,4,FALSE),"-")</f>
        <v>-</v>
      </c>
      <c r="H47" s="412" t="str">
        <f ca="1">IFERROR(VLOOKUP(H$2,Rango_Admin_DailyPred,MATCH($F47,Rango_Admin_DailyPred_Primera,0)+1,0),"-")</f>
        <v>-</v>
      </c>
      <c r="I47" s="412" t="str">
        <f ca="1">IFERROR(VLOOKUP(I$2,Rango_Admin_DailyPred,MATCH($F47,Rango_Admin_DailyPred_Primera,0)+1,0),"-")</f>
        <v>-</v>
      </c>
      <c r="J47" s="412" t="str">
        <f ca="1">IFERROR(VLOOKUP(J$2,Rango_Admin_DailyPred,MATCH($F47,Rango_Admin_DailyPred_Primera,0)+1,0),"-")</f>
        <v>-</v>
      </c>
      <c r="K47" s="412" t="str">
        <f ca="1">IFERROR(VLOOKUP(K$2,Rango_Admin_DailyPred,MATCH($F47,Rango_Admin_DailyPred_Primera,0)+1,0),"-")</f>
        <v>-</v>
      </c>
      <c r="L47" s="412" t="str">
        <f ca="1">IFERROR(VLOOKUP(L$2,Rango_Admin_DailyPred,MATCH($F47,Rango_Admin_DailyPred_Primera,0)+1,0),"-")</f>
        <v>-</v>
      </c>
      <c r="M47" s="412" t="str">
        <f ca="1">IFERROR(VLOOKUP(M$2,Rango_Admin_DailyPred,MATCH($F47,Rango_Admin_DailyPred_Primera,0)+1,0),"-")</f>
        <v>-</v>
      </c>
      <c r="N47" s="412" t="str">
        <f ca="1">IFERROR(VLOOKUP(N$2,Rango_Admin_DailyPred,MATCH($F47,Rango_Admin_DailyPred_Primera,0)+1,0),"-")</f>
        <v>-</v>
      </c>
      <c r="O47" s="412" t="str">
        <f ca="1">IFERROR(VLOOKUP(O$2,Rango_Admin_DailyPred,MATCH($F47,Rango_Admin_DailyPred_Primera,0)+1,0),"-")</f>
        <v>-</v>
      </c>
      <c r="P47" s="412" t="str">
        <f ca="1">IFERROR(VLOOKUP(P$2,Rango_Admin_DailyPred,MATCH($F47,Rango_Admin_DailyPred_Primera,0)+1,0),"-")</f>
        <v>-</v>
      </c>
      <c r="Q47" s="412" t="str">
        <f ca="1">IFERROR(VLOOKUP(Q$2,Rango_Admin_DailyPred,MATCH($F47,Rango_Admin_DailyPred_Primera,0)+1,0),"-")</f>
        <v>-</v>
      </c>
      <c r="R47" s="412" t="str">
        <f ca="1">IFERROR(VLOOKUP(R$2,Rango_Admin_DailyPred,MATCH($F47,Rango_Admin_DailyPred_Primera,0)+1,0),"-")</f>
        <v>-</v>
      </c>
      <c r="S47" s="412" t="str">
        <f ca="1">IFERROR(VLOOKUP(S$2,Rango_Admin_DailyPred,MATCH($F47,Rango_Admin_DailyPred_Primera,0)+1,0),"-")</f>
        <v>-</v>
      </c>
      <c r="T47" s="412" t="str">
        <f ca="1">IFERROR(VLOOKUP(T$2,Rango_Admin_DailyPred,MATCH($F47,Rango_Admin_DailyPred_Primera,0)+1,0),"-")</f>
        <v>-</v>
      </c>
      <c r="U47" s="412" t="str">
        <f ca="1">IFERROR(VLOOKUP(U$2,Rango_Admin_DailyPred,MATCH($F47,Rango_Admin_DailyPred_Primera,0)+1,0),"-")</f>
        <v>-</v>
      </c>
      <c r="V47" s="412" t="str">
        <f ca="1">IFERROR(VLOOKUP(V$2,Rango_Admin_DailyPred,MATCH($F47,Rango_Admin_DailyPred_Primera,0)+1,0),"-")</f>
        <v>-</v>
      </c>
      <c r="W47" s="412" t="str">
        <f ca="1">IFERROR(VLOOKUP(W$2,Rango_Admin_DailyPred,MATCH($F47,Rango_Admin_DailyPred_Primera,0)+1,0),"-")</f>
        <v>-</v>
      </c>
      <c r="X47" s="412" t="str">
        <f ca="1">IFERROR(VLOOKUP(X$2,Rango_Admin_DailyPred,MATCH($F47,Rango_Admin_DailyPred_Primera,0)+1,0),"-")</f>
        <v>-</v>
      </c>
      <c r="Y47" s="412" t="str">
        <f ca="1">IFERROR(VLOOKUP(Y$2,Rango_Admin_DailyPred,MATCH($F47,Rango_Admin_DailyPred_Primera,0)+1,0),"-")</f>
        <v>-</v>
      </c>
      <c r="Z47" s="412" t="str">
        <f ca="1">IFERROR(VLOOKUP(Z$2,Rango_Admin_DailyPred,MATCH($F47,Rango_Admin_DailyPred_Primera,0)+1,0),"-")</f>
        <v>-</v>
      </c>
      <c r="AA47" s="412" t="str">
        <f ca="1">IFERROR(VLOOKUP(AA$2,Rango_Admin_DailyPred,MATCH($F47,Rango_Admin_DailyPred_Primera,0)+1,0),"-")</f>
        <v>-</v>
      </c>
      <c r="AB47" s="412" t="str">
        <f ca="1">IFERROR(VLOOKUP(AB$2,Rango_Admin_DailyPred,MATCH($F47,Rango_Admin_DailyPred_Primera,0)+1,0),"-")</f>
        <v>-</v>
      </c>
      <c r="AC47" s="412" t="str">
        <f ca="1">IFERROR(VLOOKUP(AC$2,Rango_Admin_DailyPred,MATCH($F47,Rango_Admin_DailyPred_Primera,0)+1,0),"-")</f>
        <v>-</v>
      </c>
      <c r="AD47" s="412" t="str">
        <f ca="1">IFERROR(VLOOKUP(AD$2,Rango_Admin_DailyPred,MATCH($F47,Rango_Admin_DailyPred_Primera,0)+1,0),"-")</f>
        <v>-</v>
      </c>
      <c r="AE47" s="412" t="str">
        <f ca="1">IFERROR(VLOOKUP(AE$2,Rango_Admin_DailyPred,MATCH($F47,Rango_Admin_DailyPred_Primera,0)+1,0),"-")</f>
        <v>-</v>
      </c>
      <c r="AF47" s="412" t="str">
        <f ca="1">IFERROR(VLOOKUP(AF$2,Rango_Admin_DailyPred,MATCH($F47,Rango_Admin_DailyPred_Primera,0)+1,0),"-")</f>
        <v>-</v>
      </c>
      <c r="AG47" s="412" t="str">
        <f ca="1">IFERROR(VLOOKUP(AG$2,Rango_Admin_DailyPred,MATCH($F47,Rango_Admin_DailyPred_Primera,0)+1,0),"-")</f>
        <v>-</v>
      </c>
      <c r="AH47" s="412" t="str">
        <f ca="1">IFERROR(VLOOKUP(AH$2,Rango_Admin_DailyPred,MATCH($F47,Rango_Admin_DailyPred_Primera,0)+1,0),"-")</f>
        <v>-</v>
      </c>
      <c r="AI47" s="412" t="str">
        <f ca="1">IFERROR(VLOOKUP(AI$2,Rango_Admin_DailyPred,MATCH($F47,Rango_Admin_DailyPred_Primera,0)+1,0),"-")</f>
        <v>-</v>
      </c>
      <c r="AJ47" s="412" t="str">
        <f ca="1">IFERROR(VLOOKUP(AJ$2,Rango_Admin_DailyPred,MATCH($F47,Rango_Admin_DailyPred_Primera,0)+1,0),"-")</f>
        <v>-</v>
      </c>
      <c r="AK47" s="412" t="str">
        <f ca="1">IFERROR(VLOOKUP(AK$2,Rango_Admin_DailyPred,MATCH($F47,Rango_Admin_DailyPred_Primera,0)+1,0),"-")</f>
        <v>-</v>
      </c>
      <c r="AL47" s="412" t="str">
        <f ca="1">IFERROR(VLOOKUP(AL$2,Rango_Admin_DailyPred,MATCH($F47,Rango_Admin_DailyPred_Primera,0)+1,0),"-")</f>
        <v>-</v>
      </c>
      <c r="AM47" s="412" t="str">
        <f ca="1">IFERROR(VLOOKUP(AM$2,Rango_Admin_DailyPred,MATCH($F47,Rango_Admin_DailyPred_Primera,0)+1,0),"-")</f>
        <v>-</v>
      </c>
      <c r="AN47" s="287"/>
    </row>
    <row r="48" spans="1:40">
      <c r="D48" s="82"/>
      <c r="E48" s="395" t="str">
        <f ca="1">IFERROR(HLOOKUP(C48,Rango_Admin_DailyClas,3,FALSE),"-")</f>
        <v>-</v>
      </c>
      <c r="F48" s="428" t="str">
        <f ca="1">IFERROR(HLOOKUP(C48,Rango_Admin_DailyClas,5,FALSE),"-")</f>
        <v>-</v>
      </c>
      <c r="G48" s="18" t="str">
        <f ca="1">IFERROR(HLOOKUP(C48,Rango_Admin_DailyClas,4,FALSE),"-")</f>
        <v>-</v>
      </c>
      <c r="H48" s="412" t="str">
        <f ca="1">IFERROR(VLOOKUP(H$2,Rango_Admin_DailyPred,MATCH($F48,Rango_Admin_DailyPred_Primera,0)+1,0),"-")</f>
        <v>-</v>
      </c>
      <c r="I48" s="412" t="str">
        <f ca="1">IFERROR(VLOOKUP(I$2,Rango_Admin_DailyPred,MATCH($F48,Rango_Admin_DailyPred_Primera,0)+1,0),"-")</f>
        <v>-</v>
      </c>
      <c r="J48" s="412" t="str">
        <f ca="1">IFERROR(VLOOKUP(J$2,Rango_Admin_DailyPred,MATCH($F48,Rango_Admin_DailyPred_Primera,0)+1,0),"-")</f>
        <v>-</v>
      </c>
      <c r="K48" s="412" t="str">
        <f ca="1">IFERROR(VLOOKUP(K$2,Rango_Admin_DailyPred,MATCH($F48,Rango_Admin_DailyPred_Primera,0)+1,0),"-")</f>
        <v>-</v>
      </c>
      <c r="L48" s="412" t="str">
        <f ca="1">IFERROR(VLOOKUP(L$2,Rango_Admin_DailyPred,MATCH($F48,Rango_Admin_DailyPred_Primera,0)+1,0),"-")</f>
        <v>-</v>
      </c>
      <c r="M48" s="412" t="str">
        <f ca="1">IFERROR(VLOOKUP(M$2,Rango_Admin_DailyPred,MATCH($F48,Rango_Admin_DailyPred_Primera,0)+1,0),"-")</f>
        <v>-</v>
      </c>
      <c r="N48" s="412" t="str">
        <f ca="1">IFERROR(VLOOKUP(N$2,Rango_Admin_DailyPred,MATCH($F48,Rango_Admin_DailyPred_Primera,0)+1,0),"-")</f>
        <v>-</v>
      </c>
      <c r="O48" s="412" t="str">
        <f ca="1">IFERROR(VLOOKUP(O$2,Rango_Admin_DailyPred,MATCH($F48,Rango_Admin_DailyPred_Primera,0)+1,0),"-")</f>
        <v>-</v>
      </c>
      <c r="P48" s="412" t="str">
        <f ca="1">IFERROR(VLOOKUP(P$2,Rango_Admin_DailyPred,MATCH($F48,Rango_Admin_DailyPred_Primera,0)+1,0),"-")</f>
        <v>-</v>
      </c>
      <c r="Q48" s="412" t="str">
        <f ca="1">IFERROR(VLOOKUP(Q$2,Rango_Admin_DailyPred,MATCH($F48,Rango_Admin_DailyPred_Primera,0)+1,0),"-")</f>
        <v>-</v>
      </c>
      <c r="R48" s="412" t="str">
        <f ca="1">IFERROR(VLOOKUP(R$2,Rango_Admin_DailyPred,MATCH($F48,Rango_Admin_DailyPred_Primera,0)+1,0),"-")</f>
        <v>-</v>
      </c>
      <c r="S48" s="412" t="str">
        <f ca="1">IFERROR(VLOOKUP(S$2,Rango_Admin_DailyPred,MATCH($F48,Rango_Admin_DailyPred_Primera,0)+1,0),"-")</f>
        <v>-</v>
      </c>
      <c r="T48" s="412" t="str">
        <f ca="1">IFERROR(VLOOKUP(T$2,Rango_Admin_DailyPred,MATCH($F48,Rango_Admin_DailyPred_Primera,0)+1,0),"-")</f>
        <v>-</v>
      </c>
      <c r="U48" s="412" t="str">
        <f ca="1">IFERROR(VLOOKUP(U$2,Rango_Admin_DailyPred,MATCH($F48,Rango_Admin_DailyPred_Primera,0)+1,0),"-")</f>
        <v>-</v>
      </c>
      <c r="V48" s="412" t="str">
        <f ca="1">IFERROR(VLOOKUP(V$2,Rango_Admin_DailyPred,MATCH($F48,Rango_Admin_DailyPred_Primera,0)+1,0),"-")</f>
        <v>-</v>
      </c>
      <c r="W48" s="412" t="str">
        <f ca="1">IFERROR(VLOOKUP(W$2,Rango_Admin_DailyPred,MATCH($F48,Rango_Admin_DailyPred_Primera,0)+1,0),"-")</f>
        <v>-</v>
      </c>
      <c r="X48" s="412" t="str">
        <f ca="1">IFERROR(VLOOKUP(X$2,Rango_Admin_DailyPred,MATCH($F48,Rango_Admin_DailyPred_Primera,0)+1,0),"-")</f>
        <v>-</v>
      </c>
      <c r="Y48" s="412" t="str">
        <f ca="1">IFERROR(VLOOKUP(Y$2,Rango_Admin_DailyPred,MATCH($F48,Rango_Admin_DailyPred_Primera,0)+1,0),"-")</f>
        <v>-</v>
      </c>
      <c r="Z48" s="412" t="str">
        <f ca="1">IFERROR(VLOOKUP(Z$2,Rango_Admin_DailyPred,MATCH($F48,Rango_Admin_DailyPred_Primera,0)+1,0),"-")</f>
        <v>-</v>
      </c>
      <c r="AA48" s="412" t="str">
        <f ca="1">IFERROR(VLOOKUP(AA$2,Rango_Admin_DailyPred,MATCH($F48,Rango_Admin_DailyPred_Primera,0)+1,0),"-")</f>
        <v>-</v>
      </c>
      <c r="AB48" s="412" t="str">
        <f ca="1">IFERROR(VLOOKUP(AB$2,Rango_Admin_DailyPred,MATCH($F48,Rango_Admin_DailyPred_Primera,0)+1,0),"-")</f>
        <v>-</v>
      </c>
      <c r="AC48" s="412" t="str">
        <f ca="1">IFERROR(VLOOKUP(AC$2,Rango_Admin_DailyPred,MATCH($F48,Rango_Admin_DailyPred_Primera,0)+1,0),"-")</f>
        <v>-</v>
      </c>
      <c r="AD48" s="412" t="str">
        <f ca="1">IFERROR(VLOOKUP(AD$2,Rango_Admin_DailyPred,MATCH($F48,Rango_Admin_DailyPred_Primera,0)+1,0),"-")</f>
        <v>-</v>
      </c>
      <c r="AE48" s="412" t="str">
        <f ca="1">IFERROR(VLOOKUP(AE$2,Rango_Admin_DailyPred,MATCH($F48,Rango_Admin_DailyPred_Primera,0)+1,0),"-")</f>
        <v>-</v>
      </c>
      <c r="AF48" s="412" t="str">
        <f ca="1">IFERROR(VLOOKUP(AF$2,Rango_Admin_DailyPred,MATCH($F48,Rango_Admin_DailyPred_Primera,0)+1,0),"-")</f>
        <v>-</v>
      </c>
      <c r="AG48" s="412" t="str">
        <f ca="1">IFERROR(VLOOKUP(AG$2,Rango_Admin_DailyPred,MATCH($F48,Rango_Admin_DailyPred_Primera,0)+1,0),"-")</f>
        <v>-</v>
      </c>
      <c r="AH48" s="412" t="str">
        <f ca="1">IFERROR(VLOOKUP(AH$2,Rango_Admin_DailyPred,MATCH($F48,Rango_Admin_DailyPred_Primera,0)+1,0),"-")</f>
        <v>-</v>
      </c>
      <c r="AI48" s="412" t="str">
        <f ca="1">IFERROR(VLOOKUP(AI$2,Rango_Admin_DailyPred,MATCH($F48,Rango_Admin_DailyPred_Primera,0)+1,0),"-")</f>
        <v>-</v>
      </c>
      <c r="AJ48" s="412" t="str">
        <f ca="1">IFERROR(VLOOKUP(AJ$2,Rango_Admin_DailyPred,MATCH($F48,Rango_Admin_DailyPred_Primera,0)+1,0),"-")</f>
        <v>-</v>
      </c>
      <c r="AK48" s="412" t="str">
        <f ca="1">IFERROR(VLOOKUP(AK$2,Rango_Admin_DailyPred,MATCH($F48,Rango_Admin_DailyPred_Primera,0)+1,0),"-")</f>
        <v>-</v>
      </c>
      <c r="AL48" s="412" t="str">
        <f ca="1">IFERROR(VLOOKUP(AL$2,Rango_Admin_DailyPred,MATCH($F48,Rango_Admin_DailyPred_Primera,0)+1,0),"-")</f>
        <v>-</v>
      </c>
      <c r="AM48" s="412" t="str">
        <f ca="1">IFERROR(VLOOKUP(AM$2,Rango_Admin_DailyPred,MATCH($F48,Rango_Admin_DailyPred_Primera,0)+1,0),"-")</f>
        <v>-</v>
      </c>
      <c r="AN48" s="287"/>
    </row>
    <row r="49" spans="4:40">
      <c r="D49" s="82"/>
      <c r="E49" s="395" t="str">
        <f ca="1">IFERROR(HLOOKUP(C49,Rango_Admin_DailyClas,3,FALSE),"-")</f>
        <v>-</v>
      </c>
      <c r="F49" s="428" t="str">
        <f ca="1">IFERROR(HLOOKUP(C49,Rango_Admin_DailyClas,5,FALSE),"-")</f>
        <v>-</v>
      </c>
      <c r="G49" s="18" t="str">
        <f ca="1">IFERROR(HLOOKUP(C49,Rango_Admin_DailyClas,4,FALSE),"-")</f>
        <v>-</v>
      </c>
      <c r="H49" s="412" t="str">
        <f ca="1">IFERROR(VLOOKUP(H$2,Rango_Admin_DailyPred,MATCH($F49,Rango_Admin_DailyPred_Primera,0)+1,0),"-")</f>
        <v>-</v>
      </c>
      <c r="I49" s="412" t="str">
        <f ca="1">IFERROR(VLOOKUP(I$2,Rango_Admin_DailyPred,MATCH($F49,Rango_Admin_DailyPred_Primera,0)+1,0),"-")</f>
        <v>-</v>
      </c>
      <c r="J49" s="412" t="str">
        <f ca="1">IFERROR(VLOOKUP(J$2,Rango_Admin_DailyPred,MATCH($F49,Rango_Admin_DailyPred_Primera,0)+1,0),"-")</f>
        <v>-</v>
      </c>
      <c r="K49" s="412" t="str">
        <f ca="1">IFERROR(VLOOKUP(K$2,Rango_Admin_DailyPred,MATCH($F49,Rango_Admin_DailyPred_Primera,0)+1,0),"-")</f>
        <v>-</v>
      </c>
      <c r="L49" s="412" t="str">
        <f ca="1">IFERROR(VLOOKUP(L$2,Rango_Admin_DailyPred,MATCH($F49,Rango_Admin_DailyPred_Primera,0)+1,0),"-")</f>
        <v>-</v>
      </c>
      <c r="M49" s="412" t="str">
        <f ca="1">IFERROR(VLOOKUP(M$2,Rango_Admin_DailyPred,MATCH($F49,Rango_Admin_DailyPred_Primera,0)+1,0),"-")</f>
        <v>-</v>
      </c>
      <c r="N49" s="412" t="str">
        <f ca="1">IFERROR(VLOOKUP(N$2,Rango_Admin_DailyPred,MATCH($F49,Rango_Admin_DailyPred_Primera,0)+1,0),"-")</f>
        <v>-</v>
      </c>
      <c r="O49" s="412" t="str">
        <f ca="1">IFERROR(VLOOKUP(O$2,Rango_Admin_DailyPred,MATCH($F49,Rango_Admin_DailyPred_Primera,0)+1,0),"-")</f>
        <v>-</v>
      </c>
      <c r="P49" s="412" t="str">
        <f ca="1">IFERROR(VLOOKUP(P$2,Rango_Admin_DailyPred,MATCH($F49,Rango_Admin_DailyPred_Primera,0)+1,0),"-")</f>
        <v>-</v>
      </c>
      <c r="Q49" s="412" t="str">
        <f ca="1">IFERROR(VLOOKUP(Q$2,Rango_Admin_DailyPred,MATCH($F49,Rango_Admin_DailyPred_Primera,0)+1,0),"-")</f>
        <v>-</v>
      </c>
      <c r="R49" s="412" t="str">
        <f ca="1">IFERROR(VLOOKUP(R$2,Rango_Admin_DailyPred,MATCH($F49,Rango_Admin_DailyPred_Primera,0)+1,0),"-")</f>
        <v>-</v>
      </c>
      <c r="S49" s="412" t="str">
        <f ca="1">IFERROR(VLOOKUP(S$2,Rango_Admin_DailyPred,MATCH($F49,Rango_Admin_DailyPred_Primera,0)+1,0),"-")</f>
        <v>-</v>
      </c>
      <c r="T49" s="412" t="str">
        <f ca="1">IFERROR(VLOOKUP(T$2,Rango_Admin_DailyPred,MATCH($F49,Rango_Admin_DailyPred_Primera,0)+1,0),"-")</f>
        <v>-</v>
      </c>
      <c r="U49" s="412" t="str">
        <f ca="1">IFERROR(VLOOKUP(U$2,Rango_Admin_DailyPred,MATCH($F49,Rango_Admin_DailyPred_Primera,0)+1,0),"-")</f>
        <v>-</v>
      </c>
      <c r="V49" s="412" t="str">
        <f ca="1">IFERROR(VLOOKUP(V$2,Rango_Admin_DailyPred,MATCH($F49,Rango_Admin_DailyPred_Primera,0)+1,0),"-")</f>
        <v>-</v>
      </c>
      <c r="W49" s="412" t="str">
        <f ca="1">IFERROR(VLOOKUP(W$2,Rango_Admin_DailyPred,MATCH($F49,Rango_Admin_DailyPred_Primera,0)+1,0),"-")</f>
        <v>-</v>
      </c>
      <c r="X49" s="412" t="str">
        <f ca="1">IFERROR(VLOOKUP(X$2,Rango_Admin_DailyPred,MATCH($F49,Rango_Admin_DailyPred_Primera,0)+1,0),"-")</f>
        <v>-</v>
      </c>
      <c r="Y49" s="412" t="str">
        <f ca="1">IFERROR(VLOOKUP(Y$2,Rango_Admin_DailyPred,MATCH($F49,Rango_Admin_DailyPred_Primera,0)+1,0),"-")</f>
        <v>-</v>
      </c>
      <c r="Z49" s="412" t="str">
        <f ca="1">IFERROR(VLOOKUP(Z$2,Rango_Admin_DailyPred,MATCH($F49,Rango_Admin_DailyPred_Primera,0)+1,0),"-")</f>
        <v>-</v>
      </c>
      <c r="AA49" s="412" t="str">
        <f ca="1">IFERROR(VLOOKUP(AA$2,Rango_Admin_DailyPred,MATCH($F49,Rango_Admin_DailyPred_Primera,0)+1,0),"-")</f>
        <v>-</v>
      </c>
      <c r="AB49" s="412" t="str">
        <f ca="1">IFERROR(VLOOKUP(AB$2,Rango_Admin_DailyPred,MATCH($F49,Rango_Admin_DailyPred_Primera,0)+1,0),"-")</f>
        <v>-</v>
      </c>
      <c r="AC49" s="412" t="str">
        <f ca="1">IFERROR(VLOOKUP(AC$2,Rango_Admin_DailyPred,MATCH($F49,Rango_Admin_DailyPred_Primera,0)+1,0),"-")</f>
        <v>-</v>
      </c>
      <c r="AD49" s="412" t="str">
        <f ca="1">IFERROR(VLOOKUP(AD$2,Rango_Admin_DailyPred,MATCH($F49,Rango_Admin_DailyPred_Primera,0)+1,0),"-")</f>
        <v>-</v>
      </c>
      <c r="AE49" s="412" t="str">
        <f ca="1">IFERROR(VLOOKUP(AE$2,Rango_Admin_DailyPred,MATCH($F49,Rango_Admin_DailyPred_Primera,0)+1,0),"-")</f>
        <v>-</v>
      </c>
      <c r="AF49" s="412" t="str">
        <f ca="1">IFERROR(VLOOKUP(AF$2,Rango_Admin_DailyPred,MATCH($F49,Rango_Admin_DailyPred_Primera,0)+1,0),"-")</f>
        <v>-</v>
      </c>
      <c r="AG49" s="412" t="str">
        <f ca="1">IFERROR(VLOOKUP(AG$2,Rango_Admin_DailyPred,MATCH($F49,Rango_Admin_DailyPred_Primera,0)+1,0),"-")</f>
        <v>-</v>
      </c>
      <c r="AH49" s="412" t="str">
        <f ca="1">IFERROR(VLOOKUP(AH$2,Rango_Admin_DailyPred,MATCH($F49,Rango_Admin_DailyPred_Primera,0)+1,0),"-")</f>
        <v>-</v>
      </c>
      <c r="AI49" s="412" t="str">
        <f ca="1">IFERROR(VLOOKUP(AI$2,Rango_Admin_DailyPred,MATCH($F49,Rango_Admin_DailyPred_Primera,0)+1,0),"-")</f>
        <v>-</v>
      </c>
      <c r="AJ49" s="412" t="str">
        <f ca="1">IFERROR(VLOOKUP(AJ$2,Rango_Admin_DailyPred,MATCH($F49,Rango_Admin_DailyPred_Primera,0)+1,0),"-")</f>
        <v>-</v>
      </c>
      <c r="AK49" s="412" t="str">
        <f ca="1">IFERROR(VLOOKUP(AK$2,Rango_Admin_DailyPred,MATCH($F49,Rango_Admin_DailyPred_Primera,0)+1,0),"-")</f>
        <v>-</v>
      </c>
      <c r="AL49" s="412" t="str">
        <f ca="1">IFERROR(VLOOKUP(AL$2,Rango_Admin_DailyPred,MATCH($F49,Rango_Admin_DailyPred_Primera,0)+1,0),"-")</f>
        <v>-</v>
      </c>
      <c r="AM49" s="412" t="str">
        <f ca="1">IFERROR(VLOOKUP(AM$2,Rango_Admin_DailyPred,MATCH($F49,Rango_Admin_DailyPred_Primera,0)+1,0),"-")</f>
        <v>-</v>
      </c>
      <c r="AN49" s="287"/>
    </row>
    <row r="50" spans="4:40">
      <c r="D50" s="82"/>
      <c r="E50" s="395" t="str">
        <f ca="1">IFERROR(HLOOKUP(C50,Rango_Admin_DailyClas,3,FALSE),"-")</f>
        <v>-</v>
      </c>
      <c r="F50" s="428" t="str">
        <f ca="1">IFERROR(HLOOKUP(C50,Rango_Admin_DailyClas,5,FALSE),"-")</f>
        <v>-</v>
      </c>
      <c r="G50" s="18" t="str">
        <f ca="1">IFERROR(HLOOKUP(C50,Rango_Admin_DailyClas,4,FALSE),"-")</f>
        <v>-</v>
      </c>
      <c r="H50" s="412" t="str">
        <f ca="1">IFERROR(VLOOKUP(H$2,Rango_Admin_DailyPred,MATCH($F50,Rango_Admin_DailyPred_Primera,0)+1,0),"-")</f>
        <v>-</v>
      </c>
      <c r="I50" s="412" t="str">
        <f ca="1">IFERROR(VLOOKUP(I$2,Rango_Admin_DailyPred,MATCH($F50,Rango_Admin_DailyPred_Primera,0)+1,0),"-")</f>
        <v>-</v>
      </c>
      <c r="J50" s="412" t="str">
        <f ca="1">IFERROR(VLOOKUP(J$2,Rango_Admin_DailyPred,MATCH($F50,Rango_Admin_DailyPred_Primera,0)+1,0),"-")</f>
        <v>-</v>
      </c>
      <c r="K50" s="412" t="str">
        <f ca="1">IFERROR(VLOOKUP(K$2,Rango_Admin_DailyPred,MATCH($F50,Rango_Admin_DailyPred_Primera,0)+1,0),"-")</f>
        <v>-</v>
      </c>
      <c r="L50" s="412" t="str">
        <f ca="1">IFERROR(VLOOKUP(L$2,Rango_Admin_DailyPred,MATCH($F50,Rango_Admin_DailyPred_Primera,0)+1,0),"-")</f>
        <v>-</v>
      </c>
      <c r="M50" s="412" t="str">
        <f ca="1">IFERROR(VLOOKUP(M$2,Rango_Admin_DailyPred,MATCH($F50,Rango_Admin_DailyPred_Primera,0)+1,0),"-")</f>
        <v>-</v>
      </c>
      <c r="N50" s="412" t="str">
        <f ca="1">IFERROR(VLOOKUP(N$2,Rango_Admin_DailyPred,MATCH($F50,Rango_Admin_DailyPred_Primera,0)+1,0),"-")</f>
        <v>-</v>
      </c>
      <c r="O50" s="412" t="str">
        <f ca="1">IFERROR(VLOOKUP(O$2,Rango_Admin_DailyPred,MATCH($F50,Rango_Admin_DailyPred_Primera,0)+1,0),"-")</f>
        <v>-</v>
      </c>
      <c r="P50" s="412" t="str">
        <f ca="1">IFERROR(VLOOKUP(P$2,Rango_Admin_DailyPred,MATCH($F50,Rango_Admin_DailyPred_Primera,0)+1,0),"-")</f>
        <v>-</v>
      </c>
      <c r="Q50" s="412" t="str">
        <f ca="1">IFERROR(VLOOKUP(Q$2,Rango_Admin_DailyPred,MATCH($F50,Rango_Admin_DailyPred_Primera,0)+1,0),"-")</f>
        <v>-</v>
      </c>
      <c r="R50" s="412" t="str">
        <f ca="1">IFERROR(VLOOKUP(R$2,Rango_Admin_DailyPred,MATCH($F50,Rango_Admin_DailyPred_Primera,0)+1,0),"-")</f>
        <v>-</v>
      </c>
      <c r="S50" s="412" t="str">
        <f ca="1">IFERROR(VLOOKUP(S$2,Rango_Admin_DailyPred,MATCH($F50,Rango_Admin_DailyPred_Primera,0)+1,0),"-")</f>
        <v>-</v>
      </c>
      <c r="T50" s="412" t="str">
        <f ca="1">IFERROR(VLOOKUP(T$2,Rango_Admin_DailyPred,MATCH($F50,Rango_Admin_DailyPred_Primera,0)+1,0),"-")</f>
        <v>-</v>
      </c>
      <c r="U50" s="412" t="str">
        <f ca="1">IFERROR(VLOOKUP(U$2,Rango_Admin_DailyPred,MATCH($F50,Rango_Admin_DailyPred_Primera,0)+1,0),"-")</f>
        <v>-</v>
      </c>
      <c r="V50" s="412" t="str">
        <f ca="1">IFERROR(VLOOKUP(V$2,Rango_Admin_DailyPred,MATCH($F50,Rango_Admin_DailyPred_Primera,0)+1,0),"-")</f>
        <v>-</v>
      </c>
      <c r="W50" s="412" t="str">
        <f ca="1">IFERROR(VLOOKUP(W$2,Rango_Admin_DailyPred,MATCH($F50,Rango_Admin_DailyPred_Primera,0)+1,0),"-")</f>
        <v>-</v>
      </c>
      <c r="X50" s="412" t="str">
        <f ca="1">IFERROR(VLOOKUP(X$2,Rango_Admin_DailyPred,MATCH($F50,Rango_Admin_DailyPred_Primera,0)+1,0),"-")</f>
        <v>-</v>
      </c>
      <c r="Y50" s="412" t="str">
        <f ca="1">IFERROR(VLOOKUP(Y$2,Rango_Admin_DailyPred,MATCH($F50,Rango_Admin_DailyPred_Primera,0)+1,0),"-")</f>
        <v>-</v>
      </c>
      <c r="Z50" s="412" t="str">
        <f ca="1">IFERROR(VLOOKUP(Z$2,Rango_Admin_DailyPred,MATCH($F50,Rango_Admin_DailyPred_Primera,0)+1,0),"-")</f>
        <v>-</v>
      </c>
      <c r="AA50" s="412" t="str">
        <f ca="1">IFERROR(VLOOKUP(AA$2,Rango_Admin_DailyPred,MATCH($F50,Rango_Admin_DailyPred_Primera,0)+1,0),"-")</f>
        <v>-</v>
      </c>
      <c r="AB50" s="412" t="str">
        <f ca="1">IFERROR(VLOOKUP(AB$2,Rango_Admin_DailyPred,MATCH($F50,Rango_Admin_DailyPred_Primera,0)+1,0),"-")</f>
        <v>-</v>
      </c>
      <c r="AC50" s="412" t="str">
        <f ca="1">IFERROR(VLOOKUP(AC$2,Rango_Admin_DailyPred,MATCH($F50,Rango_Admin_DailyPred_Primera,0)+1,0),"-")</f>
        <v>-</v>
      </c>
      <c r="AD50" s="412" t="str">
        <f ca="1">IFERROR(VLOOKUP(AD$2,Rango_Admin_DailyPred,MATCH($F50,Rango_Admin_DailyPred_Primera,0)+1,0),"-")</f>
        <v>-</v>
      </c>
      <c r="AE50" s="412" t="str">
        <f ca="1">IFERROR(VLOOKUP(AE$2,Rango_Admin_DailyPred,MATCH($F50,Rango_Admin_DailyPred_Primera,0)+1,0),"-")</f>
        <v>-</v>
      </c>
      <c r="AF50" s="412" t="str">
        <f ca="1">IFERROR(VLOOKUP(AF$2,Rango_Admin_DailyPred,MATCH($F50,Rango_Admin_DailyPred_Primera,0)+1,0),"-")</f>
        <v>-</v>
      </c>
      <c r="AG50" s="412" t="str">
        <f ca="1">IFERROR(VLOOKUP(AG$2,Rango_Admin_DailyPred,MATCH($F50,Rango_Admin_DailyPred_Primera,0)+1,0),"-")</f>
        <v>-</v>
      </c>
      <c r="AH50" s="412" t="str">
        <f ca="1">IFERROR(VLOOKUP(AH$2,Rango_Admin_DailyPred,MATCH($F50,Rango_Admin_DailyPred_Primera,0)+1,0),"-")</f>
        <v>-</v>
      </c>
      <c r="AI50" s="412" t="str">
        <f ca="1">IFERROR(VLOOKUP(AI$2,Rango_Admin_DailyPred,MATCH($F50,Rango_Admin_DailyPred_Primera,0)+1,0),"-")</f>
        <v>-</v>
      </c>
      <c r="AJ50" s="412" t="str">
        <f ca="1">IFERROR(VLOOKUP(AJ$2,Rango_Admin_DailyPred,MATCH($F50,Rango_Admin_DailyPred_Primera,0)+1,0),"-")</f>
        <v>-</v>
      </c>
      <c r="AK50" s="412" t="str">
        <f ca="1">IFERROR(VLOOKUP(AK$2,Rango_Admin_DailyPred,MATCH($F50,Rango_Admin_DailyPred_Primera,0)+1,0),"-")</f>
        <v>-</v>
      </c>
      <c r="AL50" s="412" t="str">
        <f ca="1">IFERROR(VLOOKUP(AL$2,Rango_Admin_DailyPred,MATCH($F50,Rango_Admin_DailyPred_Primera,0)+1,0),"-")</f>
        <v>-</v>
      </c>
      <c r="AM50" s="412" t="str">
        <f ca="1">IFERROR(VLOOKUP(AM$2,Rango_Admin_DailyPred,MATCH($F50,Rango_Admin_DailyPred_Primera,0)+1,0),"-")</f>
        <v>-</v>
      </c>
      <c r="AN50" s="287"/>
    </row>
    <row r="51" spans="4:40">
      <c r="D51" s="82"/>
      <c r="E51" s="395" t="str">
        <f ca="1">IFERROR(HLOOKUP(C51,Rango_Admin_DailyClas,3,FALSE),"-")</f>
        <v>-</v>
      </c>
      <c r="F51" s="428" t="str">
        <f ca="1">IFERROR(HLOOKUP(C51,Rango_Admin_DailyClas,5,FALSE),"-")</f>
        <v>-</v>
      </c>
      <c r="G51" s="18" t="str">
        <f ca="1">IFERROR(HLOOKUP(C51,Rango_Admin_DailyClas,4,FALSE),"-")</f>
        <v>-</v>
      </c>
      <c r="H51" s="412" t="str">
        <f ca="1">IFERROR(VLOOKUP(H$2,Rango_Admin_DailyPred,MATCH($F51,Rango_Admin_DailyPred_Primera,0)+1,0),"-")</f>
        <v>-</v>
      </c>
      <c r="I51" s="412" t="str">
        <f ca="1">IFERROR(VLOOKUP(I$2,Rango_Admin_DailyPred,MATCH($F51,Rango_Admin_DailyPred_Primera,0)+1,0),"-")</f>
        <v>-</v>
      </c>
      <c r="J51" s="412" t="str">
        <f ca="1">IFERROR(VLOOKUP(J$2,Rango_Admin_DailyPred,MATCH($F51,Rango_Admin_DailyPred_Primera,0)+1,0),"-")</f>
        <v>-</v>
      </c>
      <c r="K51" s="412" t="str">
        <f ca="1">IFERROR(VLOOKUP(K$2,Rango_Admin_DailyPred,MATCH($F51,Rango_Admin_DailyPred_Primera,0)+1,0),"-")</f>
        <v>-</v>
      </c>
      <c r="L51" s="412" t="str">
        <f ca="1">IFERROR(VLOOKUP(L$2,Rango_Admin_DailyPred,MATCH($F51,Rango_Admin_DailyPred_Primera,0)+1,0),"-")</f>
        <v>-</v>
      </c>
      <c r="M51" s="412" t="str">
        <f ca="1">IFERROR(VLOOKUP(M$2,Rango_Admin_DailyPred,MATCH($F51,Rango_Admin_DailyPred_Primera,0)+1,0),"-")</f>
        <v>-</v>
      </c>
      <c r="N51" s="412" t="str">
        <f ca="1">IFERROR(VLOOKUP(N$2,Rango_Admin_DailyPred,MATCH($F51,Rango_Admin_DailyPred_Primera,0)+1,0),"-")</f>
        <v>-</v>
      </c>
      <c r="O51" s="412" t="str">
        <f ca="1">IFERROR(VLOOKUP(O$2,Rango_Admin_DailyPred,MATCH($F51,Rango_Admin_DailyPred_Primera,0)+1,0),"-")</f>
        <v>-</v>
      </c>
      <c r="P51" s="412" t="str">
        <f ca="1">IFERROR(VLOOKUP(P$2,Rango_Admin_DailyPred,MATCH($F51,Rango_Admin_DailyPred_Primera,0)+1,0),"-")</f>
        <v>-</v>
      </c>
      <c r="Q51" s="412" t="str">
        <f ca="1">IFERROR(VLOOKUP(Q$2,Rango_Admin_DailyPred,MATCH($F51,Rango_Admin_DailyPred_Primera,0)+1,0),"-")</f>
        <v>-</v>
      </c>
      <c r="R51" s="412" t="str">
        <f ca="1">IFERROR(VLOOKUP(R$2,Rango_Admin_DailyPred,MATCH($F51,Rango_Admin_DailyPred_Primera,0)+1,0),"-")</f>
        <v>-</v>
      </c>
      <c r="S51" s="412" t="str">
        <f ca="1">IFERROR(VLOOKUP(S$2,Rango_Admin_DailyPred,MATCH($F51,Rango_Admin_DailyPred_Primera,0)+1,0),"-")</f>
        <v>-</v>
      </c>
      <c r="T51" s="412" t="str">
        <f ca="1">IFERROR(VLOOKUP(T$2,Rango_Admin_DailyPred,MATCH($F51,Rango_Admin_DailyPred_Primera,0)+1,0),"-")</f>
        <v>-</v>
      </c>
      <c r="U51" s="412" t="str">
        <f ca="1">IFERROR(VLOOKUP(U$2,Rango_Admin_DailyPred,MATCH($F51,Rango_Admin_DailyPred_Primera,0)+1,0),"-")</f>
        <v>-</v>
      </c>
      <c r="V51" s="412" t="str">
        <f ca="1">IFERROR(VLOOKUP(V$2,Rango_Admin_DailyPred,MATCH($F51,Rango_Admin_DailyPred_Primera,0)+1,0),"-")</f>
        <v>-</v>
      </c>
      <c r="W51" s="412" t="str">
        <f ca="1">IFERROR(VLOOKUP(W$2,Rango_Admin_DailyPred,MATCH($F51,Rango_Admin_DailyPred_Primera,0)+1,0),"-")</f>
        <v>-</v>
      </c>
      <c r="X51" s="412" t="str">
        <f ca="1">IFERROR(VLOOKUP(X$2,Rango_Admin_DailyPred,MATCH($F51,Rango_Admin_DailyPred_Primera,0)+1,0),"-")</f>
        <v>-</v>
      </c>
      <c r="Y51" s="412" t="str">
        <f ca="1">IFERROR(VLOOKUP(Y$2,Rango_Admin_DailyPred,MATCH($F51,Rango_Admin_DailyPred_Primera,0)+1,0),"-")</f>
        <v>-</v>
      </c>
      <c r="Z51" s="412" t="str">
        <f ca="1">IFERROR(VLOOKUP(Z$2,Rango_Admin_DailyPred,MATCH($F51,Rango_Admin_DailyPred_Primera,0)+1,0),"-")</f>
        <v>-</v>
      </c>
      <c r="AA51" s="412" t="str">
        <f ca="1">IFERROR(VLOOKUP(AA$2,Rango_Admin_DailyPred,MATCH($F51,Rango_Admin_DailyPred_Primera,0)+1,0),"-")</f>
        <v>-</v>
      </c>
      <c r="AB51" s="412" t="str">
        <f ca="1">IFERROR(VLOOKUP(AB$2,Rango_Admin_DailyPred,MATCH($F51,Rango_Admin_DailyPred_Primera,0)+1,0),"-")</f>
        <v>-</v>
      </c>
      <c r="AC51" s="412" t="str">
        <f ca="1">IFERROR(VLOOKUP(AC$2,Rango_Admin_DailyPred,MATCH($F51,Rango_Admin_DailyPred_Primera,0)+1,0),"-")</f>
        <v>-</v>
      </c>
      <c r="AD51" s="412" t="str">
        <f ca="1">IFERROR(VLOOKUP(AD$2,Rango_Admin_DailyPred,MATCH($F51,Rango_Admin_DailyPred_Primera,0)+1,0),"-")</f>
        <v>-</v>
      </c>
      <c r="AE51" s="412" t="str">
        <f ca="1">IFERROR(VLOOKUP(AE$2,Rango_Admin_DailyPred,MATCH($F51,Rango_Admin_DailyPred_Primera,0)+1,0),"-")</f>
        <v>-</v>
      </c>
      <c r="AF51" s="412" t="str">
        <f ca="1">IFERROR(VLOOKUP(AF$2,Rango_Admin_DailyPred,MATCH($F51,Rango_Admin_DailyPred_Primera,0)+1,0),"-")</f>
        <v>-</v>
      </c>
      <c r="AG51" s="412" t="str">
        <f ca="1">IFERROR(VLOOKUP(AG$2,Rango_Admin_DailyPred,MATCH($F51,Rango_Admin_DailyPred_Primera,0)+1,0),"-")</f>
        <v>-</v>
      </c>
      <c r="AH51" s="412" t="str">
        <f ca="1">IFERROR(VLOOKUP(AH$2,Rango_Admin_DailyPred,MATCH($F51,Rango_Admin_DailyPred_Primera,0)+1,0),"-")</f>
        <v>-</v>
      </c>
      <c r="AI51" s="412" t="str">
        <f ca="1">IFERROR(VLOOKUP(AI$2,Rango_Admin_DailyPred,MATCH($F51,Rango_Admin_DailyPred_Primera,0)+1,0),"-")</f>
        <v>-</v>
      </c>
      <c r="AJ51" s="412" t="str">
        <f ca="1">IFERROR(VLOOKUP(AJ$2,Rango_Admin_DailyPred,MATCH($F51,Rango_Admin_DailyPred_Primera,0)+1,0),"-")</f>
        <v>-</v>
      </c>
      <c r="AK51" s="412" t="str">
        <f ca="1">IFERROR(VLOOKUP(AK$2,Rango_Admin_DailyPred,MATCH($F51,Rango_Admin_DailyPred_Primera,0)+1,0),"-")</f>
        <v>-</v>
      </c>
      <c r="AL51" s="412" t="str">
        <f ca="1">IFERROR(VLOOKUP(AL$2,Rango_Admin_DailyPred,MATCH($F51,Rango_Admin_DailyPred_Primera,0)+1,0),"-")</f>
        <v>-</v>
      </c>
      <c r="AM51" s="412" t="str">
        <f ca="1">IFERROR(VLOOKUP(AM$2,Rango_Admin_DailyPred,MATCH($F51,Rango_Admin_DailyPred_Primera,0)+1,0),"-")</f>
        <v>-</v>
      </c>
      <c r="AN51" s="287"/>
    </row>
    <row r="52" spans="4:40">
      <c r="D52" s="82"/>
      <c r="E52" s="395" t="str">
        <f ca="1">IFERROR(HLOOKUP(C52,Rango_Admin_DailyClas,3,FALSE),"-")</f>
        <v>-</v>
      </c>
      <c r="F52" s="428" t="str">
        <f ca="1">IFERROR(HLOOKUP(C52,Rango_Admin_DailyClas,5,FALSE),"-")</f>
        <v>-</v>
      </c>
      <c r="G52" s="18" t="str">
        <f ca="1">IFERROR(HLOOKUP(C52,Rango_Admin_DailyClas,4,FALSE),"-")</f>
        <v>-</v>
      </c>
      <c r="H52" s="412" t="str">
        <f ca="1">IFERROR(VLOOKUP(H$2,Rango_Admin_DailyPred,MATCH($F52,Rango_Admin_DailyPred_Primera,0)+1,0),"-")</f>
        <v>-</v>
      </c>
      <c r="I52" s="412" t="str">
        <f ca="1">IFERROR(VLOOKUP(I$2,Rango_Admin_DailyPred,MATCH($F52,Rango_Admin_DailyPred_Primera,0)+1,0),"-")</f>
        <v>-</v>
      </c>
      <c r="J52" s="412" t="str">
        <f ca="1">IFERROR(VLOOKUP(J$2,Rango_Admin_DailyPred,MATCH($F52,Rango_Admin_DailyPred_Primera,0)+1,0),"-")</f>
        <v>-</v>
      </c>
      <c r="K52" s="412" t="str">
        <f ca="1">IFERROR(VLOOKUP(K$2,Rango_Admin_DailyPred,MATCH($F52,Rango_Admin_DailyPred_Primera,0)+1,0),"-")</f>
        <v>-</v>
      </c>
      <c r="L52" s="412" t="str">
        <f ca="1">IFERROR(VLOOKUP(L$2,Rango_Admin_DailyPred,MATCH($F52,Rango_Admin_DailyPred_Primera,0)+1,0),"-")</f>
        <v>-</v>
      </c>
      <c r="M52" s="412" t="str">
        <f ca="1">IFERROR(VLOOKUP(M$2,Rango_Admin_DailyPred,MATCH($F52,Rango_Admin_DailyPred_Primera,0)+1,0),"-")</f>
        <v>-</v>
      </c>
      <c r="N52" s="412" t="str">
        <f ca="1">IFERROR(VLOOKUP(N$2,Rango_Admin_DailyPred,MATCH($F52,Rango_Admin_DailyPred_Primera,0)+1,0),"-")</f>
        <v>-</v>
      </c>
      <c r="O52" s="412" t="str">
        <f ca="1">IFERROR(VLOOKUP(O$2,Rango_Admin_DailyPred,MATCH($F52,Rango_Admin_DailyPred_Primera,0)+1,0),"-")</f>
        <v>-</v>
      </c>
      <c r="P52" s="412" t="str">
        <f ca="1">IFERROR(VLOOKUP(P$2,Rango_Admin_DailyPred,MATCH($F52,Rango_Admin_DailyPred_Primera,0)+1,0),"-")</f>
        <v>-</v>
      </c>
      <c r="Q52" s="412" t="str">
        <f ca="1">IFERROR(VLOOKUP(Q$2,Rango_Admin_DailyPred,MATCH($F52,Rango_Admin_DailyPred_Primera,0)+1,0),"-")</f>
        <v>-</v>
      </c>
      <c r="R52" s="412" t="str">
        <f ca="1">IFERROR(VLOOKUP(R$2,Rango_Admin_DailyPred,MATCH($F52,Rango_Admin_DailyPred_Primera,0)+1,0),"-")</f>
        <v>-</v>
      </c>
      <c r="S52" s="412" t="str">
        <f ca="1">IFERROR(VLOOKUP(S$2,Rango_Admin_DailyPred,MATCH($F52,Rango_Admin_DailyPred_Primera,0)+1,0),"-")</f>
        <v>-</v>
      </c>
      <c r="T52" s="412" t="str">
        <f ca="1">IFERROR(VLOOKUP(T$2,Rango_Admin_DailyPred,MATCH($F52,Rango_Admin_DailyPred_Primera,0)+1,0),"-")</f>
        <v>-</v>
      </c>
      <c r="U52" s="412" t="str">
        <f ca="1">IFERROR(VLOOKUP(U$2,Rango_Admin_DailyPred,MATCH($F52,Rango_Admin_DailyPred_Primera,0)+1,0),"-")</f>
        <v>-</v>
      </c>
      <c r="V52" s="412" t="str">
        <f ca="1">IFERROR(VLOOKUP(V$2,Rango_Admin_DailyPred,MATCH($F52,Rango_Admin_DailyPred_Primera,0)+1,0),"-")</f>
        <v>-</v>
      </c>
      <c r="W52" s="412" t="str">
        <f ca="1">IFERROR(VLOOKUP(W$2,Rango_Admin_DailyPred,MATCH($F52,Rango_Admin_DailyPred_Primera,0)+1,0),"-")</f>
        <v>-</v>
      </c>
      <c r="X52" s="412" t="str">
        <f ca="1">IFERROR(VLOOKUP(X$2,Rango_Admin_DailyPred,MATCH($F52,Rango_Admin_DailyPred_Primera,0)+1,0),"-")</f>
        <v>-</v>
      </c>
      <c r="Y52" s="412" t="str">
        <f ca="1">IFERROR(VLOOKUP(Y$2,Rango_Admin_DailyPred,MATCH($F52,Rango_Admin_DailyPred_Primera,0)+1,0),"-")</f>
        <v>-</v>
      </c>
      <c r="Z52" s="412" t="str">
        <f ca="1">IFERROR(VLOOKUP(Z$2,Rango_Admin_DailyPred,MATCH($F52,Rango_Admin_DailyPred_Primera,0)+1,0),"-")</f>
        <v>-</v>
      </c>
      <c r="AA52" s="412" t="str">
        <f ca="1">IFERROR(VLOOKUP(AA$2,Rango_Admin_DailyPred,MATCH($F52,Rango_Admin_DailyPred_Primera,0)+1,0),"-")</f>
        <v>-</v>
      </c>
      <c r="AB52" s="412" t="str">
        <f ca="1">IFERROR(VLOOKUP(AB$2,Rango_Admin_DailyPred,MATCH($F52,Rango_Admin_DailyPred_Primera,0)+1,0),"-")</f>
        <v>-</v>
      </c>
      <c r="AC52" s="412" t="str">
        <f ca="1">IFERROR(VLOOKUP(AC$2,Rango_Admin_DailyPred,MATCH($F52,Rango_Admin_DailyPred_Primera,0)+1,0),"-")</f>
        <v>-</v>
      </c>
      <c r="AD52" s="412" t="str">
        <f ca="1">IFERROR(VLOOKUP(AD$2,Rango_Admin_DailyPred,MATCH($F52,Rango_Admin_DailyPred_Primera,0)+1,0),"-")</f>
        <v>-</v>
      </c>
      <c r="AE52" s="412" t="str">
        <f ca="1">IFERROR(VLOOKUP(AE$2,Rango_Admin_DailyPred,MATCH($F52,Rango_Admin_DailyPred_Primera,0)+1,0),"-")</f>
        <v>-</v>
      </c>
      <c r="AF52" s="412" t="str">
        <f ca="1">IFERROR(VLOOKUP(AF$2,Rango_Admin_DailyPred,MATCH($F52,Rango_Admin_DailyPred_Primera,0)+1,0),"-")</f>
        <v>-</v>
      </c>
      <c r="AG52" s="412" t="str">
        <f ca="1">IFERROR(VLOOKUP(AG$2,Rango_Admin_DailyPred,MATCH($F52,Rango_Admin_DailyPred_Primera,0)+1,0),"-")</f>
        <v>-</v>
      </c>
      <c r="AH52" s="412" t="str">
        <f ca="1">IFERROR(VLOOKUP(AH$2,Rango_Admin_DailyPred,MATCH($F52,Rango_Admin_DailyPred_Primera,0)+1,0),"-")</f>
        <v>-</v>
      </c>
      <c r="AI52" s="412" t="str">
        <f ca="1">IFERROR(VLOOKUP(AI$2,Rango_Admin_DailyPred,MATCH($F52,Rango_Admin_DailyPred_Primera,0)+1,0),"-")</f>
        <v>-</v>
      </c>
      <c r="AJ52" s="412" t="str">
        <f ca="1">IFERROR(VLOOKUP(AJ$2,Rango_Admin_DailyPred,MATCH($F52,Rango_Admin_DailyPred_Primera,0)+1,0),"-")</f>
        <v>-</v>
      </c>
      <c r="AK52" s="412" t="str">
        <f ca="1">IFERROR(VLOOKUP(AK$2,Rango_Admin_DailyPred,MATCH($F52,Rango_Admin_DailyPred_Primera,0)+1,0),"-")</f>
        <v>-</v>
      </c>
      <c r="AL52" s="412" t="str">
        <f ca="1">IFERROR(VLOOKUP(AL$2,Rango_Admin_DailyPred,MATCH($F52,Rango_Admin_DailyPred_Primera,0)+1,0),"-")</f>
        <v>-</v>
      </c>
      <c r="AM52" s="412" t="str">
        <f ca="1">IFERROR(VLOOKUP(AM$2,Rango_Admin_DailyPred,MATCH($F52,Rango_Admin_DailyPred_Primera,0)+1,0),"-")</f>
        <v>-</v>
      </c>
      <c r="AN52" s="287"/>
    </row>
    <row r="53" spans="4:40">
      <c r="D53" s="82"/>
      <c r="E53" s="395" t="str">
        <f ca="1">IFERROR(HLOOKUP(C53,Rango_Admin_DailyClas,3,FALSE),"-")</f>
        <v>-</v>
      </c>
      <c r="F53" s="428" t="str">
        <f ca="1">IFERROR(HLOOKUP(C53,Rango_Admin_DailyClas,5,FALSE),"-")</f>
        <v>-</v>
      </c>
      <c r="G53" s="18" t="str">
        <f ca="1">IFERROR(HLOOKUP(C53,Rango_Admin_DailyClas,4,FALSE),"-")</f>
        <v>-</v>
      </c>
      <c r="H53" s="412" t="str">
        <f ca="1">IFERROR(VLOOKUP(H$2,Rango_Admin_DailyPred,MATCH($F53,Rango_Admin_DailyPred_Primera,0)+1,0),"-")</f>
        <v>-</v>
      </c>
      <c r="I53" s="412" t="str">
        <f ca="1">IFERROR(VLOOKUP(I$2,Rango_Admin_DailyPred,MATCH($F53,Rango_Admin_DailyPred_Primera,0)+1,0),"-")</f>
        <v>-</v>
      </c>
      <c r="J53" s="412" t="str">
        <f ca="1">IFERROR(VLOOKUP(J$2,Rango_Admin_DailyPred,MATCH($F53,Rango_Admin_DailyPred_Primera,0)+1,0),"-")</f>
        <v>-</v>
      </c>
      <c r="K53" s="412" t="str">
        <f ca="1">IFERROR(VLOOKUP(K$2,Rango_Admin_DailyPred,MATCH($F53,Rango_Admin_DailyPred_Primera,0)+1,0),"-")</f>
        <v>-</v>
      </c>
      <c r="L53" s="412" t="str">
        <f ca="1">IFERROR(VLOOKUP(L$2,Rango_Admin_DailyPred,MATCH($F53,Rango_Admin_DailyPred_Primera,0)+1,0),"-")</f>
        <v>-</v>
      </c>
      <c r="M53" s="412" t="str">
        <f ca="1">IFERROR(VLOOKUP(M$2,Rango_Admin_DailyPred,MATCH($F53,Rango_Admin_DailyPred_Primera,0)+1,0),"-")</f>
        <v>-</v>
      </c>
      <c r="N53" s="412" t="str">
        <f ca="1">IFERROR(VLOOKUP(N$2,Rango_Admin_DailyPred,MATCH($F53,Rango_Admin_DailyPred_Primera,0)+1,0),"-")</f>
        <v>-</v>
      </c>
      <c r="O53" s="412" t="str">
        <f ca="1">IFERROR(VLOOKUP(O$2,Rango_Admin_DailyPred,MATCH($F53,Rango_Admin_DailyPred_Primera,0)+1,0),"-")</f>
        <v>-</v>
      </c>
      <c r="P53" s="412" t="str">
        <f ca="1">IFERROR(VLOOKUP(P$2,Rango_Admin_DailyPred,MATCH($F53,Rango_Admin_DailyPred_Primera,0)+1,0),"-")</f>
        <v>-</v>
      </c>
      <c r="Q53" s="412" t="str">
        <f ca="1">IFERROR(VLOOKUP(Q$2,Rango_Admin_DailyPred,MATCH($F53,Rango_Admin_DailyPred_Primera,0)+1,0),"-")</f>
        <v>-</v>
      </c>
      <c r="R53" s="412" t="str">
        <f ca="1">IFERROR(VLOOKUP(R$2,Rango_Admin_DailyPred,MATCH($F53,Rango_Admin_DailyPred_Primera,0)+1,0),"-")</f>
        <v>-</v>
      </c>
      <c r="S53" s="412" t="str">
        <f ca="1">IFERROR(VLOOKUP(S$2,Rango_Admin_DailyPred,MATCH($F53,Rango_Admin_DailyPred_Primera,0)+1,0),"-")</f>
        <v>-</v>
      </c>
      <c r="T53" s="412" t="str">
        <f ca="1">IFERROR(VLOOKUP(T$2,Rango_Admin_DailyPred,MATCH($F53,Rango_Admin_DailyPred_Primera,0)+1,0),"-")</f>
        <v>-</v>
      </c>
      <c r="U53" s="412" t="str">
        <f ca="1">IFERROR(VLOOKUP(U$2,Rango_Admin_DailyPred,MATCH($F53,Rango_Admin_DailyPred_Primera,0)+1,0),"-")</f>
        <v>-</v>
      </c>
      <c r="V53" s="412" t="str">
        <f ca="1">IFERROR(VLOOKUP(V$2,Rango_Admin_DailyPred,MATCH($F53,Rango_Admin_DailyPred_Primera,0)+1,0),"-")</f>
        <v>-</v>
      </c>
      <c r="W53" s="412" t="str">
        <f ca="1">IFERROR(VLOOKUP(W$2,Rango_Admin_DailyPred,MATCH($F53,Rango_Admin_DailyPred_Primera,0)+1,0),"-")</f>
        <v>-</v>
      </c>
      <c r="X53" s="412" t="str">
        <f ca="1">IFERROR(VLOOKUP(X$2,Rango_Admin_DailyPred,MATCH($F53,Rango_Admin_DailyPred_Primera,0)+1,0),"-")</f>
        <v>-</v>
      </c>
      <c r="Y53" s="412" t="str">
        <f ca="1">IFERROR(VLOOKUP(Y$2,Rango_Admin_DailyPred,MATCH($F53,Rango_Admin_DailyPred_Primera,0)+1,0),"-")</f>
        <v>-</v>
      </c>
      <c r="Z53" s="412" t="str">
        <f ca="1">IFERROR(VLOOKUP(Z$2,Rango_Admin_DailyPred,MATCH($F53,Rango_Admin_DailyPred_Primera,0)+1,0),"-")</f>
        <v>-</v>
      </c>
      <c r="AA53" s="412" t="str">
        <f ca="1">IFERROR(VLOOKUP(AA$2,Rango_Admin_DailyPred,MATCH($F53,Rango_Admin_DailyPred_Primera,0)+1,0),"-")</f>
        <v>-</v>
      </c>
      <c r="AB53" s="412" t="str">
        <f ca="1">IFERROR(VLOOKUP(AB$2,Rango_Admin_DailyPred,MATCH($F53,Rango_Admin_DailyPred_Primera,0)+1,0),"-")</f>
        <v>-</v>
      </c>
      <c r="AC53" s="412" t="str">
        <f ca="1">IFERROR(VLOOKUP(AC$2,Rango_Admin_DailyPred,MATCH($F53,Rango_Admin_DailyPred_Primera,0)+1,0),"-")</f>
        <v>-</v>
      </c>
      <c r="AD53" s="412" t="str">
        <f ca="1">IFERROR(VLOOKUP(AD$2,Rango_Admin_DailyPred,MATCH($F53,Rango_Admin_DailyPred_Primera,0)+1,0),"-")</f>
        <v>-</v>
      </c>
      <c r="AE53" s="412" t="str">
        <f ca="1">IFERROR(VLOOKUP(AE$2,Rango_Admin_DailyPred,MATCH($F53,Rango_Admin_DailyPred_Primera,0)+1,0),"-")</f>
        <v>-</v>
      </c>
      <c r="AF53" s="412" t="str">
        <f ca="1">IFERROR(VLOOKUP(AF$2,Rango_Admin_DailyPred,MATCH($F53,Rango_Admin_DailyPred_Primera,0)+1,0),"-")</f>
        <v>-</v>
      </c>
      <c r="AG53" s="412" t="str">
        <f ca="1">IFERROR(VLOOKUP(AG$2,Rango_Admin_DailyPred,MATCH($F53,Rango_Admin_DailyPred_Primera,0)+1,0),"-")</f>
        <v>-</v>
      </c>
      <c r="AH53" s="412" t="str">
        <f ca="1">IFERROR(VLOOKUP(AH$2,Rango_Admin_DailyPred,MATCH($F53,Rango_Admin_DailyPred_Primera,0)+1,0),"-")</f>
        <v>-</v>
      </c>
      <c r="AI53" s="412" t="str">
        <f ca="1">IFERROR(VLOOKUP(AI$2,Rango_Admin_DailyPred,MATCH($F53,Rango_Admin_DailyPred_Primera,0)+1,0),"-")</f>
        <v>-</v>
      </c>
      <c r="AJ53" s="412" t="str">
        <f ca="1">IFERROR(VLOOKUP(AJ$2,Rango_Admin_DailyPred,MATCH($F53,Rango_Admin_DailyPred_Primera,0)+1,0),"-")</f>
        <v>-</v>
      </c>
      <c r="AK53" s="412" t="str">
        <f ca="1">IFERROR(VLOOKUP(AK$2,Rango_Admin_DailyPred,MATCH($F53,Rango_Admin_DailyPred_Primera,0)+1,0),"-")</f>
        <v>-</v>
      </c>
      <c r="AL53" s="412" t="str">
        <f ca="1">IFERROR(VLOOKUP(AL$2,Rango_Admin_DailyPred,MATCH($F53,Rango_Admin_DailyPred_Primera,0)+1,0),"-")</f>
        <v>-</v>
      </c>
      <c r="AM53" s="412" t="str">
        <f ca="1">IFERROR(VLOOKUP(AM$2,Rango_Admin_DailyPred,MATCH($F53,Rango_Admin_DailyPred_Primera,0)+1,0),"-")</f>
        <v>-</v>
      </c>
      <c r="AN53" s="287"/>
    </row>
    <row r="54" spans="4:40">
      <c r="D54" s="82"/>
      <c r="E54" s="395" t="str">
        <f ca="1">IFERROR(HLOOKUP(C54,Rango_Admin_DailyClas,3,FALSE),"-")</f>
        <v>-</v>
      </c>
      <c r="F54" s="428" t="str">
        <f ca="1">IFERROR(HLOOKUP(C54,Rango_Admin_DailyClas,5,FALSE),"-")</f>
        <v>-</v>
      </c>
      <c r="G54" s="18" t="str">
        <f ca="1">IFERROR(HLOOKUP(C54,Rango_Admin_DailyClas,4,FALSE),"-")</f>
        <v>-</v>
      </c>
      <c r="H54" s="412" t="str">
        <f ca="1">IFERROR(VLOOKUP(H$2,Rango_Admin_DailyPred,MATCH($F54,Rango_Admin_DailyPred_Primera,0)+1,0),"-")</f>
        <v>-</v>
      </c>
      <c r="I54" s="412" t="str">
        <f ca="1">IFERROR(VLOOKUP(I$2,Rango_Admin_DailyPred,MATCH($F54,Rango_Admin_DailyPred_Primera,0)+1,0),"-")</f>
        <v>-</v>
      </c>
      <c r="J54" s="412" t="str">
        <f ca="1">IFERROR(VLOOKUP(J$2,Rango_Admin_DailyPred,MATCH($F54,Rango_Admin_DailyPred_Primera,0)+1,0),"-")</f>
        <v>-</v>
      </c>
      <c r="K54" s="412" t="str">
        <f ca="1">IFERROR(VLOOKUP(K$2,Rango_Admin_DailyPred,MATCH($F54,Rango_Admin_DailyPred_Primera,0)+1,0),"-")</f>
        <v>-</v>
      </c>
      <c r="L54" s="412" t="str">
        <f ca="1">IFERROR(VLOOKUP(L$2,Rango_Admin_DailyPred,MATCH($F54,Rango_Admin_DailyPred_Primera,0)+1,0),"-")</f>
        <v>-</v>
      </c>
      <c r="M54" s="412" t="str">
        <f ca="1">IFERROR(VLOOKUP(M$2,Rango_Admin_DailyPred,MATCH($F54,Rango_Admin_DailyPred_Primera,0)+1,0),"-")</f>
        <v>-</v>
      </c>
      <c r="N54" s="412" t="str">
        <f ca="1">IFERROR(VLOOKUP(N$2,Rango_Admin_DailyPred,MATCH($F54,Rango_Admin_DailyPred_Primera,0)+1,0),"-")</f>
        <v>-</v>
      </c>
      <c r="O54" s="412" t="str">
        <f ca="1">IFERROR(VLOOKUP(O$2,Rango_Admin_DailyPred,MATCH($F54,Rango_Admin_DailyPred_Primera,0)+1,0),"-")</f>
        <v>-</v>
      </c>
      <c r="P54" s="412" t="str">
        <f ca="1">IFERROR(VLOOKUP(P$2,Rango_Admin_DailyPred,MATCH($F54,Rango_Admin_DailyPred_Primera,0)+1,0),"-")</f>
        <v>-</v>
      </c>
      <c r="Q54" s="412" t="str">
        <f ca="1">IFERROR(VLOOKUP(Q$2,Rango_Admin_DailyPred,MATCH($F54,Rango_Admin_DailyPred_Primera,0)+1,0),"-")</f>
        <v>-</v>
      </c>
      <c r="R54" s="412" t="str">
        <f ca="1">IFERROR(VLOOKUP(R$2,Rango_Admin_DailyPred,MATCH($F54,Rango_Admin_DailyPred_Primera,0)+1,0),"-")</f>
        <v>-</v>
      </c>
      <c r="S54" s="412" t="str">
        <f ca="1">IFERROR(VLOOKUP(S$2,Rango_Admin_DailyPred,MATCH($F54,Rango_Admin_DailyPred_Primera,0)+1,0),"-")</f>
        <v>-</v>
      </c>
      <c r="T54" s="412" t="str">
        <f ca="1">IFERROR(VLOOKUP(T$2,Rango_Admin_DailyPred,MATCH($F54,Rango_Admin_DailyPred_Primera,0)+1,0),"-")</f>
        <v>-</v>
      </c>
      <c r="U54" s="412" t="str">
        <f ca="1">IFERROR(VLOOKUP(U$2,Rango_Admin_DailyPred,MATCH($F54,Rango_Admin_DailyPred_Primera,0)+1,0),"-")</f>
        <v>-</v>
      </c>
      <c r="V54" s="412" t="str">
        <f ca="1">IFERROR(VLOOKUP(V$2,Rango_Admin_DailyPred,MATCH($F54,Rango_Admin_DailyPred_Primera,0)+1,0),"-")</f>
        <v>-</v>
      </c>
      <c r="W54" s="412" t="str">
        <f ca="1">IFERROR(VLOOKUP(W$2,Rango_Admin_DailyPred,MATCH($F54,Rango_Admin_DailyPred_Primera,0)+1,0),"-")</f>
        <v>-</v>
      </c>
      <c r="X54" s="412" t="str">
        <f ca="1">IFERROR(VLOOKUP(X$2,Rango_Admin_DailyPred,MATCH($F54,Rango_Admin_DailyPred_Primera,0)+1,0),"-")</f>
        <v>-</v>
      </c>
      <c r="Y54" s="412" t="str">
        <f ca="1">IFERROR(VLOOKUP(Y$2,Rango_Admin_DailyPred,MATCH($F54,Rango_Admin_DailyPred_Primera,0)+1,0),"-")</f>
        <v>-</v>
      </c>
      <c r="Z54" s="412" t="str">
        <f ca="1">IFERROR(VLOOKUP(Z$2,Rango_Admin_DailyPred,MATCH($F54,Rango_Admin_DailyPred_Primera,0)+1,0),"-")</f>
        <v>-</v>
      </c>
      <c r="AA54" s="412" t="str">
        <f ca="1">IFERROR(VLOOKUP(AA$2,Rango_Admin_DailyPred,MATCH($F54,Rango_Admin_DailyPred_Primera,0)+1,0),"-")</f>
        <v>-</v>
      </c>
      <c r="AB54" s="412" t="str">
        <f ca="1">IFERROR(VLOOKUP(AB$2,Rango_Admin_DailyPred,MATCH($F54,Rango_Admin_DailyPred_Primera,0)+1,0),"-")</f>
        <v>-</v>
      </c>
      <c r="AC54" s="412" t="str">
        <f ca="1">IFERROR(VLOOKUP(AC$2,Rango_Admin_DailyPred,MATCH($F54,Rango_Admin_DailyPred_Primera,0)+1,0),"-")</f>
        <v>-</v>
      </c>
      <c r="AD54" s="412" t="str">
        <f ca="1">IFERROR(VLOOKUP(AD$2,Rango_Admin_DailyPred,MATCH($F54,Rango_Admin_DailyPred_Primera,0)+1,0),"-")</f>
        <v>-</v>
      </c>
      <c r="AE54" s="412" t="str">
        <f ca="1">IFERROR(VLOOKUP(AE$2,Rango_Admin_DailyPred,MATCH($F54,Rango_Admin_DailyPred_Primera,0)+1,0),"-")</f>
        <v>-</v>
      </c>
      <c r="AF54" s="412" t="str">
        <f ca="1">IFERROR(VLOOKUP(AF$2,Rango_Admin_DailyPred,MATCH($F54,Rango_Admin_DailyPred_Primera,0)+1,0),"-")</f>
        <v>-</v>
      </c>
      <c r="AG54" s="412" t="str">
        <f ca="1">IFERROR(VLOOKUP(AG$2,Rango_Admin_DailyPred,MATCH($F54,Rango_Admin_DailyPred_Primera,0)+1,0),"-")</f>
        <v>-</v>
      </c>
      <c r="AH54" s="412" t="str">
        <f ca="1">IFERROR(VLOOKUP(AH$2,Rango_Admin_DailyPred,MATCH($F54,Rango_Admin_DailyPred_Primera,0)+1,0),"-")</f>
        <v>-</v>
      </c>
      <c r="AI54" s="412" t="str">
        <f ca="1">IFERROR(VLOOKUP(AI$2,Rango_Admin_DailyPred,MATCH($F54,Rango_Admin_DailyPred_Primera,0)+1,0),"-")</f>
        <v>-</v>
      </c>
      <c r="AJ54" s="412" t="str">
        <f ca="1">IFERROR(VLOOKUP(AJ$2,Rango_Admin_DailyPred,MATCH($F54,Rango_Admin_DailyPred_Primera,0)+1,0),"-")</f>
        <v>-</v>
      </c>
      <c r="AK54" s="412" t="str">
        <f ca="1">IFERROR(VLOOKUP(AK$2,Rango_Admin_DailyPred,MATCH($F54,Rango_Admin_DailyPred_Primera,0)+1,0),"-")</f>
        <v>-</v>
      </c>
      <c r="AL54" s="412" t="str">
        <f ca="1">IFERROR(VLOOKUP(AL$2,Rango_Admin_DailyPred,MATCH($F54,Rango_Admin_DailyPred_Primera,0)+1,0),"-")</f>
        <v>-</v>
      </c>
      <c r="AM54" s="412" t="str">
        <f ca="1">IFERROR(VLOOKUP(AM$2,Rango_Admin_DailyPred,MATCH($F54,Rango_Admin_DailyPred_Primera,0)+1,0),"-")</f>
        <v>-</v>
      </c>
      <c r="AN54" s="287"/>
    </row>
    <row r="55" spans="4:40">
      <c r="D55" s="82"/>
      <c r="E55" s="395" t="str">
        <f ca="1">IFERROR(HLOOKUP(C55,Rango_Admin_DailyClas,3,FALSE),"-")</f>
        <v>-</v>
      </c>
      <c r="F55" s="428" t="str">
        <f ca="1">IFERROR(HLOOKUP(C55,Rango_Admin_DailyClas,5,FALSE),"-")</f>
        <v>-</v>
      </c>
      <c r="G55" s="18" t="str">
        <f ca="1">IFERROR(HLOOKUP(C55,Rango_Admin_DailyClas,4,FALSE),"-")</f>
        <v>-</v>
      </c>
      <c r="H55" s="412" t="str">
        <f ca="1">IFERROR(VLOOKUP(H$2,Rango_Admin_DailyPred,MATCH($F55,Rango_Admin_DailyPred_Primera,0)+1,0),"-")</f>
        <v>-</v>
      </c>
      <c r="I55" s="412" t="str">
        <f ca="1">IFERROR(VLOOKUP(I$2,Rango_Admin_DailyPred,MATCH($F55,Rango_Admin_DailyPred_Primera,0)+1,0),"-")</f>
        <v>-</v>
      </c>
      <c r="J55" s="412" t="str">
        <f ca="1">IFERROR(VLOOKUP(J$2,Rango_Admin_DailyPred,MATCH($F55,Rango_Admin_DailyPred_Primera,0)+1,0),"-")</f>
        <v>-</v>
      </c>
      <c r="K55" s="412" t="str">
        <f ca="1">IFERROR(VLOOKUP(K$2,Rango_Admin_DailyPred,MATCH($F55,Rango_Admin_DailyPred_Primera,0)+1,0),"-")</f>
        <v>-</v>
      </c>
      <c r="L55" s="412" t="str">
        <f ca="1">IFERROR(VLOOKUP(L$2,Rango_Admin_DailyPred,MATCH($F55,Rango_Admin_DailyPred_Primera,0)+1,0),"-")</f>
        <v>-</v>
      </c>
      <c r="M55" s="412" t="str">
        <f ca="1">IFERROR(VLOOKUP(M$2,Rango_Admin_DailyPred,MATCH($F55,Rango_Admin_DailyPred_Primera,0)+1,0),"-")</f>
        <v>-</v>
      </c>
      <c r="N55" s="412" t="str">
        <f ca="1">IFERROR(VLOOKUP(N$2,Rango_Admin_DailyPred,MATCH($F55,Rango_Admin_DailyPred_Primera,0)+1,0),"-")</f>
        <v>-</v>
      </c>
      <c r="O55" s="412" t="str">
        <f ca="1">IFERROR(VLOOKUP(O$2,Rango_Admin_DailyPred,MATCH($F55,Rango_Admin_DailyPred_Primera,0)+1,0),"-")</f>
        <v>-</v>
      </c>
      <c r="P55" s="412" t="str">
        <f ca="1">IFERROR(VLOOKUP(P$2,Rango_Admin_DailyPred,MATCH($F55,Rango_Admin_DailyPred_Primera,0)+1,0),"-")</f>
        <v>-</v>
      </c>
      <c r="Q55" s="412" t="str">
        <f ca="1">IFERROR(VLOOKUP(Q$2,Rango_Admin_DailyPred,MATCH($F55,Rango_Admin_DailyPred_Primera,0)+1,0),"-")</f>
        <v>-</v>
      </c>
      <c r="R55" s="412" t="str">
        <f ca="1">IFERROR(VLOOKUP(R$2,Rango_Admin_DailyPred,MATCH($F55,Rango_Admin_DailyPred_Primera,0)+1,0),"-")</f>
        <v>-</v>
      </c>
      <c r="S55" s="412" t="str">
        <f ca="1">IFERROR(VLOOKUP(S$2,Rango_Admin_DailyPred,MATCH($F55,Rango_Admin_DailyPred_Primera,0)+1,0),"-")</f>
        <v>-</v>
      </c>
      <c r="T55" s="412" t="str">
        <f ca="1">IFERROR(VLOOKUP(T$2,Rango_Admin_DailyPred,MATCH($F55,Rango_Admin_DailyPred_Primera,0)+1,0),"-")</f>
        <v>-</v>
      </c>
      <c r="U55" s="412" t="str">
        <f ca="1">IFERROR(VLOOKUP(U$2,Rango_Admin_DailyPred,MATCH($F55,Rango_Admin_DailyPred_Primera,0)+1,0),"-")</f>
        <v>-</v>
      </c>
      <c r="V55" s="412" t="str">
        <f ca="1">IFERROR(VLOOKUP(V$2,Rango_Admin_DailyPred,MATCH($F55,Rango_Admin_DailyPred_Primera,0)+1,0),"-")</f>
        <v>-</v>
      </c>
      <c r="W55" s="412" t="str">
        <f ca="1">IFERROR(VLOOKUP(W$2,Rango_Admin_DailyPred,MATCH($F55,Rango_Admin_DailyPred_Primera,0)+1,0),"-")</f>
        <v>-</v>
      </c>
      <c r="X55" s="412" t="str">
        <f ca="1">IFERROR(VLOOKUP(X$2,Rango_Admin_DailyPred,MATCH($F55,Rango_Admin_DailyPred_Primera,0)+1,0),"-")</f>
        <v>-</v>
      </c>
      <c r="Y55" s="412" t="str">
        <f ca="1">IFERROR(VLOOKUP(Y$2,Rango_Admin_DailyPred,MATCH($F55,Rango_Admin_DailyPred_Primera,0)+1,0),"-")</f>
        <v>-</v>
      </c>
      <c r="Z55" s="412" t="str">
        <f ca="1">IFERROR(VLOOKUP(Z$2,Rango_Admin_DailyPred,MATCH($F55,Rango_Admin_DailyPred_Primera,0)+1,0),"-")</f>
        <v>-</v>
      </c>
      <c r="AA55" s="412" t="str">
        <f ca="1">IFERROR(VLOOKUP(AA$2,Rango_Admin_DailyPred,MATCH($F55,Rango_Admin_DailyPred_Primera,0)+1,0),"-")</f>
        <v>-</v>
      </c>
      <c r="AB55" s="412" t="str">
        <f ca="1">IFERROR(VLOOKUP(AB$2,Rango_Admin_DailyPred,MATCH($F55,Rango_Admin_DailyPred_Primera,0)+1,0),"-")</f>
        <v>-</v>
      </c>
      <c r="AC55" s="412" t="str">
        <f ca="1">IFERROR(VLOOKUP(AC$2,Rango_Admin_DailyPred,MATCH($F55,Rango_Admin_DailyPred_Primera,0)+1,0),"-")</f>
        <v>-</v>
      </c>
      <c r="AD55" s="412" t="str">
        <f ca="1">IFERROR(VLOOKUP(AD$2,Rango_Admin_DailyPred,MATCH($F55,Rango_Admin_DailyPred_Primera,0)+1,0),"-")</f>
        <v>-</v>
      </c>
      <c r="AE55" s="412" t="str">
        <f ca="1">IFERROR(VLOOKUP(AE$2,Rango_Admin_DailyPred,MATCH($F55,Rango_Admin_DailyPred_Primera,0)+1,0),"-")</f>
        <v>-</v>
      </c>
      <c r="AF55" s="412" t="str">
        <f ca="1">IFERROR(VLOOKUP(AF$2,Rango_Admin_DailyPred,MATCH($F55,Rango_Admin_DailyPred_Primera,0)+1,0),"-")</f>
        <v>-</v>
      </c>
      <c r="AG55" s="412" t="str">
        <f ca="1">IFERROR(VLOOKUP(AG$2,Rango_Admin_DailyPred,MATCH($F55,Rango_Admin_DailyPred_Primera,0)+1,0),"-")</f>
        <v>-</v>
      </c>
      <c r="AH55" s="412" t="str">
        <f ca="1">IFERROR(VLOOKUP(AH$2,Rango_Admin_DailyPred,MATCH($F55,Rango_Admin_DailyPred_Primera,0)+1,0),"-")</f>
        <v>-</v>
      </c>
      <c r="AI55" s="412" t="str">
        <f ca="1">IFERROR(VLOOKUP(AI$2,Rango_Admin_DailyPred,MATCH($F55,Rango_Admin_DailyPred_Primera,0)+1,0),"-")</f>
        <v>-</v>
      </c>
      <c r="AJ55" s="412" t="str">
        <f ca="1">IFERROR(VLOOKUP(AJ$2,Rango_Admin_DailyPred,MATCH($F55,Rango_Admin_DailyPred_Primera,0)+1,0),"-")</f>
        <v>-</v>
      </c>
      <c r="AK55" s="412" t="str">
        <f ca="1">IFERROR(VLOOKUP(AK$2,Rango_Admin_DailyPred,MATCH($F55,Rango_Admin_DailyPred_Primera,0)+1,0),"-")</f>
        <v>-</v>
      </c>
      <c r="AL55" s="412" t="str">
        <f ca="1">IFERROR(VLOOKUP(AL$2,Rango_Admin_DailyPred,MATCH($F55,Rango_Admin_DailyPred_Primera,0)+1,0),"-")</f>
        <v>-</v>
      </c>
      <c r="AM55" s="412" t="str">
        <f ca="1">IFERROR(VLOOKUP(AM$2,Rango_Admin_DailyPred,MATCH($F55,Rango_Admin_DailyPred_Primera,0)+1,0),"-")</f>
        <v>-</v>
      </c>
      <c r="AN55" s="287"/>
    </row>
    <row r="56" spans="4:40">
      <c r="D56" s="82"/>
      <c r="E56" s="395" t="str">
        <f ca="1">IFERROR(HLOOKUP(C56,Rango_Admin_DailyClas,3,FALSE),"-")</f>
        <v>-</v>
      </c>
      <c r="F56" s="428" t="str">
        <f ca="1">IFERROR(HLOOKUP(C56,Rango_Admin_DailyClas,5,FALSE),"-")</f>
        <v>-</v>
      </c>
      <c r="G56" s="18" t="str">
        <f ca="1">IFERROR(HLOOKUP(C56,Rango_Admin_DailyClas,4,FALSE),"-")</f>
        <v>-</v>
      </c>
      <c r="H56" s="412" t="str">
        <f ca="1">IFERROR(VLOOKUP(H$2,Rango_Admin_DailyPred,MATCH($F56,Rango_Admin_DailyPred_Primera,0)+1,0),"-")</f>
        <v>-</v>
      </c>
      <c r="I56" s="412" t="str">
        <f ca="1">IFERROR(VLOOKUP(I$2,Rango_Admin_DailyPred,MATCH($F56,Rango_Admin_DailyPred_Primera,0)+1,0),"-")</f>
        <v>-</v>
      </c>
      <c r="J56" s="412" t="str">
        <f ca="1">IFERROR(VLOOKUP(J$2,Rango_Admin_DailyPred,MATCH($F56,Rango_Admin_DailyPred_Primera,0)+1,0),"-")</f>
        <v>-</v>
      </c>
      <c r="K56" s="412" t="str">
        <f ca="1">IFERROR(VLOOKUP(K$2,Rango_Admin_DailyPred,MATCH($F56,Rango_Admin_DailyPred_Primera,0)+1,0),"-")</f>
        <v>-</v>
      </c>
      <c r="L56" s="412" t="str">
        <f ca="1">IFERROR(VLOOKUP(L$2,Rango_Admin_DailyPred,MATCH($F56,Rango_Admin_DailyPred_Primera,0)+1,0),"-")</f>
        <v>-</v>
      </c>
      <c r="M56" s="412" t="str">
        <f ca="1">IFERROR(VLOOKUP(M$2,Rango_Admin_DailyPred,MATCH($F56,Rango_Admin_DailyPred_Primera,0)+1,0),"-")</f>
        <v>-</v>
      </c>
      <c r="N56" s="412" t="str">
        <f ca="1">IFERROR(VLOOKUP(N$2,Rango_Admin_DailyPred,MATCH($F56,Rango_Admin_DailyPred_Primera,0)+1,0),"-")</f>
        <v>-</v>
      </c>
      <c r="O56" s="412" t="str">
        <f ca="1">IFERROR(VLOOKUP(O$2,Rango_Admin_DailyPred,MATCH($F56,Rango_Admin_DailyPred_Primera,0)+1,0),"-")</f>
        <v>-</v>
      </c>
      <c r="P56" s="412" t="str">
        <f ca="1">IFERROR(VLOOKUP(P$2,Rango_Admin_DailyPred,MATCH($F56,Rango_Admin_DailyPred_Primera,0)+1,0),"-")</f>
        <v>-</v>
      </c>
      <c r="Q56" s="412" t="str">
        <f ca="1">IFERROR(VLOOKUP(Q$2,Rango_Admin_DailyPred,MATCH($F56,Rango_Admin_DailyPred_Primera,0)+1,0),"-")</f>
        <v>-</v>
      </c>
      <c r="R56" s="412" t="str">
        <f ca="1">IFERROR(VLOOKUP(R$2,Rango_Admin_DailyPred,MATCH($F56,Rango_Admin_DailyPred_Primera,0)+1,0),"-")</f>
        <v>-</v>
      </c>
      <c r="S56" s="412" t="str">
        <f ca="1">IFERROR(VLOOKUP(S$2,Rango_Admin_DailyPred,MATCH($F56,Rango_Admin_DailyPred_Primera,0)+1,0),"-")</f>
        <v>-</v>
      </c>
      <c r="T56" s="412" t="str">
        <f ca="1">IFERROR(VLOOKUP(T$2,Rango_Admin_DailyPred,MATCH($F56,Rango_Admin_DailyPred_Primera,0)+1,0),"-")</f>
        <v>-</v>
      </c>
      <c r="U56" s="412" t="str">
        <f ca="1">IFERROR(VLOOKUP(U$2,Rango_Admin_DailyPred,MATCH($F56,Rango_Admin_DailyPred_Primera,0)+1,0),"-")</f>
        <v>-</v>
      </c>
      <c r="V56" s="412" t="str">
        <f ca="1">IFERROR(VLOOKUP(V$2,Rango_Admin_DailyPred,MATCH($F56,Rango_Admin_DailyPred_Primera,0)+1,0),"-")</f>
        <v>-</v>
      </c>
      <c r="W56" s="412" t="str">
        <f ca="1">IFERROR(VLOOKUP(W$2,Rango_Admin_DailyPred,MATCH($F56,Rango_Admin_DailyPred_Primera,0)+1,0),"-")</f>
        <v>-</v>
      </c>
      <c r="X56" s="412" t="str">
        <f ca="1">IFERROR(VLOOKUP(X$2,Rango_Admin_DailyPred,MATCH($F56,Rango_Admin_DailyPred_Primera,0)+1,0),"-")</f>
        <v>-</v>
      </c>
      <c r="Y56" s="412" t="str">
        <f ca="1">IFERROR(VLOOKUP(Y$2,Rango_Admin_DailyPred,MATCH($F56,Rango_Admin_DailyPred_Primera,0)+1,0),"-")</f>
        <v>-</v>
      </c>
      <c r="Z56" s="412" t="str">
        <f ca="1">IFERROR(VLOOKUP(Z$2,Rango_Admin_DailyPred,MATCH($F56,Rango_Admin_DailyPred_Primera,0)+1,0),"-")</f>
        <v>-</v>
      </c>
      <c r="AA56" s="412" t="str">
        <f ca="1">IFERROR(VLOOKUP(AA$2,Rango_Admin_DailyPred,MATCH($F56,Rango_Admin_DailyPred_Primera,0)+1,0),"-")</f>
        <v>-</v>
      </c>
      <c r="AB56" s="412" t="str">
        <f ca="1">IFERROR(VLOOKUP(AB$2,Rango_Admin_DailyPred,MATCH($F56,Rango_Admin_DailyPred_Primera,0)+1,0),"-")</f>
        <v>-</v>
      </c>
      <c r="AC56" s="412" t="str">
        <f ca="1">IFERROR(VLOOKUP(AC$2,Rango_Admin_DailyPred,MATCH($F56,Rango_Admin_DailyPred_Primera,0)+1,0),"-")</f>
        <v>-</v>
      </c>
      <c r="AD56" s="412" t="str">
        <f ca="1">IFERROR(VLOOKUP(AD$2,Rango_Admin_DailyPred,MATCH($F56,Rango_Admin_DailyPred_Primera,0)+1,0),"-")</f>
        <v>-</v>
      </c>
      <c r="AE56" s="412" t="str">
        <f ca="1">IFERROR(VLOOKUP(AE$2,Rango_Admin_DailyPred,MATCH($F56,Rango_Admin_DailyPred_Primera,0)+1,0),"-")</f>
        <v>-</v>
      </c>
      <c r="AF56" s="412" t="str">
        <f ca="1">IFERROR(VLOOKUP(AF$2,Rango_Admin_DailyPred,MATCH($F56,Rango_Admin_DailyPred_Primera,0)+1,0),"-")</f>
        <v>-</v>
      </c>
      <c r="AG56" s="412" t="str">
        <f ca="1">IFERROR(VLOOKUP(AG$2,Rango_Admin_DailyPred,MATCH($F56,Rango_Admin_DailyPred_Primera,0)+1,0),"-")</f>
        <v>-</v>
      </c>
      <c r="AH56" s="412" t="str">
        <f ca="1">IFERROR(VLOOKUP(AH$2,Rango_Admin_DailyPred,MATCH($F56,Rango_Admin_DailyPred_Primera,0)+1,0),"-")</f>
        <v>-</v>
      </c>
      <c r="AI56" s="412" t="str">
        <f ca="1">IFERROR(VLOOKUP(AI$2,Rango_Admin_DailyPred,MATCH($F56,Rango_Admin_DailyPred_Primera,0)+1,0),"-")</f>
        <v>-</v>
      </c>
      <c r="AJ56" s="412" t="str">
        <f ca="1">IFERROR(VLOOKUP(AJ$2,Rango_Admin_DailyPred,MATCH($F56,Rango_Admin_DailyPred_Primera,0)+1,0),"-")</f>
        <v>-</v>
      </c>
      <c r="AK56" s="412" t="str">
        <f ca="1">IFERROR(VLOOKUP(AK$2,Rango_Admin_DailyPred,MATCH($F56,Rango_Admin_DailyPred_Primera,0)+1,0),"-")</f>
        <v>-</v>
      </c>
      <c r="AL56" s="412" t="str">
        <f ca="1">IFERROR(VLOOKUP(AL$2,Rango_Admin_DailyPred,MATCH($F56,Rango_Admin_DailyPred_Primera,0)+1,0),"-")</f>
        <v>-</v>
      </c>
      <c r="AM56" s="412" t="str">
        <f ca="1">IFERROR(VLOOKUP(AM$2,Rango_Admin_DailyPred,MATCH($F56,Rango_Admin_DailyPred_Primera,0)+1,0),"-")</f>
        <v>-</v>
      </c>
      <c r="AN56" s="287"/>
    </row>
    <row r="57" spans="4:40">
      <c r="D57" s="82"/>
      <c r="E57" s="395" t="str">
        <f ca="1">IFERROR(HLOOKUP(C57,Rango_Admin_DailyClas,3,FALSE),"-")</f>
        <v>-</v>
      </c>
      <c r="F57" s="428" t="str">
        <f ca="1">IFERROR(HLOOKUP(C57,Rango_Admin_DailyClas,5,FALSE),"-")</f>
        <v>-</v>
      </c>
      <c r="G57" s="18" t="str">
        <f ca="1">IFERROR(HLOOKUP(C57,Rango_Admin_DailyClas,4,FALSE),"-")</f>
        <v>-</v>
      </c>
      <c r="H57" s="412" t="str">
        <f ca="1">IFERROR(VLOOKUP(H$2,Rango_Admin_DailyPred,MATCH($F57,Rango_Admin_DailyPred_Primera,0)+1,0),"-")</f>
        <v>-</v>
      </c>
      <c r="I57" s="412" t="str">
        <f ca="1">IFERROR(VLOOKUP(I$2,Rango_Admin_DailyPred,MATCH($F57,Rango_Admin_DailyPred_Primera,0)+1,0),"-")</f>
        <v>-</v>
      </c>
      <c r="J57" s="412" t="str">
        <f ca="1">IFERROR(VLOOKUP(J$2,Rango_Admin_DailyPred,MATCH($F57,Rango_Admin_DailyPred_Primera,0)+1,0),"-")</f>
        <v>-</v>
      </c>
      <c r="K57" s="412" t="str">
        <f ca="1">IFERROR(VLOOKUP(K$2,Rango_Admin_DailyPred,MATCH($F57,Rango_Admin_DailyPred_Primera,0)+1,0),"-")</f>
        <v>-</v>
      </c>
      <c r="L57" s="412" t="str">
        <f ca="1">IFERROR(VLOOKUP(L$2,Rango_Admin_DailyPred,MATCH($F57,Rango_Admin_DailyPred_Primera,0)+1,0),"-")</f>
        <v>-</v>
      </c>
      <c r="M57" s="412" t="str">
        <f ca="1">IFERROR(VLOOKUP(M$2,Rango_Admin_DailyPred,MATCH($F57,Rango_Admin_DailyPred_Primera,0)+1,0),"-")</f>
        <v>-</v>
      </c>
      <c r="N57" s="412" t="str">
        <f ca="1">IFERROR(VLOOKUP(N$2,Rango_Admin_DailyPred,MATCH($F57,Rango_Admin_DailyPred_Primera,0)+1,0),"-")</f>
        <v>-</v>
      </c>
      <c r="O57" s="412" t="str">
        <f ca="1">IFERROR(VLOOKUP(O$2,Rango_Admin_DailyPred,MATCH($F57,Rango_Admin_DailyPred_Primera,0)+1,0),"-")</f>
        <v>-</v>
      </c>
      <c r="P57" s="412" t="str">
        <f ca="1">IFERROR(VLOOKUP(P$2,Rango_Admin_DailyPred,MATCH($F57,Rango_Admin_DailyPred_Primera,0)+1,0),"-")</f>
        <v>-</v>
      </c>
      <c r="Q57" s="412" t="str">
        <f ca="1">IFERROR(VLOOKUP(Q$2,Rango_Admin_DailyPred,MATCH($F57,Rango_Admin_DailyPred_Primera,0)+1,0),"-")</f>
        <v>-</v>
      </c>
      <c r="R57" s="412" t="str">
        <f ca="1">IFERROR(VLOOKUP(R$2,Rango_Admin_DailyPred,MATCH($F57,Rango_Admin_DailyPred_Primera,0)+1,0),"-")</f>
        <v>-</v>
      </c>
      <c r="S57" s="412" t="str">
        <f ca="1">IFERROR(VLOOKUP(S$2,Rango_Admin_DailyPred,MATCH($F57,Rango_Admin_DailyPred_Primera,0)+1,0),"-")</f>
        <v>-</v>
      </c>
      <c r="T57" s="412" t="str">
        <f ca="1">IFERROR(VLOOKUP(T$2,Rango_Admin_DailyPred,MATCH($F57,Rango_Admin_DailyPred_Primera,0)+1,0),"-")</f>
        <v>-</v>
      </c>
      <c r="U57" s="412" t="str">
        <f ca="1">IFERROR(VLOOKUP(U$2,Rango_Admin_DailyPred,MATCH($F57,Rango_Admin_DailyPred_Primera,0)+1,0),"-")</f>
        <v>-</v>
      </c>
      <c r="V57" s="412" t="str">
        <f ca="1">IFERROR(VLOOKUP(V$2,Rango_Admin_DailyPred,MATCH($F57,Rango_Admin_DailyPred_Primera,0)+1,0),"-")</f>
        <v>-</v>
      </c>
      <c r="W57" s="412" t="str">
        <f ca="1">IFERROR(VLOOKUP(W$2,Rango_Admin_DailyPred,MATCH($F57,Rango_Admin_DailyPred_Primera,0)+1,0),"-")</f>
        <v>-</v>
      </c>
      <c r="X57" s="412" t="str">
        <f ca="1">IFERROR(VLOOKUP(X$2,Rango_Admin_DailyPred,MATCH($F57,Rango_Admin_DailyPred_Primera,0)+1,0),"-")</f>
        <v>-</v>
      </c>
      <c r="Y57" s="412" t="str">
        <f ca="1">IFERROR(VLOOKUP(Y$2,Rango_Admin_DailyPred,MATCH($F57,Rango_Admin_DailyPred_Primera,0)+1,0),"-")</f>
        <v>-</v>
      </c>
      <c r="Z57" s="412" t="str">
        <f ca="1">IFERROR(VLOOKUP(Z$2,Rango_Admin_DailyPred,MATCH($F57,Rango_Admin_DailyPred_Primera,0)+1,0),"-")</f>
        <v>-</v>
      </c>
      <c r="AA57" s="412" t="str">
        <f ca="1">IFERROR(VLOOKUP(AA$2,Rango_Admin_DailyPred,MATCH($F57,Rango_Admin_DailyPred_Primera,0)+1,0),"-")</f>
        <v>-</v>
      </c>
      <c r="AB57" s="412" t="str">
        <f ca="1">IFERROR(VLOOKUP(AB$2,Rango_Admin_DailyPred,MATCH($F57,Rango_Admin_DailyPred_Primera,0)+1,0),"-")</f>
        <v>-</v>
      </c>
      <c r="AC57" s="412" t="str">
        <f ca="1">IFERROR(VLOOKUP(AC$2,Rango_Admin_DailyPred,MATCH($F57,Rango_Admin_DailyPred_Primera,0)+1,0),"-")</f>
        <v>-</v>
      </c>
      <c r="AD57" s="412" t="str">
        <f ca="1">IFERROR(VLOOKUP(AD$2,Rango_Admin_DailyPred,MATCH($F57,Rango_Admin_DailyPred_Primera,0)+1,0),"-")</f>
        <v>-</v>
      </c>
      <c r="AE57" s="412" t="str">
        <f ca="1">IFERROR(VLOOKUP(AE$2,Rango_Admin_DailyPred,MATCH($F57,Rango_Admin_DailyPred_Primera,0)+1,0),"-")</f>
        <v>-</v>
      </c>
      <c r="AF57" s="412" t="str">
        <f ca="1">IFERROR(VLOOKUP(AF$2,Rango_Admin_DailyPred,MATCH($F57,Rango_Admin_DailyPred_Primera,0)+1,0),"-")</f>
        <v>-</v>
      </c>
      <c r="AG57" s="412" t="str">
        <f ca="1">IFERROR(VLOOKUP(AG$2,Rango_Admin_DailyPred,MATCH($F57,Rango_Admin_DailyPred_Primera,0)+1,0),"-")</f>
        <v>-</v>
      </c>
      <c r="AH57" s="412" t="str">
        <f ca="1">IFERROR(VLOOKUP(AH$2,Rango_Admin_DailyPred,MATCH($F57,Rango_Admin_DailyPred_Primera,0)+1,0),"-")</f>
        <v>-</v>
      </c>
      <c r="AI57" s="412" t="str">
        <f ca="1">IFERROR(VLOOKUP(AI$2,Rango_Admin_DailyPred,MATCH($F57,Rango_Admin_DailyPred_Primera,0)+1,0),"-")</f>
        <v>-</v>
      </c>
      <c r="AJ57" s="412" t="str">
        <f ca="1">IFERROR(VLOOKUP(AJ$2,Rango_Admin_DailyPred,MATCH($F57,Rango_Admin_DailyPred_Primera,0)+1,0),"-")</f>
        <v>-</v>
      </c>
      <c r="AK57" s="412" t="str">
        <f ca="1">IFERROR(VLOOKUP(AK$2,Rango_Admin_DailyPred,MATCH($F57,Rango_Admin_DailyPred_Primera,0)+1,0),"-")</f>
        <v>-</v>
      </c>
      <c r="AL57" s="412" t="str">
        <f ca="1">IFERROR(VLOOKUP(AL$2,Rango_Admin_DailyPred,MATCH($F57,Rango_Admin_DailyPred_Primera,0)+1,0),"-")</f>
        <v>-</v>
      </c>
      <c r="AM57" s="412" t="str">
        <f ca="1">IFERROR(VLOOKUP(AM$2,Rango_Admin_DailyPred,MATCH($F57,Rango_Admin_DailyPred_Primera,0)+1,0),"-")</f>
        <v>-</v>
      </c>
      <c r="AN57" s="287"/>
    </row>
    <row r="58" spans="4:40">
      <c r="D58" s="82"/>
      <c r="E58" s="395" t="str">
        <f ca="1">IFERROR(HLOOKUP(C58,Rango_Admin_DailyClas,3,FALSE),"-")</f>
        <v>-</v>
      </c>
      <c r="F58" s="428" t="str">
        <f ca="1">IFERROR(HLOOKUP(C58,Rango_Admin_DailyClas,5,FALSE),"-")</f>
        <v>-</v>
      </c>
      <c r="G58" s="18" t="str">
        <f ca="1">IFERROR(HLOOKUP(C58,Rango_Admin_DailyClas,4,FALSE),"-")</f>
        <v>-</v>
      </c>
      <c r="H58" s="412" t="str">
        <f ca="1">IFERROR(VLOOKUP(H$2,Rango_Admin_DailyPred,MATCH($F58,Rango_Admin_DailyPred_Primera,0)+1,0),"-")</f>
        <v>-</v>
      </c>
      <c r="I58" s="412" t="str">
        <f ca="1">IFERROR(VLOOKUP(I$2,Rango_Admin_DailyPred,MATCH($F58,Rango_Admin_DailyPred_Primera,0)+1,0),"-")</f>
        <v>-</v>
      </c>
      <c r="J58" s="412" t="str">
        <f ca="1">IFERROR(VLOOKUP(J$2,Rango_Admin_DailyPred,MATCH($F58,Rango_Admin_DailyPred_Primera,0)+1,0),"-")</f>
        <v>-</v>
      </c>
      <c r="K58" s="412" t="str">
        <f ca="1">IFERROR(VLOOKUP(K$2,Rango_Admin_DailyPred,MATCH($F58,Rango_Admin_DailyPred_Primera,0)+1,0),"-")</f>
        <v>-</v>
      </c>
      <c r="L58" s="412" t="str">
        <f ca="1">IFERROR(VLOOKUP(L$2,Rango_Admin_DailyPred,MATCH($F58,Rango_Admin_DailyPred_Primera,0)+1,0),"-")</f>
        <v>-</v>
      </c>
      <c r="M58" s="412" t="str">
        <f ca="1">IFERROR(VLOOKUP(M$2,Rango_Admin_DailyPred,MATCH($F58,Rango_Admin_DailyPred_Primera,0)+1,0),"-")</f>
        <v>-</v>
      </c>
      <c r="N58" s="412" t="str">
        <f ca="1">IFERROR(VLOOKUP(N$2,Rango_Admin_DailyPred,MATCH($F58,Rango_Admin_DailyPred_Primera,0)+1,0),"-")</f>
        <v>-</v>
      </c>
      <c r="O58" s="412" t="str">
        <f ca="1">IFERROR(VLOOKUP(O$2,Rango_Admin_DailyPred,MATCH($F58,Rango_Admin_DailyPred_Primera,0)+1,0),"-")</f>
        <v>-</v>
      </c>
      <c r="P58" s="412" t="str">
        <f ca="1">IFERROR(VLOOKUP(P$2,Rango_Admin_DailyPred,MATCH($F58,Rango_Admin_DailyPred_Primera,0)+1,0),"-")</f>
        <v>-</v>
      </c>
      <c r="Q58" s="412" t="str">
        <f ca="1">IFERROR(VLOOKUP(Q$2,Rango_Admin_DailyPred,MATCH($F58,Rango_Admin_DailyPred_Primera,0)+1,0),"-")</f>
        <v>-</v>
      </c>
      <c r="R58" s="412" t="str">
        <f ca="1">IFERROR(VLOOKUP(R$2,Rango_Admin_DailyPred,MATCH($F58,Rango_Admin_DailyPred_Primera,0)+1,0),"-")</f>
        <v>-</v>
      </c>
      <c r="S58" s="412" t="str">
        <f ca="1">IFERROR(VLOOKUP(S$2,Rango_Admin_DailyPred,MATCH($F58,Rango_Admin_DailyPred_Primera,0)+1,0),"-")</f>
        <v>-</v>
      </c>
      <c r="T58" s="412" t="str">
        <f ca="1">IFERROR(VLOOKUP(T$2,Rango_Admin_DailyPred,MATCH($F58,Rango_Admin_DailyPred_Primera,0)+1,0),"-")</f>
        <v>-</v>
      </c>
      <c r="U58" s="412" t="str">
        <f ca="1">IFERROR(VLOOKUP(U$2,Rango_Admin_DailyPred,MATCH($F58,Rango_Admin_DailyPred_Primera,0)+1,0),"-")</f>
        <v>-</v>
      </c>
      <c r="V58" s="412" t="str">
        <f ca="1">IFERROR(VLOOKUP(V$2,Rango_Admin_DailyPred,MATCH($F58,Rango_Admin_DailyPred_Primera,0)+1,0),"-")</f>
        <v>-</v>
      </c>
      <c r="W58" s="412" t="str">
        <f ca="1">IFERROR(VLOOKUP(W$2,Rango_Admin_DailyPred,MATCH($F58,Rango_Admin_DailyPred_Primera,0)+1,0),"-")</f>
        <v>-</v>
      </c>
      <c r="X58" s="412" t="str">
        <f ca="1">IFERROR(VLOOKUP(X$2,Rango_Admin_DailyPred,MATCH($F58,Rango_Admin_DailyPred_Primera,0)+1,0),"-")</f>
        <v>-</v>
      </c>
      <c r="Y58" s="412" t="str">
        <f ca="1">IFERROR(VLOOKUP(Y$2,Rango_Admin_DailyPred,MATCH($F58,Rango_Admin_DailyPred_Primera,0)+1,0),"-")</f>
        <v>-</v>
      </c>
      <c r="Z58" s="412" t="str">
        <f ca="1">IFERROR(VLOOKUP(Z$2,Rango_Admin_DailyPred,MATCH($F58,Rango_Admin_DailyPred_Primera,0)+1,0),"-")</f>
        <v>-</v>
      </c>
      <c r="AA58" s="412" t="str">
        <f ca="1">IFERROR(VLOOKUP(AA$2,Rango_Admin_DailyPred,MATCH($F58,Rango_Admin_DailyPred_Primera,0)+1,0),"-")</f>
        <v>-</v>
      </c>
      <c r="AB58" s="412" t="str">
        <f ca="1">IFERROR(VLOOKUP(AB$2,Rango_Admin_DailyPred,MATCH($F58,Rango_Admin_DailyPred_Primera,0)+1,0),"-")</f>
        <v>-</v>
      </c>
      <c r="AC58" s="412" t="str">
        <f ca="1">IFERROR(VLOOKUP(AC$2,Rango_Admin_DailyPred,MATCH($F58,Rango_Admin_DailyPred_Primera,0)+1,0),"-")</f>
        <v>-</v>
      </c>
      <c r="AD58" s="412" t="str">
        <f ca="1">IFERROR(VLOOKUP(AD$2,Rango_Admin_DailyPred,MATCH($F58,Rango_Admin_DailyPred_Primera,0)+1,0),"-")</f>
        <v>-</v>
      </c>
      <c r="AE58" s="412" t="str">
        <f ca="1">IFERROR(VLOOKUP(AE$2,Rango_Admin_DailyPred,MATCH($F58,Rango_Admin_DailyPred_Primera,0)+1,0),"-")</f>
        <v>-</v>
      </c>
      <c r="AF58" s="412" t="str">
        <f ca="1">IFERROR(VLOOKUP(AF$2,Rango_Admin_DailyPred,MATCH($F58,Rango_Admin_DailyPred_Primera,0)+1,0),"-")</f>
        <v>-</v>
      </c>
      <c r="AG58" s="412" t="str">
        <f ca="1">IFERROR(VLOOKUP(AG$2,Rango_Admin_DailyPred,MATCH($F58,Rango_Admin_DailyPred_Primera,0)+1,0),"-")</f>
        <v>-</v>
      </c>
      <c r="AH58" s="412" t="str">
        <f ca="1">IFERROR(VLOOKUP(AH$2,Rango_Admin_DailyPred,MATCH($F58,Rango_Admin_DailyPred_Primera,0)+1,0),"-")</f>
        <v>-</v>
      </c>
      <c r="AI58" s="412" t="str">
        <f ca="1">IFERROR(VLOOKUP(AI$2,Rango_Admin_DailyPred,MATCH($F58,Rango_Admin_DailyPred_Primera,0)+1,0),"-")</f>
        <v>-</v>
      </c>
      <c r="AJ58" s="412" t="str">
        <f ca="1">IFERROR(VLOOKUP(AJ$2,Rango_Admin_DailyPred,MATCH($F58,Rango_Admin_DailyPred_Primera,0)+1,0),"-")</f>
        <v>-</v>
      </c>
      <c r="AK58" s="412" t="str">
        <f ca="1">IFERROR(VLOOKUP(AK$2,Rango_Admin_DailyPred,MATCH($F58,Rango_Admin_DailyPred_Primera,0)+1,0),"-")</f>
        <v>-</v>
      </c>
      <c r="AL58" s="412" t="str">
        <f ca="1">IFERROR(VLOOKUP(AL$2,Rango_Admin_DailyPred,MATCH($F58,Rango_Admin_DailyPred_Primera,0)+1,0),"-")</f>
        <v>-</v>
      </c>
      <c r="AM58" s="412" t="str">
        <f ca="1">IFERROR(VLOOKUP(AM$2,Rango_Admin_DailyPred,MATCH($F58,Rango_Admin_DailyPred_Primera,0)+1,0),"-")</f>
        <v>-</v>
      </c>
      <c r="AN58" s="287"/>
    </row>
    <row r="59" spans="4:40">
      <c r="D59" s="82"/>
      <c r="E59" s="395" t="str">
        <f ca="1">IFERROR(HLOOKUP(C59,Rango_Admin_DailyClas,3,FALSE),"-")</f>
        <v>-</v>
      </c>
      <c r="F59" s="428" t="str">
        <f ca="1">IFERROR(HLOOKUP(C59,Rango_Admin_DailyClas,5,FALSE),"-")</f>
        <v>-</v>
      </c>
      <c r="G59" s="18" t="str">
        <f ca="1">IFERROR(HLOOKUP(C59,Rango_Admin_DailyClas,4,FALSE),"-")</f>
        <v>-</v>
      </c>
      <c r="H59" s="412" t="str">
        <f ca="1">IFERROR(VLOOKUP(H$2,Rango_Admin_DailyPred,MATCH($F59,Rango_Admin_DailyPred_Primera,0)+1,0),"-")</f>
        <v>-</v>
      </c>
      <c r="I59" s="412" t="str">
        <f ca="1">IFERROR(VLOOKUP(I$2,Rango_Admin_DailyPred,MATCH($F59,Rango_Admin_DailyPred_Primera,0)+1,0),"-")</f>
        <v>-</v>
      </c>
      <c r="J59" s="412" t="str">
        <f ca="1">IFERROR(VLOOKUP(J$2,Rango_Admin_DailyPred,MATCH($F59,Rango_Admin_DailyPred_Primera,0)+1,0),"-")</f>
        <v>-</v>
      </c>
      <c r="K59" s="412" t="str">
        <f ca="1">IFERROR(VLOOKUP(K$2,Rango_Admin_DailyPred,MATCH($F59,Rango_Admin_DailyPred_Primera,0)+1,0),"-")</f>
        <v>-</v>
      </c>
      <c r="L59" s="412" t="str">
        <f ca="1">IFERROR(VLOOKUP(L$2,Rango_Admin_DailyPred,MATCH($F59,Rango_Admin_DailyPred_Primera,0)+1,0),"-")</f>
        <v>-</v>
      </c>
      <c r="M59" s="412" t="str">
        <f ca="1">IFERROR(VLOOKUP(M$2,Rango_Admin_DailyPred,MATCH($F59,Rango_Admin_DailyPred_Primera,0)+1,0),"-")</f>
        <v>-</v>
      </c>
      <c r="N59" s="412" t="str">
        <f ca="1">IFERROR(VLOOKUP(N$2,Rango_Admin_DailyPred,MATCH($F59,Rango_Admin_DailyPred_Primera,0)+1,0),"-")</f>
        <v>-</v>
      </c>
      <c r="O59" s="412" t="str">
        <f ca="1">IFERROR(VLOOKUP(O$2,Rango_Admin_DailyPred,MATCH($F59,Rango_Admin_DailyPred_Primera,0)+1,0),"-")</f>
        <v>-</v>
      </c>
      <c r="P59" s="412" t="str">
        <f ca="1">IFERROR(VLOOKUP(P$2,Rango_Admin_DailyPred,MATCH($F59,Rango_Admin_DailyPred_Primera,0)+1,0),"-")</f>
        <v>-</v>
      </c>
      <c r="Q59" s="412" t="str">
        <f ca="1">IFERROR(VLOOKUP(Q$2,Rango_Admin_DailyPred,MATCH($F59,Rango_Admin_DailyPred_Primera,0)+1,0),"-")</f>
        <v>-</v>
      </c>
      <c r="R59" s="412" t="str">
        <f ca="1">IFERROR(VLOOKUP(R$2,Rango_Admin_DailyPred,MATCH($F59,Rango_Admin_DailyPred_Primera,0)+1,0),"-")</f>
        <v>-</v>
      </c>
      <c r="S59" s="412" t="str">
        <f ca="1">IFERROR(VLOOKUP(S$2,Rango_Admin_DailyPred,MATCH($F59,Rango_Admin_DailyPred_Primera,0)+1,0),"-")</f>
        <v>-</v>
      </c>
      <c r="T59" s="412" t="str">
        <f ca="1">IFERROR(VLOOKUP(T$2,Rango_Admin_DailyPred,MATCH($F59,Rango_Admin_DailyPred_Primera,0)+1,0),"-")</f>
        <v>-</v>
      </c>
      <c r="U59" s="412" t="str">
        <f ca="1">IFERROR(VLOOKUP(U$2,Rango_Admin_DailyPred,MATCH($F59,Rango_Admin_DailyPred_Primera,0)+1,0),"-")</f>
        <v>-</v>
      </c>
      <c r="V59" s="412" t="str">
        <f ca="1">IFERROR(VLOOKUP(V$2,Rango_Admin_DailyPred,MATCH($F59,Rango_Admin_DailyPred_Primera,0)+1,0),"-")</f>
        <v>-</v>
      </c>
      <c r="W59" s="412" t="str">
        <f ca="1">IFERROR(VLOOKUP(W$2,Rango_Admin_DailyPred,MATCH($F59,Rango_Admin_DailyPred_Primera,0)+1,0),"-")</f>
        <v>-</v>
      </c>
      <c r="X59" s="412" t="str">
        <f ca="1">IFERROR(VLOOKUP(X$2,Rango_Admin_DailyPred,MATCH($F59,Rango_Admin_DailyPred_Primera,0)+1,0),"-")</f>
        <v>-</v>
      </c>
      <c r="Y59" s="412" t="str">
        <f ca="1">IFERROR(VLOOKUP(Y$2,Rango_Admin_DailyPred,MATCH($F59,Rango_Admin_DailyPred_Primera,0)+1,0),"-")</f>
        <v>-</v>
      </c>
      <c r="Z59" s="412" t="str">
        <f ca="1">IFERROR(VLOOKUP(Z$2,Rango_Admin_DailyPred,MATCH($F59,Rango_Admin_DailyPred_Primera,0)+1,0),"-")</f>
        <v>-</v>
      </c>
      <c r="AA59" s="412" t="str">
        <f ca="1">IFERROR(VLOOKUP(AA$2,Rango_Admin_DailyPred,MATCH($F59,Rango_Admin_DailyPred_Primera,0)+1,0),"-")</f>
        <v>-</v>
      </c>
      <c r="AB59" s="412" t="str">
        <f ca="1">IFERROR(VLOOKUP(AB$2,Rango_Admin_DailyPred,MATCH($F59,Rango_Admin_DailyPred_Primera,0)+1,0),"-")</f>
        <v>-</v>
      </c>
      <c r="AC59" s="412" t="str">
        <f ca="1">IFERROR(VLOOKUP(AC$2,Rango_Admin_DailyPred,MATCH($F59,Rango_Admin_DailyPred_Primera,0)+1,0),"-")</f>
        <v>-</v>
      </c>
      <c r="AD59" s="412" t="str">
        <f ca="1">IFERROR(VLOOKUP(AD$2,Rango_Admin_DailyPred,MATCH($F59,Rango_Admin_DailyPred_Primera,0)+1,0),"-")</f>
        <v>-</v>
      </c>
      <c r="AE59" s="412" t="str">
        <f ca="1">IFERROR(VLOOKUP(AE$2,Rango_Admin_DailyPred,MATCH($F59,Rango_Admin_DailyPred_Primera,0)+1,0),"-")</f>
        <v>-</v>
      </c>
      <c r="AF59" s="412" t="str">
        <f ca="1">IFERROR(VLOOKUP(AF$2,Rango_Admin_DailyPred,MATCH($F59,Rango_Admin_DailyPred_Primera,0)+1,0),"-")</f>
        <v>-</v>
      </c>
      <c r="AG59" s="412" t="str">
        <f ca="1">IFERROR(VLOOKUP(AG$2,Rango_Admin_DailyPred,MATCH($F59,Rango_Admin_DailyPred_Primera,0)+1,0),"-")</f>
        <v>-</v>
      </c>
      <c r="AH59" s="412" t="str">
        <f ca="1">IFERROR(VLOOKUP(AH$2,Rango_Admin_DailyPred,MATCH($F59,Rango_Admin_DailyPred_Primera,0)+1,0),"-")</f>
        <v>-</v>
      </c>
      <c r="AI59" s="412" t="str">
        <f ca="1">IFERROR(VLOOKUP(AI$2,Rango_Admin_DailyPred,MATCH($F59,Rango_Admin_DailyPred_Primera,0)+1,0),"-")</f>
        <v>-</v>
      </c>
      <c r="AJ59" s="412" t="str">
        <f ca="1">IFERROR(VLOOKUP(AJ$2,Rango_Admin_DailyPred,MATCH($F59,Rango_Admin_DailyPred_Primera,0)+1,0),"-")</f>
        <v>-</v>
      </c>
      <c r="AK59" s="412" t="str">
        <f ca="1">IFERROR(VLOOKUP(AK$2,Rango_Admin_DailyPred,MATCH($F59,Rango_Admin_DailyPred_Primera,0)+1,0),"-")</f>
        <v>-</v>
      </c>
      <c r="AL59" s="412" t="str">
        <f ca="1">IFERROR(VLOOKUP(AL$2,Rango_Admin_DailyPred,MATCH($F59,Rango_Admin_DailyPred_Primera,0)+1,0),"-")</f>
        <v>-</v>
      </c>
      <c r="AM59" s="412" t="str">
        <f ca="1">IFERROR(VLOOKUP(AM$2,Rango_Admin_DailyPred,MATCH($F59,Rango_Admin_DailyPred_Primera,0)+1,0),"-")</f>
        <v>-</v>
      </c>
      <c r="AN59" s="287"/>
    </row>
    <row r="60" spans="4:40">
      <c r="D60" s="82"/>
      <c r="E60" s="395" t="str">
        <f ca="1">IFERROR(HLOOKUP(C60,Rango_Admin_DailyClas,3,FALSE),"-")</f>
        <v>-</v>
      </c>
      <c r="F60" s="428" t="str">
        <f ca="1">IFERROR(HLOOKUP(C60,Rango_Admin_DailyClas,5,FALSE),"-")</f>
        <v>-</v>
      </c>
      <c r="G60" s="18" t="str">
        <f ca="1">IFERROR(HLOOKUP(C60,Rango_Admin_DailyClas,4,FALSE),"-")</f>
        <v>-</v>
      </c>
      <c r="H60" s="412" t="str">
        <f ca="1">IFERROR(VLOOKUP(H$2,Rango_Admin_DailyPred,MATCH($F60,Rango_Admin_DailyPred_Primera,0)+1,0),"-")</f>
        <v>-</v>
      </c>
      <c r="I60" s="412" t="str">
        <f ca="1">IFERROR(VLOOKUP(I$2,Rango_Admin_DailyPred,MATCH($F60,Rango_Admin_DailyPred_Primera,0)+1,0),"-")</f>
        <v>-</v>
      </c>
      <c r="J60" s="412" t="str">
        <f ca="1">IFERROR(VLOOKUP(J$2,Rango_Admin_DailyPred,MATCH($F60,Rango_Admin_DailyPred_Primera,0)+1,0),"-")</f>
        <v>-</v>
      </c>
      <c r="K60" s="412" t="str">
        <f ca="1">IFERROR(VLOOKUP(K$2,Rango_Admin_DailyPred,MATCH($F60,Rango_Admin_DailyPred_Primera,0)+1,0),"-")</f>
        <v>-</v>
      </c>
      <c r="L60" s="412" t="str">
        <f ca="1">IFERROR(VLOOKUP(L$2,Rango_Admin_DailyPred,MATCH($F60,Rango_Admin_DailyPred_Primera,0)+1,0),"-")</f>
        <v>-</v>
      </c>
      <c r="M60" s="412" t="str">
        <f ca="1">IFERROR(VLOOKUP(M$2,Rango_Admin_DailyPred,MATCH($F60,Rango_Admin_DailyPred_Primera,0)+1,0),"-")</f>
        <v>-</v>
      </c>
      <c r="N60" s="412" t="str">
        <f ca="1">IFERROR(VLOOKUP(N$2,Rango_Admin_DailyPred,MATCH($F60,Rango_Admin_DailyPred_Primera,0)+1,0),"-")</f>
        <v>-</v>
      </c>
      <c r="O60" s="412" t="str">
        <f ca="1">IFERROR(VLOOKUP(O$2,Rango_Admin_DailyPred,MATCH($F60,Rango_Admin_DailyPred_Primera,0)+1,0),"-")</f>
        <v>-</v>
      </c>
      <c r="P60" s="412" t="str">
        <f ca="1">IFERROR(VLOOKUP(P$2,Rango_Admin_DailyPred,MATCH($F60,Rango_Admin_DailyPred_Primera,0)+1,0),"-")</f>
        <v>-</v>
      </c>
      <c r="Q60" s="412" t="str">
        <f ca="1">IFERROR(VLOOKUP(Q$2,Rango_Admin_DailyPred,MATCH($F60,Rango_Admin_DailyPred_Primera,0)+1,0),"-")</f>
        <v>-</v>
      </c>
      <c r="R60" s="412" t="str">
        <f ca="1">IFERROR(VLOOKUP(R$2,Rango_Admin_DailyPred,MATCH($F60,Rango_Admin_DailyPred_Primera,0)+1,0),"-")</f>
        <v>-</v>
      </c>
      <c r="S60" s="412" t="str">
        <f ca="1">IFERROR(VLOOKUP(S$2,Rango_Admin_DailyPred,MATCH($F60,Rango_Admin_DailyPred_Primera,0)+1,0),"-")</f>
        <v>-</v>
      </c>
      <c r="T60" s="412" t="str">
        <f ca="1">IFERROR(VLOOKUP(T$2,Rango_Admin_DailyPred,MATCH($F60,Rango_Admin_DailyPred_Primera,0)+1,0),"-")</f>
        <v>-</v>
      </c>
      <c r="U60" s="412" t="str">
        <f ca="1">IFERROR(VLOOKUP(U$2,Rango_Admin_DailyPred,MATCH($F60,Rango_Admin_DailyPred_Primera,0)+1,0),"-")</f>
        <v>-</v>
      </c>
      <c r="V60" s="412" t="str">
        <f ca="1">IFERROR(VLOOKUP(V$2,Rango_Admin_DailyPred,MATCH($F60,Rango_Admin_DailyPred_Primera,0)+1,0),"-")</f>
        <v>-</v>
      </c>
      <c r="W60" s="412" t="str">
        <f ca="1">IFERROR(VLOOKUP(W$2,Rango_Admin_DailyPred,MATCH($F60,Rango_Admin_DailyPred_Primera,0)+1,0),"-")</f>
        <v>-</v>
      </c>
      <c r="X60" s="412" t="str">
        <f ca="1">IFERROR(VLOOKUP(X$2,Rango_Admin_DailyPred,MATCH($F60,Rango_Admin_DailyPred_Primera,0)+1,0),"-")</f>
        <v>-</v>
      </c>
      <c r="Y60" s="412" t="str">
        <f ca="1">IFERROR(VLOOKUP(Y$2,Rango_Admin_DailyPred,MATCH($F60,Rango_Admin_DailyPred_Primera,0)+1,0),"-")</f>
        <v>-</v>
      </c>
      <c r="Z60" s="412" t="str">
        <f ca="1">IFERROR(VLOOKUP(Z$2,Rango_Admin_DailyPred,MATCH($F60,Rango_Admin_DailyPred_Primera,0)+1,0),"-")</f>
        <v>-</v>
      </c>
      <c r="AA60" s="412" t="str">
        <f ca="1">IFERROR(VLOOKUP(AA$2,Rango_Admin_DailyPred,MATCH($F60,Rango_Admin_DailyPred_Primera,0)+1,0),"-")</f>
        <v>-</v>
      </c>
      <c r="AB60" s="412" t="str">
        <f ca="1">IFERROR(VLOOKUP(AB$2,Rango_Admin_DailyPred,MATCH($F60,Rango_Admin_DailyPred_Primera,0)+1,0),"-")</f>
        <v>-</v>
      </c>
      <c r="AC60" s="412" t="str">
        <f ca="1">IFERROR(VLOOKUP(AC$2,Rango_Admin_DailyPred,MATCH($F60,Rango_Admin_DailyPred_Primera,0)+1,0),"-")</f>
        <v>-</v>
      </c>
      <c r="AD60" s="412" t="str">
        <f ca="1">IFERROR(VLOOKUP(AD$2,Rango_Admin_DailyPred,MATCH($F60,Rango_Admin_DailyPred_Primera,0)+1,0),"-")</f>
        <v>-</v>
      </c>
      <c r="AE60" s="412" t="str">
        <f ca="1">IFERROR(VLOOKUP(AE$2,Rango_Admin_DailyPred,MATCH($F60,Rango_Admin_DailyPred_Primera,0)+1,0),"-")</f>
        <v>-</v>
      </c>
      <c r="AF60" s="412" t="str">
        <f ca="1">IFERROR(VLOOKUP(AF$2,Rango_Admin_DailyPred,MATCH($F60,Rango_Admin_DailyPred_Primera,0)+1,0),"-")</f>
        <v>-</v>
      </c>
      <c r="AG60" s="412" t="str">
        <f ca="1">IFERROR(VLOOKUP(AG$2,Rango_Admin_DailyPred,MATCH($F60,Rango_Admin_DailyPred_Primera,0)+1,0),"-")</f>
        <v>-</v>
      </c>
      <c r="AH60" s="412" t="str">
        <f ca="1">IFERROR(VLOOKUP(AH$2,Rango_Admin_DailyPred,MATCH($F60,Rango_Admin_DailyPred_Primera,0)+1,0),"-")</f>
        <v>-</v>
      </c>
      <c r="AI60" s="412" t="str">
        <f ca="1">IFERROR(VLOOKUP(AI$2,Rango_Admin_DailyPred,MATCH($F60,Rango_Admin_DailyPred_Primera,0)+1,0),"-")</f>
        <v>-</v>
      </c>
      <c r="AJ60" s="412" t="str">
        <f ca="1">IFERROR(VLOOKUP(AJ$2,Rango_Admin_DailyPred,MATCH($F60,Rango_Admin_DailyPred_Primera,0)+1,0),"-")</f>
        <v>-</v>
      </c>
      <c r="AK60" s="412" t="str">
        <f ca="1">IFERROR(VLOOKUP(AK$2,Rango_Admin_DailyPred,MATCH($F60,Rango_Admin_DailyPred_Primera,0)+1,0),"-")</f>
        <v>-</v>
      </c>
      <c r="AL60" s="412" t="str">
        <f ca="1">IFERROR(VLOOKUP(AL$2,Rango_Admin_DailyPred,MATCH($F60,Rango_Admin_DailyPred_Primera,0)+1,0),"-")</f>
        <v>-</v>
      </c>
      <c r="AM60" s="412" t="str">
        <f ca="1">IFERROR(VLOOKUP(AM$2,Rango_Admin_DailyPred,MATCH($F60,Rango_Admin_DailyPred_Primera,0)+1,0),"-")</f>
        <v>-</v>
      </c>
      <c r="AN60" s="287"/>
    </row>
    <row r="61" spans="4:40">
      <c r="D61" s="82"/>
      <c r="E61" s="395" t="str">
        <f ca="1">IFERROR(HLOOKUP(C61,Rango_Admin_DailyClas,3,FALSE),"-")</f>
        <v>-</v>
      </c>
      <c r="F61" s="428" t="str">
        <f ca="1">IFERROR(HLOOKUP(C61,Rango_Admin_DailyClas,5,FALSE),"-")</f>
        <v>-</v>
      </c>
      <c r="G61" s="18" t="str">
        <f ca="1">IFERROR(HLOOKUP(C61,Rango_Admin_DailyClas,4,FALSE),"-")</f>
        <v>-</v>
      </c>
      <c r="H61" s="412" t="str">
        <f ca="1">IFERROR(VLOOKUP(H$2,Rango_Admin_DailyPred,MATCH($F61,Rango_Admin_DailyPred_Primera,0)+1,0),"-")</f>
        <v>-</v>
      </c>
      <c r="I61" s="412" t="str">
        <f ca="1">IFERROR(VLOOKUP(I$2,Rango_Admin_DailyPred,MATCH($F61,Rango_Admin_DailyPred_Primera,0)+1,0),"-")</f>
        <v>-</v>
      </c>
      <c r="J61" s="412" t="str">
        <f ca="1">IFERROR(VLOOKUP(J$2,Rango_Admin_DailyPred,MATCH($F61,Rango_Admin_DailyPred_Primera,0)+1,0),"-")</f>
        <v>-</v>
      </c>
      <c r="K61" s="412" t="str">
        <f ca="1">IFERROR(VLOOKUP(K$2,Rango_Admin_DailyPred,MATCH($F61,Rango_Admin_DailyPred_Primera,0)+1,0),"-")</f>
        <v>-</v>
      </c>
      <c r="L61" s="412" t="str">
        <f ca="1">IFERROR(VLOOKUP(L$2,Rango_Admin_DailyPred,MATCH($F61,Rango_Admin_DailyPred_Primera,0)+1,0),"-")</f>
        <v>-</v>
      </c>
      <c r="M61" s="412" t="str">
        <f ca="1">IFERROR(VLOOKUP(M$2,Rango_Admin_DailyPred,MATCH($F61,Rango_Admin_DailyPred_Primera,0)+1,0),"-")</f>
        <v>-</v>
      </c>
      <c r="N61" s="412" t="str">
        <f ca="1">IFERROR(VLOOKUP(N$2,Rango_Admin_DailyPred,MATCH($F61,Rango_Admin_DailyPred_Primera,0)+1,0),"-")</f>
        <v>-</v>
      </c>
      <c r="O61" s="412" t="str">
        <f ca="1">IFERROR(VLOOKUP(O$2,Rango_Admin_DailyPred,MATCH($F61,Rango_Admin_DailyPred_Primera,0)+1,0),"-")</f>
        <v>-</v>
      </c>
      <c r="P61" s="412" t="str">
        <f ca="1">IFERROR(VLOOKUP(P$2,Rango_Admin_DailyPred,MATCH($F61,Rango_Admin_DailyPred_Primera,0)+1,0),"-")</f>
        <v>-</v>
      </c>
      <c r="Q61" s="412" t="str">
        <f ca="1">IFERROR(VLOOKUP(Q$2,Rango_Admin_DailyPred,MATCH($F61,Rango_Admin_DailyPred_Primera,0)+1,0),"-")</f>
        <v>-</v>
      </c>
      <c r="R61" s="412" t="str">
        <f ca="1">IFERROR(VLOOKUP(R$2,Rango_Admin_DailyPred,MATCH($F61,Rango_Admin_DailyPred_Primera,0)+1,0),"-")</f>
        <v>-</v>
      </c>
      <c r="S61" s="412" t="str">
        <f ca="1">IFERROR(VLOOKUP(S$2,Rango_Admin_DailyPred,MATCH($F61,Rango_Admin_DailyPred_Primera,0)+1,0),"-")</f>
        <v>-</v>
      </c>
      <c r="T61" s="412" t="str">
        <f ca="1">IFERROR(VLOOKUP(T$2,Rango_Admin_DailyPred,MATCH($F61,Rango_Admin_DailyPred_Primera,0)+1,0),"-")</f>
        <v>-</v>
      </c>
      <c r="U61" s="412" t="str">
        <f ca="1">IFERROR(VLOOKUP(U$2,Rango_Admin_DailyPred,MATCH($F61,Rango_Admin_DailyPred_Primera,0)+1,0),"-")</f>
        <v>-</v>
      </c>
      <c r="V61" s="412" t="str">
        <f ca="1">IFERROR(VLOOKUP(V$2,Rango_Admin_DailyPred,MATCH($F61,Rango_Admin_DailyPred_Primera,0)+1,0),"-")</f>
        <v>-</v>
      </c>
      <c r="W61" s="412" t="str">
        <f ca="1">IFERROR(VLOOKUP(W$2,Rango_Admin_DailyPred,MATCH($F61,Rango_Admin_DailyPred_Primera,0)+1,0),"-")</f>
        <v>-</v>
      </c>
      <c r="X61" s="412" t="str">
        <f ca="1">IFERROR(VLOOKUP(X$2,Rango_Admin_DailyPred,MATCH($F61,Rango_Admin_DailyPred_Primera,0)+1,0),"-")</f>
        <v>-</v>
      </c>
      <c r="Y61" s="412" t="str">
        <f ca="1">IFERROR(VLOOKUP(Y$2,Rango_Admin_DailyPred,MATCH($F61,Rango_Admin_DailyPred_Primera,0)+1,0),"-")</f>
        <v>-</v>
      </c>
      <c r="Z61" s="412" t="str">
        <f ca="1">IFERROR(VLOOKUP(Z$2,Rango_Admin_DailyPred,MATCH($F61,Rango_Admin_DailyPred_Primera,0)+1,0),"-")</f>
        <v>-</v>
      </c>
      <c r="AA61" s="412" t="str">
        <f ca="1">IFERROR(VLOOKUP(AA$2,Rango_Admin_DailyPred,MATCH($F61,Rango_Admin_DailyPred_Primera,0)+1,0),"-")</f>
        <v>-</v>
      </c>
      <c r="AB61" s="412" t="str">
        <f ca="1">IFERROR(VLOOKUP(AB$2,Rango_Admin_DailyPred,MATCH($F61,Rango_Admin_DailyPred_Primera,0)+1,0),"-")</f>
        <v>-</v>
      </c>
      <c r="AC61" s="412" t="str">
        <f ca="1">IFERROR(VLOOKUP(AC$2,Rango_Admin_DailyPred,MATCH($F61,Rango_Admin_DailyPred_Primera,0)+1,0),"-")</f>
        <v>-</v>
      </c>
      <c r="AD61" s="412" t="str">
        <f ca="1">IFERROR(VLOOKUP(AD$2,Rango_Admin_DailyPred,MATCH($F61,Rango_Admin_DailyPred_Primera,0)+1,0),"-")</f>
        <v>-</v>
      </c>
      <c r="AE61" s="412" t="str">
        <f ca="1">IFERROR(VLOOKUP(AE$2,Rango_Admin_DailyPred,MATCH($F61,Rango_Admin_DailyPred_Primera,0)+1,0),"-")</f>
        <v>-</v>
      </c>
      <c r="AF61" s="412" t="str">
        <f ca="1">IFERROR(VLOOKUP(AF$2,Rango_Admin_DailyPred,MATCH($F61,Rango_Admin_DailyPred_Primera,0)+1,0),"-")</f>
        <v>-</v>
      </c>
      <c r="AG61" s="412" t="str">
        <f ca="1">IFERROR(VLOOKUP(AG$2,Rango_Admin_DailyPred,MATCH($F61,Rango_Admin_DailyPred_Primera,0)+1,0),"-")</f>
        <v>-</v>
      </c>
      <c r="AH61" s="412" t="str">
        <f ca="1">IFERROR(VLOOKUP(AH$2,Rango_Admin_DailyPred,MATCH($F61,Rango_Admin_DailyPred_Primera,0)+1,0),"-")</f>
        <v>-</v>
      </c>
      <c r="AI61" s="412" t="str">
        <f ca="1">IFERROR(VLOOKUP(AI$2,Rango_Admin_DailyPred,MATCH($F61,Rango_Admin_DailyPred_Primera,0)+1,0),"-")</f>
        <v>-</v>
      </c>
      <c r="AJ61" s="412" t="str">
        <f ca="1">IFERROR(VLOOKUP(AJ$2,Rango_Admin_DailyPred,MATCH($F61,Rango_Admin_DailyPred_Primera,0)+1,0),"-")</f>
        <v>-</v>
      </c>
      <c r="AK61" s="412" t="str">
        <f ca="1">IFERROR(VLOOKUP(AK$2,Rango_Admin_DailyPred,MATCH($F61,Rango_Admin_DailyPred_Primera,0)+1,0),"-")</f>
        <v>-</v>
      </c>
      <c r="AL61" s="412" t="str">
        <f ca="1">IFERROR(VLOOKUP(AL$2,Rango_Admin_DailyPred,MATCH($F61,Rango_Admin_DailyPred_Primera,0)+1,0),"-")</f>
        <v>-</v>
      </c>
      <c r="AM61" s="412" t="str">
        <f ca="1">IFERROR(VLOOKUP(AM$2,Rango_Admin_DailyPred,MATCH($F61,Rango_Admin_DailyPred_Primera,0)+1,0),"-")</f>
        <v>-</v>
      </c>
      <c r="AN61" s="287"/>
    </row>
    <row r="62" spans="4:40">
      <c r="D62" s="82"/>
      <c r="E62" s="395" t="str">
        <f ca="1">IFERROR(HLOOKUP(C62,Rango_Admin_DailyClas,3,FALSE),"-")</f>
        <v>-</v>
      </c>
      <c r="F62" s="428" t="str">
        <f ca="1">IFERROR(HLOOKUP(C62,Rango_Admin_DailyClas,5,FALSE),"-")</f>
        <v>-</v>
      </c>
      <c r="G62" s="18" t="str">
        <f ca="1">IFERROR(HLOOKUP(C62,Rango_Admin_DailyClas,4,FALSE),"-")</f>
        <v>-</v>
      </c>
      <c r="H62" s="412" t="str">
        <f ca="1">IFERROR(VLOOKUP(H$2,Rango_Admin_DailyPred,MATCH($F62,Rango_Admin_DailyPred_Primera,0)+1,0),"-")</f>
        <v>-</v>
      </c>
      <c r="I62" s="412" t="str">
        <f ca="1">IFERROR(VLOOKUP(I$2,Rango_Admin_DailyPred,MATCH($F62,Rango_Admin_DailyPred_Primera,0)+1,0),"-")</f>
        <v>-</v>
      </c>
      <c r="J62" s="412" t="str">
        <f ca="1">IFERROR(VLOOKUP(J$2,Rango_Admin_DailyPred,MATCH($F62,Rango_Admin_DailyPred_Primera,0)+1,0),"-")</f>
        <v>-</v>
      </c>
      <c r="K62" s="412" t="str">
        <f ca="1">IFERROR(VLOOKUP(K$2,Rango_Admin_DailyPred,MATCH($F62,Rango_Admin_DailyPred_Primera,0)+1,0),"-")</f>
        <v>-</v>
      </c>
      <c r="L62" s="412" t="str">
        <f ca="1">IFERROR(VLOOKUP(L$2,Rango_Admin_DailyPred,MATCH($F62,Rango_Admin_DailyPred_Primera,0)+1,0),"-")</f>
        <v>-</v>
      </c>
      <c r="M62" s="412" t="str">
        <f ca="1">IFERROR(VLOOKUP(M$2,Rango_Admin_DailyPred,MATCH($F62,Rango_Admin_DailyPred_Primera,0)+1,0),"-")</f>
        <v>-</v>
      </c>
      <c r="N62" s="412" t="str">
        <f ca="1">IFERROR(VLOOKUP(N$2,Rango_Admin_DailyPred,MATCH($F62,Rango_Admin_DailyPred_Primera,0)+1,0),"-")</f>
        <v>-</v>
      </c>
      <c r="O62" s="412" t="str">
        <f ca="1">IFERROR(VLOOKUP(O$2,Rango_Admin_DailyPred,MATCH($F62,Rango_Admin_DailyPred_Primera,0)+1,0),"-")</f>
        <v>-</v>
      </c>
      <c r="P62" s="412" t="str">
        <f ca="1">IFERROR(VLOOKUP(P$2,Rango_Admin_DailyPred,MATCH($F62,Rango_Admin_DailyPred_Primera,0)+1,0),"-")</f>
        <v>-</v>
      </c>
      <c r="Q62" s="412" t="str">
        <f ca="1">IFERROR(VLOOKUP(Q$2,Rango_Admin_DailyPred,MATCH($F62,Rango_Admin_DailyPred_Primera,0)+1,0),"-")</f>
        <v>-</v>
      </c>
      <c r="R62" s="412" t="str">
        <f ca="1">IFERROR(VLOOKUP(R$2,Rango_Admin_DailyPred,MATCH($F62,Rango_Admin_DailyPred_Primera,0)+1,0),"-")</f>
        <v>-</v>
      </c>
      <c r="S62" s="412" t="str">
        <f ca="1">IFERROR(VLOOKUP(S$2,Rango_Admin_DailyPred,MATCH($F62,Rango_Admin_DailyPred_Primera,0)+1,0),"-")</f>
        <v>-</v>
      </c>
      <c r="T62" s="412" t="str">
        <f ca="1">IFERROR(VLOOKUP(T$2,Rango_Admin_DailyPred,MATCH($F62,Rango_Admin_DailyPred_Primera,0)+1,0),"-")</f>
        <v>-</v>
      </c>
      <c r="U62" s="412" t="str">
        <f ca="1">IFERROR(VLOOKUP(U$2,Rango_Admin_DailyPred,MATCH($F62,Rango_Admin_DailyPred_Primera,0)+1,0),"-")</f>
        <v>-</v>
      </c>
      <c r="V62" s="412" t="str">
        <f ca="1">IFERROR(VLOOKUP(V$2,Rango_Admin_DailyPred,MATCH($F62,Rango_Admin_DailyPred_Primera,0)+1,0),"-")</f>
        <v>-</v>
      </c>
      <c r="W62" s="412" t="str">
        <f ca="1">IFERROR(VLOOKUP(W$2,Rango_Admin_DailyPred,MATCH($F62,Rango_Admin_DailyPred_Primera,0)+1,0),"-")</f>
        <v>-</v>
      </c>
      <c r="X62" s="412" t="str">
        <f ca="1">IFERROR(VLOOKUP(X$2,Rango_Admin_DailyPred,MATCH($F62,Rango_Admin_DailyPred_Primera,0)+1,0),"-")</f>
        <v>-</v>
      </c>
      <c r="Y62" s="412" t="str">
        <f ca="1">IFERROR(VLOOKUP(Y$2,Rango_Admin_DailyPred,MATCH($F62,Rango_Admin_DailyPred_Primera,0)+1,0),"-")</f>
        <v>-</v>
      </c>
      <c r="Z62" s="412" t="str">
        <f ca="1">IFERROR(VLOOKUP(Z$2,Rango_Admin_DailyPred,MATCH($F62,Rango_Admin_DailyPred_Primera,0)+1,0),"-")</f>
        <v>-</v>
      </c>
      <c r="AA62" s="412" t="str">
        <f ca="1">IFERROR(VLOOKUP(AA$2,Rango_Admin_DailyPred,MATCH($F62,Rango_Admin_DailyPred_Primera,0)+1,0),"-")</f>
        <v>-</v>
      </c>
      <c r="AB62" s="412" t="str">
        <f ca="1">IFERROR(VLOOKUP(AB$2,Rango_Admin_DailyPred,MATCH($F62,Rango_Admin_DailyPred_Primera,0)+1,0),"-")</f>
        <v>-</v>
      </c>
      <c r="AC62" s="412" t="str">
        <f ca="1">IFERROR(VLOOKUP(AC$2,Rango_Admin_DailyPred,MATCH($F62,Rango_Admin_DailyPred_Primera,0)+1,0),"-")</f>
        <v>-</v>
      </c>
      <c r="AD62" s="412" t="str">
        <f ca="1">IFERROR(VLOOKUP(AD$2,Rango_Admin_DailyPred,MATCH($F62,Rango_Admin_DailyPred_Primera,0)+1,0),"-")</f>
        <v>-</v>
      </c>
      <c r="AE62" s="412" t="str">
        <f ca="1">IFERROR(VLOOKUP(AE$2,Rango_Admin_DailyPred,MATCH($F62,Rango_Admin_DailyPred_Primera,0)+1,0),"-")</f>
        <v>-</v>
      </c>
      <c r="AF62" s="412" t="str">
        <f ca="1">IFERROR(VLOOKUP(AF$2,Rango_Admin_DailyPred,MATCH($F62,Rango_Admin_DailyPred_Primera,0)+1,0),"-")</f>
        <v>-</v>
      </c>
      <c r="AG62" s="412" t="str">
        <f ca="1">IFERROR(VLOOKUP(AG$2,Rango_Admin_DailyPred,MATCH($F62,Rango_Admin_DailyPred_Primera,0)+1,0),"-")</f>
        <v>-</v>
      </c>
      <c r="AH62" s="412" t="str">
        <f ca="1">IFERROR(VLOOKUP(AH$2,Rango_Admin_DailyPred,MATCH($F62,Rango_Admin_DailyPred_Primera,0)+1,0),"-")</f>
        <v>-</v>
      </c>
      <c r="AI62" s="412" t="str">
        <f ca="1">IFERROR(VLOOKUP(AI$2,Rango_Admin_DailyPred,MATCH($F62,Rango_Admin_DailyPred_Primera,0)+1,0),"-")</f>
        <v>-</v>
      </c>
      <c r="AJ62" s="412" t="str">
        <f ca="1">IFERROR(VLOOKUP(AJ$2,Rango_Admin_DailyPred,MATCH($F62,Rango_Admin_DailyPred_Primera,0)+1,0),"-")</f>
        <v>-</v>
      </c>
      <c r="AK62" s="412" t="str">
        <f ca="1">IFERROR(VLOOKUP(AK$2,Rango_Admin_DailyPred,MATCH($F62,Rango_Admin_DailyPred_Primera,0)+1,0),"-")</f>
        <v>-</v>
      </c>
      <c r="AL62" s="412" t="str">
        <f ca="1">IFERROR(VLOOKUP(AL$2,Rango_Admin_DailyPred,MATCH($F62,Rango_Admin_DailyPred_Primera,0)+1,0),"-")</f>
        <v>-</v>
      </c>
      <c r="AM62" s="412" t="str">
        <f ca="1">IFERROR(VLOOKUP(AM$2,Rango_Admin_DailyPred,MATCH($F62,Rango_Admin_DailyPred_Primera,0)+1,0),"-")</f>
        <v>-</v>
      </c>
      <c r="AN62" s="287"/>
    </row>
    <row r="63" spans="4:40">
      <c r="D63" s="82"/>
      <c r="E63" s="395" t="str">
        <f ca="1">IFERROR(HLOOKUP(C63,Rango_Admin_DailyClas,3,FALSE),"-")</f>
        <v>-</v>
      </c>
      <c r="F63" s="428" t="str">
        <f ca="1">IFERROR(HLOOKUP(C63,Rango_Admin_DailyClas,5,FALSE),"-")</f>
        <v>-</v>
      </c>
      <c r="G63" s="18" t="str">
        <f ca="1">IFERROR(HLOOKUP(C63,Rango_Admin_DailyClas,4,FALSE),"-")</f>
        <v>-</v>
      </c>
      <c r="H63" s="412" t="str">
        <f ca="1">IFERROR(VLOOKUP(H$2,Rango_Admin_DailyPred,MATCH($F63,Rango_Admin_DailyPred_Primera,0)+1,0),"-")</f>
        <v>-</v>
      </c>
      <c r="I63" s="412" t="str">
        <f ca="1">IFERROR(VLOOKUP(I$2,Rango_Admin_DailyPred,MATCH($F63,Rango_Admin_DailyPred_Primera,0)+1,0),"-")</f>
        <v>-</v>
      </c>
      <c r="J63" s="412" t="str">
        <f ca="1">IFERROR(VLOOKUP(J$2,Rango_Admin_DailyPred,MATCH($F63,Rango_Admin_DailyPred_Primera,0)+1,0),"-")</f>
        <v>-</v>
      </c>
      <c r="K63" s="412" t="str">
        <f ca="1">IFERROR(VLOOKUP(K$2,Rango_Admin_DailyPred,MATCH($F63,Rango_Admin_DailyPred_Primera,0)+1,0),"-")</f>
        <v>-</v>
      </c>
      <c r="L63" s="412" t="str">
        <f ca="1">IFERROR(VLOOKUP(L$2,Rango_Admin_DailyPred,MATCH($F63,Rango_Admin_DailyPred_Primera,0)+1,0),"-")</f>
        <v>-</v>
      </c>
      <c r="M63" s="412" t="str">
        <f ca="1">IFERROR(VLOOKUP(M$2,Rango_Admin_DailyPred,MATCH($F63,Rango_Admin_DailyPred_Primera,0)+1,0),"-")</f>
        <v>-</v>
      </c>
      <c r="N63" s="412" t="str">
        <f ca="1">IFERROR(VLOOKUP(N$2,Rango_Admin_DailyPred,MATCH($F63,Rango_Admin_DailyPred_Primera,0)+1,0),"-")</f>
        <v>-</v>
      </c>
      <c r="O63" s="412" t="str">
        <f ca="1">IFERROR(VLOOKUP(O$2,Rango_Admin_DailyPred,MATCH($F63,Rango_Admin_DailyPred_Primera,0)+1,0),"-")</f>
        <v>-</v>
      </c>
      <c r="P63" s="412" t="str">
        <f ca="1">IFERROR(VLOOKUP(P$2,Rango_Admin_DailyPred,MATCH($F63,Rango_Admin_DailyPred_Primera,0)+1,0),"-")</f>
        <v>-</v>
      </c>
      <c r="Q63" s="412" t="str">
        <f ca="1">IFERROR(VLOOKUP(Q$2,Rango_Admin_DailyPred,MATCH($F63,Rango_Admin_DailyPred_Primera,0)+1,0),"-")</f>
        <v>-</v>
      </c>
      <c r="R63" s="412" t="str">
        <f ca="1">IFERROR(VLOOKUP(R$2,Rango_Admin_DailyPred,MATCH($F63,Rango_Admin_DailyPred_Primera,0)+1,0),"-")</f>
        <v>-</v>
      </c>
      <c r="S63" s="412" t="str">
        <f ca="1">IFERROR(VLOOKUP(S$2,Rango_Admin_DailyPred,MATCH($F63,Rango_Admin_DailyPred_Primera,0)+1,0),"-")</f>
        <v>-</v>
      </c>
      <c r="T63" s="412" t="str">
        <f ca="1">IFERROR(VLOOKUP(T$2,Rango_Admin_DailyPred,MATCH($F63,Rango_Admin_DailyPred_Primera,0)+1,0),"-")</f>
        <v>-</v>
      </c>
      <c r="U63" s="412" t="str">
        <f ca="1">IFERROR(VLOOKUP(U$2,Rango_Admin_DailyPred,MATCH($F63,Rango_Admin_DailyPred_Primera,0)+1,0),"-")</f>
        <v>-</v>
      </c>
      <c r="V63" s="412" t="str">
        <f ca="1">IFERROR(VLOOKUP(V$2,Rango_Admin_DailyPred,MATCH($F63,Rango_Admin_DailyPred_Primera,0)+1,0),"-")</f>
        <v>-</v>
      </c>
      <c r="W63" s="412" t="str">
        <f ca="1">IFERROR(VLOOKUP(W$2,Rango_Admin_DailyPred,MATCH($F63,Rango_Admin_DailyPred_Primera,0)+1,0),"-")</f>
        <v>-</v>
      </c>
      <c r="X63" s="412" t="str">
        <f ca="1">IFERROR(VLOOKUP(X$2,Rango_Admin_DailyPred,MATCH($F63,Rango_Admin_DailyPred_Primera,0)+1,0),"-")</f>
        <v>-</v>
      </c>
      <c r="Y63" s="412" t="str">
        <f ca="1">IFERROR(VLOOKUP(Y$2,Rango_Admin_DailyPred,MATCH($F63,Rango_Admin_DailyPred_Primera,0)+1,0),"-")</f>
        <v>-</v>
      </c>
      <c r="Z63" s="412" t="str">
        <f ca="1">IFERROR(VLOOKUP(Z$2,Rango_Admin_DailyPred,MATCH($F63,Rango_Admin_DailyPred_Primera,0)+1,0),"-")</f>
        <v>-</v>
      </c>
      <c r="AA63" s="412" t="str">
        <f ca="1">IFERROR(VLOOKUP(AA$2,Rango_Admin_DailyPred,MATCH($F63,Rango_Admin_DailyPred_Primera,0)+1,0),"-")</f>
        <v>-</v>
      </c>
      <c r="AB63" s="412" t="str">
        <f ca="1">IFERROR(VLOOKUP(AB$2,Rango_Admin_DailyPred,MATCH($F63,Rango_Admin_DailyPred_Primera,0)+1,0),"-")</f>
        <v>-</v>
      </c>
      <c r="AC63" s="412" t="str">
        <f ca="1">IFERROR(VLOOKUP(AC$2,Rango_Admin_DailyPred,MATCH($F63,Rango_Admin_DailyPred_Primera,0)+1,0),"-")</f>
        <v>-</v>
      </c>
      <c r="AD63" s="412" t="str">
        <f ca="1">IFERROR(VLOOKUP(AD$2,Rango_Admin_DailyPred,MATCH($F63,Rango_Admin_DailyPred_Primera,0)+1,0),"-")</f>
        <v>-</v>
      </c>
      <c r="AE63" s="412" t="str">
        <f ca="1">IFERROR(VLOOKUP(AE$2,Rango_Admin_DailyPred,MATCH($F63,Rango_Admin_DailyPred_Primera,0)+1,0),"-")</f>
        <v>-</v>
      </c>
      <c r="AF63" s="412" t="str">
        <f ca="1">IFERROR(VLOOKUP(AF$2,Rango_Admin_DailyPred,MATCH($F63,Rango_Admin_DailyPred_Primera,0)+1,0),"-")</f>
        <v>-</v>
      </c>
      <c r="AG63" s="412" t="str">
        <f ca="1">IFERROR(VLOOKUP(AG$2,Rango_Admin_DailyPred,MATCH($F63,Rango_Admin_DailyPred_Primera,0)+1,0),"-")</f>
        <v>-</v>
      </c>
      <c r="AH63" s="412" t="str">
        <f ca="1">IFERROR(VLOOKUP(AH$2,Rango_Admin_DailyPred,MATCH($F63,Rango_Admin_DailyPred_Primera,0)+1,0),"-")</f>
        <v>-</v>
      </c>
      <c r="AI63" s="412" t="str">
        <f ca="1">IFERROR(VLOOKUP(AI$2,Rango_Admin_DailyPred,MATCH($F63,Rango_Admin_DailyPred_Primera,0)+1,0),"-")</f>
        <v>-</v>
      </c>
      <c r="AJ63" s="412" t="str">
        <f ca="1">IFERROR(VLOOKUP(AJ$2,Rango_Admin_DailyPred,MATCH($F63,Rango_Admin_DailyPred_Primera,0)+1,0),"-")</f>
        <v>-</v>
      </c>
      <c r="AK63" s="412" t="str">
        <f ca="1">IFERROR(VLOOKUP(AK$2,Rango_Admin_DailyPred,MATCH($F63,Rango_Admin_DailyPred_Primera,0)+1,0),"-")</f>
        <v>-</v>
      </c>
      <c r="AL63" s="412" t="str">
        <f ca="1">IFERROR(VLOOKUP(AL$2,Rango_Admin_DailyPred,MATCH($F63,Rango_Admin_DailyPred_Primera,0)+1,0),"-")</f>
        <v>-</v>
      </c>
      <c r="AM63" s="412" t="str">
        <f ca="1">IFERROR(VLOOKUP(AM$2,Rango_Admin_DailyPred,MATCH($F63,Rango_Admin_DailyPred_Primera,0)+1,0),"-")</f>
        <v>-</v>
      </c>
      <c r="AN63" s="287"/>
    </row>
    <row r="64" spans="4:40">
      <c r="D64" s="82"/>
      <c r="E64" s="395" t="str">
        <f ca="1">IFERROR(HLOOKUP(C64,Rango_Admin_DailyClas,3,FALSE),"-")</f>
        <v>-</v>
      </c>
      <c r="F64" s="428" t="str">
        <f ca="1">IFERROR(HLOOKUP(C64,Rango_Admin_DailyClas,5,FALSE),"-")</f>
        <v>-</v>
      </c>
      <c r="G64" s="18" t="str">
        <f ca="1">IFERROR(HLOOKUP(C64,Rango_Admin_DailyClas,4,FALSE),"-")</f>
        <v>-</v>
      </c>
      <c r="H64" s="412" t="str">
        <f ca="1">IFERROR(VLOOKUP(H$2,Rango_Admin_DailyPred,MATCH($F64,Rango_Admin_DailyPred_Primera,0)+1,0),"-")</f>
        <v>-</v>
      </c>
      <c r="I64" s="412" t="str">
        <f ca="1">IFERROR(VLOOKUP(I$2,Rango_Admin_DailyPred,MATCH($F64,Rango_Admin_DailyPred_Primera,0)+1,0),"-")</f>
        <v>-</v>
      </c>
      <c r="J64" s="412" t="str">
        <f ca="1">IFERROR(VLOOKUP(J$2,Rango_Admin_DailyPred,MATCH($F64,Rango_Admin_DailyPred_Primera,0)+1,0),"-")</f>
        <v>-</v>
      </c>
      <c r="K64" s="412" t="str">
        <f ca="1">IFERROR(VLOOKUP(K$2,Rango_Admin_DailyPred,MATCH($F64,Rango_Admin_DailyPred_Primera,0)+1,0),"-")</f>
        <v>-</v>
      </c>
      <c r="L64" s="412" t="str">
        <f ca="1">IFERROR(VLOOKUP(L$2,Rango_Admin_DailyPred,MATCH($F64,Rango_Admin_DailyPred_Primera,0)+1,0),"-")</f>
        <v>-</v>
      </c>
      <c r="M64" s="412" t="str">
        <f ca="1">IFERROR(VLOOKUP(M$2,Rango_Admin_DailyPred,MATCH($F64,Rango_Admin_DailyPred_Primera,0)+1,0),"-")</f>
        <v>-</v>
      </c>
      <c r="N64" s="412" t="str">
        <f ca="1">IFERROR(VLOOKUP(N$2,Rango_Admin_DailyPred,MATCH($F64,Rango_Admin_DailyPred_Primera,0)+1,0),"-")</f>
        <v>-</v>
      </c>
      <c r="O64" s="412" t="str">
        <f ca="1">IFERROR(VLOOKUP(O$2,Rango_Admin_DailyPred,MATCH($F64,Rango_Admin_DailyPred_Primera,0)+1,0),"-")</f>
        <v>-</v>
      </c>
      <c r="P64" s="412" t="str">
        <f ca="1">IFERROR(VLOOKUP(P$2,Rango_Admin_DailyPred,MATCH($F64,Rango_Admin_DailyPred_Primera,0)+1,0),"-")</f>
        <v>-</v>
      </c>
      <c r="Q64" s="412" t="str">
        <f ca="1">IFERROR(VLOOKUP(Q$2,Rango_Admin_DailyPred,MATCH($F64,Rango_Admin_DailyPred_Primera,0)+1,0),"-")</f>
        <v>-</v>
      </c>
      <c r="R64" s="412" t="str">
        <f ca="1">IFERROR(VLOOKUP(R$2,Rango_Admin_DailyPred,MATCH($F64,Rango_Admin_DailyPred_Primera,0)+1,0),"-")</f>
        <v>-</v>
      </c>
      <c r="S64" s="412" t="str">
        <f ca="1">IFERROR(VLOOKUP(S$2,Rango_Admin_DailyPred,MATCH($F64,Rango_Admin_DailyPred_Primera,0)+1,0),"-")</f>
        <v>-</v>
      </c>
      <c r="T64" s="412" t="str">
        <f ca="1">IFERROR(VLOOKUP(T$2,Rango_Admin_DailyPred,MATCH($F64,Rango_Admin_DailyPred_Primera,0)+1,0),"-")</f>
        <v>-</v>
      </c>
      <c r="U64" s="412" t="str">
        <f ca="1">IFERROR(VLOOKUP(U$2,Rango_Admin_DailyPred,MATCH($F64,Rango_Admin_DailyPred_Primera,0)+1,0),"-")</f>
        <v>-</v>
      </c>
      <c r="V64" s="412" t="str">
        <f ca="1">IFERROR(VLOOKUP(V$2,Rango_Admin_DailyPred,MATCH($F64,Rango_Admin_DailyPred_Primera,0)+1,0),"-")</f>
        <v>-</v>
      </c>
      <c r="W64" s="412" t="str">
        <f ca="1">IFERROR(VLOOKUP(W$2,Rango_Admin_DailyPred,MATCH($F64,Rango_Admin_DailyPred_Primera,0)+1,0),"-")</f>
        <v>-</v>
      </c>
      <c r="X64" s="412" t="str">
        <f ca="1">IFERROR(VLOOKUP(X$2,Rango_Admin_DailyPred,MATCH($F64,Rango_Admin_DailyPred_Primera,0)+1,0),"-")</f>
        <v>-</v>
      </c>
      <c r="Y64" s="412" t="str">
        <f ca="1">IFERROR(VLOOKUP(Y$2,Rango_Admin_DailyPred,MATCH($F64,Rango_Admin_DailyPred_Primera,0)+1,0),"-")</f>
        <v>-</v>
      </c>
      <c r="Z64" s="412" t="str">
        <f ca="1">IFERROR(VLOOKUP(Z$2,Rango_Admin_DailyPred,MATCH($F64,Rango_Admin_DailyPred_Primera,0)+1,0),"-")</f>
        <v>-</v>
      </c>
      <c r="AA64" s="412" t="str">
        <f ca="1">IFERROR(VLOOKUP(AA$2,Rango_Admin_DailyPred,MATCH($F64,Rango_Admin_DailyPred_Primera,0)+1,0),"-")</f>
        <v>-</v>
      </c>
      <c r="AB64" s="412" t="str">
        <f ca="1">IFERROR(VLOOKUP(AB$2,Rango_Admin_DailyPred,MATCH($F64,Rango_Admin_DailyPred_Primera,0)+1,0),"-")</f>
        <v>-</v>
      </c>
      <c r="AC64" s="412" t="str">
        <f ca="1">IFERROR(VLOOKUP(AC$2,Rango_Admin_DailyPred,MATCH($F64,Rango_Admin_DailyPred_Primera,0)+1,0),"-")</f>
        <v>-</v>
      </c>
      <c r="AD64" s="412" t="str">
        <f ca="1">IFERROR(VLOOKUP(AD$2,Rango_Admin_DailyPred,MATCH($F64,Rango_Admin_DailyPred_Primera,0)+1,0),"-")</f>
        <v>-</v>
      </c>
      <c r="AE64" s="412" t="str">
        <f ca="1">IFERROR(VLOOKUP(AE$2,Rango_Admin_DailyPred,MATCH($F64,Rango_Admin_DailyPred_Primera,0)+1,0),"-")</f>
        <v>-</v>
      </c>
      <c r="AF64" s="412" t="str">
        <f ca="1">IFERROR(VLOOKUP(AF$2,Rango_Admin_DailyPred,MATCH($F64,Rango_Admin_DailyPred_Primera,0)+1,0),"-")</f>
        <v>-</v>
      </c>
      <c r="AG64" s="412" t="str">
        <f ca="1">IFERROR(VLOOKUP(AG$2,Rango_Admin_DailyPred,MATCH($F64,Rango_Admin_DailyPred_Primera,0)+1,0),"-")</f>
        <v>-</v>
      </c>
      <c r="AH64" s="412" t="str">
        <f ca="1">IFERROR(VLOOKUP(AH$2,Rango_Admin_DailyPred,MATCH($F64,Rango_Admin_DailyPred_Primera,0)+1,0),"-")</f>
        <v>-</v>
      </c>
      <c r="AI64" s="412" t="str">
        <f ca="1">IFERROR(VLOOKUP(AI$2,Rango_Admin_DailyPred,MATCH($F64,Rango_Admin_DailyPred_Primera,0)+1,0),"-")</f>
        <v>-</v>
      </c>
      <c r="AJ64" s="412" t="str">
        <f ca="1">IFERROR(VLOOKUP(AJ$2,Rango_Admin_DailyPred,MATCH($F64,Rango_Admin_DailyPred_Primera,0)+1,0),"-")</f>
        <v>-</v>
      </c>
      <c r="AK64" s="412" t="str">
        <f ca="1">IFERROR(VLOOKUP(AK$2,Rango_Admin_DailyPred,MATCH($F64,Rango_Admin_DailyPred_Primera,0)+1,0),"-")</f>
        <v>-</v>
      </c>
      <c r="AL64" s="412" t="str">
        <f ca="1">IFERROR(VLOOKUP(AL$2,Rango_Admin_DailyPred,MATCH($F64,Rango_Admin_DailyPred_Primera,0)+1,0),"-")</f>
        <v>-</v>
      </c>
      <c r="AM64" s="412" t="str">
        <f ca="1">IFERROR(VLOOKUP(AM$2,Rango_Admin_DailyPred,MATCH($F64,Rango_Admin_DailyPred_Primera,0)+1,0),"-")</f>
        <v>-</v>
      </c>
      <c r="AN64" s="287"/>
    </row>
    <row r="65" spans="4:40">
      <c r="D65" s="82"/>
      <c r="E65" s="395" t="str">
        <f ca="1">IFERROR(HLOOKUP(C65,Rango_Admin_DailyClas,3,FALSE),"-")</f>
        <v>-</v>
      </c>
      <c r="F65" s="428" t="str">
        <f ca="1">IFERROR(HLOOKUP(C65,Rango_Admin_DailyClas,5,FALSE),"-")</f>
        <v>-</v>
      </c>
      <c r="G65" s="18" t="str">
        <f ca="1">IFERROR(HLOOKUP(C65,Rango_Admin_DailyClas,4,FALSE),"-")</f>
        <v>-</v>
      </c>
      <c r="H65" s="412" t="str">
        <f ca="1">IFERROR(VLOOKUP(H$2,Rango_Admin_DailyPred,MATCH($F65,Rango_Admin_DailyPred_Primera,0)+1,0),"-")</f>
        <v>-</v>
      </c>
      <c r="I65" s="412" t="str">
        <f ca="1">IFERROR(VLOOKUP(I$2,Rango_Admin_DailyPred,MATCH($F65,Rango_Admin_DailyPred_Primera,0)+1,0),"-")</f>
        <v>-</v>
      </c>
      <c r="J65" s="412" t="str">
        <f ca="1">IFERROR(VLOOKUP(J$2,Rango_Admin_DailyPred,MATCH($F65,Rango_Admin_DailyPred_Primera,0)+1,0),"-")</f>
        <v>-</v>
      </c>
      <c r="K65" s="412" t="str">
        <f ca="1">IFERROR(VLOOKUP(K$2,Rango_Admin_DailyPred,MATCH($F65,Rango_Admin_DailyPred_Primera,0)+1,0),"-")</f>
        <v>-</v>
      </c>
      <c r="L65" s="412" t="str">
        <f ca="1">IFERROR(VLOOKUP(L$2,Rango_Admin_DailyPred,MATCH($F65,Rango_Admin_DailyPred_Primera,0)+1,0),"-")</f>
        <v>-</v>
      </c>
      <c r="M65" s="412" t="str">
        <f ca="1">IFERROR(VLOOKUP(M$2,Rango_Admin_DailyPred,MATCH($F65,Rango_Admin_DailyPred_Primera,0)+1,0),"-")</f>
        <v>-</v>
      </c>
      <c r="N65" s="412" t="str">
        <f ca="1">IFERROR(VLOOKUP(N$2,Rango_Admin_DailyPred,MATCH($F65,Rango_Admin_DailyPred_Primera,0)+1,0),"-")</f>
        <v>-</v>
      </c>
      <c r="O65" s="412" t="str">
        <f ca="1">IFERROR(VLOOKUP(O$2,Rango_Admin_DailyPred,MATCH($F65,Rango_Admin_DailyPred_Primera,0)+1,0),"-")</f>
        <v>-</v>
      </c>
      <c r="P65" s="412" t="str">
        <f ca="1">IFERROR(VLOOKUP(P$2,Rango_Admin_DailyPred,MATCH($F65,Rango_Admin_DailyPred_Primera,0)+1,0),"-")</f>
        <v>-</v>
      </c>
      <c r="Q65" s="412" t="str">
        <f ca="1">IFERROR(VLOOKUP(Q$2,Rango_Admin_DailyPred,MATCH($F65,Rango_Admin_DailyPred_Primera,0)+1,0),"-")</f>
        <v>-</v>
      </c>
      <c r="R65" s="412" t="str">
        <f ca="1">IFERROR(VLOOKUP(R$2,Rango_Admin_DailyPred,MATCH($F65,Rango_Admin_DailyPred_Primera,0)+1,0),"-")</f>
        <v>-</v>
      </c>
      <c r="S65" s="412" t="str">
        <f ca="1">IFERROR(VLOOKUP(S$2,Rango_Admin_DailyPred,MATCH($F65,Rango_Admin_DailyPred_Primera,0)+1,0),"-")</f>
        <v>-</v>
      </c>
      <c r="T65" s="412" t="str">
        <f ca="1">IFERROR(VLOOKUP(T$2,Rango_Admin_DailyPred,MATCH($F65,Rango_Admin_DailyPred_Primera,0)+1,0),"-")</f>
        <v>-</v>
      </c>
      <c r="U65" s="412" t="str">
        <f ca="1">IFERROR(VLOOKUP(U$2,Rango_Admin_DailyPred,MATCH($F65,Rango_Admin_DailyPred_Primera,0)+1,0),"-")</f>
        <v>-</v>
      </c>
      <c r="V65" s="412" t="str">
        <f ca="1">IFERROR(VLOOKUP(V$2,Rango_Admin_DailyPred,MATCH($F65,Rango_Admin_DailyPred_Primera,0)+1,0),"-")</f>
        <v>-</v>
      </c>
      <c r="W65" s="412" t="str">
        <f ca="1">IFERROR(VLOOKUP(W$2,Rango_Admin_DailyPred,MATCH($F65,Rango_Admin_DailyPred_Primera,0)+1,0),"-")</f>
        <v>-</v>
      </c>
      <c r="X65" s="412" t="str">
        <f ca="1">IFERROR(VLOOKUP(X$2,Rango_Admin_DailyPred,MATCH($F65,Rango_Admin_DailyPred_Primera,0)+1,0),"-")</f>
        <v>-</v>
      </c>
      <c r="Y65" s="412" t="str">
        <f ca="1">IFERROR(VLOOKUP(Y$2,Rango_Admin_DailyPred,MATCH($F65,Rango_Admin_DailyPred_Primera,0)+1,0),"-")</f>
        <v>-</v>
      </c>
      <c r="Z65" s="412" t="str">
        <f ca="1">IFERROR(VLOOKUP(Z$2,Rango_Admin_DailyPred,MATCH($F65,Rango_Admin_DailyPred_Primera,0)+1,0),"-")</f>
        <v>-</v>
      </c>
      <c r="AA65" s="412" t="str">
        <f ca="1">IFERROR(VLOOKUP(AA$2,Rango_Admin_DailyPred,MATCH($F65,Rango_Admin_DailyPred_Primera,0)+1,0),"-")</f>
        <v>-</v>
      </c>
      <c r="AB65" s="412" t="str">
        <f ca="1">IFERROR(VLOOKUP(AB$2,Rango_Admin_DailyPred,MATCH($F65,Rango_Admin_DailyPred_Primera,0)+1,0),"-")</f>
        <v>-</v>
      </c>
      <c r="AC65" s="412" t="str">
        <f ca="1">IFERROR(VLOOKUP(AC$2,Rango_Admin_DailyPred,MATCH($F65,Rango_Admin_DailyPred_Primera,0)+1,0),"-")</f>
        <v>-</v>
      </c>
      <c r="AD65" s="412" t="str">
        <f ca="1">IFERROR(VLOOKUP(AD$2,Rango_Admin_DailyPred,MATCH($F65,Rango_Admin_DailyPred_Primera,0)+1,0),"-")</f>
        <v>-</v>
      </c>
      <c r="AE65" s="412" t="str">
        <f ca="1">IFERROR(VLOOKUP(AE$2,Rango_Admin_DailyPred,MATCH($F65,Rango_Admin_DailyPred_Primera,0)+1,0),"-")</f>
        <v>-</v>
      </c>
      <c r="AF65" s="412" t="str">
        <f ca="1">IFERROR(VLOOKUP(AF$2,Rango_Admin_DailyPred,MATCH($F65,Rango_Admin_DailyPred_Primera,0)+1,0),"-")</f>
        <v>-</v>
      </c>
      <c r="AG65" s="412" t="str">
        <f ca="1">IFERROR(VLOOKUP(AG$2,Rango_Admin_DailyPred,MATCH($F65,Rango_Admin_DailyPred_Primera,0)+1,0),"-")</f>
        <v>-</v>
      </c>
      <c r="AH65" s="412" t="str">
        <f ca="1">IFERROR(VLOOKUP(AH$2,Rango_Admin_DailyPred,MATCH($F65,Rango_Admin_DailyPred_Primera,0)+1,0),"-")</f>
        <v>-</v>
      </c>
      <c r="AI65" s="412" t="str">
        <f ca="1">IFERROR(VLOOKUP(AI$2,Rango_Admin_DailyPred,MATCH($F65,Rango_Admin_DailyPred_Primera,0)+1,0),"-")</f>
        <v>-</v>
      </c>
      <c r="AJ65" s="412" t="str">
        <f ca="1">IFERROR(VLOOKUP(AJ$2,Rango_Admin_DailyPred,MATCH($F65,Rango_Admin_DailyPred_Primera,0)+1,0),"-")</f>
        <v>-</v>
      </c>
      <c r="AK65" s="412" t="str">
        <f ca="1">IFERROR(VLOOKUP(AK$2,Rango_Admin_DailyPred,MATCH($F65,Rango_Admin_DailyPred_Primera,0)+1,0),"-")</f>
        <v>-</v>
      </c>
      <c r="AL65" s="412" t="str">
        <f ca="1">IFERROR(VLOOKUP(AL$2,Rango_Admin_DailyPred,MATCH($F65,Rango_Admin_DailyPred_Primera,0)+1,0),"-")</f>
        <v>-</v>
      </c>
      <c r="AM65" s="412" t="str">
        <f ca="1">IFERROR(VLOOKUP(AM$2,Rango_Admin_DailyPred,MATCH($F65,Rango_Admin_DailyPred_Primera,0)+1,0),"-")</f>
        <v>-</v>
      </c>
      <c r="AN65" s="287"/>
    </row>
    <row r="66" spans="4:40">
      <c r="D66" s="82"/>
      <c r="E66" s="395" t="str">
        <f ca="1">IFERROR(HLOOKUP(C66,Rango_Admin_DailyClas,3,FALSE),"-")</f>
        <v>-</v>
      </c>
      <c r="F66" s="428" t="str">
        <f ca="1">IFERROR(HLOOKUP(C66,Rango_Admin_DailyClas,5,FALSE),"-")</f>
        <v>-</v>
      </c>
      <c r="G66" s="18" t="str">
        <f ca="1">IFERROR(HLOOKUP(C66,Rango_Admin_DailyClas,4,FALSE),"-")</f>
        <v>-</v>
      </c>
      <c r="H66" s="412" t="str">
        <f ca="1">IFERROR(VLOOKUP(H$2,Rango_Admin_DailyPred,MATCH($F66,Rango_Admin_DailyPred_Primera,0)+1,0),"-")</f>
        <v>-</v>
      </c>
      <c r="I66" s="412" t="str">
        <f ca="1">IFERROR(VLOOKUP(I$2,Rango_Admin_DailyPred,MATCH($F66,Rango_Admin_DailyPred_Primera,0)+1,0),"-")</f>
        <v>-</v>
      </c>
      <c r="J66" s="412" t="str">
        <f ca="1">IFERROR(VLOOKUP(J$2,Rango_Admin_DailyPred,MATCH($F66,Rango_Admin_DailyPred_Primera,0)+1,0),"-")</f>
        <v>-</v>
      </c>
      <c r="K66" s="412" t="str">
        <f ca="1">IFERROR(VLOOKUP(K$2,Rango_Admin_DailyPred,MATCH($F66,Rango_Admin_DailyPred_Primera,0)+1,0),"-")</f>
        <v>-</v>
      </c>
      <c r="L66" s="412" t="str">
        <f ca="1">IFERROR(VLOOKUP(L$2,Rango_Admin_DailyPred,MATCH($F66,Rango_Admin_DailyPred_Primera,0)+1,0),"-")</f>
        <v>-</v>
      </c>
      <c r="M66" s="412" t="str">
        <f ca="1">IFERROR(VLOOKUP(M$2,Rango_Admin_DailyPred,MATCH($F66,Rango_Admin_DailyPred_Primera,0)+1,0),"-")</f>
        <v>-</v>
      </c>
      <c r="N66" s="412" t="str">
        <f ca="1">IFERROR(VLOOKUP(N$2,Rango_Admin_DailyPred,MATCH($F66,Rango_Admin_DailyPred_Primera,0)+1,0),"-")</f>
        <v>-</v>
      </c>
      <c r="O66" s="412" t="str">
        <f ca="1">IFERROR(VLOOKUP(O$2,Rango_Admin_DailyPred,MATCH($F66,Rango_Admin_DailyPred_Primera,0)+1,0),"-")</f>
        <v>-</v>
      </c>
      <c r="P66" s="412" t="str">
        <f ca="1">IFERROR(VLOOKUP(P$2,Rango_Admin_DailyPred,MATCH($F66,Rango_Admin_DailyPred_Primera,0)+1,0),"-")</f>
        <v>-</v>
      </c>
      <c r="Q66" s="412" t="str">
        <f ca="1">IFERROR(VLOOKUP(Q$2,Rango_Admin_DailyPred,MATCH($F66,Rango_Admin_DailyPred_Primera,0)+1,0),"-")</f>
        <v>-</v>
      </c>
      <c r="R66" s="412" t="str">
        <f ca="1">IFERROR(VLOOKUP(R$2,Rango_Admin_DailyPred,MATCH($F66,Rango_Admin_DailyPred_Primera,0)+1,0),"-")</f>
        <v>-</v>
      </c>
      <c r="S66" s="412" t="str">
        <f ca="1">IFERROR(VLOOKUP(S$2,Rango_Admin_DailyPred,MATCH($F66,Rango_Admin_DailyPred_Primera,0)+1,0),"-")</f>
        <v>-</v>
      </c>
      <c r="T66" s="412" t="str">
        <f ca="1">IFERROR(VLOOKUP(T$2,Rango_Admin_DailyPred,MATCH($F66,Rango_Admin_DailyPred_Primera,0)+1,0),"-")</f>
        <v>-</v>
      </c>
      <c r="U66" s="412" t="str">
        <f ca="1">IFERROR(VLOOKUP(U$2,Rango_Admin_DailyPred,MATCH($F66,Rango_Admin_DailyPred_Primera,0)+1,0),"-")</f>
        <v>-</v>
      </c>
      <c r="V66" s="412" t="str">
        <f ca="1">IFERROR(VLOOKUP(V$2,Rango_Admin_DailyPred,MATCH($F66,Rango_Admin_DailyPred_Primera,0)+1,0),"-")</f>
        <v>-</v>
      </c>
      <c r="W66" s="412" t="str">
        <f ca="1">IFERROR(VLOOKUP(W$2,Rango_Admin_DailyPred,MATCH($F66,Rango_Admin_DailyPred_Primera,0)+1,0),"-")</f>
        <v>-</v>
      </c>
      <c r="X66" s="412" t="str">
        <f ca="1">IFERROR(VLOOKUP(X$2,Rango_Admin_DailyPred,MATCH($F66,Rango_Admin_DailyPred_Primera,0)+1,0),"-")</f>
        <v>-</v>
      </c>
      <c r="Y66" s="412" t="str">
        <f ca="1">IFERROR(VLOOKUP(Y$2,Rango_Admin_DailyPred,MATCH($F66,Rango_Admin_DailyPred_Primera,0)+1,0),"-")</f>
        <v>-</v>
      </c>
      <c r="Z66" s="412" t="str">
        <f ca="1">IFERROR(VLOOKUP(Z$2,Rango_Admin_DailyPred,MATCH($F66,Rango_Admin_DailyPred_Primera,0)+1,0),"-")</f>
        <v>-</v>
      </c>
      <c r="AA66" s="412" t="str">
        <f ca="1">IFERROR(VLOOKUP(AA$2,Rango_Admin_DailyPred,MATCH($F66,Rango_Admin_DailyPred_Primera,0)+1,0),"-")</f>
        <v>-</v>
      </c>
      <c r="AB66" s="412" t="str">
        <f ca="1">IFERROR(VLOOKUP(AB$2,Rango_Admin_DailyPred,MATCH($F66,Rango_Admin_DailyPred_Primera,0)+1,0),"-")</f>
        <v>-</v>
      </c>
      <c r="AC66" s="412" t="str">
        <f ca="1">IFERROR(VLOOKUP(AC$2,Rango_Admin_DailyPred,MATCH($F66,Rango_Admin_DailyPred_Primera,0)+1,0),"-")</f>
        <v>-</v>
      </c>
      <c r="AD66" s="412" t="str">
        <f ca="1">IFERROR(VLOOKUP(AD$2,Rango_Admin_DailyPred,MATCH($F66,Rango_Admin_DailyPred_Primera,0)+1,0),"-")</f>
        <v>-</v>
      </c>
      <c r="AE66" s="412" t="str">
        <f ca="1">IFERROR(VLOOKUP(AE$2,Rango_Admin_DailyPred,MATCH($F66,Rango_Admin_DailyPred_Primera,0)+1,0),"-")</f>
        <v>-</v>
      </c>
      <c r="AF66" s="412" t="str">
        <f ca="1">IFERROR(VLOOKUP(AF$2,Rango_Admin_DailyPred,MATCH($F66,Rango_Admin_DailyPred_Primera,0)+1,0),"-")</f>
        <v>-</v>
      </c>
      <c r="AG66" s="412" t="str">
        <f ca="1">IFERROR(VLOOKUP(AG$2,Rango_Admin_DailyPred,MATCH($F66,Rango_Admin_DailyPred_Primera,0)+1,0),"-")</f>
        <v>-</v>
      </c>
      <c r="AH66" s="412" t="str">
        <f ca="1">IFERROR(VLOOKUP(AH$2,Rango_Admin_DailyPred,MATCH($F66,Rango_Admin_DailyPred_Primera,0)+1,0),"-")</f>
        <v>-</v>
      </c>
      <c r="AI66" s="412" t="str">
        <f ca="1">IFERROR(VLOOKUP(AI$2,Rango_Admin_DailyPred,MATCH($F66,Rango_Admin_DailyPred_Primera,0)+1,0),"-")</f>
        <v>-</v>
      </c>
      <c r="AJ66" s="412" t="str">
        <f ca="1">IFERROR(VLOOKUP(AJ$2,Rango_Admin_DailyPred,MATCH($F66,Rango_Admin_DailyPred_Primera,0)+1,0),"-")</f>
        <v>-</v>
      </c>
      <c r="AK66" s="412" t="str">
        <f ca="1">IFERROR(VLOOKUP(AK$2,Rango_Admin_DailyPred,MATCH($F66,Rango_Admin_DailyPred_Primera,0)+1,0),"-")</f>
        <v>-</v>
      </c>
      <c r="AL66" s="412" t="str">
        <f ca="1">IFERROR(VLOOKUP(AL$2,Rango_Admin_DailyPred,MATCH($F66,Rango_Admin_DailyPred_Primera,0)+1,0),"-")</f>
        <v>-</v>
      </c>
      <c r="AM66" s="412" t="str">
        <f ca="1">IFERROR(VLOOKUP(AM$2,Rango_Admin_DailyPred,MATCH($F66,Rango_Admin_DailyPred_Primera,0)+1,0),"-")</f>
        <v>-</v>
      </c>
      <c r="AN66" s="287"/>
    </row>
    <row r="67" spans="4:40">
      <c r="D67" s="82"/>
      <c r="E67" s="395" t="str">
        <f ca="1">IFERROR(HLOOKUP(C67,Rango_Admin_DailyClas,3,FALSE),"-")</f>
        <v>-</v>
      </c>
      <c r="F67" s="428" t="str">
        <f ca="1">IFERROR(HLOOKUP(C67,Rango_Admin_DailyClas,5,FALSE),"-")</f>
        <v>-</v>
      </c>
      <c r="G67" s="18" t="str">
        <f ca="1">IFERROR(HLOOKUP(C67,Rango_Admin_DailyClas,4,FALSE),"-")</f>
        <v>-</v>
      </c>
      <c r="H67" s="412" t="str">
        <f ca="1">IFERROR(VLOOKUP(H$2,Rango_Admin_DailyPred,MATCH($F67,Rango_Admin_DailyPred_Primera,0)+1,0),"-")</f>
        <v>-</v>
      </c>
      <c r="I67" s="412" t="str">
        <f ca="1">IFERROR(VLOOKUP(I$2,Rango_Admin_DailyPred,MATCH($F67,Rango_Admin_DailyPred_Primera,0)+1,0),"-")</f>
        <v>-</v>
      </c>
      <c r="J67" s="412" t="str">
        <f ca="1">IFERROR(VLOOKUP(J$2,Rango_Admin_DailyPred,MATCH($F67,Rango_Admin_DailyPred_Primera,0)+1,0),"-")</f>
        <v>-</v>
      </c>
      <c r="K67" s="412" t="str">
        <f ca="1">IFERROR(VLOOKUP(K$2,Rango_Admin_DailyPred,MATCH($F67,Rango_Admin_DailyPred_Primera,0)+1,0),"-")</f>
        <v>-</v>
      </c>
      <c r="L67" s="412" t="str">
        <f ca="1">IFERROR(VLOOKUP(L$2,Rango_Admin_DailyPred,MATCH($F67,Rango_Admin_DailyPred_Primera,0)+1,0),"-")</f>
        <v>-</v>
      </c>
      <c r="M67" s="412" t="str">
        <f ca="1">IFERROR(VLOOKUP(M$2,Rango_Admin_DailyPred,MATCH($F67,Rango_Admin_DailyPred_Primera,0)+1,0),"-")</f>
        <v>-</v>
      </c>
      <c r="N67" s="412" t="str">
        <f ca="1">IFERROR(VLOOKUP(N$2,Rango_Admin_DailyPred,MATCH($F67,Rango_Admin_DailyPred_Primera,0)+1,0),"-")</f>
        <v>-</v>
      </c>
      <c r="O67" s="412" t="str">
        <f ca="1">IFERROR(VLOOKUP(O$2,Rango_Admin_DailyPred,MATCH($F67,Rango_Admin_DailyPred_Primera,0)+1,0),"-")</f>
        <v>-</v>
      </c>
      <c r="P67" s="412" t="str">
        <f ca="1">IFERROR(VLOOKUP(P$2,Rango_Admin_DailyPred,MATCH($F67,Rango_Admin_DailyPred_Primera,0)+1,0),"-")</f>
        <v>-</v>
      </c>
      <c r="Q67" s="412" t="str">
        <f ca="1">IFERROR(VLOOKUP(Q$2,Rango_Admin_DailyPred,MATCH($F67,Rango_Admin_DailyPred_Primera,0)+1,0),"-")</f>
        <v>-</v>
      </c>
      <c r="R67" s="412" t="str">
        <f ca="1">IFERROR(VLOOKUP(R$2,Rango_Admin_DailyPred,MATCH($F67,Rango_Admin_DailyPred_Primera,0)+1,0),"-")</f>
        <v>-</v>
      </c>
      <c r="S67" s="412" t="str">
        <f ca="1">IFERROR(VLOOKUP(S$2,Rango_Admin_DailyPred,MATCH($F67,Rango_Admin_DailyPred_Primera,0)+1,0),"-")</f>
        <v>-</v>
      </c>
      <c r="T67" s="412" t="str">
        <f ca="1">IFERROR(VLOOKUP(T$2,Rango_Admin_DailyPred,MATCH($F67,Rango_Admin_DailyPred_Primera,0)+1,0),"-")</f>
        <v>-</v>
      </c>
      <c r="U67" s="412" t="str">
        <f ca="1">IFERROR(VLOOKUP(U$2,Rango_Admin_DailyPred,MATCH($F67,Rango_Admin_DailyPred_Primera,0)+1,0),"-")</f>
        <v>-</v>
      </c>
      <c r="V67" s="412" t="str">
        <f ca="1">IFERROR(VLOOKUP(V$2,Rango_Admin_DailyPred,MATCH($F67,Rango_Admin_DailyPred_Primera,0)+1,0),"-")</f>
        <v>-</v>
      </c>
      <c r="W67" s="412" t="str">
        <f ca="1">IFERROR(VLOOKUP(W$2,Rango_Admin_DailyPred,MATCH($F67,Rango_Admin_DailyPred_Primera,0)+1,0),"-")</f>
        <v>-</v>
      </c>
      <c r="X67" s="412" t="str">
        <f ca="1">IFERROR(VLOOKUP(X$2,Rango_Admin_DailyPred,MATCH($F67,Rango_Admin_DailyPred_Primera,0)+1,0),"-")</f>
        <v>-</v>
      </c>
      <c r="Y67" s="412" t="str">
        <f ca="1">IFERROR(VLOOKUP(Y$2,Rango_Admin_DailyPred,MATCH($F67,Rango_Admin_DailyPred_Primera,0)+1,0),"-")</f>
        <v>-</v>
      </c>
      <c r="Z67" s="412" t="str">
        <f ca="1">IFERROR(VLOOKUP(Z$2,Rango_Admin_DailyPred,MATCH($F67,Rango_Admin_DailyPred_Primera,0)+1,0),"-")</f>
        <v>-</v>
      </c>
      <c r="AA67" s="412" t="str">
        <f ca="1">IFERROR(VLOOKUP(AA$2,Rango_Admin_DailyPred,MATCH($F67,Rango_Admin_DailyPred_Primera,0)+1,0),"-")</f>
        <v>-</v>
      </c>
      <c r="AB67" s="412" t="str">
        <f ca="1">IFERROR(VLOOKUP(AB$2,Rango_Admin_DailyPred,MATCH($F67,Rango_Admin_DailyPred_Primera,0)+1,0),"-")</f>
        <v>-</v>
      </c>
      <c r="AC67" s="412" t="str">
        <f ca="1">IFERROR(VLOOKUP(AC$2,Rango_Admin_DailyPred,MATCH($F67,Rango_Admin_DailyPred_Primera,0)+1,0),"-")</f>
        <v>-</v>
      </c>
      <c r="AD67" s="412" t="str">
        <f ca="1">IFERROR(VLOOKUP(AD$2,Rango_Admin_DailyPred,MATCH($F67,Rango_Admin_DailyPred_Primera,0)+1,0),"-")</f>
        <v>-</v>
      </c>
      <c r="AE67" s="412" t="str">
        <f ca="1">IFERROR(VLOOKUP(AE$2,Rango_Admin_DailyPred,MATCH($F67,Rango_Admin_DailyPred_Primera,0)+1,0),"-")</f>
        <v>-</v>
      </c>
      <c r="AF67" s="412" t="str">
        <f ca="1">IFERROR(VLOOKUP(AF$2,Rango_Admin_DailyPred,MATCH($F67,Rango_Admin_DailyPred_Primera,0)+1,0),"-")</f>
        <v>-</v>
      </c>
      <c r="AG67" s="412" t="str">
        <f ca="1">IFERROR(VLOOKUP(AG$2,Rango_Admin_DailyPred,MATCH($F67,Rango_Admin_DailyPred_Primera,0)+1,0),"-")</f>
        <v>-</v>
      </c>
      <c r="AH67" s="412" t="str">
        <f ca="1">IFERROR(VLOOKUP(AH$2,Rango_Admin_DailyPred,MATCH($F67,Rango_Admin_DailyPred_Primera,0)+1,0),"-")</f>
        <v>-</v>
      </c>
      <c r="AI67" s="412" t="str">
        <f ca="1">IFERROR(VLOOKUP(AI$2,Rango_Admin_DailyPred,MATCH($F67,Rango_Admin_DailyPred_Primera,0)+1,0),"-")</f>
        <v>-</v>
      </c>
      <c r="AJ67" s="412" t="str">
        <f ca="1">IFERROR(VLOOKUP(AJ$2,Rango_Admin_DailyPred,MATCH($F67,Rango_Admin_DailyPred_Primera,0)+1,0),"-")</f>
        <v>-</v>
      </c>
      <c r="AK67" s="412" t="str">
        <f ca="1">IFERROR(VLOOKUP(AK$2,Rango_Admin_DailyPred,MATCH($F67,Rango_Admin_DailyPred_Primera,0)+1,0),"-")</f>
        <v>-</v>
      </c>
      <c r="AL67" s="412" t="str">
        <f ca="1">IFERROR(VLOOKUP(AL$2,Rango_Admin_DailyPred,MATCH($F67,Rango_Admin_DailyPred_Primera,0)+1,0),"-")</f>
        <v>-</v>
      </c>
      <c r="AM67" s="412" t="str">
        <f ca="1">IFERROR(VLOOKUP(AM$2,Rango_Admin_DailyPred,MATCH($F67,Rango_Admin_DailyPred_Primera,0)+1,0),"-")</f>
        <v>-</v>
      </c>
      <c r="AN67" s="287"/>
    </row>
    <row r="68" spans="4:40">
      <c r="D68" s="82"/>
      <c r="E68" s="395" t="str">
        <f ca="1">IFERROR(HLOOKUP(C68,Rango_Admin_DailyClas,3,FALSE),"-")</f>
        <v>-</v>
      </c>
      <c r="F68" s="428" t="str">
        <f ca="1">IFERROR(HLOOKUP(C68,Rango_Admin_DailyClas,5,FALSE),"-")</f>
        <v>-</v>
      </c>
      <c r="G68" s="18" t="str">
        <f ca="1">IFERROR(HLOOKUP(C68,Rango_Admin_DailyClas,4,FALSE),"-")</f>
        <v>-</v>
      </c>
      <c r="H68" s="412" t="str">
        <f ca="1">IFERROR(VLOOKUP(H$2,Rango_Admin_DailyPred,MATCH($F68,Rango_Admin_DailyPred_Primera,0)+1,0),"-")</f>
        <v>-</v>
      </c>
      <c r="I68" s="412" t="str">
        <f ca="1">IFERROR(VLOOKUP(I$2,Rango_Admin_DailyPred,MATCH($F68,Rango_Admin_DailyPred_Primera,0)+1,0),"-")</f>
        <v>-</v>
      </c>
      <c r="J68" s="412" t="str">
        <f ca="1">IFERROR(VLOOKUP(J$2,Rango_Admin_DailyPred,MATCH($F68,Rango_Admin_DailyPred_Primera,0)+1,0),"-")</f>
        <v>-</v>
      </c>
      <c r="K68" s="412" t="str">
        <f ca="1">IFERROR(VLOOKUP(K$2,Rango_Admin_DailyPred,MATCH($F68,Rango_Admin_DailyPred_Primera,0)+1,0),"-")</f>
        <v>-</v>
      </c>
      <c r="L68" s="412" t="str">
        <f ca="1">IFERROR(VLOOKUP(L$2,Rango_Admin_DailyPred,MATCH($F68,Rango_Admin_DailyPred_Primera,0)+1,0),"-")</f>
        <v>-</v>
      </c>
      <c r="M68" s="412" t="str">
        <f ca="1">IFERROR(VLOOKUP(M$2,Rango_Admin_DailyPred,MATCH($F68,Rango_Admin_DailyPred_Primera,0)+1,0),"-")</f>
        <v>-</v>
      </c>
      <c r="N68" s="412" t="str">
        <f ca="1">IFERROR(VLOOKUP(N$2,Rango_Admin_DailyPred,MATCH($F68,Rango_Admin_DailyPred_Primera,0)+1,0),"-")</f>
        <v>-</v>
      </c>
      <c r="O68" s="412" t="str">
        <f ca="1">IFERROR(VLOOKUP(O$2,Rango_Admin_DailyPred,MATCH($F68,Rango_Admin_DailyPred_Primera,0)+1,0),"-")</f>
        <v>-</v>
      </c>
      <c r="P68" s="412" t="str">
        <f ca="1">IFERROR(VLOOKUP(P$2,Rango_Admin_DailyPred,MATCH($F68,Rango_Admin_DailyPred_Primera,0)+1,0),"-")</f>
        <v>-</v>
      </c>
      <c r="Q68" s="412" t="str">
        <f ca="1">IFERROR(VLOOKUP(Q$2,Rango_Admin_DailyPred,MATCH($F68,Rango_Admin_DailyPred_Primera,0)+1,0),"-")</f>
        <v>-</v>
      </c>
      <c r="R68" s="412" t="str">
        <f ca="1">IFERROR(VLOOKUP(R$2,Rango_Admin_DailyPred,MATCH($F68,Rango_Admin_DailyPred_Primera,0)+1,0),"-")</f>
        <v>-</v>
      </c>
      <c r="S68" s="412" t="str">
        <f ca="1">IFERROR(VLOOKUP(S$2,Rango_Admin_DailyPred,MATCH($F68,Rango_Admin_DailyPred_Primera,0)+1,0),"-")</f>
        <v>-</v>
      </c>
      <c r="T68" s="412" t="str">
        <f ca="1">IFERROR(VLOOKUP(T$2,Rango_Admin_DailyPred,MATCH($F68,Rango_Admin_DailyPred_Primera,0)+1,0),"-")</f>
        <v>-</v>
      </c>
      <c r="U68" s="412" t="str">
        <f ca="1">IFERROR(VLOOKUP(U$2,Rango_Admin_DailyPred,MATCH($F68,Rango_Admin_DailyPred_Primera,0)+1,0),"-")</f>
        <v>-</v>
      </c>
      <c r="V68" s="412" t="str">
        <f ca="1">IFERROR(VLOOKUP(V$2,Rango_Admin_DailyPred,MATCH($F68,Rango_Admin_DailyPred_Primera,0)+1,0),"-")</f>
        <v>-</v>
      </c>
      <c r="W68" s="412" t="str">
        <f ca="1">IFERROR(VLOOKUP(W$2,Rango_Admin_DailyPred,MATCH($F68,Rango_Admin_DailyPred_Primera,0)+1,0),"-")</f>
        <v>-</v>
      </c>
      <c r="X68" s="412" t="str">
        <f ca="1">IFERROR(VLOOKUP(X$2,Rango_Admin_DailyPred,MATCH($F68,Rango_Admin_DailyPred_Primera,0)+1,0),"-")</f>
        <v>-</v>
      </c>
      <c r="Y68" s="412" t="str">
        <f ca="1">IFERROR(VLOOKUP(Y$2,Rango_Admin_DailyPred,MATCH($F68,Rango_Admin_DailyPred_Primera,0)+1,0),"-")</f>
        <v>-</v>
      </c>
      <c r="Z68" s="412" t="str">
        <f ca="1">IFERROR(VLOOKUP(Z$2,Rango_Admin_DailyPred,MATCH($F68,Rango_Admin_DailyPred_Primera,0)+1,0),"-")</f>
        <v>-</v>
      </c>
      <c r="AA68" s="412" t="str">
        <f ca="1">IFERROR(VLOOKUP(AA$2,Rango_Admin_DailyPred,MATCH($F68,Rango_Admin_DailyPred_Primera,0)+1,0),"-")</f>
        <v>-</v>
      </c>
      <c r="AB68" s="412" t="str">
        <f ca="1">IFERROR(VLOOKUP(AB$2,Rango_Admin_DailyPred,MATCH($F68,Rango_Admin_DailyPred_Primera,0)+1,0),"-")</f>
        <v>-</v>
      </c>
      <c r="AC68" s="412" t="str">
        <f ca="1">IFERROR(VLOOKUP(AC$2,Rango_Admin_DailyPred,MATCH($F68,Rango_Admin_DailyPred_Primera,0)+1,0),"-")</f>
        <v>-</v>
      </c>
      <c r="AD68" s="412" t="str">
        <f ca="1">IFERROR(VLOOKUP(AD$2,Rango_Admin_DailyPred,MATCH($F68,Rango_Admin_DailyPred_Primera,0)+1,0),"-")</f>
        <v>-</v>
      </c>
      <c r="AE68" s="412" t="str">
        <f ca="1">IFERROR(VLOOKUP(AE$2,Rango_Admin_DailyPred,MATCH($F68,Rango_Admin_DailyPred_Primera,0)+1,0),"-")</f>
        <v>-</v>
      </c>
      <c r="AF68" s="412" t="str">
        <f ca="1">IFERROR(VLOOKUP(AF$2,Rango_Admin_DailyPred,MATCH($F68,Rango_Admin_DailyPred_Primera,0)+1,0),"-")</f>
        <v>-</v>
      </c>
      <c r="AG68" s="412" t="str">
        <f ca="1">IFERROR(VLOOKUP(AG$2,Rango_Admin_DailyPred,MATCH($F68,Rango_Admin_DailyPred_Primera,0)+1,0),"-")</f>
        <v>-</v>
      </c>
      <c r="AH68" s="412" t="str">
        <f ca="1">IFERROR(VLOOKUP(AH$2,Rango_Admin_DailyPred,MATCH($F68,Rango_Admin_DailyPred_Primera,0)+1,0),"-")</f>
        <v>-</v>
      </c>
      <c r="AI68" s="412" t="str">
        <f ca="1">IFERROR(VLOOKUP(AI$2,Rango_Admin_DailyPred,MATCH($F68,Rango_Admin_DailyPred_Primera,0)+1,0),"-")</f>
        <v>-</v>
      </c>
      <c r="AJ68" s="412" t="str">
        <f ca="1">IFERROR(VLOOKUP(AJ$2,Rango_Admin_DailyPred,MATCH($F68,Rango_Admin_DailyPred_Primera,0)+1,0),"-")</f>
        <v>-</v>
      </c>
      <c r="AK68" s="412" t="str">
        <f ca="1">IFERROR(VLOOKUP(AK$2,Rango_Admin_DailyPred,MATCH($F68,Rango_Admin_DailyPred_Primera,0)+1,0),"-")</f>
        <v>-</v>
      </c>
      <c r="AL68" s="412" t="str">
        <f ca="1">IFERROR(VLOOKUP(AL$2,Rango_Admin_DailyPred,MATCH($F68,Rango_Admin_DailyPred_Primera,0)+1,0),"-")</f>
        <v>-</v>
      </c>
      <c r="AM68" s="412" t="str">
        <f ca="1">IFERROR(VLOOKUP(AM$2,Rango_Admin_DailyPred,MATCH($F68,Rango_Admin_DailyPred_Primera,0)+1,0),"-")</f>
        <v>-</v>
      </c>
      <c r="AN68" s="287"/>
    </row>
    <row r="69" spans="4:40">
      <c r="D69" s="82"/>
      <c r="E69" s="395" t="str">
        <f ca="1">IFERROR(HLOOKUP(C69,Rango_Admin_DailyClas,3,FALSE),"-")</f>
        <v>-</v>
      </c>
      <c r="F69" s="428" t="str">
        <f ca="1">IFERROR(HLOOKUP(C69,Rango_Admin_DailyClas,5,FALSE),"-")</f>
        <v>-</v>
      </c>
      <c r="G69" s="18" t="str">
        <f ca="1">IFERROR(HLOOKUP(C69,Rango_Admin_DailyClas,4,FALSE),"-")</f>
        <v>-</v>
      </c>
      <c r="H69" s="412" t="str">
        <f ca="1">IFERROR(VLOOKUP(H$2,Rango_Admin_DailyPred,MATCH($F69,Rango_Admin_DailyPred_Primera,0)+1,0),"-")</f>
        <v>-</v>
      </c>
      <c r="I69" s="412" t="str">
        <f ca="1">IFERROR(VLOOKUP(I$2,Rango_Admin_DailyPred,MATCH($F69,Rango_Admin_DailyPred_Primera,0)+1,0),"-")</f>
        <v>-</v>
      </c>
      <c r="J69" s="412" t="str">
        <f ca="1">IFERROR(VLOOKUP(J$2,Rango_Admin_DailyPred,MATCH($F69,Rango_Admin_DailyPred_Primera,0)+1,0),"-")</f>
        <v>-</v>
      </c>
      <c r="K69" s="412" t="str">
        <f ca="1">IFERROR(VLOOKUP(K$2,Rango_Admin_DailyPred,MATCH($F69,Rango_Admin_DailyPred_Primera,0)+1,0),"-")</f>
        <v>-</v>
      </c>
      <c r="L69" s="412" t="str">
        <f ca="1">IFERROR(VLOOKUP(L$2,Rango_Admin_DailyPred,MATCH($F69,Rango_Admin_DailyPred_Primera,0)+1,0),"-")</f>
        <v>-</v>
      </c>
      <c r="M69" s="412" t="str">
        <f ca="1">IFERROR(VLOOKUP(M$2,Rango_Admin_DailyPred,MATCH($F69,Rango_Admin_DailyPred_Primera,0)+1,0),"-")</f>
        <v>-</v>
      </c>
      <c r="N69" s="412" t="str">
        <f ca="1">IFERROR(VLOOKUP(N$2,Rango_Admin_DailyPred,MATCH($F69,Rango_Admin_DailyPred_Primera,0)+1,0),"-")</f>
        <v>-</v>
      </c>
      <c r="O69" s="412" t="str">
        <f ca="1">IFERROR(VLOOKUP(O$2,Rango_Admin_DailyPred,MATCH($F69,Rango_Admin_DailyPred_Primera,0)+1,0),"-")</f>
        <v>-</v>
      </c>
      <c r="P69" s="412" t="str">
        <f ca="1">IFERROR(VLOOKUP(P$2,Rango_Admin_DailyPred,MATCH($F69,Rango_Admin_DailyPred_Primera,0)+1,0),"-")</f>
        <v>-</v>
      </c>
      <c r="Q69" s="412" t="str">
        <f ca="1">IFERROR(VLOOKUP(Q$2,Rango_Admin_DailyPred,MATCH($F69,Rango_Admin_DailyPred_Primera,0)+1,0),"-")</f>
        <v>-</v>
      </c>
      <c r="R69" s="412" t="str">
        <f ca="1">IFERROR(VLOOKUP(R$2,Rango_Admin_DailyPred,MATCH($F69,Rango_Admin_DailyPred_Primera,0)+1,0),"-")</f>
        <v>-</v>
      </c>
      <c r="S69" s="412" t="str">
        <f ca="1">IFERROR(VLOOKUP(S$2,Rango_Admin_DailyPred,MATCH($F69,Rango_Admin_DailyPred_Primera,0)+1,0),"-")</f>
        <v>-</v>
      </c>
      <c r="T69" s="412" t="str">
        <f ca="1">IFERROR(VLOOKUP(T$2,Rango_Admin_DailyPred,MATCH($F69,Rango_Admin_DailyPred_Primera,0)+1,0),"-")</f>
        <v>-</v>
      </c>
      <c r="U69" s="412" t="str">
        <f ca="1">IFERROR(VLOOKUP(U$2,Rango_Admin_DailyPred,MATCH($F69,Rango_Admin_DailyPred_Primera,0)+1,0),"-")</f>
        <v>-</v>
      </c>
      <c r="V69" s="412" t="str">
        <f ca="1">IFERROR(VLOOKUP(V$2,Rango_Admin_DailyPred,MATCH($F69,Rango_Admin_DailyPred_Primera,0)+1,0),"-")</f>
        <v>-</v>
      </c>
      <c r="W69" s="412" t="str">
        <f ca="1">IFERROR(VLOOKUP(W$2,Rango_Admin_DailyPred,MATCH($F69,Rango_Admin_DailyPred_Primera,0)+1,0),"-")</f>
        <v>-</v>
      </c>
      <c r="X69" s="412" t="str">
        <f ca="1">IFERROR(VLOOKUP(X$2,Rango_Admin_DailyPred,MATCH($F69,Rango_Admin_DailyPred_Primera,0)+1,0),"-")</f>
        <v>-</v>
      </c>
      <c r="Y69" s="412" t="str">
        <f ca="1">IFERROR(VLOOKUP(Y$2,Rango_Admin_DailyPred,MATCH($F69,Rango_Admin_DailyPred_Primera,0)+1,0),"-")</f>
        <v>-</v>
      </c>
      <c r="Z69" s="412" t="str">
        <f ca="1">IFERROR(VLOOKUP(Z$2,Rango_Admin_DailyPred,MATCH($F69,Rango_Admin_DailyPred_Primera,0)+1,0),"-")</f>
        <v>-</v>
      </c>
      <c r="AA69" s="412" t="str">
        <f ca="1">IFERROR(VLOOKUP(AA$2,Rango_Admin_DailyPred,MATCH($F69,Rango_Admin_DailyPred_Primera,0)+1,0),"-")</f>
        <v>-</v>
      </c>
      <c r="AB69" s="412" t="str">
        <f ca="1">IFERROR(VLOOKUP(AB$2,Rango_Admin_DailyPred,MATCH($F69,Rango_Admin_DailyPred_Primera,0)+1,0),"-")</f>
        <v>-</v>
      </c>
      <c r="AC69" s="412" t="str">
        <f ca="1">IFERROR(VLOOKUP(AC$2,Rango_Admin_DailyPred,MATCH($F69,Rango_Admin_DailyPred_Primera,0)+1,0),"-")</f>
        <v>-</v>
      </c>
      <c r="AD69" s="412" t="str">
        <f ca="1">IFERROR(VLOOKUP(AD$2,Rango_Admin_DailyPred,MATCH($F69,Rango_Admin_DailyPred_Primera,0)+1,0),"-")</f>
        <v>-</v>
      </c>
      <c r="AE69" s="412" t="str">
        <f ca="1">IFERROR(VLOOKUP(AE$2,Rango_Admin_DailyPred,MATCH($F69,Rango_Admin_DailyPred_Primera,0)+1,0),"-")</f>
        <v>-</v>
      </c>
      <c r="AF69" s="412" t="str">
        <f ca="1">IFERROR(VLOOKUP(AF$2,Rango_Admin_DailyPred,MATCH($F69,Rango_Admin_DailyPred_Primera,0)+1,0),"-")</f>
        <v>-</v>
      </c>
      <c r="AG69" s="412" t="str">
        <f ca="1">IFERROR(VLOOKUP(AG$2,Rango_Admin_DailyPred,MATCH($F69,Rango_Admin_DailyPred_Primera,0)+1,0),"-")</f>
        <v>-</v>
      </c>
      <c r="AH69" s="412" t="str">
        <f ca="1">IFERROR(VLOOKUP(AH$2,Rango_Admin_DailyPred,MATCH($F69,Rango_Admin_DailyPred_Primera,0)+1,0),"-")</f>
        <v>-</v>
      </c>
      <c r="AI69" s="412" t="str">
        <f ca="1">IFERROR(VLOOKUP(AI$2,Rango_Admin_DailyPred,MATCH($F69,Rango_Admin_DailyPred_Primera,0)+1,0),"-")</f>
        <v>-</v>
      </c>
      <c r="AJ69" s="412" t="str">
        <f ca="1">IFERROR(VLOOKUP(AJ$2,Rango_Admin_DailyPred,MATCH($F69,Rango_Admin_DailyPred_Primera,0)+1,0),"-")</f>
        <v>-</v>
      </c>
      <c r="AK69" s="412" t="str">
        <f ca="1">IFERROR(VLOOKUP(AK$2,Rango_Admin_DailyPred,MATCH($F69,Rango_Admin_DailyPred_Primera,0)+1,0),"-")</f>
        <v>-</v>
      </c>
      <c r="AL69" s="412" t="str">
        <f ca="1">IFERROR(VLOOKUP(AL$2,Rango_Admin_DailyPred,MATCH($F69,Rango_Admin_DailyPred_Primera,0)+1,0),"-")</f>
        <v>-</v>
      </c>
      <c r="AM69" s="412" t="str">
        <f ca="1">IFERROR(VLOOKUP(AM$2,Rango_Admin_DailyPred,MATCH($F69,Rango_Admin_DailyPred_Primera,0)+1,0),"-")</f>
        <v>-</v>
      </c>
      <c r="AN69" s="287"/>
    </row>
    <row r="70" spans="4:40">
      <c r="D70" s="82"/>
      <c r="E70" s="395" t="str">
        <f ca="1">IFERROR(HLOOKUP(C70,Rango_Admin_DailyClas,3,FALSE),"-")</f>
        <v>-</v>
      </c>
      <c r="F70" s="428" t="str">
        <f ca="1">IFERROR(HLOOKUP(C70,Rango_Admin_DailyClas,5,FALSE),"-")</f>
        <v>-</v>
      </c>
      <c r="G70" s="18" t="str">
        <f ca="1">IFERROR(HLOOKUP(C70,Rango_Admin_DailyClas,4,FALSE),"-")</f>
        <v>-</v>
      </c>
      <c r="H70" s="412" t="str">
        <f ca="1">IFERROR(VLOOKUP(H$2,Rango_Admin_DailyPred,MATCH($F70,Rango_Admin_DailyPred_Primera,0)+1,0),"-")</f>
        <v>-</v>
      </c>
      <c r="I70" s="412" t="str">
        <f ca="1">IFERROR(VLOOKUP(I$2,Rango_Admin_DailyPred,MATCH($F70,Rango_Admin_DailyPred_Primera,0)+1,0),"-")</f>
        <v>-</v>
      </c>
      <c r="J70" s="412" t="str">
        <f ca="1">IFERROR(VLOOKUP(J$2,Rango_Admin_DailyPred,MATCH($F70,Rango_Admin_DailyPred_Primera,0)+1,0),"-")</f>
        <v>-</v>
      </c>
      <c r="K70" s="412" t="str">
        <f ca="1">IFERROR(VLOOKUP(K$2,Rango_Admin_DailyPred,MATCH($F70,Rango_Admin_DailyPred_Primera,0)+1,0),"-")</f>
        <v>-</v>
      </c>
      <c r="L70" s="412" t="str">
        <f ca="1">IFERROR(VLOOKUP(L$2,Rango_Admin_DailyPred,MATCH($F70,Rango_Admin_DailyPred_Primera,0)+1,0),"-")</f>
        <v>-</v>
      </c>
      <c r="M70" s="412" t="str">
        <f ca="1">IFERROR(VLOOKUP(M$2,Rango_Admin_DailyPred,MATCH($F70,Rango_Admin_DailyPred_Primera,0)+1,0),"-")</f>
        <v>-</v>
      </c>
      <c r="N70" s="412" t="str">
        <f ca="1">IFERROR(VLOOKUP(N$2,Rango_Admin_DailyPred,MATCH($F70,Rango_Admin_DailyPred_Primera,0)+1,0),"-")</f>
        <v>-</v>
      </c>
      <c r="O70" s="412" t="str">
        <f ca="1">IFERROR(VLOOKUP(O$2,Rango_Admin_DailyPred,MATCH($F70,Rango_Admin_DailyPred_Primera,0)+1,0),"-")</f>
        <v>-</v>
      </c>
      <c r="P70" s="412" t="str">
        <f ca="1">IFERROR(VLOOKUP(P$2,Rango_Admin_DailyPred,MATCH($F70,Rango_Admin_DailyPred_Primera,0)+1,0),"-")</f>
        <v>-</v>
      </c>
      <c r="Q70" s="412" t="str">
        <f ca="1">IFERROR(VLOOKUP(Q$2,Rango_Admin_DailyPred,MATCH($F70,Rango_Admin_DailyPred_Primera,0)+1,0),"-")</f>
        <v>-</v>
      </c>
      <c r="R70" s="412" t="str">
        <f ca="1">IFERROR(VLOOKUP(R$2,Rango_Admin_DailyPred,MATCH($F70,Rango_Admin_DailyPred_Primera,0)+1,0),"-")</f>
        <v>-</v>
      </c>
      <c r="S70" s="412" t="str">
        <f ca="1">IFERROR(VLOOKUP(S$2,Rango_Admin_DailyPred,MATCH($F70,Rango_Admin_DailyPred_Primera,0)+1,0),"-")</f>
        <v>-</v>
      </c>
      <c r="T70" s="412" t="str">
        <f ca="1">IFERROR(VLOOKUP(T$2,Rango_Admin_DailyPred,MATCH($F70,Rango_Admin_DailyPred_Primera,0)+1,0),"-")</f>
        <v>-</v>
      </c>
      <c r="U70" s="412" t="str">
        <f ca="1">IFERROR(VLOOKUP(U$2,Rango_Admin_DailyPred,MATCH($F70,Rango_Admin_DailyPred_Primera,0)+1,0),"-")</f>
        <v>-</v>
      </c>
      <c r="V70" s="412" t="str">
        <f ca="1">IFERROR(VLOOKUP(V$2,Rango_Admin_DailyPred,MATCH($F70,Rango_Admin_DailyPred_Primera,0)+1,0),"-")</f>
        <v>-</v>
      </c>
      <c r="W70" s="412" t="str">
        <f ca="1">IFERROR(VLOOKUP(W$2,Rango_Admin_DailyPred,MATCH($F70,Rango_Admin_DailyPred_Primera,0)+1,0),"-")</f>
        <v>-</v>
      </c>
      <c r="X70" s="412" t="str">
        <f ca="1">IFERROR(VLOOKUP(X$2,Rango_Admin_DailyPred,MATCH($F70,Rango_Admin_DailyPred_Primera,0)+1,0),"-")</f>
        <v>-</v>
      </c>
      <c r="Y70" s="412" t="str">
        <f ca="1">IFERROR(VLOOKUP(Y$2,Rango_Admin_DailyPred,MATCH($F70,Rango_Admin_DailyPred_Primera,0)+1,0),"-")</f>
        <v>-</v>
      </c>
      <c r="Z70" s="412" t="str">
        <f ca="1">IFERROR(VLOOKUP(Z$2,Rango_Admin_DailyPred,MATCH($F70,Rango_Admin_DailyPred_Primera,0)+1,0),"-")</f>
        <v>-</v>
      </c>
      <c r="AA70" s="412" t="str">
        <f ca="1">IFERROR(VLOOKUP(AA$2,Rango_Admin_DailyPred,MATCH($F70,Rango_Admin_DailyPred_Primera,0)+1,0),"-")</f>
        <v>-</v>
      </c>
      <c r="AB70" s="412" t="str">
        <f ca="1">IFERROR(VLOOKUP(AB$2,Rango_Admin_DailyPred,MATCH($F70,Rango_Admin_DailyPred_Primera,0)+1,0),"-")</f>
        <v>-</v>
      </c>
      <c r="AC70" s="412" t="str">
        <f ca="1">IFERROR(VLOOKUP(AC$2,Rango_Admin_DailyPred,MATCH($F70,Rango_Admin_DailyPred_Primera,0)+1,0),"-")</f>
        <v>-</v>
      </c>
      <c r="AD70" s="412" t="str">
        <f ca="1">IFERROR(VLOOKUP(AD$2,Rango_Admin_DailyPred,MATCH($F70,Rango_Admin_DailyPred_Primera,0)+1,0),"-")</f>
        <v>-</v>
      </c>
      <c r="AE70" s="412" t="str">
        <f ca="1">IFERROR(VLOOKUP(AE$2,Rango_Admin_DailyPred,MATCH($F70,Rango_Admin_DailyPred_Primera,0)+1,0),"-")</f>
        <v>-</v>
      </c>
      <c r="AF70" s="412" t="str">
        <f ca="1">IFERROR(VLOOKUP(AF$2,Rango_Admin_DailyPred,MATCH($F70,Rango_Admin_DailyPred_Primera,0)+1,0),"-")</f>
        <v>-</v>
      </c>
      <c r="AG70" s="412" t="str">
        <f ca="1">IFERROR(VLOOKUP(AG$2,Rango_Admin_DailyPred,MATCH($F70,Rango_Admin_DailyPred_Primera,0)+1,0),"-")</f>
        <v>-</v>
      </c>
      <c r="AH70" s="412" t="str">
        <f ca="1">IFERROR(VLOOKUP(AH$2,Rango_Admin_DailyPred,MATCH($F70,Rango_Admin_DailyPred_Primera,0)+1,0),"-")</f>
        <v>-</v>
      </c>
      <c r="AI70" s="412" t="str">
        <f ca="1">IFERROR(VLOOKUP(AI$2,Rango_Admin_DailyPred,MATCH($F70,Rango_Admin_DailyPred_Primera,0)+1,0),"-")</f>
        <v>-</v>
      </c>
      <c r="AJ70" s="412" t="str">
        <f ca="1">IFERROR(VLOOKUP(AJ$2,Rango_Admin_DailyPred,MATCH($F70,Rango_Admin_DailyPred_Primera,0)+1,0),"-")</f>
        <v>-</v>
      </c>
      <c r="AK70" s="412" t="str">
        <f ca="1">IFERROR(VLOOKUP(AK$2,Rango_Admin_DailyPred,MATCH($F70,Rango_Admin_DailyPred_Primera,0)+1,0),"-")</f>
        <v>-</v>
      </c>
      <c r="AL70" s="412" t="str">
        <f ca="1">IFERROR(VLOOKUP(AL$2,Rango_Admin_DailyPred,MATCH($F70,Rango_Admin_DailyPred_Primera,0)+1,0),"-")</f>
        <v>-</v>
      </c>
      <c r="AM70" s="412" t="str">
        <f ca="1">IFERROR(VLOOKUP(AM$2,Rango_Admin_DailyPred,MATCH($F70,Rango_Admin_DailyPred_Primera,0)+1,0),"-")</f>
        <v>-</v>
      </c>
      <c r="AN70" s="287"/>
    </row>
    <row r="71" spans="4:40">
      <c r="D71" s="82"/>
      <c r="E71" s="395" t="str">
        <f ca="1">IFERROR(HLOOKUP(C71,Rango_Admin_DailyClas,3,FALSE),"-")</f>
        <v>-</v>
      </c>
      <c r="F71" s="428" t="str">
        <f ca="1">IFERROR(HLOOKUP(C71,Rango_Admin_DailyClas,5,FALSE),"-")</f>
        <v>-</v>
      </c>
      <c r="G71" s="18" t="str">
        <f ca="1">IFERROR(HLOOKUP(C71,Rango_Admin_DailyClas,4,FALSE),"-")</f>
        <v>-</v>
      </c>
      <c r="H71" s="412" t="str">
        <f ca="1">IFERROR(VLOOKUP(H$2,Rango_Admin_DailyPred,MATCH($F71,Rango_Admin_DailyPred_Primera,0)+1,0),"-")</f>
        <v>-</v>
      </c>
      <c r="I71" s="412" t="str">
        <f ca="1">IFERROR(VLOOKUP(I$2,Rango_Admin_DailyPred,MATCH($F71,Rango_Admin_DailyPred_Primera,0)+1,0),"-")</f>
        <v>-</v>
      </c>
      <c r="J71" s="412" t="str">
        <f ca="1">IFERROR(VLOOKUP(J$2,Rango_Admin_DailyPred,MATCH($F71,Rango_Admin_DailyPred_Primera,0)+1,0),"-")</f>
        <v>-</v>
      </c>
      <c r="K71" s="412" t="str">
        <f ca="1">IFERROR(VLOOKUP(K$2,Rango_Admin_DailyPred,MATCH($F71,Rango_Admin_DailyPred_Primera,0)+1,0),"-")</f>
        <v>-</v>
      </c>
      <c r="L71" s="412" t="str">
        <f ca="1">IFERROR(VLOOKUP(L$2,Rango_Admin_DailyPred,MATCH($F71,Rango_Admin_DailyPred_Primera,0)+1,0),"-")</f>
        <v>-</v>
      </c>
      <c r="M71" s="412" t="str">
        <f ca="1">IFERROR(VLOOKUP(M$2,Rango_Admin_DailyPred,MATCH($F71,Rango_Admin_DailyPred_Primera,0)+1,0),"-")</f>
        <v>-</v>
      </c>
      <c r="N71" s="412" t="str">
        <f ca="1">IFERROR(VLOOKUP(N$2,Rango_Admin_DailyPred,MATCH($F71,Rango_Admin_DailyPred_Primera,0)+1,0),"-")</f>
        <v>-</v>
      </c>
      <c r="O71" s="412" t="str">
        <f ca="1">IFERROR(VLOOKUP(O$2,Rango_Admin_DailyPred,MATCH($F71,Rango_Admin_DailyPred_Primera,0)+1,0),"-")</f>
        <v>-</v>
      </c>
      <c r="P71" s="412" t="str">
        <f ca="1">IFERROR(VLOOKUP(P$2,Rango_Admin_DailyPred,MATCH($F71,Rango_Admin_DailyPred_Primera,0)+1,0),"-")</f>
        <v>-</v>
      </c>
      <c r="Q71" s="412" t="str">
        <f ca="1">IFERROR(VLOOKUP(Q$2,Rango_Admin_DailyPred,MATCH($F71,Rango_Admin_DailyPred_Primera,0)+1,0),"-")</f>
        <v>-</v>
      </c>
      <c r="R71" s="412" t="str">
        <f ca="1">IFERROR(VLOOKUP(R$2,Rango_Admin_DailyPred,MATCH($F71,Rango_Admin_DailyPred_Primera,0)+1,0),"-")</f>
        <v>-</v>
      </c>
      <c r="S71" s="412" t="str">
        <f ca="1">IFERROR(VLOOKUP(S$2,Rango_Admin_DailyPred,MATCH($F71,Rango_Admin_DailyPred_Primera,0)+1,0),"-")</f>
        <v>-</v>
      </c>
      <c r="T71" s="412" t="str">
        <f ca="1">IFERROR(VLOOKUP(T$2,Rango_Admin_DailyPred,MATCH($F71,Rango_Admin_DailyPred_Primera,0)+1,0),"-")</f>
        <v>-</v>
      </c>
      <c r="U71" s="412" t="str">
        <f ca="1">IFERROR(VLOOKUP(U$2,Rango_Admin_DailyPred,MATCH($F71,Rango_Admin_DailyPred_Primera,0)+1,0),"-")</f>
        <v>-</v>
      </c>
      <c r="V71" s="412" t="str">
        <f ca="1">IFERROR(VLOOKUP(V$2,Rango_Admin_DailyPred,MATCH($F71,Rango_Admin_DailyPred_Primera,0)+1,0),"-")</f>
        <v>-</v>
      </c>
      <c r="W71" s="412" t="str">
        <f ca="1">IFERROR(VLOOKUP(W$2,Rango_Admin_DailyPred,MATCH($F71,Rango_Admin_DailyPred_Primera,0)+1,0),"-")</f>
        <v>-</v>
      </c>
      <c r="X71" s="412" t="str">
        <f ca="1">IFERROR(VLOOKUP(X$2,Rango_Admin_DailyPred,MATCH($F71,Rango_Admin_DailyPred_Primera,0)+1,0),"-")</f>
        <v>-</v>
      </c>
      <c r="Y71" s="412" t="str">
        <f ca="1">IFERROR(VLOOKUP(Y$2,Rango_Admin_DailyPred,MATCH($F71,Rango_Admin_DailyPred_Primera,0)+1,0),"-")</f>
        <v>-</v>
      </c>
      <c r="Z71" s="412" t="str">
        <f ca="1">IFERROR(VLOOKUP(Z$2,Rango_Admin_DailyPred,MATCH($F71,Rango_Admin_DailyPred_Primera,0)+1,0),"-")</f>
        <v>-</v>
      </c>
      <c r="AA71" s="412" t="str">
        <f ca="1">IFERROR(VLOOKUP(AA$2,Rango_Admin_DailyPred,MATCH($F71,Rango_Admin_DailyPred_Primera,0)+1,0),"-")</f>
        <v>-</v>
      </c>
      <c r="AB71" s="412" t="str">
        <f ca="1">IFERROR(VLOOKUP(AB$2,Rango_Admin_DailyPred,MATCH($F71,Rango_Admin_DailyPred_Primera,0)+1,0),"-")</f>
        <v>-</v>
      </c>
      <c r="AC71" s="412" t="str">
        <f ca="1">IFERROR(VLOOKUP(AC$2,Rango_Admin_DailyPred,MATCH($F71,Rango_Admin_DailyPred_Primera,0)+1,0),"-")</f>
        <v>-</v>
      </c>
      <c r="AD71" s="412" t="str">
        <f ca="1">IFERROR(VLOOKUP(AD$2,Rango_Admin_DailyPred,MATCH($F71,Rango_Admin_DailyPred_Primera,0)+1,0),"-")</f>
        <v>-</v>
      </c>
      <c r="AE71" s="412" t="str">
        <f ca="1">IFERROR(VLOOKUP(AE$2,Rango_Admin_DailyPred,MATCH($F71,Rango_Admin_DailyPred_Primera,0)+1,0),"-")</f>
        <v>-</v>
      </c>
      <c r="AF71" s="412" t="str">
        <f ca="1">IFERROR(VLOOKUP(AF$2,Rango_Admin_DailyPred,MATCH($F71,Rango_Admin_DailyPred_Primera,0)+1,0),"-")</f>
        <v>-</v>
      </c>
      <c r="AG71" s="412" t="str">
        <f ca="1">IFERROR(VLOOKUP(AG$2,Rango_Admin_DailyPred,MATCH($F71,Rango_Admin_DailyPred_Primera,0)+1,0),"-")</f>
        <v>-</v>
      </c>
      <c r="AH71" s="412" t="str">
        <f ca="1">IFERROR(VLOOKUP(AH$2,Rango_Admin_DailyPred,MATCH($F71,Rango_Admin_DailyPred_Primera,0)+1,0),"-")</f>
        <v>-</v>
      </c>
      <c r="AI71" s="412" t="str">
        <f ca="1">IFERROR(VLOOKUP(AI$2,Rango_Admin_DailyPred,MATCH($F71,Rango_Admin_DailyPred_Primera,0)+1,0),"-")</f>
        <v>-</v>
      </c>
      <c r="AJ71" s="412" t="str">
        <f ca="1">IFERROR(VLOOKUP(AJ$2,Rango_Admin_DailyPred,MATCH($F71,Rango_Admin_DailyPred_Primera,0)+1,0),"-")</f>
        <v>-</v>
      </c>
      <c r="AK71" s="412" t="str">
        <f ca="1">IFERROR(VLOOKUP(AK$2,Rango_Admin_DailyPred,MATCH($F71,Rango_Admin_DailyPred_Primera,0)+1,0),"-")</f>
        <v>-</v>
      </c>
      <c r="AL71" s="412" t="str">
        <f ca="1">IFERROR(VLOOKUP(AL$2,Rango_Admin_DailyPred,MATCH($F71,Rango_Admin_DailyPred_Primera,0)+1,0),"-")</f>
        <v>-</v>
      </c>
      <c r="AM71" s="412" t="str">
        <f ca="1">IFERROR(VLOOKUP(AM$2,Rango_Admin_DailyPred,MATCH($F71,Rango_Admin_DailyPred_Primera,0)+1,0),"-")</f>
        <v>-</v>
      </c>
      <c r="AN71" s="287"/>
    </row>
    <row r="72" spans="4:40">
      <c r="D72" s="82"/>
      <c r="E72" s="395" t="str">
        <f ca="1">IFERROR(HLOOKUP(C72,Rango_Admin_DailyClas,3,FALSE),"-")</f>
        <v>-</v>
      </c>
      <c r="F72" s="428" t="str">
        <f ca="1">IFERROR(HLOOKUP(C72,Rango_Admin_DailyClas,5,FALSE),"-")</f>
        <v>-</v>
      </c>
      <c r="G72" s="18" t="str">
        <f ca="1">IFERROR(HLOOKUP(C72,Rango_Admin_DailyClas,4,FALSE),"-")</f>
        <v>-</v>
      </c>
      <c r="H72" s="412" t="str">
        <f ca="1">IFERROR(VLOOKUP(H$2,Rango_Admin_DailyPred,MATCH($F72,Rango_Admin_DailyPred_Primera,0)+1,0),"-")</f>
        <v>-</v>
      </c>
      <c r="I72" s="412" t="str">
        <f ca="1">IFERROR(VLOOKUP(I$2,Rango_Admin_DailyPred,MATCH($F72,Rango_Admin_DailyPred_Primera,0)+1,0),"-")</f>
        <v>-</v>
      </c>
      <c r="J72" s="412" t="str">
        <f ca="1">IFERROR(VLOOKUP(J$2,Rango_Admin_DailyPred,MATCH($F72,Rango_Admin_DailyPred_Primera,0)+1,0),"-")</f>
        <v>-</v>
      </c>
      <c r="K72" s="412" t="str">
        <f ca="1">IFERROR(VLOOKUP(K$2,Rango_Admin_DailyPred,MATCH($F72,Rango_Admin_DailyPred_Primera,0)+1,0),"-")</f>
        <v>-</v>
      </c>
      <c r="L72" s="412" t="str">
        <f ca="1">IFERROR(VLOOKUP(L$2,Rango_Admin_DailyPred,MATCH($F72,Rango_Admin_DailyPred_Primera,0)+1,0),"-")</f>
        <v>-</v>
      </c>
      <c r="M72" s="412" t="str">
        <f ca="1">IFERROR(VLOOKUP(M$2,Rango_Admin_DailyPred,MATCH($F72,Rango_Admin_DailyPred_Primera,0)+1,0),"-")</f>
        <v>-</v>
      </c>
      <c r="N72" s="412" t="str">
        <f ca="1">IFERROR(VLOOKUP(N$2,Rango_Admin_DailyPred,MATCH($F72,Rango_Admin_DailyPred_Primera,0)+1,0),"-")</f>
        <v>-</v>
      </c>
      <c r="O72" s="412" t="str">
        <f ca="1">IFERROR(VLOOKUP(O$2,Rango_Admin_DailyPred,MATCH($F72,Rango_Admin_DailyPred_Primera,0)+1,0),"-")</f>
        <v>-</v>
      </c>
      <c r="P72" s="412" t="str">
        <f ca="1">IFERROR(VLOOKUP(P$2,Rango_Admin_DailyPred,MATCH($F72,Rango_Admin_DailyPred_Primera,0)+1,0),"-")</f>
        <v>-</v>
      </c>
      <c r="Q72" s="412" t="str">
        <f ca="1">IFERROR(VLOOKUP(Q$2,Rango_Admin_DailyPred,MATCH($F72,Rango_Admin_DailyPred_Primera,0)+1,0),"-")</f>
        <v>-</v>
      </c>
      <c r="R72" s="412" t="str">
        <f ca="1">IFERROR(VLOOKUP(R$2,Rango_Admin_DailyPred,MATCH($F72,Rango_Admin_DailyPred_Primera,0)+1,0),"-")</f>
        <v>-</v>
      </c>
      <c r="S72" s="412" t="str">
        <f ca="1">IFERROR(VLOOKUP(S$2,Rango_Admin_DailyPred,MATCH($F72,Rango_Admin_DailyPred_Primera,0)+1,0),"-")</f>
        <v>-</v>
      </c>
      <c r="T72" s="412" t="str">
        <f ca="1">IFERROR(VLOOKUP(T$2,Rango_Admin_DailyPred,MATCH($F72,Rango_Admin_DailyPred_Primera,0)+1,0),"-")</f>
        <v>-</v>
      </c>
      <c r="U72" s="412" t="str">
        <f ca="1">IFERROR(VLOOKUP(U$2,Rango_Admin_DailyPred,MATCH($F72,Rango_Admin_DailyPred_Primera,0)+1,0),"-")</f>
        <v>-</v>
      </c>
      <c r="V72" s="412" t="str">
        <f ca="1">IFERROR(VLOOKUP(V$2,Rango_Admin_DailyPred,MATCH($F72,Rango_Admin_DailyPred_Primera,0)+1,0),"-")</f>
        <v>-</v>
      </c>
      <c r="W72" s="412" t="str">
        <f ca="1">IFERROR(VLOOKUP(W$2,Rango_Admin_DailyPred,MATCH($F72,Rango_Admin_DailyPred_Primera,0)+1,0),"-")</f>
        <v>-</v>
      </c>
      <c r="X72" s="412" t="str">
        <f ca="1">IFERROR(VLOOKUP(X$2,Rango_Admin_DailyPred,MATCH($F72,Rango_Admin_DailyPred_Primera,0)+1,0),"-")</f>
        <v>-</v>
      </c>
      <c r="Y72" s="412" t="str">
        <f ca="1">IFERROR(VLOOKUP(Y$2,Rango_Admin_DailyPred,MATCH($F72,Rango_Admin_DailyPred_Primera,0)+1,0),"-")</f>
        <v>-</v>
      </c>
      <c r="Z72" s="412" t="str">
        <f ca="1">IFERROR(VLOOKUP(Z$2,Rango_Admin_DailyPred,MATCH($F72,Rango_Admin_DailyPred_Primera,0)+1,0),"-")</f>
        <v>-</v>
      </c>
      <c r="AA72" s="412" t="str">
        <f ca="1">IFERROR(VLOOKUP(AA$2,Rango_Admin_DailyPred,MATCH($F72,Rango_Admin_DailyPred_Primera,0)+1,0),"-")</f>
        <v>-</v>
      </c>
      <c r="AB72" s="412" t="str">
        <f ca="1">IFERROR(VLOOKUP(AB$2,Rango_Admin_DailyPred,MATCH($F72,Rango_Admin_DailyPred_Primera,0)+1,0),"-")</f>
        <v>-</v>
      </c>
      <c r="AC72" s="412" t="str">
        <f ca="1">IFERROR(VLOOKUP(AC$2,Rango_Admin_DailyPred,MATCH($F72,Rango_Admin_DailyPred_Primera,0)+1,0),"-")</f>
        <v>-</v>
      </c>
      <c r="AD72" s="412" t="str">
        <f ca="1">IFERROR(VLOOKUP(AD$2,Rango_Admin_DailyPred,MATCH($F72,Rango_Admin_DailyPred_Primera,0)+1,0),"-")</f>
        <v>-</v>
      </c>
      <c r="AE72" s="412" t="str">
        <f ca="1">IFERROR(VLOOKUP(AE$2,Rango_Admin_DailyPred,MATCH($F72,Rango_Admin_DailyPred_Primera,0)+1,0),"-")</f>
        <v>-</v>
      </c>
      <c r="AF72" s="412" t="str">
        <f ca="1">IFERROR(VLOOKUP(AF$2,Rango_Admin_DailyPred,MATCH($F72,Rango_Admin_DailyPred_Primera,0)+1,0),"-")</f>
        <v>-</v>
      </c>
      <c r="AG72" s="412" t="str">
        <f ca="1">IFERROR(VLOOKUP(AG$2,Rango_Admin_DailyPred,MATCH($F72,Rango_Admin_DailyPred_Primera,0)+1,0),"-")</f>
        <v>-</v>
      </c>
      <c r="AH72" s="412" t="str">
        <f ca="1">IFERROR(VLOOKUP(AH$2,Rango_Admin_DailyPred,MATCH($F72,Rango_Admin_DailyPred_Primera,0)+1,0),"-")</f>
        <v>-</v>
      </c>
      <c r="AI72" s="412" t="str">
        <f ca="1">IFERROR(VLOOKUP(AI$2,Rango_Admin_DailyPred,MATCH($F72,Rango_Admin_DailyPred_Primera,0)+1,0),"-")</f>
        <v>-</v>
      </c>
      <c r="AJ72" s="412" t="str">
        <f ca="1">IFERROR(VLOOKUP(AJ$2,Rango_Admin_DailyPred,MATCH($F72,Rango_Admin_DailyPred_Primera,0)+1,0),"-")</f>
        <v>-</v>
      </c>
      <c r="AK72" s="412" t="str">
        <f ca="1">IFERROR(VLOOKUP(AK$2,Rango_Admin_DailyPred,MATCH($F72,Rango_Admin_DailyPred_Primera,0)+1,0),"-")</f>
        <v>-</v>
      </c>
      <c r="AL72" s="412" t="str">
        <f ca="1">IFERROR(VLOOKUP(AL$2,Rango_Admin_DailyPred,MATCH($F72,Rango_Admin_DailyPred_Primera,0)+1,0),"-")</f>
        <v>-</v>
      </c>
      <c r="AM72" s="412" t="str">
        <f ca="1">IFERROR(VLOOKUP(AM$2,Rango_Admin_DailyPred,MATCH($F72,Rango_Admin_DailyPred_Primera,0)+1,0),"-")</f>
        <v>-</v>
      </c>
      <c r="AN72" s="287"/>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E4:AM72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dimension ref="A2:P1420"/>
  <sheetViews>
    <sheetView topLeftCell="B157" zoomScaleNormal="100" workbookViewId="0">
      <selection activeCell="G203" sqref="G203"/>
    </sheetView>
  </sheetViews>
  <sheetFormatPr baseColWidth="10" defaultColWidth="11.42578125" defaultRowHeight="15"/>
  <cols>
    <col min="1" max="1" width="28.7109375" style="757" bestFit="1" customWidth="1"/>
    <col min="2" max="2" width="3" style="757" bestFit="1" customWidth="1"/>
    <col min="3" max="3" width="35.42578125" style="757" bestFit="1" customWidth="1"/>
    <col min="4" max="4" width="81.28515625" style="757" customWidth="1"/>
    <col min="5" max="5" width="17.28515625" style="757" bestFit="1" customWidth="1"/>
    <col min="6" max="6" width="9.7109375" style="757" bestFit="1" customWidth="1"/>
    <col min="7" max="7" width="96.28515625" style="757" customWidth="1"/>
    <col min="8" max="8" width="96" style="757" customWidth="1"/>
    <col min="9" max="9" width="3.28515625" style="9" bestFit="1" customWidth="1"/>
    <col min="10" max="10" width="13" style="9" bestFit="1" customWidth="1"/>
    <col min="11" max="12" width="12.28515625" style="9" bestFit="1" customWidth="1"/>
    <col min="13" max="16384" width="11.42578125" style="9"/>
  </cols>
  <sheetData>
    <row r="2" spans="1:12">
      <c r="A2" s="757" t="s">
        <v>216</v>
      </c>
      <c r="B2" s="757">
        <f>IF(Home!$C$6=Idiomas!A2,1,0)</f>
        <v>1</v>
      </c>
    </row>
    <row r="3" spans="1:12">
      <c r="A3" s="757" t="s">
        <v>348</v>
      </c>
      <c r="B3" s="757">
        <f>IF(Home!$C$6=Idiomas!A3,1,0)</f>
        <v>0</v>
      </c>
      <c r="E3" s="757" t="s">
        <v>174</v>
      </c>
      <c r="F3" s="757" t="s">
        <v>176</v>
      </c>
      <c r="G3" s="757" t="s">
        <v>216</v>
      </c>
      <c r="H3" s="757" t="s">
        <v>184</v>
      </c>
    </row>
    <row r="4" spans="1:12">
      <c r="D4" s="757" t="str">
        <f>IF($B$2,G4,H4)</f>
        <v>Introducir resultados</v>
      </c>
      <c r="E4" s="757" t="s">
        <v>21</v>
      </c>
      <c r="F4" s="757" t="s">
        <v>177</v>
      </c>
      <c r="G4" s="757" t="s">
        <v>175</v>
      </c>
      <c r="H4" s="757" t="s">
        <v>187</v>
      </c>
    </row>
    <row r="5" spans="1:12" ht="30">
      <c r="B5" s="760"/>
      <c r="D5" s="757" t="str">
        <f t="shared" ref="D5:D13" si="0">IF($B$2,G5,H5)</f>
        <v>Esta versión es para un maximo de 5 participantes. Puedes descargar versiones para más participantes desde el enlace de abajo</v>
      </c>
      <c r="E5" s="757" t="s">
        <v>21</v>
      </c>
      <c r="F5" s="757" t="s">
        <v>178</v>
      </c>
      <c r="G5" s="757" t="s">
        <v>1732</v>
      </c>
      <c r="H5" s="757" t="s">
        <v>1733</v>
      </c>
      <c r="K5" s="752"/>
      <c r="L5" s="752"/>
    </row>
    <row r="6" spans="1:12">
      <c r="B6" s="760"/>
      <c r="D6" s="757" t="str">
        <f t="shared" si="0"/>
        <v>Predictor Equipos</v>
      </c>
      <c r="G6" s="761" t="s">
        <v>1297</v>
      </c>
      <c r="H6" s="761" t="s">
        <v>1298</v>
      </c>
    </row>
    <row r="7" spans="1:12">
      <c r="D7" s="757" t="str">
        <f t="shared" si="0"/>
        <v>Selecciona idioma</v>
      </c>
      <c r="E7" s="757" t="s">
        <v>21</v>
      </c>
      <c r="F7" s="757" t="s">
        <v>347</v>
      </c>
      <c r="G7" s="757" t="s">
        <v>1304</v>
      </c>
      <c r="H7" s="757" t="s">
        <v>1305</v>
      </c>
    </row>
    <row r="8" spans="1:12">
      <c r="D8" s="757" t="str">
        <f t="shared" si="0"/>
        <v>XXIII Mundial USA/MEX/CAN 2026</v>
      </c>
      <c r="E8" s="757" t="s">
        <v>21</v>
      </c>
      <c r="F8" s="757" t="s">
        <v>349</v>
      </c>
      <c r="G8" s="757" t="s">
        <v>494</v>
      </c>
      <c r="H8" s="757" t="s">
        <v>495</v>
      </c>
    </row>
    <row r="9" spans="1:12">
      <c r="D9" s="757" t="str">
        <f t="shared" si="0"/>
        <v>Versiones para más participantes</v>
      </c>
      <c r="E9" s="757" t="s">
        <v>21</v>
      </c>
      <c r="F9" s="757" t="s">
        <v>350</v>
      </c>
      <c r="G9" s="757" t="s">
        <v>1570</v>
      </c>
      <c r="H9" s="757" t="s">
        <v>1571</v>
      </c>
    </row>
    <row r="10" spans="1:12">
      <c r="D10" s="757" t="str">
        <f t="shared" si="0"/>
        <v>https://matejero.es/administrador-excel-mundial-2026/</v>
      </c>
      <c r="E10" s="757" t="s">
        <v>21</v>
      </c>
      <c r="F10" s="757" t="s">
        <v>434</v>
      </c>
      <c r="G10" s="757" t="s">
        <v>1915</v>
      </c>
      <c r="H10" s="757" t="s">
        <v>1916</v>
      </c>
    </row>
    <row r="11" spans="1:12">
      <c r="D11" s="757" t="str">
        <f t="shared" si="0"/>
        <v>Si en la hoja WorldCup no ves las banderas, puedes usar el otro archivo que venia en el .zip</v>
      </c>
      <c r="G11" s="757" t="s">
        <v>1333</v>
      </c>
      <c r="H11" s="757" t="s">
        <v>1332</v>
      </c>
    </row>
    <row r="12" spans="1:12">
      <c r="D12" s="757" t="str">
        <f t="shared" si="0"/>
        <v>Donar</v>
      </c>
      <c r="G12" s="757" t="s">
        <v>1309</v>
      </c>
      <c r="H12" s="757" t="s">
        <v>1308</v>
      </c>
    </row>
    <row r="13" spans="1:12">
      <c r="D13" s="757" t="str">
        <f t="shared" si="0"/>
        <v>https://matejero.es/faq-porra-mundial-2026-excel/</v>
      </c>
      <c r="G13" s="757" t="s">
        <v>1914</v>
      </c>
      <c r="H13" s="757" t="s">
        <v>1913</v>
      </c>
    </row>
    <row r="14" spans="1:12">
      <c r="B14" s="760"/>
    </row>
    <row r="15" spans="1:12">
      <c r="D15" s="757" t="str">
        <f t="shared" ref="D15:D68" si="1">IF($B$2,G15,H15)</f>
        <v>Selecciona horario</v>
      </c>
      <c r="E15" s="757" t="s">
        <v>480</v>
      </c>
      <c r="F15" s="757" t="s">
        <v>116</v>
      </c>
      <c r="G15" s="757" t="s">
        <v>1303</v>
      </c>
      <c r="H15" s="757" t="s">
        <v>1302</v>
      </c>
    </row>
    <row r="16" spans="1:12">
      <c r="D16" s="757" t="str">
        <f t="shared" si="1"/>
        <v>Fecha</v>
      </c>
      <c r="E16" s="757" t="s">
        <v>480</v>
      </c>
      <c r="F16" s="757" t="s">
        <v>129</v>
      </c>
      <c r="G16" s="757" t="s">
        <v>10</v>
      </c>
      <c r="H16" s="757" t="s">
        <v>217</v>
      </c>
    </row>
    <row r="17" spans="4:8">
      <c r="D17" s="757" t="str">
        <f t="shared" si="1"/>
        <v>Hora</v>
      </c>
      <c r="E17" s="757" t="s">
        <v>480</v>
      </c>
      <c r="F17" s="757" t="s">
        <v>180</v>
      </c>
      <c r="G17" s="757" t="s">
        <v>29</v>
      </c>
      <c r="H17" s="757" t="s">
        <v>183</v>
      </c>
    </row>
    <row r="18" spans="4:8">
      <c r="D18" s="757" t="str">
        <f t="shared" si="1"/>
        <v>Jor.</v>
      </c>
      <c r="E18" s="757" t="s">
        <v>480</v>
      </c>
      <c r="F18" s="757" t="s">
        <v>181</v>
      </c>
      <c r="G18" s="757" t="s">
        <v>31</v>
      </c>
      <c r="H18" s="757" t="s">
        <v>185</v>
      </c>
    </row>
    <row r="19" spans="4:8">
      <c r="D19" s="757" t="str">
        <f t="shared" si="1"/>
        <v>Casa</v>
      </c>
      <c r="E19" s="757" t="s">
        <v>480</v>
      </c>
      <c r="F19" s="757" t="s">
        <v>182</v>
      </c>
      <c r="G19" s="757" t="s">
        <v>15</v>
      </c>
      <c r="H19" s="757" t="s">
        <v>186</v>
      </c>
    </row>
    <row r="20" spans="4:8">
      <c r="D20" s="757" t="str">
        <f t="shared" si="1"/>
        <v>Gol</v>
      </c>
      <c r="E20" s="757" t="s">
        <v>480</v>
      </c>
      <c r="F20" s="757" t="s">
        <v>188</v>
      </c>
      <c r="G20" s="757" t="s">
        <v>17</v>
      </c>
      <c r="H20" s="757" t="s">
        <v>189</v>
      </c>
    </row>
    <row r="21" spans="4:8">
      <c r="D21" s="757" t="str">
        <f t="shared" si="1"/>
        <v>Fuera</v>
      </c>
      <c r="E21" s="757" t="s">
        <v>480</v>
      </c>
      <c r="F21" s="757" t="s">
        <v>190</v>
      </c>
      <c r="G21" s="757" t="s">
        <v>16</v>
      </c>
      <c r="H21" s="757" t="s">
        <v>191</v>
      </c>
    </row>
    <row r="22" spans="4:8">
      <c r="D22" s="757" t="str">
        <f t="shared" si="1"/>
        <v>Grupo</v>
      </c>
      <c r="E22" s="757" t="s">
        <v>480</v>
      </c>
      <c r="F22" s="757" t="s">
        <v>192</v>
      </c>
      <c r="G22" s="757" t="s">
        <v>71</v>
      </c>
      <c r="H22" s="757" t="s">
        <v>193</v>
      </c>
    </row>
    <row r="23" spans="4:8">
      <c r="D23" s="757" t="str">
        <f t="shared" si="1"/>
        <v>¡EMPATE! Puedes seleccionar el orden de los empatados.</v>
      </c>
      <c r="E23" s="757" t="s">
        <v>480</v>
      </c>
      <c r="F23" s="757" t="s">
        <v>194</v>
      </c>
      <c r="G23" s="757" t="s">
        <v>22</v>
      </c>
      <c r="H23" s="757" t="s">
        <v>224</v>
      </c>
    </row>
    <row r="24" spans="4:8">
      <c r="D24" s="757" t="str">
        <f t="shared" si="1"/>
        <v>Mejores terceros</v>
      </c>
      <c r="E24" s="757" t="s">
        <v>480</v>
      </c>
      <c r="F24" s="757" t="s">
        <v>195</v>
      </c>
      <c r="G24" s="757" t="s">
        <v>67</v>
      </c>
      <c r="H24" s="757" t="s">
        <v>225</v>
      </c>
    </row>
    <row r="25" spans="4:8">
      <c r="D25" s="757" t="str">
        <f t="shared" si="1"/>
        <v>Dieciseisavos de final</v>
      </c>
      <c r="E25" s="757" t="s">
        <v>480</v>
      </c>
      <c r="G25" s="757" t="s">
        <v>481</v>
      </c>
      <c r="H25" s="757" t="s">
        <v>482</v>
      </c>
    </row>
    <row r="26" spans="4:8">
      <c r="D26" s="757" t="str">
        <f t="shared" si="1"/>
        <v>Octavos de final</v>
      </c>
      <c r="E26" s="757" t="s">
        <v>480</v>
      </c>
      <c r="F26" s="757" t="s">
        <v>196</v>
      </c>
      <c r="G26" s="757" t="s">
        <v>87</v>
      </c>
      <c r="H26" s="757" t="s">
        <v>218</v>
      </c>
    </row>
    <row r="27" spans="4:8">
      <c r="D27" s="757" t="str">
        <f t="shared" si="1"/>
        <v>Cuartos de final</v>
      </c>
      <c r="E27" s="757" t="s">
        <v>480</v>
      </c>
      <c r="F27" s="757" t="s">
        <v>197</v>
      </c>
      <c r="G27" s="757" t="s">
        <v>69</v>
      </c>
      <c r="H27" s="757" t="s">
        <v>219</v>
      </c>
    </row>
    <row r="28" spans="4:8">
      <c r="D28" s="757" t="str">
        <f t="shared" si="1"/>
        <v>Semifinales</v>
      </c>
      <c r="E28" s="757" t="s">
        <v>480</v>
      </c>
      <c r="F28" s="757" t="s">
        <v>198</v>
      </c>
      <c r="G28" s="757" t="s">
        <v>36</v>
      </c>
      <c r="H28" s="757" t="s">
        <v>220</v>
      </c>
    </row>
    <row r="29" spans="4:8">
      <c r="D29" s="757" t="str">
        <f t="shared" si="1"/>
        <v>3º y 4º puesto</v>
      </c>
      <c r="E29" s="757" t="s">
        <v>480</v>
      </c>
      <c r="G29" s="757" t="s">
        <v>491</v>
      </c>
      <c r="H29" s="757" t="s">
        <v>492</v>
      </c>
    </row>
    <row r="30" spans="4:8">
      <c r="D30" s="757" t="str">
        <f t="shared" si="1"/>
        <v>Final</v>
      </c>
      <c r="E30" s="757" t="s">
        <v>480</v>
      </c>
      <c r="F30" s="757" t="s">
        <v>199</v>
      </c>
      <c r="G30" s="757" t="s">
        <v>37</v>
      </c>
      <c r="H30" s="757" t="s">
        <v>37</v>
      </c>
    </row>
    <row r="31" spans="4:8">
      <c r="D31" s="757" t="str">
        <f t="shared" si="1"/>
        <v>Cuadro de honor</v>
      </c>
      <c r="E31" s="757" t="s">
        <v>480</v>
      </c>
      <c r="F31" s="757" t="s">
        <v>200</v>
      </c>
      <c r="G31" s="757" t="s">
        <v>1306</v>
      </c>
      <c r="H31" s="757" t="s">
        <v>1307</v>
      </c>
    </row>
    <row r="32" spans="4:8">
      <c r="D32" s="757" t="str">
        <f t="shared" si="1"/>
        <v>Campeón</v>
      </c>
      <c r="E32" s="757" t="s">
        <v>480</v>
      </c>
      <c r="F32" s="757" t="s">
        <v>201</v>
      </c>
      <c r="G32" s="757" t="s">
        <v>18</v>
      </c>
      <c r="H32" s="757" t="s">
        <v>222</v>
      </c>
    </row>
    <row r="33" spans="4:8">
      <c r="D33" s="757" t="str">
        <f t="shared" si="1"/>
        <v>Subcampeón</v>
      </c>
      <c r="E33" s="757" t="s">
        <v>480</v>
      </c>
      <c r="F33" s="757" t="s">
        <v>202</v>
      </c>
      <c r="G33" s="757" t="s">
        <v>19</v>
      </c>
      <c r="H33" s="757" t="s">
        <v>223</v>
      </c>
    </row>
    <row r="34" spans="4:8">
      <c r="D34" s="757" t="str">
        <f t="shared" si="1"/>
        <v>3º puesto</v>
      </c>
      <c r="E34" s="757" t="s">
        <v>480</v>
      </c>
      <c r="G34" s="757" t="s">
        <v>1234</v>
      </c>
      <c r="H34" s="757" t="s">
        <v>1235</v>
      </c>
    </row>
    <row r="35" spans="4:8">
      <c r="D35" s="757" t="str">
        <f t="shared" si="1"/>
        <v>Bota de Oro  (máximo goleador)</v>
      </c>
      <c r="E35" s="757" t="s">
        <v>480</v>
      </c>
      <c r="F35" s="757" t="s">
        <v>203</v>
      </c>
      <c r="G35" s="762" t="s">
        <v>499</v>
      </c>
      <c r="H35" s="757" t="s">
        <v>505</v>
      </c>
    </row>
    <row r="36" spans="4:8">
      <c r="D36" s="757" t="str">
        <f t="shared" si="1"/>
        <v>Bota de Plata (2º máximo goleador)</v>
      </c>
      <c r="E36" s="757" t="s">
        <v>480</v>
      </c>
      <c r="F36" s="757" t="s">
        <v>204</v>
      </c>
      <c r="G36" s="762" t="s">
        <v>500</v>
      </c>
      <c r="H36" s="757" t="s">
        <v>506</v>
      </c>
    </row>
    <row r="37" spans="4:8">
      <c r="D37" s="757" t="str">
        <f t="shared" si="1"/>
        <v>Bota de Bronce (3º máximo goleador)</v>
      </c>
      <c r="G37" s="762" t="s">
        <v>501</v>
      </c>
      <c r="H37" s="757" t="s">
        <v>507</v>
      </c>
    </row>
    <row r="38" spans="4:8">
      <c r="D38" s="757" t="str">
        <f t="shared" si="1"/>
        <v>Balón de Oro  (mejor jugador)</v>
      </c>
      <c r="G38" s="762" t="s">
        <v>502</v>
      </c>
      <c r="H38" s="757" t="s">
        <v>508</v>
      </c>
    </row>
    <row r="39" spans="4:8">
      <c r="D39" s="757" t="str">
        <f t="shared" si="1"/>
        <v>Balón de Plata (2º mejor jugador)</v>
      </c>
      <c r="G39" s="762" t="s">
        <v>503</v>
      </c>
      <c r="H39" s="757" t="s">
        <v>509</v>
      </c>
    </row>
    <row r="40" spans="4:8">
      <c r="D40" s="757" t="str">
        <f t="shared" si="1"/>
        <v>Balón de Bronce (3º mejor jugador)</v>
      </c>
      <c r="G40" s="762" t="s">
        <v>504</v>
      </c>
      <c r="H40" s="757" t="s">
        <v>1741</v>
      </c>
    </row>
    <row r="41" spans="4:8">
      <c r="D41" s="757" t="str">
        <f t="shared" si="1"/>
        <v>Escribe el jugador Bota de Oro</v>
      </c>
      <c r="E41" s="757" t="s">
        <v>480</v>
      </c>
      <c r="F41" s="757" t="s">
        <v>205</v>
      </c>
      <c r="G41" s="762" t="s">
        <v>1735</v>
      </c>
      <c r="H41" s="757" t="s">
        <v>1740</v>
      </c>
    </row>
    <row r="42" spans="4:8">
      <c r="D42" s="757" t="str">
        <f t="shared" si="1"/>
        <v>Escribe el jugador Bota de Plata</v>
      </c>
      <c r="E42" s="757" t="s">
        <v>480</v>
      </c>
      <c r="F42" s="757" t="s">
        <v>206</v>
      </c>
      <c r="G42" s="762" t="s">
        <v>1736</v>
      </c>
      <c r="H42" s="757" t="s">
        <v>1743</v>
      </c>
    </row>
    <row r="43" spans="4:8">
      <c r="D43" s="757" t="str">
        <f t="shared" si="1"/>
        <v>Escribe el jugador Bota de Bronce</v>
      </c>
      <c r="G43" s="762" t="s">
        <v>1737</v>
      </c>
      <c r="H43" s="757" t="s">
        <v>1744</v>
      </c>
    </row>
    <row r="44" spans="4:8">
      <c r="D44" s="757" t="str">
        <f t="shared" si="1"/>
        <v>Escribe el equipo máximo goleador</v>
      </c>
      <c r="G44" s="762" t="s">
        <v>1935</v>
      </c>
      <c r="H44" s="757" t="s">
        <v>1745</v>
      </c>
    </row>
    <row r="45" spans="4:8">
      <c r="D45" s="757" t="str">
        <f t="shared" si="1"/>
        <v>Escribe el jugador Balón de Plata</v>
      </c>
      <c r="G45" s="762" t="s">
        <v>1738</v>
      </c>
      <c r="H45" s="757" t="s">
        <v>1746</v>
      </c>
    </row>
    <row r="46" spans="4:8">
      <c r="D46" s="757" t="str">
        <f t="shared" si="1"/>
        <v>Escribe el jugador Balón de Bronce</v>
      </c>
      <c r="G46" s="762" t="s">
        <v>1739</v>
      </c>
      <c r="H46" s="757" t="s">
        <v>1742</v>
      </c>
    </row>
    <row r="47" spans="4:8">
      <c r="D47" s="757" t="str">
        <f t="shared" si="1"/>
        <v>NombreGrupo</v>
      </c>
      <c r="E47" s="757" t="s">
        <v>186</v>
      </c>
      <c r="F47" s="757" t="s">
        <v>207</v>
      </c>
      <c r="G47" s="757" t="s">
        <v>1894</v>
      </c>
      <c r="H47" s="757" t="s">
        <v>1895</v>
      </c>
    </row>
    <row r="48" spans="4:8">
      <c r="D48" s="757" t="str">
        <f t="shared" si="1"/>
        <v>Escribe el nombre del grupo</v>
      </c>
      <c r="E48" s="757" t="s">
        <v>1901</v>
      </c>
      <c r="F48" s="757" t="s">
        <v>208</v>
      </c>
      <c r="G48" s="757" t="s">
        <v>1850</v>
      </c>
      <c r="H48" s="757" t="s">
        <v>1851</v>
      </c>
    </row>
    <row r="49" spans="4:11">
      <c r="D49" s="757" t="str">
        <f t="shared" si="1"/>
        <v>MUNDIAL EN CURSO</v>
      </c>
      <c r="E49" s="757" t="s">
        <v>480</v>
      </c>
      <c r="F49" s="757" t="s">
        <v>209</v>
      </c>
      <c r="G49" s="757" t="s">
        <v>1903</v>
      </c>
      <c r="H49" s="757" t="s">
        <v>1902</v>
      </c>
    </row>
    <row r="50" spans="4:11">
      <c r="D50" s="757" t="str">
        <f t="shared" si="1"/>
        <v>Todavía hay emoción</v>
      </c>
      <c r="E50" s="757" t="s">
        <v>480</v>
      </c>
      <c r="F50" s="757" t="s">
        <v>210</v>
      </c>
      <c r="G50" s="757" t="s">
        <v>1906</v>
      </c>
      <c r="H50" s="757" t="s">
        <v>1907</v>
      </c>
    </row>
    <row r="51" spans="4:11">
      <c r="D51" s="757" t="str">
        <f t="shared" si="1"/>
        <v>MUNDIAL FINALIZADO</v>
      </c>
      <c r="E51" s="757" t="s">
        <v>480</v>
      </c>
      <c r="F51" s="757" t="s">
        <v>211</v>
      </c>
      <c r="G51" s="757" t="s">
        <v>1904</v>
      </c>
      <c r="H51" s="757" t="s">
        <v>1905</v>
      </c>
    </row>
    <row r="52" spans="4:11">
      <c r="D52" s="757" t="str">
        <f t="shared" si="1"/>
        <v>¿Quién habrá ganado?</v>
      </c>
      <c r="E52" s="757" t="s">
        <v>480</v>
      </c>
      <c r="F52" s="757" t="s">
        <v>212</v>
      </c>
      <c r="G52" s="757" t="s">
        <v>1908</v>
      </c>
      <c r="H52" s="757" t="s">
        <v>1909</v>
      </c>
    </row>
    <row r="53" spans="4:11">
      <c r="D53" s="757" t="str">
        <f t="shared" si="1"/>
        <v>Pos</v>
      </c>
      <c r="E53" s="757" t="s">
        <v>480</v>
      </c>
      <c r="F53" s="757" t="s">
        <v>226</v>
      </c>
      <c r="G53" s="757" t="s">
        <v>14</v>
      </c>
      <c r="H53" s="757" t="s">
        <v>14</v>
      </c>
    </row>
    <row r="54" spans="4:11">
      <c r="D54" s="757" t="str">
        <f t="shared" si="1"/>
        <v>Selección</v>
      </c>
      <c r="E54" s="757" t="s">
        <v>480</v>
      </c>
      <c r="F54" s="757" t="s">
        <v>227</v>
      </c>
      <c r="G54" s="757" t="s">
        <v>68</v>
      </c>
      <c r="H54" s="757" t="s">
        <v>236</v>
      </c>
    </row>
    <row r="55" spans="4:11">
      <c r="D55" s="757" t="str">
        <f t="shared" si="1"/>
        <v>Pts</v>
      </c>
      <c r="E55" s="757" t="s">
        <v>480</v>
      </c>
      <c r="F55" s="757" t="s">
        <v>228</v>
      </c>
      <c r="G55" s="757" t="s">
        <v>32</v>
      </c>
      <c r="H55" s="757" t="s">
        <v>32</v>
      </c>
    </row>
    <row r="56" spans="4:11">
      <c r="D56" s="757" t="str">
        <f t="shared" si="1"/>
        <v>J</v>
      </c>
      <c r="E56" s="757" t="s">
        <v>480</v>
      </c>
      <c r="F56" s="757" t="s">
        <v>229</v>
      </c>
      <c r="G56" s="757" t="s">
        <v>5</v>
      </c>
      <c r="H56" s="757" t="s">
        <v>7</v>
      </c>
    </row>
    <row r="57" spans="4:11">
      <c r="D57" s="757" t="str">
        <f t="shared" si="1"/>
        <v>G</v>
      </c>
      <c r="E57" s="757" t="s">
        <v>480</v>
      </c>
      <c r="F57" s="757" t="s">
        <v>230</v>
      </c>
      <c r="G57" s="757" t="s">
        <v>6</v>
      </c>
      <c r="H57" s="757" t="s">
        <v>237</v>
      </c>
    </row>
    <row r="58" spans="4:11">
      <c r="D58" s="757" t="str">
        <f t="shared" si="1"/>
        <v>E</v>
      </c>
      <c r="E58" s="757" t="s">
        <v>480</v>
      </c>
      <c r="F58" s="757" t="s">
        <v>231</v>
      </c>
      <c r="G58" s="757" t="s">
        <v>3</v>
      </c>
      <c r="H58" s="757" t="s">
        <v>73</v>
      </c>
      <c r="K58" s="5"/>
    </row>
    <row r="59" spans="4:11">
      <c r="D59" s="757" t="str">
        <f t="shared" si="1"/>
        <v>P</v>
      </c>
      <c r="E59" s="757" t="s">
        <v>480</v>
      </c>
      <c r="F59" s="757" t="s">
        <v>232</v>
      </c>
      <c r="G59" s="757" t="s">
        <v>7</v>
      </c>
      <c r="H59" s="757" t="s">
        <v>238</v>
      </c>
      <c r="K59" s="5"/>
    </row>
    <row r="60" spans="4:11">
      <c r="D60" s="757" t="str">
        <f t="shared" si="1"/>
        <v>GF</v>
      </c>
      <c r="E60" s="757" t="s">
        <v>480</v>
      </c>
      <c r="F60" s="757" t="s">
        <v>233</v>
      </c>
      <c r="G60" s="757" t="s">
        <v>8</v>
      </c>
      <c r="H60" s="757" t="s">
        <v>4</v>
      </c>
      <c r="K60" s="5"/>
    </row>
    <row r="61" spans="4:11">
      <c r="D61" s="757" t="str">
        <f t="shared" si="1"/>
        <v>GC</v>
      </c>
      <c r="E61" s="757" t="s">
        <v>480</v>
      </c>
      <c r="F61" s="757" t="s">
        <v>234</v>
      </c>
      <c r="G61" s="757" t="s">
        <v>9</v>
      </c>
      <c r="H61" s="757" t="s">
        <v>0</v>
      </c>
      <c r="K61" s="5"/>
    </row>
    <row r="62" spans="4:11">
      <c r="D62" s="757" t="str">
        <f t="shared" si="1"/>
        <v>DG</v>
      </c>
      <c r="E62" s="757" t="s">
        <v>480</v>
      </c>
      <c r="F62" s="757" t="s">
        <v>235</v>
      </c>
      <c r="G62" s="757" t="s">
        <v>66</v>
      </c>
      <c r="H62" s="757" t="s">
        <v>81</v>
      </c>
      <c r="K62" s="5"/>
    </row>
    <row r="63" spans="4:11">
      <c r="D63" s="757" t="str">
        <f t="shared" si="1"/>
        <v>J1</v>
      </c>
      <c r="E63" s="757" t="s">
        <v>480</v>
      </c>
      <c r="G63" s="757" t="s">
        <v>26</v>
      </c>
      <c r="H63" s="757" t="s">
        <v>273</v>
      </c>
      <c r="K63" s="5"/>
    </row>
    <row r="64" spans="4:11">
      <c r="D64" s="757" t="str">
        <f t="shared" si="1"/>
        <v>J2</v>
      </c>
      <c r="E64" s="757" t="s">
        <v>480</v>
      </c>
      <c r="G64" s="757" t="s">
        <v>27</v>
      </c>
      <c r="H64" s="757" t="s">
        <v>274</v>
      </c>
    </row>
    <row r="65" spans="3:8">
      <c r="D65" s="757" t="str">
        <f t="shared" si="1"/>
        <v>J3</v>
      </c>
      <c r="E65" s="757" t="s">
        <v>480</v>
      </c>
      <c r="G65" s="757" t="s">
        <v>28</v>
      </c>
      <c r="H65" s="757" t="s">
        <v>275</v>
      </c>
    </row>
    <row r="66" spans="3:8">
      <c r="C66" s="757" t="s">
        <v>1900</v>
      </c>
      <c r="D66" s="757" t="str">
        <f t="shared" si="1"/>
        <v>Instrucciones en video</v>
      </c>
      <c r="E66" s="757" t="s">
        <v>480</v>
      </c>
      <c r="F66" s="757" t="s">
        <v>1222</v>
      </c>
      <c r="G66" s="763" t="s">
        <v>1329</v>
      </c>
      <c r="H66" s="757" t="s">
        <v>1223</v>
      </c>
    </row>
    <row r="67" spans="3:8">
      <c r="D67" s="757" t="str">
        <f t="shared" si="1"/>
        <v>Sí</v>
      </c>
      <c r="E67" s="757" t="s">
        <v>480</v>
      </c>
      <c r="G67" s="757" t="s">
        <v>1219</v>
      </c>
      <c r="H67" s="757" t="s">
        <v>1221</v>
      </c>
    </row>
    <row r="68" spans="3:8">
      <c r="D68" s="757" t="str">
        <f t="shared" si="1"/>
        <v>No</v>
      </c>
      <c r="E68" s="757" t="s">
        <v>480</v>
      </c>
      <c r="G68" s="757" t="s">
        <v>1220</v>
      </c>
      <c r="H68" s="757" t="s">
        <v>1220</v>
      </c>
    </row>
    <row r="69" spans="3:8">
      <c r="D69" s="757" t="str">
        <f t="shared" ref="D69:D78" si="2">IF($B$2,G69,H69)</f>
        <v>Puntos penalizados</v>
      </c>
      <c r="E69" s="757" t="s">
        <v>480</v>
      </c>
      <c r="G69" s="761" t="s">
        <v>1232</v>
      </c>
      <c r="H69" s="761" t="s">
        <v>1233</v>
      </c>
    </row>
    <row r="70" spans="3:8">
      <c r="D70" s="757" t="str">
        <f t="shared" si="2"/>
        <v xml:space="preserve">Grupos mejores 3ºs: </v>
      </c>
      <c r="G70" s="761" t="s">
        <v>1327</v>
      </c>
      <c r="H70" s="761" t="s">
        <v>1326</v>
      </c>
    </row>
    <row r="71" spans="3:8">
      <c r="D71" s="757" t="str">
        <f t="shared" si="2"/>
        <v>La clasificación de los mejores terceros aparece al final de la J1</v>
      </c>
      <c r="G71" s="757" t="s">
        <v>1361</v>
      </c>
      <c r="H71" s="757" t="s">
        <v>1362</v>
      </c>
    </row>
    <row r="72" spans="3:8">
      <c r="D72" s="757" t="str">
        <f t="shared" si="2"/>
        <v>Sí</v>
      </c>
      <c r="G72" s="757" t="s">
        <v>1219</v>
      </c>
      <c r="H72" s="757" t="s">
        <v>1221</v>
      </c>
    </row>
    <row r="73" spans="3:8">
      <c r="D73" s="757" t="str">
        <f t="shared" si="2"/>
        <v>No</v>
      </c>
      <c r="G73" s="757" t="s">
        <v>1220</v>
      </c>
      <c r="H73" s="757" t="s">
        <v>1220</v>
      </c>
    </row>
    <row r="74" spans="3:8">
      <c r="D74" s="757" t="str">
        <f t="shared" si="2"/>
        <v>¿Hay equipos penalizados?</v>
      </c>
      <c r="G74" s="757" t="s">
        <v>1730</v>
      </c>
      <c r="H74" s="757" t="s">
        <v>1731</v>
      </c>
    </row>
    <row r="75" spans="3:8">
      <c r="C75" s="757">
        <v>1</v>
      </c>
      <c r="D75" s="757" t="str">
        <f t="shared" si="2"/>
        <v>Normal</v>
      </c>
      <c r="G75" s="757" t="s">
        <v>1802</v>
      </c>
      <c r="H75" s="757" t="s">
        <v>1802</v>
      </c>
    </row>
    <row r="76" spans="3:8">
      <c r="C76" s="757">
        <v>2</v>
      </c>
      <c r="D76" s="757" t="str">
        <f t="shared" si="2"/>
        <v>No cuenta el partido contra el último</v>
      </c>
      <c r="G76" s="757" t="s">
        <v>1803</v>
      </c>
      <c r="H76" s="757" t="s">
        <v>1804</v>
      </c>
    </row>
    <row r="77" spans="3:8">
      <c r="C77" s="757">
        <v>3</v>
      </c>
      <c r="D77" s="757" t="str">
        <f t="shared" si="2"/>
        <v>Media por partido</v>
      </c>
      <c r="G77" s="757" t="s">
        <v>1805</v>
      </c>
      <c r="H77" s="757" t="s">
        <v>1806</v>
      </c>
    </row>
    <row r="78" spans="3:8">
      <c r="D78" s="757" t="str">
        <f t="shared" si="2"/>
        <v>Selecciona criterio:</v>
      </c>
      <c r="G78" s="757" t="s">
        <v>1807</v>
      </c>
      <c r="H78" s="757" t="s">
        <v>1808</v>
      </c>
    </row>
    <row r="81" spans="4:8" ht="15" customHeight="1">
      <c r="D81" s="757"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757" t="s">
        <v>1897</v>
      </c>
      <c r="F81" s="757" t="s">
        <v>125</v>
      </c>
      <c r="G81" s="757" t="s">
        <v>72</v>
      </c>
      <c r="H81" s="757" t="s">
        <v>286</v>
      </c>
    </row>
    <row r="82" spans="4:8">
      <c r="D82" s="757" t="str">
        <f t="shared" si="3"/>
        <v>Autor:</v>
      </c>
      <c r="E82" s="757" t="s">
        <v>1897</v>
      </c>
      <c r="F82" s="757" t="s">
        <v>214</v>
      </c>
      <c r="G82" s="757" t="s">
        <v>24</v>
      </c>
      <c r="H82" s="757" t="s">
        <v>287</v>
      </c>
    </row>
    <row r="83" spans="4:8">
      <c r="D83" s="757" t="str">
        <f t="shared" si="3"/>
        <v>Útima versión</v>
      </c>
      <c r="E83" s="757" t="s">
        <v>1897</v>
      </c>
      <c r="F83" s="757" t="s">
        <v>215</v>
      </c>
      <c r="G83" s="757" t="s">
        <v>289</v>
      </c>
      <c r="H83" s="757" t="s">
        <v>288</v>
      </c>
    </row>
    <row r="84" spans="4:8">
      <c r="D84" s="757" t="str">
        <f t="shared" si="3"/>
        <v>Limitación de responsabilidad:</v>
      </c>
      <c r="E84" s="757" t="s">
        <v>1897</v>
      </c>
      <c r="F84" s="757" t="s">
        <v>119</v>
      </c>
      <c r="G84" s="757" t="s">
        <v>23</v>
      </c>
      <c r="H84" s="757" t="s">
        <v>351</v>
      </c>
    </row>
    <row r="85" spans="4:8">
      <c r="D85" s="757" t="str">
        <f t="shared" si="3"/>
        <v>PARA DESCARGAR, CLICK EN</v>
      </c>
      <c r="E85" s="757" t="s">
        <v>1897</v>
      </c>
      <c r="G85" s="757" t="s">
        <v>1364</v>
      </c>
      <c r="H85" s="757" t="s">
        <v>1363</v>
      </c>
    </row>
    <row r="86" spans="4:8">
      <c r="D86" s="757" t="str">
        <f t="shared" si="3"/>
        <v>· Selecciona el idioma en el que quieras hacer la porra y la zona horaria</v>
      </c>
      <c r="E86" s="757" t="s">
        <v>1897</v>
      </c>
      <c r="G86" s="757" t="s">
        <v>1912</v>
      </c>
      <c r="H86" s="757" t="s">
        <v>1843</v>
      </c>
    </row>
    <row r="87" spans="4:8">
      <c r="D87" s="757" t="str">
        <f t="shared" si="3"/>
        <v>· Escribe el nombre del grupo de la porra/quiniela</v>
      </c>
      <c r="E87" s="757" t="s">
        <v>1897</v>
      </c>
      <c r="G87" s="757" t="s">
        <v>1852</v>
      </c>
      <c r="H87" s="757" t="s">
        <v>1853</v>
      </c>
    </row>
    <row r="88" spans="4:8">
      <c r="D88" s="757" t="str">
        <f t="shared" si="3"/>
        <v>· El archivo de participante lo puedes descargar desde aquí</v>
      </c>
      <c r="E88" s="757" t="s">
        <v>1897</v>
      </c>
      <c r="G88" s="757" t="s">
        <v>1856</v>
      </c>
      <c r="H88" s="757" t="s">
        <v>1857</v>
      </c>
    </row>
    <row r="89" spans="4:8">
      <c r="D89" s="757" t="str">
        <f t="shared" si="3"/>
        <v>(Antes de empezar el mundial)</v>
      </c>
      <c r="E89" s="757" t="s">
        <v>1897</v>
      </c>
      <c r="G89" s="757" t="s">
        <v>1868</v>
      </c>
      <c r="H89" s="757" t="s">
        <v>1869</v>
      </c>
    </row>
    <row r="90" spans="4:8">
      <c r="D90" s="757" t="str">
        <f>IF($B$2,G90,H90)</f>
        <v>· Las instrucciones de uso de esta hoja se encuentran en la misma hoja</v>
      </c>
      <c r="E90" s="757" t="s">
        <v>1897</v>
      </c>
      <c r="G90" s="757" t="s">
        <v>1848</v>
      </c>
      <c r="H90" s="757" t="s">
        <v>1849</v>
      </c>
    </row>
    <row r="91" spans="4:8">
      <c r="D91" s="757" t="str">
        <f>IF($B$2,G91,H91)</f>
        <v>· Esta hoja sirve para administrar la porra/quiniela</v>
      </c>
      <c r="E91" s="757" t="s">
        <v>1897</v>
      </c>
      <c r="G91" s="757" t="s">
        <v>1862</v>
      </c>
      <c r="H91" s="757" t="s">
        <v>1863</v>
      </c>
    </row>
    <row r="92" spans="4:8" ht="30">
      <c r="D92" s="757" t="str">
        <f>IF($B$2,G92,H92)</f>
        <v>· Lo primero, establece la puntuación para cada criterio y comparte la puntuación con los participantes</v>
      </c>
      <c r="E92" s="757" t="s">
        <v>1897</v>
      </c>
      <c r="G92" s="757" t="s">
        <v>1866</v>
      </c>
      <c r="H92" s="757" t="s">
        <v>1864</v>
      </c>
    </row>
    <row r="93" spans="4:8">
      <c r="D93" s="757" t="str">
        <f t="shared" ref="D93:D96" si="4">IF($B$2,G93,H93)</f>
        <v>· Aquí explicamos cada criterio de puntuación</v>
      </c>
      <c r="E93" s="757" t="s">
        <v>1897</v>
      </c>
      <c r="G93" s="757" t="s">
        <v>1865</v>
      </c>
      <c r="H93" s="757" t="s">
        <v>1877</v>
      </c>
    </row>
    <row r="94" spans="4:8" ht="30">
      <c r="D94" s="757" t="str">
        <f t="shared" si="4"/>
        <v>· Cuando los participantes te envíen su archivo, copia sus pronósticos de la hoja “Pool”, en esta hoja ADMIN</v>
      </c>
      <c r="E94" s="757" t="s">
        <v>1897</v>
      </c>
      <c r="G94" s="757" t="s">
        <v>1878</v>
      </c>
      <c r="H94" s="757" t="s">
        <v>1876</v>
      </c>
    </row>
    <row r="95" spans="4:8" ht="30">
      <c r="D95" s="757" t="str">
        <f t="shared" si="4"/>
        <v>· Cuando tengas todos los pronósticos, selecciona el número de jugadores en la hoja ADMIN</v>
      </c>
      <c r="E95" s="757" t="s">
        <v>1897</v>
      </c>
      <c r="G95" s="757" t="s">
        <v>1879</v>
      </c>
      <c r="H95" s="757" t="s">
        <v>1875</v>
      </c>
    </row>
    <row r="96" spans="4:8">
      <c r="D96" s="757" t="str">
        <f t="shared" si="4"/>
        <v>(Una vez ha empezado el mundial)</v>
      </c>
      <c r="E96" s="757" t="s">
        <v>1897</v>
      </c>
      <c r="G96" s="757" t="s">
        <v>1870</v>
      </c>
      <c r="H96" s="757" t="s">
        <v>1871</v>
      </c>
    </row>
    <row r="97" spans="4:8" ht="30">
      <c r="D97" s="757" t="str">
        <f>IF($B$2,G97,H97)</f>
        <v>· Cuando empiece el mundial, rellena los cuadros grises con los resultados reales de la fase de grupos</v>
      </c>
      <c r="E97" s="757" t="s">
        <v>1897</v>
      </c>
      <c r="G97" s="757" t="s">
        <v>1867</v>
      </c>
      <c r="H97" s="757" t="s">
        <v>1874</v>
      </c>
    </row>
    <row r="98" spans="4:8" ht="30">
      <c r="D98" s="757" t="str">
        <f>IF($B$2,G98,H98)</f>
        <v>· En caso de empate en la posición de un grupo o en los mejores terceros, selcciona el orden de los empatados</v>
      </c>
      <c r="E98" s="757" t="s">
        <v>1897</v>
      </c>
      <c r="G98" s="757" t="s">
        <v>1858</v>
      </c>
      <c r="H98" s="757" t="s">
        <v>1859</v>
      </c>
    </row>
    <row r="99" spans="4:8">
      <c r="D99" s="757" t="str">
        <f>IF($B$2,G99,H99)</f>
        <v>· Las eliminatorias se establecen de forma automática</v>
      </c>
      <c r="E99" s="757" t="s">
        <v>1897</v>
      </c>
      <c r="G99" s="757" t="s">
        <v>1844</v>
      </c>
      <c r="H99" s="757" t="s">
        <v>1845</v>
      </c>
    </row>
    <row r="100" spans="4:8" ht="30">
      <c r="D100" s="757" t="str">
        <f>IF($B$2,G100,H100)</f>
        <v>· Rellena los resultados de las fases eliminatorias. En caso de empate, se abren dos celdas a los lados para poner el resultado de los penaltis</v>
      </c>
      <c r="E100" s="757" t="s">
        <v>1897</v>
      </c>
      <c r="G100" s="757" t="s">
        <v>1846</v>
      </c>
      <c r="H100" s="757" t="s">
        <v>1847</v>
      </c>
    </row>
    <row r="101" spans="4:8">
      <c r="D101" s="757" t="str">
        <f>IF($B$2,G101,H101)</f>
        <v>· Rellenar los mejores jugadores y los máximos goleadores</v>
      </c>
      <c r="E101" s="757" t="s">
        <v>1897</v>
      </c>
      <c r="G101" s="757" t="s">
        <v>1860</v>
      </c>
      <c r="H101" s="757" t="s">
        <v>1861</v>
      </c>
    </row>
    <row r="102" spans="4:8" ht="30">
      <c r="D102" s="757" t="str">
        <f t="shared" si="3"/>
        <v>· En esta hoja se muestran de un vistazo todos los resultados introducidos en la hoja WORLDCUP, en esta hoja no se rellena nada</v>
      </c>
      <c r="E102" s="757" t="s">
        <v>1897</v>
      </c>
      <c r="G102" s="757" t="s">
        <v>1880</v>
      </c>
      <c r="H102" s="757" t="s">
        <v>1873</v>
      </c>
    </row>
    <row r="103" spans="4:8">
      <c r="D103" s="757" t="str">
        <f t="shared" si="3"/>
        <v>https://matejero.es/download/excel-mundial-2026/</v>
      </c>
      <c r="E103" s="757" t="s">
        <v>1897</v>
      </c>
      <c r="G103" s="764" t="s">
        <v>1854</v>
      </c>
      <c r="H103" s="757" t="s">
        <v>1855</v>
      </c>
    </row>
    <row r="104" spans="4:8" ht="30">
      <c r="D104" s="757" t="str">
        <f t="shared" si="3"/>
        <v>· En esta hoja se puede ver la clasificación general según se vayan introduciendo los resultados de los partidos</v>
      </c>
      <c r="E104" s="757" t="s">
        <v>1897</v>
      </c>
      <c r="G104" s="757" t="s">
        <v>1892</v>
      </c>
      <c r="H104" s="757" t="s">
        <v>1893</v>
      </c>
    </row>
    <row r="105" spans="4:8">
      <c r="D105" s="757" t="str">
        <f t="shared" si="3"/>
        <v>· Esta hoja permite filtrar los pronósticos por día de la fase de grupos o por eliminatoria.</v>
      </c>
      <c r="E105" s="757" t="s">
        <v>1897</v>
      </c>
      <c r="G105" s="757" t="s">
        <v>1881</v>
      </c>
      <c r="H105" s="757" t="s">
        <v>1885</v>
      </c>
    </row>
    <row r="106" spans="4:8">
      <c r="D106" s="757" t="str">
        <f t="shared" si="3"/>
        <v xml:space="preserve"> · Aquí puedes ver la clasificación del dia/ronda seleccionado en la hoja "DailyPredcition"</v>
      </c>
      <c r="E106" s="757" t="s">
        <v>1897</v>
      </c>
      <c r="G106" s="757" t="s">
        <v>1883</v>
      </c>
      <c r="H106" s="757" t="s">
        <v>1884</v>
      </c>
    </row>
    <row r="107" spans="4:8" ht="45">
      <c r="D107" s="757"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757" t="s">
        <v>1897</v>
      </c>
      <c r="G107" s="757" t="s">
        <v>1799</v>
      </c>
      <c r="H107" s="757" t="s">
        <v>1800</v>
      </c>
    </row>
    <row r="108" spans="4:8">
      <c r="D108" s="757" t="str">
        <f t="shared" si="3"/>
        <v>· En estas hoja podrás ver diferentes estadísticas generales y por partido</v>
      </c>
      <c r="E108" s="757" t="s">
        <v>1897</v>
      </c>
      <c r="G108" s="757" t="s">
        <v>1886</v>
      </c>
      <c r="H108" s="757" t="s">
        <v>1889</v>
      </c>
    </row>
    <row r="109" spans="4:8">
      <c r="D109" s="757" t="str">
        <f t="shared" si="3"/>
        <v>· Para verlas correctamente necesitas una versión posterior a excel 2021</v>
      </c>
      <c r="E109" s="757" t="s">
        <v>1897</v>
      </c>
      <c r="G109" s="757" t="s">
        <v>1888</v>
      </c>
      <c r="H109" s="757" t="s">
        <v>1887</v>
      </c>
    </row>
    <row r="110" spans="4:8">
      <c r="D110" s="757" t="str">
        <f>IF($B$2,G110,H110)</f>
        <v xml:space="preserve">· En esta hoja puedes ver de un vistazo el cuadro del mundial </v>
      </c>
      <c r="E110" s="757" t="s">
        <v>1897</v>
      </c>
      <c r="G110" s="757" t="s">
        <v>1890</v>
      </c>
      <c r="H110" s="757" t="s">
        <v>1891</v>
      </c>
    </row>
    <row r="112" spans="4:8">
      <c r="D112" s="757" t="str">
        <f t="shared" ref="D112:D203" si="6">IF($B$2,G112,H112)</f>
        <v>Para el administrador de la porra</v>
      </c>
      <c r="E112" s="757" t="s">
        <v>433</v>
      </c>
      <c r="F112" s="757" t="s">
        <v>114</v>
      </c>
      <c r="G112" s="757" t="s">
        <v>130</v>
      </c>
      <c r="H112" s="757" t="s">
        <v>266</v>
      </c>
    </row>
    <row r="113" spans="4:16">
      <c r="D113" s="757" t="str">
        <f t="shared" si="6"/>
        <v>PARTICIPANTE</v>
      </c>
      <c r="E113" s="757" t="s">
        <v>433</v>
      </c>
      <c r="F113" s="757" t="s">
        <v>119</v>
      </c>
      <c r="G113" s="757" t="s">
        <v>70</v>
      </c>
      <c r="H113" s="757" t="s">
        <v>267</v>
      </c>
    </row>
    <row r="114" spans="4:16">
      <c r="D114" s="757" t="str">
        <f t="shared" si="6"/>
        <v>Nombre</v>
      </c>
      <c r="E114" s="757" t="s">
        <v>433</v>
      </c>
      <c r="F114" s="757" t="s">
        <v>125</v>
      </c>
      <c r="G114" s="757" t="s">
        <v>42</v>
      </c>
      <c r="H114" s="757" t="s">
        <v>268</v>
      </c>
    </row>
    <row r="115" spans="4:16">
      <c r="D115" s="757" t="str">
        <f t="shared" si="6"/>
        <v>¡No tocar nada, se rellena solo!</v>
      </c>
      <c r="E115" s="757" t="s">
        <v>433</v>
      </c>
      <c r="F115" s="757" t="s">
        <v>239</v>
      </c>
      <c r="G115" s="757" t="s">
        <v>43</v>
      </c>
      <c r="H115" s="757" t="s">
        <v>269</v>
      </c>
    </row>
    <row r="116" spans="4:16" ht="15" customHeight="1">
      <c r="D116" s="757" t="str">
        <f t="shared" si="6"/>
        <v>EL ADMINISTRADOR DE LA PORRA SEGUIRÁ LAS INSTRUCCIONES DE AQUÍ ABAJO</v>
      </c>
      <c r="E116" s="757" t="s">
        <v>433</v>
      </c>
      <c r="F116" s="757" t="s">
        <v>116</v>
      </c>
      <c r="G116" s="757" t="s">
        <v>131</v>
      </c>
      <c r="H116" s="757" t="s">
        <v>270</v>
      </c>
      <c r="I116" s="758"/>
      <c r="K116" s="758"/>
      <c r="L116" s="758"/>
      <c r="M116" s="758"/>
      <c r="N116" s="758"/>
      <c r="O116" s="758"/>
      <c r="P116" s="758"/>
    </row>
    <row r="117" spans="4:16" ht="15" customHeight="1">
      <c r="D117" s="757" t="str">
        <f t="shared" si="6"/>
        <v>·Si haceis todo el Mundial de golpe, incluido el predictor, copiar de la C5 a la C308 y pegar valores en la plantilla de Administrador.</v>
      </c>
      <c r="E117" s="757" t="s">
        <v>433</v>
      </c>
      <c r="F117" s="757" t="s">
        <v>128</v>
      </c>
      <c r="G117" s="757" t="s">
        <v>1933</v>
      </c>
      <c r="H117" s="757" t="s">
        <v>1341</v>
      </c>
      <c r="I117" s="758"/>
      <c r="K117" s="758"/>
      <c r="L117" s="758"/>
      <c r="M117" s="758"/>
      <c r="N117" s="758"/>
      <c r="O117" s="758"/>
      <c r="P117" s="758"/>
    </row>
    <row r="118" spans="4:16" ht="45">
      <c r="D118" s="757"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757" t="s">
        <v>433</v>
      </c>
      <c r="F118" s="757" t="s">
        <v>240</v>
      </c>
      <c r="G118" s="757" t="s">
        <v>1342</v>
      </c>
      <c r="H118" s="757" t="s">
        <v>1343</v>
      </c>
    </row>
    <row r="119" spans="4:16" ht="15" customHeight="1">
      <c r="D119" s="757" t="str">
        <f t="shared" si="6"/>
        <v>·Si haceis jornada a jornada seguir las instrucciones de cada jornada</v>
      </c>
      <c r="E119" s="757" t="s">
        <v>433</v>
      </c>
      <c r="F119" s="757" t="s">
        <v>241</v>
      </c>
      <c r="G119" s="757" t="s">
        <v>132</v>
      </c>
      <c r="H119" s="757" t="s">
        <v>271</v>
      </c>
      <c r="I119" s="759"/>
      <c r="K119" s="759"/>
      <c r="L119" s="759"/>
    </row>
    <row r="120" spans="4:16" ht="30">
      <c r="D120" s="757" t="str">
        <f t="shared" si="6"/>
        <v>·Para la primera jornada copiar de la C5 a la C29 y pega valores en la plantilla de administrador. ¡OJO! COPIAR TAMBIÉN de la C253 a la C308.</v>
      </c>
      <c r="E120" s="757" t="s">
        <v>433</v>
      </c>
      <c r="F120" s="757" t="s">
        <v>242</v>
      </c>
      <c r="G120" s="757" t="s">
        <v>1344</v>
      </c>
      <c r="H120" s="757" t="s">
        <v>1347</v>
      </c>
    </row>
    <row r="121" spans="4:16" ht="30">
      <c r="D121" s="757" t="str">
        <f t="shared" si="6"/>
        <v>·Para la segunda jornada copiar de la C30 a la C53 y pega valores en la plantilla de administrador.</v>
      </c>
      <c r="E121" s="757" t="s">
        <v>433</v>
      </c>
      <c r="F121" s="757" t="s">
        <v>243</v>
      </c>
      <c r="G121" s="757" t="s">
        <v>1345</v>
      </c>
      <c r="H121" s="757" t="s">
        <v>1348</v>
      </c>
    </row>
    <row r="122" spans="4:16" ht="30">
      <c r="D122" s="757" t="str">
        <f t="shared" si="6"/>
        <v>·Para la tercera jornada copiar de la C54 a la C161 y pega valores en la plantilla de administrador.</v>
      </c>
      <c r="E122" s="757" t="s">
        <v>433</v>
      </c>
      <c r="F122" s="757" t="s">
        <v>244</v>
      </c>
      <c r="G122" s="757" t="s">
        <v>1346</v>
      </c>
      <c r="H122" s="757" t="s">
        <v>1349</v>
      </c>
    </row>
    <row r="123" spans="4:16" ht="30">
      <c r="D123" s="757" t="str">
        <f t="shared" si="6"/>
        <v>·Si haceis todas las eliminatorias de golpe, copiar de la C164 a la C252 y pegar valores en la plantilla de Administrador.</v>
      </c>
      <c r="E123" s="757" t="s">
        <v>433</v>
      </c>
      <c r="F123" s="757" t="s">
        <v>245</v>
      </c>
      <c r="G123" s="757" t="s">
        <v>577</v>
      </c>
      <c r="H123" s="757" t="s">
        <v>1350</v>
      </c>
    </row>
    <row r="124" spans="4:16">
      <c r="D124" s="757" t="str">
        <f t="shared" si="6"/>
        <v>·Si haceis eliminatoria a eliminatoria seguir las instrucciones de cada eliminatoria.</v>
      </c>
      <c r="E124" s="757" t="s">
        <v>433</v>
      </c>
      <c r="F124" s="757" t="s">
        <v>246</v>
      </c>
      <c r="G124" s="757" t="s">
        <v>133</v>
      </c>
      <c r="H124" s="757" t="s">
        <v>272</v>
      </c>
    </row>
    <row r="125" spans="4:16" ht="30">
      <c r="D125" s="757" t="str">
        <f t="shared" si="6"/>
        <v>·Para los dieciseisavos copiar de la C164 a la C197 y pega valores en la plantilla de administrador.</v>
      </c>
      <c r="E125" s="757" t="s">
        <v>433</v>
      </c>
      <c r="F125" s="757" t="s">
        <v>247</v>
      </c>
      <c r="G125" s="757" t="s">
        <v>1351</v>
      </c>
      <c r="H125" s="757" t="s">
        <v>572</v>
      </c>
    </row>
    <row r="126" spans="4:16" ht="30">
      <c r="D126" s="757" t="str">
        <f t="shared" si="6"/>
        <v>·Para los octavos de final copiar de la C200 a la C217 y pega valores en la plantilla de administrador.</v>
      </c>
      <c r="E126" s="757" t="s">
        <v>433</v>
      </c>
      <c r="F126" s="757" t="s">
        <v>248</v>
      </c>
      <c r="G126" s="757" t="s">
        <v>1352</v>
      </c>
      <c r="H126" s="757" t="s">
        <v>574</v>
      </c>
    </row>
    <row r="127" spans="4:16" ht="30">
      <c r="D127" s="757" t="str">
        <f t="shared" si="6"/>
        <v>·Para los cuartos de final copiar de la C220 a la C229 y pega valores en la plantilla de administrador.</v>
      </c>
      <c r="E127" s="757" t="s">
        <v>433</v>
      </c>
      <c r="G127" s="757" t="s">
        <v>1353</v>
      </c>
      <c r="H127" s="757" t="s">
        <v>573</v>
      </c>
    </row>
    <row r="128" spans="4:16" ht="30">
      <c r="D128" s="757" t="str">
        <f t="shared" si="6"/>
        <v>·Para las semifinales copiar de la C232 a la C241 y pega valores en la plantilla de administrador.</v>
      </c>
      <c r="E128" s="757" t="s">
        <v>433</v>
      </c>
      <c r="F128" s="757" t="s">
        <v>249</v>
      </c>
      <c r="G128" s="757" t="s">
        <v>1354</v>
      </c>
      <c r="H128" s="757" t="s">
        <v>575</v>
      </c>
    </row>
    <row r="129" spans="4:9" ht="30">
      <c r="D129" s="757" t="str">
        <f t="shared" si="6"/>
        <v>·Para el 3º y 4º puesto y la Final copiar de la C244 a la C252 y pega valores en la plantilla de administrador.</v>
      </c>
      <c r="E129" s="757" t="s">
        <v>433</v>
      </c>
      <c r="F129" s="757" t="s">
        <v>250</v>
      </c>
      <c r="G129" s="757" t="s">
        <v>1355</v>
      </c>
      <c r="H129" s="757" t="s">
        <v>576</v>
      </c>
    </row>
    <row r="130" spans="4:9" ht="30">
      <c r="D130" s="757" t="str">
        <f t="shared" si="6"/>
        <v>·Al inicio de la competición si se hace por fases copiar de la C253 a la C308 y pegarla al final del jugador en el archivo de administrador.</v>
      </c>
      <c r="E130" s="757" t="s">
        <v>433</v>
      </c>
      <c r="F130" s="757" t="s">
        <v>251</v>
      </c>
      <c r="G130" s="757" t="s">
        <v>1356</v>
      </c>
      <c r="H130" s="757" t="s">
        <v>1357</v>
      </c>
    </row>
    <row r="131" spans="4:9">
      <c r="D131" s="757" t="str">
        <f t="shared" si="6"/>
        <v>·Copiar de la C261 a la C308 y pegar valores en el administrador donde el Predictor</v>
      </c>
      <c r="E131" s="757" t="s">
        <v>433</v>
      </c>
      <c r="G131" s="761" t="s">
        <v>1368</v>
      </c>
      <c r="H131" s="761" t="s">
        <v>1367</v>
      </c>
    </row>
    <row r="132" spans="4:9">
      <c r="D132" s="757" t="str">
        <f t="shared" si="6"/>
        <v>J1</v>
      </c>
      <c r="E132" s="757" t="s">
        <v>433</v>
      </c>
      <c r="F132" s="757" t="s">
        <v>252</v>
      </c>
      <c r="G132" s="757" t="s">
        <v>26</v>
      </c>
      <c r="H132" s="757" t="s">
        <v>273</v>
      </c>
      <c r="I132" s="752"/>
    </row>
    <row r="133" spans="4:9">
      <c r="D133" s="757" t="str">
        <f t="shared" si="6"/>
        <v>J2</v>
      </c>
      <c r="E133" s="757" t="s">
        <v>433</v>
      </c>
      <c r="F133" s="757" t="s">
        <v>253</v>
      </c>
      <c r="G133" s="757" t="s">
        <v>27</v>
      </c>
      <c r="H133" s="757" t="s">
        <v>274</v>
      </c>
    </row>
    <row r="134" spans="4:9">
      <c r="D134" s="757" t="str">
        <f t="shared" si="6"/>
        <v>J3</v>
      </c>
      <c r="E134" s="757" t="s">
        <v>433</v>
      </c>
      <c r="F134" s="757" t="s">
        <v>254</v>
      </c>
      <c r="G134" s="757" t="s">
        <v>28</v>
      </c>
      <c r="H134" s="757" t="s">
        <v>275</v>
      </c>
    </row>
    <row r="135" spans="4:9">
      <c r="D135" s="757" t="str">
        <f t="shared" si="6"/>
        <v>FASE DE GRUPOS</v>
      </c>
      <c r="E135" s="757" t="s">
        <v>433</v>
      </c>
      <c r="F135" s="757" t="s">
        <v>255</v>
      </c>
      <c r="G135" s="757" t="s">
        <v>12</v>
      </c>
      <c r="H135" s="757" t="s">
        <v>276</v>
      </c>
    </row>
    <row r="136" spans="4:9">
      <c r="D136" s="757" t="str">
        <f t="shared" si="6"/>
        <v>POSICIÓN GRUPOS</v>
      </c>
      <c r="E136" s="757" t="s">
        <v>433</v>
      </c>
      <c r="F136" s="757" t="s">
        <v>256</v>
      </c>
      <c r="G136" s="757" t="s">
        <v>44</v>
      </c>
      <c r="H136" s="757" t="s">
        <v>277</v>
      </c>
    </row>
    <row r="137" spans="4:9">
      <c r="D137" s="757" t="str">
        <f t="shared" si="6"/>
        <v>CLASIFICADOS PARA DIECISEISAVOS</v>
      </c>
      <c r="E137" s="757" t="s">
        <v>433</v>
      </c>
      <c r="F137" s="757" t="s">
        <v>257</v>
      </c>
      <c r="G137" s="757" t="s">
        <v>564</v>
      </c>
      <c r="H137" s="757" t="s">
        <v>565</v>
      </c>
    </row>
    <row r="138" spans="4:9">
      <c r="D138" s="757" t="str">
        <f t="shared" si="6"/>
        <v>ENFRENTAMIENTOS DIECISEISAVOS</v>
      </c>
      <c r="E138" s="757" t="s">
        <v>433</v>
      </c>
      <c r="F138" s="757" t="s">
        <v>258</v>
      </c>
      <c r="G138" s="757" t="s">
        <v>568</v>
      </c>
      <c r="H138" s="757" t="s">
        <v>569</v>
      </c>
    </row>
    <row r="139" spans="4:9">
      <c r="D139" s="757" t="str">
        <f t="shared" si="6"/>
        <v>CLASIFICADOS PARA OCTAVOS</v>
      </c>
      <c r="E139" s="757" t="s">
        <v>433</v>
      </c>
      <c r="G139" s="757" t="s">
        <v>108</v>
      </c>
      <c r="H139" s="757" t="s">
        <v>278</v>
      </c>
    </row>
    <row r="140" spans="4:9">
      <c r="D140" s="757" t="str">
        <f t="shared" si="6"/>
        <v>ENFRENTAMIENTOS OCTAVOS</v>
      </c>
      <c r="E140" s="757" t="s">
        <v>433</v>
      </c>
      <c r="G140" s="757" t="s">
        <v>109</v>
      </c>
      <c r="H140" s="757" t="s">
        <v>279</v>
      </c>
    </row>
    <row r="141" spans="4:9">
      <c r="D141" s="757" t="str">
        <f t="shared" si="6"/>
        <v>CLASIFICADOS PARA CUARTOS</v>
      </c>
      <c r="E141" s="757" t="s">
        <v>433</v>
      </c>
      <c r="F141" s="757" t="s">
        <v>259</v>
      </c>
      <c r="G141" s="757" t="s">
        <v>57</v>
      </c>
      <c r="H141" s="757" t="s">
        <v>280</v>
      </c>
    </row>
    <row r="142" spans="4:9">
      <c r="D142" s="757" t="str">
        <f t="shared" si="6"/>
        <v>ENFRENTAMIENTOS CUARTOS</v>
      </c>
      <c r="E142" s="757" t="s">
        <v>433</v>
      </c>
      <c r="F142" s="757" t="s">
        <v>261</v>
      </c>
      <c r="G142" s="757" t="s">
        <v>59</v>
      </c>
      <c r="H142" s="757" t="s">
        <v>281</v>
      </c>
    </row>
    <row r="143" spans="4:9">
      <c r="D143" s="757" t="str">
        <f t="shared" si="6"/>
        <v>CLASIFICADOS PARA SEMIFINALES</v>
      </c>
      <c r="E143" s="757" t="s">
        <v>433</v>
      </c>
      <c r="F143" s="757" t="s">
        <v>260</v>
      </c>
      <c r="G143" s="757" t="s">
        <v>60</v>
      </c>
      <c r="H143" s="757" t="s">
        <v>282</v>
      </c>
    </row>
    <row r="144" spans="4:9">
      <c r="D144" s="757" t="str">
        <f t="shared" si="6"/>
        <v>ENFRENTAMIENTOS SEMIFINALES</v>
      </c>
      <c r="E144" s="757" t="s">
        <v>433</v>
      </c>
      <c r="F144" s="757" t="s">
        <v>262</v>
      </c>
      <c r="G144" s="757" t="s">
        <v>62</v>
      </c>
      <c r="H144" s="757" t="s">
        <v>283</v>
      </c>
    </row>
    <row r="145" spans="4:8">
      <c r="D145" s="757" t="str">
        <f t="shared" si="6"/>
        <v>CLASIFICADOS PARA EL 3º y 4º PUESTO</v>
      </c>
      <c r="E145" s="757" t="s">
        <v>433</v>
      </c>
      <c r="G145" s="757" t="s">
        <v>570</v>
      </c>
      <c r="H145" s="757" t="s">
        <v>571</v>
      </c>
    </row>
    <row r="146" spans="4:8">
      <c r="D146" s="757" t="str">
        <f t="shared" si="6"/>
        <v>CLASIFICADOS PARA LA FINAL</v>
      </c>
      <c r="E146" s="757" t="s">
        <v>433</v>
      </c>
      <c r="F146" s="757" t="s">
        <v>263</v>
      </c>
      <c r="G146" s="757" t="s">
        <v>63</v>
      </c>
      <c r="H146" s="757" t="s">
        <v>284</v>
      </c>
    </row>
    <row r="147" spans="4:8">
      <c r="D147" s="757" t="str">
        <f t="shared" si="6"/>
        <v>3º-4º puesto</v>
      </c>
      <c r="E147" s="757" t="s">
        <v>433</v>
      </c>
      <c r="G147" s="757" t="s">
        <v>496</v>
      </c>
      <c r="H147" s="757" t="s">
        <v>492</v>
      </c>
    </row>
    <row r="148" spans="4:8">
      <c r="D148" s="757" t="str">
        <f t="shared" si="6"/>
        <v>ENFRENTAMIENTO FINAL</v>
      </c>
      <c r="E148" s="757" t="s">
        <v>433</v>
      </c>
      <c r="F148" s="757" t="s">
        <v>264</v>
      </c>
      <c r="G148" s="757" t="s">
        <v>65</v>
      </c>
      <c r="H148" s="757" t="s">
        <v>285</v>
      </c>
    </row>
    <row r="149" spans="4:8">
      <c r="D149" s="757" t="str">
        <f t="shared" si="6"/>
        <v>CUADRO DE HONOR</v>
      </c>
      <c r="E149" s="757" t="s">
        <v>433</v>
      </c>
      <c r="F149" s="757" t="s">
        <v>265</v>
      </c>
      <c r="G149" s="757" t="s">
        <v>20</v>
      </c>
      <c r="H149" s="757" t="s">
        <v>221</v>
      </c>
    </row>
    <row r="150" spans="4:8">
      <c r="D150" s="757" t="str">
        <f t="shared" ref="D150:D173" si="7">IF($B$2,G150,H150)</f>
        <v>1º GRUPO A</v>
      </c>
      <c r="E150" s="757" t="s">
        <v>433</v>
      </c>
      <c r="F150" s="757" t="s">
        <v>405</v>
      </c>
      <c r="G150" s="757" t="s">
        <v>45</v>
      </c>
      <c r="H150" s="762" t="s">
        <v>377</v>
      </c>
    </row>
    <row r="151" spans="4:8">
      <c r="D151" s="757" t="str">
        <f t="shared" si="7"/>
        <v>2º GRUPO A</v>
      </c>
      <c r="E151" s="757" t="s">
        <v>433</v>
      </c>
      <c r="F151" s="757" t="s">
        <v>406</v>
      </c>
      <c r="G151" s="757" t="s">
        <v>46</v>
      </c>
      <c r="H151" s="762" t="s">
        <v>378</v>
      </c>
    </row>
    <row r="152" spans="4:8">
      <c r="D152" s="757" t="str">
        <f t="shared" si="7"/>
        <v>3º GRUPO A</v>
      </c>
      <c r="E152" s="757" t="s">
        <v>433</v>
      </c>
      <c r="F152" s="757" t="s">
        <v>407</v>
      </c>
      <c r="G152" s="757" t="s">
        <v>47</v>
      </c>
      <c r="H152" s="762" t="s">
        <v>379</v>
      </c>
    </row>
    <row r="153" spans="4:8">
      <c r="D153" s="757" t="str">
        <f t="shared" si="7"/>
        <v>4º GRUPO A</v>
      </c>
      <c r="E153" s="757" t="s">
        <v>433</v>
      </c>
      <c r="F153" s="757" t="s">
        <v>408</v>
      </c>
      <c r="G153" s="757" t="s">
        <v>48</v>
      </c>
      <c r="H153" s="762" t="s">
        <v>380</v>
      </c>
    </row>
    <row r="154" spans="4:8">
      <c r="D154" s="757" t="str">
        <f t="shared" si="7"/>
        <v>1º GRUPO B</v>
      </c>
      <c r="E154" s="757" t="s">
        <v>433</v>
      </c>
      <c r="F154" s="757" t="s">
        <v>409</v>
      </c>
      <c r="G154" s="757" t="s">
        <v>49</v>
      </c>
      <c r="H154" s="762" t="s">
        <v>381</v>
      </c>
    </row>
    <row r="155" spans="4:8">
      <c r="D155" s="757" t="str">
        <f t="shared" si="7"/>
        <v>2º GRUPO B</v>
      </c>
      <c r="E155" s="757" t="s">
        <v>433</v>
      </c>
      <c r="F155" s="757" t="s">
        <v>410</v>
      </c>
      <c r="G155" s="757" t="s">
        <v>50</v>
      </c>
      <c r="H155" s="762" t="s">
        <v>382</v>
      </c>
    </row>
    <row r="156" spans="4:8">
      <c r="D156" s="757" t="str">
        <f t="shared" si="7"/>
        <v>3º GRUPO B</v>
      </c>
      <c r="E156" s="757" t="s">
        <v>433</v>
      </c>
      <c r="F156" s="757" t="s">
        <v>411</v>
      </c>
      <c r="G156" s="757" t="s">
        <v>51</v>
      </c>
      <c r="H156" s="762" t="s">
        <v>383</v>
      </c>
    </row>
    <row r="157" spans="4:8">
      <c r="D157" s="757" t="str">
        <f t="shared" si="7"/>
        <v>4º GRUPO B</v>
      </c>
      <c r="E157" s="757" t="s">
        <v>433</v>
      </c>
      <c r="F157" s="757" t="s">
        <v>412</v>
      </c>
      <c r="G157" s="757" t="s">
        <v>52</v>
      </c>
      <c r="H157" s="762" t="s">
        <v>384</v>
      </c>
    </row>
    <row r="158" spans="4:8">
      <c r="D158" s="757" t="str">
        <f t="shared" si="7"/>
        <v>1º GRUPO C</v>
      </c>
      <c r="E158" s="757" t="s">
        <v>433</v>
      </c>
      <c r="F158" s="757" t="s">
        <v>413</v>
      </c>
      <c r="G158" s="757" t="s">
        <v>53</v>
      </c>
      <c r="H158" s="762" t="s">
        <v>385</v>
      </c>
    </row>
    <row r="159" spans="4:8">
      <c r="D159" s="757" t="str">
        <f t="shared" si="7"/>
        <v>2º GRUPO C</v>
      </c>
      <c r="E159" s="757" t="s">
        <v>433</v>
      </c>
      <c r="F159" s="757" t="s">
        <v>414</v>
      </c>
      <c r="G159" s="757" t="s">
        <v>54</v>
      </c>
      <c r="H159" s="762" t="s">
        <v>386</v>
      </c>
    </row>
    <row r="160" spans="4:8">
      <c r="D160" s="757" t="str">
        <f t="shared" si="7"/>
        <v>3º GRUPO C</v>
      </c>
      <c r="E160" s="757" t="s">
        <v>433</v>
      </c>
      <c r="F160" s="757" t="s">
        <v>415</v>
      </c>
      <c r="G160" s="757" t="s">
        <v>55</v>
      </c>
      <c r="H160" s="762" t="s">
        <v>387</v>
      </c>
    </row>
    <row r="161" spans="4:8">
      <c r="D161" s="757" t="str">
        <f t="shared" si="7"/>
        <v>4º GRUPO C</v>
      </c>
      <c r="E161" s="757" t="s">
        <v>433</v>
      </c>
      <c r="F161" s="757" t="s">
        <v>416</v>
      </c>
      <c r="G161" s="757" t="s">
        <v>56</v>
      </c>
      <c r="H161" s="762" t="s">
        <v>388</v>
      </c>
    </row>
    <row r="162" spans="4:8">
      <c r="D162" s="757" t="str">
        <f t="shared" si="7"/>
        <v>1º GRUPO D</v>
      </c>
      <c r="E162" s="757" t="s">
        <v>433</v>
      </c>
      <c r="F162" s="757" t="s">
        <v>417</v>
      </c>
      <c r="G162" s="757" t="s">
        <v>96</v>
      </c>
      <c r="H162" s="762" t="s">
        <v>389</v>
      </c>
    </row>
    <row r="163" spans="4:8">
      <c r="D163" s="757" t="str">
        <f t="shared" si="7"/>
        <v>2º GRUPO D</v>
      </c>
      <c r="E163" s="757" t="s">
        <v>433</v>
      </c>
      <c r="F163" s="757" t="s">
        <v>418</v>
      </c>
      <c r="G163" s="757" t="s">
        <v>97</v>
      </c>
      <c r="H163" s="762" t="s">
        <v>390</v>
      </c>
    </row>
    <row r="164" spans="4:8">
      <c r="D164" s="757" t="str">
        <f t="shared" si="7"/>
        <v>3º GRUPO D</v>
      </c>
      <c r="E164" s="757" t="s">
        <v>433</v>
      </c>
      <c r="F164" s="757" t="s">
        <v>419</v>
      </c>
      <c r="G164" s="757" t="s">
        <v>98</v>
      </c>
      <c r="H164" s="762" t="s">
        <v>391</v>
      </c>
    </row>
    <row r="165" spans="4:8">
      <c r="D165" s="757" t="str">
        <f t="shared" si="7"/>
        <v>4º GRUPO D</v>
      </c>
      <c r="E165" s="757" t="s">
        <v>433</v>
      </c>
      <c r="F165" s="757" t="s">
        <v>420</v>
      </c>
      <c r="G165" s="757" t="s">
        <v>99</v>
      </c>
      <c r="H165" s="762" t="s">
        <v>392</v>
      </c>
    </row>
    <row r="166" spans="4:8">
      <c r="D166" s="757" t="str">
        <f t="shared" si="7"/>
        <v>1º GRUPO E</v>
      </c>
      <c r="E166" s="757" t="s">
        <v>433</v>
      </c>
      <c r="F166" s="757" t="s">
        <v>421</v>
      </c>
      <c r="G166" s="757" t="s">
        <v>100</v>
      </c>
      <c r="H166" s="762" t="s">
        <v>393</v>
      </c>
    </row>
    <row r="167" spans="4:8">
      <c r="D167" s="757" t="str">
        <f t="shared" si="7"/>
        <v>2º GRUPO E</v>
      </c>
      <c r="E167" s="757" t="s">
        <v>433</v>
      </c>
      <c r="F167" s="757" t="s">
        <v>422</v>
      </c>
      <c r="G167" s="757" t="s">
        <v>101</v>
      </c>
      <c r="H167" s="762" t="s">
        <v>394</v>
      </c>
    </row>
    <row r="168" spans="4:8">
      <c r="D168" s="757" t="str">
        <f t="shared" si="7"/>
        <v>3º GRUPO E</v>
      </c>
      <c r="E168" s="757" t="s">
        <v>433</v>
      </c>
      <c r="F168" s="757" t="s">
        <v>423</v>
      </c>
      <c r="G168" s="757" t="s">
        <v>102</v>
      </c>
      <c r="H168" s="762" t="s">
        <v>395</v>
      </c>
    </row>
    <row r="169" spans="4:8">
      <c r="D169" s="757" t="str">
        <f t="shared" si="7"/>
        <v>4º GRUPO E</v>
      </c>
      <c r="E169" s="757" t="s">
        <v>433</v>
      </c>
      <c r="F169" s="757" t="s">
        <v>424</v>
      </c>
      <c r="G169" s="757" t="s">
        <v>103</v>
      </c>
      <c r="H169" s="762" t="s">
        <v>396</v>
      </c>
    </row>
    <row r="170" spans="4:8">
      <c r="D170" s="757" t="str">
        <f t="shared" si="7"/>
        <v>1º GRUPO F</v>
      </c>
      <c r="E170" s="757" t="s">
        <v>433</v>
      </c>
      <c r="F170" s="757" t="s">
        <v>425</v>
      </c>
      <c r="G170" s="757" t="s">
        <v>104</v>
      </c>
      <c r="H170" s="762" t="s">
        <v>397</v>
      </c>
    </row>
    <row r="171" spans="4:8">
      <c r="D171" s="757" t="str">
        <f t="shared" si="7"/>
        <v>2º GRUPO F</v>
      </c>
      <c r="E171" s="757" t="s">
        <v>433</v>
      </c>
      <c r="F171" s="757" t="s">
        <v>426</v>
      </c>
      <c r="G171" s="757" t="s">
        <v>105</v>
      </c>
      <c r="H171" s="762" t="s">
        <v>398</v>
      </c>
    </row>
    <row r="172" spans="4:8">
      <c r="D172" s="757" t="str">
        <f t="shared" si="7"/>
        <v>3º GRUPO F</v>
      </c>
      <c r="E172" s="757" t="s">
        <v>433</v>
      </c>
      <c r="F172" s="757" t="s">
        <v>427</v>
      </c>
      <c r="G172" s="757" t="s">
        <v>106</v>
      </c>
      <c r="H172" s="762" t="s">
        <v>399</v>
      </c>
    </row>
    <row r="173" spans="4:8">
      <c r="D173" s="757" t="str">
        <f t="shared" si="7"/>
        <v>4º GRUPO F</v>
      </c>
      <c r="E173" s="757" t="s">
        <v>433</v>
      </c>
      <c r="F173" s="757" t="s">
        <v>428</v>
      </c>
      <c r="G173" s="757" t="s">
        <v>107</v>
      </c>
      <c r="H173" s="762" t="s">
        <v>400</v>
      </c>
    </row>
    <row r="174" spans="4:8">
      <c r="D174" s="757" t="str">
        <f t="shared" ref="D174:D197" si="8">IF($B$2,G174,H174)</f>
        <v>1º GRUPO G</v>
      </c>
      <c r="E174" s="757" t="s">
        <v>433</v>
      </c>
      <c r="G174" s="757" t="s">
        <v>516</v>
      </c>
      <c r="H174" s="762" t="s">
        <v>520</v>
      </c>
    </row>
    <row r="175" spans="4:8">
      <c r="D175" s="757" t="str">
        <f t="shared" si="8"/>
        <v>2º GRUPO G</v>
      </c>
      <c r="E175" s="757" t="s">
        <v>433</v>
      </c>
      <c r="G175" s="757" t="s">
        <v>517</v>
      </c>
      <c r="H175" s="762" t="s">
        <v>521</v>
      </c>
    </row>
    <row r="176" spans="4:8">
      <c r="D176" s="757" t="str">
        <f t="shared" si="8"/>
        <v>3º GRUPO G</v>
      </c>
      <c r="E176" s="757" t="s">
        <v>433</v>
      </c>
      <c r="G176" s="757" t="s">
        <v>518</v>
      </c>
      <c r="H176" s="762" t="s">
        <v>522</v>
      </c>
    </row>
    <row r="177" spans="4:8">
      <c r="D177" s="757" t="str">
        <f t="shared" si="8"/>
        <v>4º GRUPO G</v>
      </c>
      <c r="E177" s="757" t="s">
        <v>433</v>
      </c>
      <c r="G177" s="757" t="s">
        <v>519</v>
      </c>
      <c r="H177" s="762" t="s">
        <v>523</v>
      </c>
    </row>
    <row r="178" spans="4:8">
      <c r="D178" s="757" t="str">
        <f t="shared" si="8"/>
        <v>1º GRUPO H</v>
      </c>
      <c r="E178" s="757" t="s">
        <v>433</v>
      </c>
      <c r="G178" s="757" t="s">
        <v>524</v>
      </c>
      <c r="H178" s="762" t="s">
        <v>528</v>
      </c>
    </row>
    <row r="179" spans="4:8">
      <c r="D179" s="757" t="str">
        <f t="shared" si="8"/>
        <v>2º GRUPO H</v>
      </c>
      <c r="E179" s="757" t="s">
        <v>433</v>
      </c>
      <c r="G179" s="757" t="s">
        <v>525</v>
      </c>
      <c r="H179" s="762" t="s">
        <v>529</v>
      </c>
    </row>
    <row r="180" spans="4:8">
      <c r="D180" s="757" t="str">
        <f t="shared" si="8"/>
        <v>3º GRUPO H</v>
      </c>
      <c r="E180" s="757" t="s">
        <v>433</v>
      </c>
      <c r="G180" s="757" t="s">
        <v>526</v>
      </c>
      <c r="H180" s="762" t="s">
        <v>530</v>
      </c>
    </row>
    <row r="181" spans="4:8">
      <c r="D181" s="757" t="str">
        <f t="shared" si="8"/>
        <v>4º GRUPO H</v>
      </c>
      <c r="E181" s="757" t="s">
        <v>433</v>
      </c>
      <c r="G181" s="757" t="s">
        <v>527</v>
      </c>
      <c r="H181" s="762" t="s">
        <v>531</v>
      </c>
    </row>
    <row r="182" spans="4:8">
      <c r="D182" s="757" t="str">
        <f t="shared" si="8"/>
        <v>1º GRUPO I</v>
      </c>
      <c r="E182" s="757" t="s">
        <v>433</v>
      </c>
      <c r="G182" s="757" t="s">
        <v>532</v>
      </c>
      <c r="H182" s="762" t="s">
        <v>536</v>
      </c>
    </row>
    <row r="183" spans="4:8">
      <c r="D183" s="757" t="str">
        <f t="shared" si="8"/>
        <v>2º GRUPO I</v>
      </c>
      <c r="E183" s="757" t="s">
        <v>433</v>
      </c>
      <c r="G183" s="757" t="s">
        <v>533</v>
      </c>
      <c r="H183" s="762" t="s">
        <v>537</v>
      </c>
    </row>
    <row r="184" spans="4:8">
      <c r="D184" s="757" t="str">
        <f t="shared" si="8"/>
        <v>3º GRUPO I</v>
      </c>
      <c r="E184" s="757" t="s">
        <v>433</v>
      </c>
      <c r="G184" s="757" t="s">
        <v>534</v>
      </c>
      <c r="H184" s="762" t="s">
        <v>538</v>
      </c>
    </row>
    <row r="185" spans="4:8">
      <c r="D185" s="757" t="str">
        <f t="shared" si="8"/>
        <v>4º GRUPO I</v>
      </c>
      <c r="E185" s="757" t="s">
        <v>433</v>
      </c>
      <c r="G185" s="757" t="s">
        <v>535</v>
      </c>
      <c r="H185" s="762" t="s">
        <v>539</v>
      </c>
    </row>
    <row r="186" spans="4:8">
      <c r="D186" s="757" t="str">
        <f t="shared" si="8"/>
        <v>1º GRUPO J</v>
      </c>
      <c r="E186" s="757" t="s">
        <v>433</v>
      </c>
      <c r="G186" s="757" t="s">
        <v>540</v>
      </c>
      <c r="H186" s="762" t="s">
        <v>544</v>
      </c>
    </row>
    <row r="187" spans="4:8">
      <c r="D187" s="757" t="str">
        <f t="shared" si="8"/>
        <v>2º GRUPO J</v>
      </c>
      <c r="E187" s="757" t="s">
        <v>433</v>
      </c>
      <c r="G187" s="757" t="s">
        <v>541</v>
      </c>
      <c r="H187" s="762" t="s">
        <v>545</v>
      </c>
    </row>
    <row r="188" spans="4:8">
      <c r="D188" s="757" t="str">
        <f t="shared" si="8"/>
        <v>3º GRUPO J</v>
      </c>
      <c r="E188" s="757" t="s">
        <v>433</v>
      </c>
      <c r="G188" s="757" t="s">
        <v>542</v>
      </c>
      <c r="H188" s="762" t="s">
        <v>546</v>
      </c>
    </row>
    <row r="189" spans="4:8">
      <c r="D189" s="757" t="str">
        <f t="shared" si="8"/>
        <v>4º GRUPO J</v>
      </c>
      <c r="E189" s="757" t="s">
        <v>433</v>
      </c>
      <c r="G189" s="757" t="s">
        <v>543</v>
      </c>
      <c r="H189" s="762" t="s">
        <v>547</v>
      </c>
    </row>
    <row r="190" spans="4:8">
      <c r="D190" s="757" t="str">
        <f t="shared" si="8"/>
        <v>1º GRUPO K</v>
      </c>
      <c r="E190" s="757" t="s">
        <v>433</v>
      </c>
      <c r="G190" s="757" t="s">
        <v>548</v>
      </c>
      <c r="H190" s="762" t="s">
        <v>552</v>
      </c>
    </row>
    <row r="191" spans="4:8">
      <c r="D191" s="757" t="str">
        <f t="shared" si="8"/>
        <v>2º GRUPO K</v>
      </c>
      <c r="E191" s="757" t="s">
        <v>433</v>
      </c>
      <c r="G191" s="757" t="s">
        <v>549</v>
      </c>
      <c r="H191" s="762" t="s">
        <v>553</v>
      </c>
    </row>
    <row r="192" spans="4:8">
      <c r="D192" s="757" t="str">
        <f t="shared" si="8"/>
        <v>3º GRUPO K</v>
      </c>
      <c r="E192" s="757" t="s">
        <v>433</v>
      </c>
      <c r="G192" s="757" t="s">
        <v>550</v>
      </c>
      <c r="H192" s="762" t="s">
        <v>554</v>
      </c>
    </row>
    <row r="193" spans="4:11">
      <c r="D193" s="757" t="str">
        <f t="shared" si="8"/>
        <v>4º GRUPO K</v>
      </c>
      <c r="E193" s="757" t="s">
        <v>433</v>
      </c>
      <c r="G193" s="757" t="s">
        <v>551</v>
      </c>
      <c r="H193" s="762" t="s">
        <v>555</v>
      </c>
    </row>
    <row r="194" spans="4:11">
      <c r="D194" s="757" t="str">
        <f t="shared" si="8"/>
        <v>1º GRUPO L</v>
      </c>
      <c r="E194" s="757" t="s">
        <v>433</v>
      </c>
      <c r="G194" s="757" t="s">
        <v>556</v>
      </c>
      <c r="H194" s="762" t="s">
        <v>560</v>
      </c>
    </row>
    <row r="195" spans="4:11">
      <c r="D195" s="757" t="str">
        <f t="shared" si="8"/>
        <v>2º GRUPO L</v>
      </c>
      <c r="E195" s="757" t="s">
        <v>433</v>
      </c>
      <c r="G195" s="757" t="s">
        <v>557</v>
      </c>
      <c r="H195" s="762" t="s">
        <v>561</v>
      </c>
    </row>
    <row r="196" spans="4:11">
      <c r="D196" s="757" t="str">
        <f t="shared" si="8"/>
        <v>3º GRUPO L</v>
      </c>
      <c r="E196" s="757" t="s">
        <v>433</v>
      </c>
      <c r="G196" s="757" t="s">
        <v>558</v>
      </c>
      <c r="H196" s="762" t="s">
        <v>562</v>
      </c>
    </row>
    <row r="197" spans="4:11">
      <c r="D197" s="757" t="str">
        <f t="shared" si="8"/>
        <v>4º GRUPO L</v>
      </c>
      <c r="E197" s="757" t="s">
        <v>433</v>
      </c>
      <c r="G197" s="757" t="s">
        <v>559</v>
      </c>
      <c r="H197" s="762" t="s">
        <v>563</v>
      </c>
    </row>
    <row r="198" spans="4:11">
      <c r="D198" s="757" t="str">
        <f t="shared" si="6"/>
        <v>Dieciseisavofinalista</v>
      </c>
      <c r="E198" s="757" t="s">
        <v>433</v>
      </c>
      <c r="F198" s="757" t="s">
        <v>429</v>
      </c>
      <c r="G198" s="757" t="s">
        <v>566</v>
      </c>
      <c r="H198" s="762" t="s">
        <v>567</v>
      </c>
    </row>
    <row r="199" spans="4:11">
      <c r="D199" s="757" t="str">
        <f t="shared" si="6"/>
        <v>Octavofinalista</v>
      </c>
      <c r="E199" s="757" t="s">
        <v>433</v>
      </c>
      <c r="G199" s="757" t="s">
        <v>1296</v>
      </c>
      <c r="H199" s="762" t="s">
        <v>401</v>
      </c>
    </row>
    <row r="200" spans="4:11">
      <c r="D200" s="757" t="str">
        <f t="shared" si="6"/>
        <v>Cuartofinalista</v>
      </c>
      <c r="E200" s="757" t="s">
        <v>433</v>
      </c>
      <c r="F200" s="757" t="s">
        <v>430</v>
      </c>
      <c r="G200" s="757" t="s">
        <v>58</v>
      </c>
      <c r="H200" s="762" t="s">
        <v>402</v>
      </c>
    </row>
    <row r="201" spans="4:11">
      <c r="D201" s="757" t="str">
        <f t="shared" si="6"/>
        <v>Semifinalista</v>
      </c>
      <c r="E201" s="757" t="s">
        <v>433</v>
      </c>
      <c r="F201" s="757" t="s">
        <v>431</v>
      </c>
      <c r="G201" s="757" t="s">
        <v>61</v>
      </c>
      <c r="H201" s="762" t="s">
        <v>403</v>
      </c>
    </row>
    <row r="202" spans="4:11">
      <c r="D202" s="757" t="str">
        <f t="shared" si="6"/>
        <v>3º y 4º puesto</v>
      </c>
      <c r="E202" s="757" t="s">
        <v>433</v>
      </c>
      <c r="G202" s="757" t="s">
        <v>491</v>
      </c>
      <c r="H202" s="762" t="s">
        <v>492</v>
      </c>
    </row>
    <row r="203" spans="4:11">
      <c r="D203" s="757" t="str">
        <f t="shared" si="6"/>
        <v>Finalista</v>
      </c>
      <c r="E203" s="757" t="s">
        <v>433</v>
      </c>
      <c r="F203" s="757" t="s">
        <v>432</v>
      </c>
      <c r="G203" s="757" t="s">
        <v>64</v>
      </c>
      <c r="H203" s="762" t="s">
        <v>404</v>
      </c>
    </row>
    <row r="207" spans="4:11">
      <c r="J207" s="756"/>
      <c r="K207" s="686"/>
    </row>
    <row r="209" spans="2:16">
      <c r="J209" s="756"/>
    </row>
    <row r="211" spans="2:16">
      <c r="C211" s="757" t="s">
        <v>1369</v>
      </c>
      <c r="J211" s="756"/>
      <c r="O211" s="715" t="s">
        <v>1928</v>
      </c>
      <c r="P211" s="715"/>
    </row>
    <row r="212" spans="2:16">
      <c r="B212" s="757">
        <v>1</v>
      </c>
      <c r="C212" s="757">
        <v>17</v>
      </c>
      <c r="D212" s="757" t="str">
        <f t="shared" ref="D212:D259" ca="1" si="9">IF($B$2,G212,H212)</f>
        <v>Alemania</v>
      </c>
      <c r="E212" s="757" t="s">
        <v>213</v>
      </c>
      <c r="F212" s="757" t="s">
        <v>300</v>
      </c>
      <c r="G212" s="757" t="str">
        <f t="shared" ref="G212:G259" ca="1" si="10">J212</f>
        <v>Alemania</v>
      </c>
      <c r="H212" s="757" t="str">
        <f t="shared" ref="H212:H259" ca="1" si="11">K212</f>
        <v>Germany</v>
      </c>
      <c r="I212" s="9" t="s">
        <v>27</v>
      </c>
      <c r="J212" s="715" t="str">
        <f ca="1">IF(Home!$K$23=$D$1419,O212,
IF(AND(Home!$K$23&lt;&gt;$D$1419,TODAY()&lt;=Horarios!$A$4),O212,$D$1420))</f>
        <v>Alemania</v>
      </c>
      <c r="K212" s="715" t="str">
        <f ca="1">IF(Home!$K$23=$D$1419,P212,
IF(AND(Home!$K$23&lt;&gt;$D$1419,TODAY()&lt;=Horarios!$A$4),P212,$D$1420))</f>
        <v>Germany</v>
      </c>
      <c r="O212" s="714" t="s">
        <v>77</v>
      </c>
      <c r="P212" s="714" t="s">
        <v>297</v>
      </c>
    </row>
    <row r="213" spans="2:16">
      <c r="B213" s="757">
        <v>2</v>
      </c>
      <c r="C213" s="757">
        <v>31</v>
      </c>
      <c r="D213" s="757" t="str">
        <f t="shared" ca="1" si="9"/>
        <v>Arabia Saudita</v>
      </c>
      <c r="E213" s="757" t="s">
        <v>213</v>
      </c>
      <c r="F213" s="757" t="s">
        <v>188</v>
      </c>
      <c r="G213" s="757" t="str">
        <f t="shared" ca="1" si="10"/>
        <v>Arabia Saudita</v>
      </c>
      <c r="H213" s="757" t="str">
        <f t="shared" ca="1" si="11"/>
        <v>Saudi Arabia</v>
      </c>
      <c r="I213" s="9" t="s">
        <v>28</v>
      </c>
      <c r="J213" s="715" t="str">
        <f ca="1">IF(Home!$K$23=$D$1419,O213,
IF(AND(Home!$K$23&lt;&gt;$D$1419,TODAY()&lt;=Horarios!$A$4),O213,$D$1420))</f>
        <v>Arabia Saudita</v>
      </c>
      <c r="K213" s="715" t="str">
        <f ca="1">IF(Home!$K$23=$D$1419,P213,
IF(AND(Home!$K$23&lt;&gt;$D$1419,TODAY()&lt;=Horarios!$A$4),P213,$D$1420))</f>
        <v>Saudi Arabia</v>
      </c>
      <c r="O213" s="714" t="s">
        <v>1627</v>
      </c>
      <c r="P213" s="714" t="s">
        <v>1634</v>
      </c>
    </row>
    <row r="214" spans="2:16">
      <c r="B214" s="757">
        <v>3</v>
      </c>
      <c r="C214" s="757">
        <v>38</v>
      </c>
      <c r="D214" s="757" t="str">
        <f t="shared" ca="1" si="9"/>
        <v>Argelia</v>
      </c>
      <c r="E214" s="757" t="s">
        <v>213</v>
      </c>
      <c r="F214" s="757" t="s">
        <v>301</v>
      </c>
      <c r="G214" s="757" t="str">
        <f t="shared" ca="1" si="10"/>
        <v>Argelia</v>
      </c>
      <c r="H214" s="757" t="str">
        <f t="shared" ca="1" si="11"/>
        <v>Algeria</v>
      </c>
      <c r="I214" s="9" t="s">
        <v>112</v>
      </c>
      <c r="J214" s="715" t="str">
        <f ca="1">IF(Home!$K$23=$D$1419,O214,
IF(AND(Home!$K$23&lt;&gt;$D$1419,TODAY()&lt;=Horarios!$A$4),O214,$D$1420))</f>
        <v>Argelia</v>
      </c>
      <c r="K214" s="715" t="str">
        <f ca="1">IF(Home!$K$23=$D$1419,P214,
IF(AND(Home!$K$23&lt;&gt;$D$1419,TODAY()&lt;=Horarios!$A$4),P214,$D$1420))</f>
        <v>Algeria</v>
      </c>
      <c r="O214" s="714" t="s">
        <v>1553</v>
      </c>
      <c r="P214" s="714" t="s">
        <v>1554</v>
      </c>
    </row>
    <row r="215" spans="2:16">
      <c r="B215" s="757">
        <v>4</v>
      </c>
      <c r="C215" s="757">
        <v>37</v>
      </c>
      <c r="D215" s="757" t="str">
        <f t="shared" ca="1" si="9"/>
        <v>Argentina</v>
      </c>
      <c r="E215" s="757" t="s">
        <v>213</v>
      </c>
      <c r="F215" s="757" t="s">
        <v>302</v>
      </c>
      <c r="G215" s="757" t="str">
        <f t="shared" ca="1" si="10"/>
        <v>Argentina</v>
      </c>
      <c r="H215" s="757" t="str">
        <f t="shared" ca="1" si="11"/>
        <v>Argentina</v>
      </c>
      <c r="I215" s="9" t="s">
        <v>118</v>
      </c>
      <c r="J215" s="715" t="str">
        <f ca="1">IF(Home!$K$23=$D$1419,O215,
IF(AND(Home!$K$23&lt;&gt;$D$1419,TODAY()&lt;=Horarios!$A$4),O215,$D$1420))</f>
        <v>Argentina</v>
      </c>
      <c r="K215" s="715" t="str">
        <f ca="1">IF(Home!$K$23=$D$1419,P215,
IF(AND(Home!$K$23&lt;&gt;$D$1419,TODAY()&lt;=Horarios!$A$4),P215,$D$1420))</f>
        <v>Argentina</v>
      </c>
      <c r="O215" s="714" t="s">
        <v>1256</v>
      </c>
      <c r="P215" s="714" t="s">
        <v>1256</v>
      </c>
    </row>
    <row r="216" spans="2:16">
      <c r="B216" s="757">
        <v>5</v>
      </c>
      <c r="C216" s="757">
        <v>15</v>
      </c>
      <c r="D216" s="757" t="str">
        <f t="shared" ca="1" si="9"/>
        <v>Australia</v>
      </c>
      <c r="E216" s="757" t="s">
        <v>213</v>
      </c>
      <c r="F216" s="757" t="s">
        <v>303</v>
      </c>
      <c r="G216" s="757" t="str">
        <f t="shared" ca="1" si="10"/>
        <v>Australia</v>
      </c>
      <c r="H216" s="757" t="str">
        <f t="shared" ca="1" si="11"/>
        <v>Australia</v>
      </c>
      <c r="I216" s="9" t="s">
        <v>124</v>
      </c>
      <c r="J216" s="715" t="str">
        <f ca="1">IF(Home!$K$23=$D$1419,O216,
IF(AND(Home!$K$23&lt;&gt;$D$1419,TODAY()&lt;=Horarios!$A$4),O216,$D$1420))</f>
        <v>Australia</v>
      </c>
      <c r="K216" s="715" t="str">
        <f ca="1">IF(Home!$K$23=$D$1419,P216,
IF(AND(Home!$K$23&lt;&gt;$D$1419,TODAY()&lt;=Horarios!$A$4),P216,$D$1420))</f>
        <v>Australia</v>
      </c>
      <c r="O216" s="714" t="s">
        <v>1257</v>
      </c>
      <c r="P216" s="714" t="s">
        <v>1257</v>
      </c>
    </row>
    <row r="217" spans="2:16">
      <c r="B217" s="757">
        <v>6</v>
      </c>
      <c r="C217" s="757">
        <v>39</v>
      </c>
      <c r="D217" s="757" t="str">
        <f t="shared" ca="1" si="9"/>
        <v>Austria</v>
      </c>
      <c r="E217" s="757" t="s">
        <v>213</v>
      </c>
      <c r="F217" s="757" t="s">
        <v>304</v>
      </c>
      <c r="G217" s="757" t="str">
        <f t="shared" ca="1" si="10"/>
        <v>Austria</v>
      </c>
      <c r="H217" s="757" t="str">
        <f t="shared" ca="1" si="11"/>
        <v>Austria</v>
      </c>
      <c r="I217" s="9" t="s">
        <v>1224</v>
      </c>
      <c r="J217" s="715" t="str">
        <f ca="1">IF(Home!$K$23=$D$1419,O217,
IF(AND(Home!$K$23&lt;&gt;$D$1419,TODAY()&lt;=Horarios!$A$4),O217,$D$1420))</f>
        <v>Austria</v>
      </c>
      <c r="K217" s="715" t="str">
        <f ca="1">IF(Home!$K$23=$D$1419,P217,
IF(AND(Home!$K$23&lt;&gt;$D$1419,TODAY()&lt;=Horarios!$A$4),P217,$D$1420))</f>
        <v>Austria</v>
      </c>
      <c r="O217" s="714" t="s">
        <v>80</v>
      </c>
      <c r="P217" s="714" t="s">
        <v>80</v>
      </c>
    </row>
    <row r="218" spans="2:16">
      <c r="B218" s="757">
        <v>7</v>
      </c>
      <c r="C218" s="757">
        <v>25</v>
      </c>
      <c r="D218" s="757" t="str">
        <f t="shared" ca="1" si="9"/>
        <v>Bélgica</v>
      </c>
      <c r="E218" s="757" t="s">
        <v>213</v>
      </c>
      <c r="F218" s="757" t="s">
        <v>305</v>
      </c>
      <c r="G218" s="757" t="str">
        <f t="shared" ca="1" si="10"/>
        <v>Bélgica</v>
      </c>
      <c r="H218" s="757" t="str">
        <f t="shared" ca="1" si="11"/>
        <v>Belgium</v>
      </c>
      <c r="I218" s="9" t="s">
        <v>113</v>
      </c>
      <c r="J218" s="715" t="str">
        <f ca="1">IF(Home!$K$23=$D$1419,O218,
IF(AND(Home!$K$23&lt;&gt;$D$1419,TODAY()&lt;=Horarios!$A$4),O218,$D$1420))</f>
        <v>Bélgica</v>
      </c>
      <c r="K218" s="715" t="str">
        <f ca="1">IF(Home!$K$23=$D$1419,P218,
IF(AND(Home!$K$23&lt;&gt;$D$1419,TODAY()&lt;=Horarios!$A$4),P218,$D$1420))</f>
        <v>Belgium</v>
      </c>
      <c r="O218" s="714" t="s">
        <v>110</v>
      </c>
      <c r="P218" s="714" t="s">
        <v>293</v>
      </c>
    </row>
    <row r="219" spans="2:16">
      <c r="B219" s="757">
        <v>8</v>
      </c>
      <c r="C219" s="757">
        <v>9</v>
      </c>
      <c r="D219" s="757" t="str">
        <f t="shared" ca="1" si="9"/>
        <v>Brasil</v>
      </c>
      <c r="E219" s="757" t="s">
        <v>213</v>
      </c>
      <c r="F219" s="757" t="s">
        <v>306</v>
      </c>
      <c r="G219" s="757" t="str">
        <f t="shared" ca="1" si="10"/>
        <v>Brasil</v>
      </c>
      <c r="H219" s="757" t="str">
        <f t="shared" ca="1" si="11"/>
        <v>Brazil</v>
      </c>
      <c r="I219" s="9" t="s">
        <v>1230</v>
      </c>
      <c r="J219" s="715" t="str">
        <f ca="1">IF(Home!$K$23=$D$1419,O219,
IF(AND(Home!$K$23&lt;&gt;$D$1419,TODAY()&lt;=Horarios!$A$4),O219,$D$1420))</f>
        <v>Brasil</v>
      </c>
      <c r="K219" s="715" t="str">
        <f ca="1">IF(Home!$K$23=$D$1419,P219,
IF(AND(Home!$K$23&lt;&gt;$D$1419,TODAY()&lt;=Horarios!$A$4),P219,$D$1420))</f>
        <v>Brazil</v>
      </c>
      <c r="O219" s="714" t="s">
        <v>1258</v>
      </c>
      <c r="P219" s="714" t="s">
        <v>1274</v>
      </c>
    </row>
    <row r="220" spans="2:16">
      <c r="B220" s="757">
        <v>9</v>
      </c>
      <c r="C220" s="757">
        <v>30</v>
      </c>
      <c r="D220" s="757" t="str">
        <f t="shared" ca="1" si="9"/>
        <v>Cabo Verde</v>
      </c>
      <c r="E220" s="757" t="s">
        <v>213</v>
      </c>
      <c r="F220" s="757" t="s">
        <v>307</v>
      </c>
      <c r="G220" s="757" t="str">
        <f t="shared" ca="1" si="10"/>
        <v>Cabo Verde</v>
      </c>
      <c r="H220" s="757" t="str">
        <f t="shared" ca="1" si="11"/>
        <v>Cape Verde</v>
      </c>
      <c r="I220" s="9" t="s">
        <v>515</v>
      </c>
      <c r="J220" s="715" t="str">
        <f ca="1">IF(Home!$K$23=$D$1419,O220,
IF(AND(Home!$K$23&lt;&gt;$D$1419,TODAY()&lt;=Horarios!$A$4),O220,$D$1420))</f>
        <v>Cabo Verde</v>
      </c>
      <c r="K220" s="715" t="str">
        <f ca="1">IF(Home!$K$23=$D$1419,P220,
IF(AND(Home!$K$23&lt;&gt;$D$1419,TODAY()&lt;=Horarios!$A$4),P220,$D$1420))</f>
        <v>Cape Verde</v>
      </c>
      <c r="O220" s="714" t="s">
        <v>1547</v>
      </c>
      <c r="P220" s="714" t="s">
        <v>1551</v>
      </c>
    </row>
    <row r="221" spans="2:16">
      <c r="B221" s="757">
        <v>10</v>
      </c>
      <c r="C221" s="757">
        <v>5</v>
      </c>
      <c r="D221" s="757" t="str">
        <f t="shared" ca="1" si="9"/>
        <v>Canadá</v>
      </c>
      <c r="E221" s="757" t="s">
        <v>213</v>
      </c>
      <c r="F221" s="757" t="s">
        <v>308</v>
      </c>
      <c r="G221" s="757" t="str">
        <f t="shared" ca="1" si="10"/>
        <v>Canadá</v>
      </c>
      <c r="H221" s="757" t="str">
        <f t="shared" ca="1" si="11"/>
        <v>Canada</v>
      </c>
      <c r="I221" s="9" t="s">
        <v>300</v>
      </c>
      <c r="J221" s="715" t="str">
        <f ca="1">IF(Home!$K$23=$D$1419,O221,
IF(AND(Home!$K$23&lt;&gt;$D$1419,TODAY()&lt;=Horarios!$A$4),O221,$D$1420))</f>
        <v>Canadá</v>
      </c>
      <c r="K221" s="715" t="str">
        <f ca="1">IF(Home!$K$23=$D$1419,P221,
IF(AND(Home!$K$23&lt;&gt;$D$1419,TODAY()&lt;=Horarios!$A$4),P221,$D$1420))</f>
        <v>Canada</v>
      </c>
      <c r="O221" s="714" t="s">
        <v>1259</v>
      </c>
      <c r="P221" s="714" t="s">
        <v>1276</v>
      </c>
    </row>
    <row r="222" spans="2:16">
      <c r="B222" s="757">
        <v>11</v>
      </c>
      <c r="C222" s="757">
        <v>7</v>
      </c>
      <c r="D222" s="757" t="str">
        <f t="shared" ca="1" si="9"/>
        <v>Catar</v>
      </c>
      <c r="E222" s="757" t="s">
        <v>213</v>
      </c>
      <c r="F222" s="757" t="s">
        <v>309</v>
      </c>
      <c r="G222" s="757" t="str">
        <f t="shared" ca="1" si="10"/>
        <v>Catar</v>
      </c>
      <c r="H222" s="757" t="str">
        <f t="shared" ca="1" si="11"/>
        <v>Qatar</v>
      </c>
      <c r="I222" s="9" t="s">
        <v>188</v>
      </c>
      <c r="J222" s="715" t="str">
        <f ca="1">IF(Home!$K$23=$D$1419,O222,
IF(AND(Home!$K$23&lt;&gt;$D$1419,TODAY()&lt;=Horarios!$A$4),O222,$D$1420))</f>
        <v>Catar</v>
      </c>
      <c r="K222" s="715" t="str">
        <f ca="1">IF(Home!$K$23=$D$1419,P222,
IF(AND(Home!$K$23&lt;&gt;$D$1419,TODAY()&lt;=Horarios!$A$4),P222,$D$1420))</f>
        <v>Qatar</v>
      </c>
      <c r="O222" s="714" t="s">
        <v>1626</v>
      </c>
      <c r="P222" s="714" t="s">
        <v>1632</v>
      </c>
    </row>
    <row r="223" spans="2:16">
      <c r="B223" s="757">
        <v>12</v>
      </c>
      <c r="C223" s="757">
        <v>44</v>
      </c>
      <c r="D223" s="757" t="str">
        <f t="shared" ca="1" si="9"/>
        <v>Colombia</v>
      </c>
      <c r="E223" s="757" t="s">
        <v>213</v>
      </c>
      <c r="F223" s="757" t="s">
        <v>310</v>
      </c>
      <c r="G223" s="757" t="str">
        <f t="shared" ca="1" si="10"/>
        <v>Colombia</v>
      </c>
      <c r="H223" s="757" t="str">
        <f t="shared" ca="1" si="11"/>
        <v>Colombia</v>
      </c>
      <c r="I223" s="9" t="s">
        <v>301</v>
      </c>
      <c r="J223" s="715" t="str">
        <f ca="1">IF(Home!$K$23=$D$1419,O223,
IF(AND(Home!$K$23&lt;&gt;$D$1419,TODAY()&lt;=Horarios!$A$4),O223,$D$1420))</f>
        <v>Colombia</v>
      </c>
      <c r="K223" s="715" t="str">
        <f ca="1">IF(Home!$K$23=$D$1419,P223,
IF(AND(Home!$K$23&lt;&gt;$D$1419,TODAY()&lt;=Horarios!$A$4),P223,$D$1420))</f>
        <v>Colombia</v>
      </c>
      <c r="O223" s="714" t="s">
        <v>1316</v>
      </c>
      <c r="P223" s="714" t="s">
        <v>1316</v>
      </c>
    </row>
    <row r="224" spans="2:16">
      <c r="B224" s="757">
        <v>13</v>
      </c>
      <c r="C224" s="757">
        <v>3</v>
      </c>
      <c r="D224" s="757" t="str">
        <f t="shared" ca="1" si="9"/>
        <v>Corea del Sur</v>
      </c>
      <c r="E224" s="757" t="s">
        <v>213</v>
      </c>
      <c r="F224" s="757" t="s">
        <v>311</v>
      </c>
      <c r="G224" s="757" t="str">
        <f t="shared" ca="1" si="10"/>
        <v>Corea del Sur</v>
      </c>
      <c r="H224" s="757" t="str">
        <f t="shared" ca="1" si="11"/>
        <v>South Korea</v>
      </c>
      <c r="I224" s="9" t="s">
        <v>1196</v>
      </c>
      <c r="J224" s="715" t="str">
        <f ca="1">IF(Home!$K$23=$D$1419,O224,
IF(AND(Home!$K$23&lt;&gt;$D$1419,TODAY()&lt;=Horarios!$A$4),O224,$D$1420))</f>
        <v>Corea del Sur</v>
      </c>
      <c r="K224" s="715" t="str">
        <f ca="1">IF(Home!$K$23=$D$1419,P224,
IF(AND(Home!$K$23&lt;&gt;$D$1419,TODAY()&lt;=Horarios!$A$4),P224,$D$1420))</f>
        <v>South Korea</v>
      </c>
      <c r="O224" s="714" t="s">
        <v>1260</v>
      </c>
      <c r="P224" s="714" t="s">
        <v>1278</v>
      </c>
    </row>
    <row r="225" spans="2:16">
      <c r="B225" s="757">
        <v>14</v>
      </c>
      <c r="C225" s="757">
        <v>19</v>
      </c>
      <c r="D225" s="757" t="str">
        <f t="shared" ca="1" si="9"/>
        <v>Costa de Marfil</v>
      </c>
      <c r="E225" s="757" t="s">
        <v>213</v>
      </c>
      <c r="F225" s="757" t="s">
        <v>312</v>
      </c>
      <c r="G225" s="757" t="str">
        <f t="shared" ca="1" si="10"/>
        <v>Costa de Marfil</v>
      </c>
      <c r="H225" s="757" t="str">
        <f t="shared" ca="1" si="11"/>
        <v>Ivory Coast</v>
      </c>
      <c r="I225" s="9" t="s">
        <v>1197</v>
      </c>
      <c r="J225" s="715" t="str">
        <f ca="1">IF(Home!$K$23=$D$1419,O225,
IF(AND(Home!$K$23&lt;&gt;$D$1419,TODAY()&lt;=Horarios!$A$4),O225,$D$1420))</f>
        <v>Costa de Marfil</v>
      </c>
      <c r="K225" s="715" t="str">
        <f ca="1">IF(Home!$K$23=$D$1419,P225,
IF(AND(Home!$K$23&lt;&gt;$D$1419,TODAY()&lt;=Horarios!$A$4),P225,$D$1420))</f>
        <v>Ivory Coast</v>
      </c>
      <c r="O225" s="715" t="s">
        <v>1628</v>
      </c>
      <c r="P225" s="714" t="s">
        <v>1636</v>
      </c>
    </row>
    <row r="226" spans="2:16">
      <c r="B226" s="757">
        <v>15</v>
      </c>
      <c r="C226" s="757">
        <v>46</v>
      </c>
      <c r="D226" s="757" t="str">
        <f t="shared" ca="1" si="9"/>
        <v>Croacia</v>
      </c>
      <c r="E226" s="757" t="s">
        <v>213</v>
      </c>
      <c r="F226" s="757" t="s">
        <v>313</v>
      </c>
      <c r="G226" s="757" t="str">
        <f t="shared" ca="1" si="10"/>
        <v>Croacia</v>
      </c>
      <c r="H226" s="757" t="str">
        <f t="shared" ca="1" si="11"/>
        <v>Croatia</v>
      </c>
      <c r="I226" s="9" t="s">
        <v>1198</v>
      </c>
      <c r="J226" s="715" t="str">
        <f ca="1">IF(Home!$K$23=$D$1419,O226,
IF(AND(Home!$K$23&lt;&gt;$D$1419,TODAY()&lt;=Horarios!$A$4),O226,$D$1420))</f>
        <v>Croacia</v>
      </c>
      <c r="K226" s="715" t="str">
        <f ca="1">IF(Home!$K$23=$D$1419,P226,
IF(AND(Home!$K$23&lt;&gt;$D$1419,TODAY()&lt;=Horarios!$A$4),P226,$D$1420))</f>
        <v>Croatia</v>
      </c>
      <c r="O226" s="714" t="s">
        <v>78</v>
      </c>
      <c r="P226" s="714" t="s">
        <v>296</v>
      </c>
    </row>
    <row r="227" spans="2:16">
      <c r="B227" s="757">
        <v>16</v>
      </c>
      <c r="C227" s="757">
        <v>18</v>
      </c>
      <c r="D227" s="757" t="str">
        <f t="shared" ca="1" si="9"/>
        <v>Curazao</v>
      </c>
      <c r="E227" s="757" t="s">
        <v>213</v>
      </c>
      <c r="F227" s="757" t="s">
        <v>314</v>
      </c>
      <c r="G227" s="757" t="str">
        <f t="shared" ca="1" si="10"/>
        <v>Curazao</v>
      </c>
      <c r="H227" s="757" t="str">
        <f t="shared" ca="1" si="11"/>
        <v>Curaçao</v>
      </c>
      <c r="I227" s="9" t="s">
        <v>1231</v>
      </c>
      <c r="J227" s="715" t="str">
        <f ca="1">IF(Home!$K$23=$D$1419,O227,
IF(AND(Home!$K$23&lt;&gt;$D$1419,TODAY()&lt;=Horarios!$A$4),O227,$D$1420))</f>
        <v>Curazao</v>
      </c>
      <c r="K227" s="715" t="str">
        <f ca="1">IF(Home!$K$23=$D$1419,P227,
IF(AND(Home!$K$23&lt;&gt;$D$1419,TODAY()&lt;=Horarios!$A$4),P227,$D$1420))</f>
        <v>Curaçao</v>
      </c>
      <c r="O227" s="714" t="s">
        <v>1721</v>
      </c>
      <c r="P227" s="714" t="s">
        <v>1722</v>
      </c>
    </row>
    <row r="228" spans="2:16">
      <c r="B228" s="757">
        <v>17</v>
      </c>
      <c r="C228" s="757">
        <v>20</v>
      </c>
      <c r="D228" s="757" t="str">
        <f t="shared" ca="1" si="9"/>
        <v>Ecuador</v>
      </c>
      <c r="E228" s="757" t="s">
        <v>213</v>
      </c>
      <c r="F228" s="757" t="s">
        <v>315</v>
      </c>
      <c r="G228" s="757" t="str">
        <f t="shared" ca="1" si="10"/>
        <v>Ecuador</v>
      </c>
      <c r="H228" s="757" t="str">
        <f t="shared" ca="1" si="11"/>
        <v>Ecuador</v>
      </c>
      <c r="I228" s="9" t="s">
        <v>119</v>
      </c>
      <c r="J228" s="715" t="str">
        <f ca="1">IF(Home!$K$23=$D$1419,O228,
IF(AND(Home!$K$23&lt;&gt;$D$1419,TODAY()&lt;=Horarios!$A$4),O228,$D$1420))</f>
        <v>Ecuador</v>
      </c>
      <c r="K228" s="715" t="str">
        <f ca="1">IF(Home!$K$23=$D$1419,P228,
IF(AND(Home!$K$23&lt;&gt;$D$1419,TODAY()&lt;=Horarios!$A$4),P228,$D$1420))</f>
        <v>Ecuador</v>
      </c>
      <c r="O228" s="714" t="s">
        <v>1261</v>
      </c>
      <c r="P228" s="714" t="s">
        <v>1261</v>
      </c>
    </row>
    <row r="229" spans="2:16">
      <c r="B229" s="757">
        <v>18</v>
      </c>
      <c r="C229" s="757">
        <v>26</v>
      </c>
      <c r="D229" s="757" t="str">
        <f t="shared" ca="1" si="9"/>
        <v>Egipto</v>
      </c>
      <c r="E229" s="757" t="s">
        <v>213</v>
      </c>
      <c r="F229" s="757" t="s">
        <v>316</v>
      </c>
      <c r="G229" s="757" t="str">
        <f t="shared" ca="1" si="10"/>
        <v>Egipto</v>
      </c>
      <c r="H229" s="757" t="str">
        <f t="shared" ca="1" si="11"/>
        <v>Egypt</v>
      </c>
      <c r="I229" s="9" t="s">
        <v>125</v>
      </c>
      <c r="J229" s="715" t="str">
        <f ca="1">IF(Home!$K$23=$D$1419,O229,
IF(AND(Home!$K$23&lt;&gt;$D$1419,TODAY()&lt;=Horarios!$A$4),O229,$D$1420))</f>
        <v>Egipto</v>
      </c>
      <c r="K229" s="715" t="str">
        <f ca="1">IF(Home!$K$23=$D$1419,P229,
IF(AND(Home!$K$23&lt;&gt;$D$1419,TODAY()&lt;=Horarios!$A$4),P229,$D$1420))</f>
        <v>Egypt</v>
      </c>
      <c r="O229" s="714" t="s">
        <v>1545</v>
      </c>
      <c r="P229" s="714" t="s">
        <v>1548</v>
      </c>
    </row>
    <row r="230" spans="2:16">
      <c r="B230" s="757">
        <v>19</v>
      </c>
      <c r="C230" s="757">
        <v>12</v>
      </c>
      <c r="D230" s="757" t="str">
        <f t="shared" ca="1" si="9"/>
        <v>Escocia</v>
      </c>
      <c r="E230" s="757" t="s">
        <v>213</v>
      </c>
      <c r="F230" s="757" t="s">
        <v>317</v>
      </c>
      <c r="G230" s="757" t="str">
        <f t="shared" ca="1" si="10"/>
        <v>Escocia</v>
      </c>
      <c r="H230" s="757" t="str">
        <f t="shared" ca="1" si="11"/>
        <v>Scotland</v>
      </c>
      <c r="I230" s="9" t="s">
        <v>1225</v>
      </c>
      <c r="J230" s="715" t="str">
        <f ca="1">IF(Home!$K$23=$D$1419,O230,
IF(AND(Home!$K$23&lt;&gt;$D$1419,TODAY()&lt;=Horarios!$A$4),O230,$D$1420))</f>
        <v>Escocia</v>
      </c>
      <c r="K230" s="715" t="str">
        <f ca="1">IF(Home!$K$23=$D$1419,P230,
IF(AND(Home!$K$23&lt;&gt;$D$1419,TODAY()&lt;=Horarios!$A$4),P230,$D$1420))</f>
        <v>Scotland</v>
      </c>
      <c r="O230" s="714" t="s">
        <v>134</v>
      </c>
      <c r="P230" s="714" t="s">
        <v>298</v>
      </c>
    </row>
    <row r="231" spans="2:16">
      <c r="B231" s="757">
        <v>20</v>
      </c>
      <c r="C231" s="757">
        <v>29</v>
      </c>
      <c r="D231" s="757" t="str">
        <f t="shared" ca="1" si="9"/>
        <v>España</v>
      </c>
      <c r="E231" s="757" t="s">
        <v>213</v>
      </c>
      <c r="F231" s="757" t="s">
        <v>318</v>
      </c>
      <c r="G231" s="757" t="str">
        <f t="shared" ca="1" si="10"/>
        <v>España</v>
      </c>
      <c r="H231" s="757" t="str">
        <f t="shared" ca="1" si="11"/>
        <v>Spain</v>
      </c>
      <c r="I231" s="9" t="s">
        <v>114</v>
      </c>
      <c r="J231" s="715" t="str">
        <f ca="1">IF(Home!$K$23=$D$1419,O231,
IF(AND(Home!$K$23&lt;&gt;$D$1419,TODAY()&lt;=Horarios!$A$4),O231,$D$1420))</f>
        <v>España</v>
      </c>
      <c r="K231" s="715" t="str">
        <f ca="1">IF(Home!$K$23=$D$1419,P231,
IF(AND(Home!$K$23&lt;&gt;$D$1419,TODAY()&lt;=Horarios!$A$4),P231,$D$1420))</f>
        <v>Spain</v>
      </c>
      <c r="O231" s="714" t="s">
        <v>38</v>
      </c>
      <c r="P231" s="714" t="s">
        <v>295</v>
      </c>
    </row>
    <row r="232" spans="2:16">
      <c r="B232" s="757">
        <v>21</v>
      </c>
      <c r="C232" s="757">
        <v>13</v>
      </c>
      <c r="D232" s="757" t="str">
        <f t="shared" ca="1" si="9"/>
        <v>Estados Unidos</v>
      </c>
      <c r="E232" s="757" t="s">
        <v>213</v>
      </c>
      <c r="F232" s="757" t="s">
        <v>319</v>
      </c>
      <c r="G232" s="757" t="str">
        <f t="shared" ca="1" si="10"/>
        <v>Estados Unidos</v>
      </c>
      <c r="H232" s="757" t="str">
        <f t="shared" ca="1" si="11"/>
        <v>United States</v>
      </c>
      <c r="I232" s="9" t="s">
        <v>120</v>
      </c>
      <c r="J232" s="715" t="str">
        <f ca="1">IF(Home!$K$23=$D$1419,O232,
IF(AND(Home!$K$23&lt;&gt;$D$1419,TODAY()&lt;=Horarios!$A$4),O232,$D$1420))</f>
        <v>Estados Unidos</v>
      </c>
      <c r="K232" s="715" t="str">
        <f ca="1">IF(Home!$K$23=$D$1419,P232,
IF(AND(Home!$K$23&lt;&gt;$D$1419,TODAY()&lt;=Horarios!$A$4),P232,$D$1420))</f>
        <v>United States</v>
      </c>
      <c r="O232" s="714" t="s">
        <v>497</v>
      </c>
      <c r="P232" s="714" t="s">
        <v>498</v>
      </c>
    </row>
    <row r="233" spans="2:16">
      <c r="B233" s="757">
        <v>22</v>
      </c>
      <c r="C233" s="757">
        <v>33</v>
      </c>
      <c r="D233" s="757" t="str">
        <f t="shared" ca="1" si="9"/>
        <v>Francia</v>
      </c>
      <c r="E233" s="757" t="s">
        <v>213</v>
      </c>
      <c r="F233" s="757" t="s">
        <v>320</v>
      </c>
      <c r="G233" s="757" t="str">
        <f t="shared" ca="1" si="10"/>
        <v>Francia</v>
      </c>
      <c r="H233" s="757" t="str">
        <f t="shared" ca="1" si="11"/>
        <v>France</v>
      </c>
      <c r="I233" s="9" t="s">
        <v>126</v>
      </c>
      <c r="J233" s="715" t="str">
        <f ca="1">IF(Home!$K$23=$D$1419,O233,
IF(AND(Home!$K$23&lt;&gt;$D$1419,TODAY()&lt;=Horarios!$A$4),O233,$D$1420))</f>
        <v>Francia</v>
      </c>
      <c r="K233" s="715" t="str">
        <f ca="1">IF(Home!$K$23=$D$1419,P233,
IF(AND(Home!$K$23&lt;&gt;$D$1419,TODAY()&lt;=Horarios!$A$4),P233,$D$1420))</f>
        <v>France</v>
      </c>
      <c r="O233" s="714" t="s">
        <v>74</v>
      </c>
      <c r="P233" s="714" t="s">
        <v>294</v>
      </c>
    </row>
    <row r="234" spans="2:16">
      <c r="B234" s="757">
        <v>23</v>
      </c>
      <c r="C234" s="757">
        <v>47</v>
      </c>
      <c r="D234" s="757" t="str">
        <f t="shared" ca="1" si="9"/>
        <v>Ghana</v>
      </c>
      <c r="E234" s="757" t="s">
        <v>213</v>
      </c>
      <c r="F234" s="757" t="s">
        <v>321</v>
      </c>
      <c r="G234" s="757" t="str">
        <f t="shared" ca="1" si="10"/>
        <v>Ghana</v>
      </c>
      <c r="H234" s="757" t="str">
        <f t="shared" ca="1" si="11"/>
        <v>Ghana</v>
      </c>
      <c r="I234" s="9" t="s">
        <v>239</v>
      </c>
      <c r="J234" s="715" t="str">
        <f ca="1">IF(Home!$K$23=$D$1419,O234,
IF(AND(Home!$K$23&lt;&gt;$D$1419,TODAY()&lt;=Horarios!$A$4),O234,$D$1420))</f>
        <v>Ghana</v>
      </c>
      <c r="K234" s="715" t="str">
        <f ca="1">IF(Home!$K$23=$D$1419,P234,
IF(AND(Home!$K$23&lt;&gt;$D$1419,TODAY()&lt;=Horarios!$A$4),P234,$D$1420))</f>
        <v>Ghana</v>
      </c>
      <c r="O234" s="714" t="s">
        <v>1546</v>
      </c>
      <c r="P234" s="714" t="s">
        <v>1546</v>
      </c>
    </row>
    <row r="235" spans="2:16">
      <c r="B235" s="757">
        <v>24</v>
      </c>
      <c r="C235" s="757">
        <v>11</v>
      </c>
      <c r="D235" s="757" t="str">
        <f t="shared" ca="1" si="9"/>
        <v>Haití</v>
      </c>
      <c r="E235" s="757" t="s">
        <v>213</v>
      </c>
      <c r="F235" s="757" t="s">
        <v>322</v>
      </c>
      <c r="G235" s="757" t="str">
        <f t="shared" ca="1" si="10"/>
        <v>Haití</v>
      </c>
      <c r="H235" s="757" t="str">
        <f t="shared" ca="1" si="11"/>
        <v>Haiti</v>
      </c>
      <c r="I235" s="9" t="s">
        <v>115</v>
      </c>
      <c r="J235" s="715" t="str">
        <f ca="1">IF(Home!$K$23=$D$1419,O235,
IF(AND(Home!$K$23&lt;&gt;$D$1419,TODAY()&lt;=Horarios!$A$4),O235,$D$1420))</f>
        <v>Haití</v>
      </c>
      <c r="K235" s="715" t="str">
        <f ca="1">IF(Home!$K$23=$D$1419,P235,
IF(AND(Home!$K$23&lt;&gt;$D$1419,TODAY()&lt;=Horarios!$A$4),P235,$D$1420))</f>
        <v>Haiti</v>
      </c>
      <c r="O235" s="714" t="s">
        <v>1723</v>
      </c>
      <c r="P235" s="714" t="s">
        <v>1724</v>
      </c>
    </row>
    <row r="236" spans="2:16">
      <c r="B236" s="757">
        <v>25</v>
      </c>
      <c r="C236" s="757">
        <v>45</v>
      </c>
      <c r="D236" s="757" t="str">
        <f t="shared" ca="1" si="9"/>
        <v>Inglaterra</v>
      </c>
      <c r="E236" s="757" t="s">
        <v>213</v>
      </c>
      <c r="F236" s="757" t="s">
        <v>323</v>
      </c>
      <c r="G236" s="757" t="str">
        <f t="shared" ca="1" si="10"/>
        <v>Inglaterra</v>
      </c>
      <c r="H236" s="757" t="str">
        <f t="shared" ca="1" si="11"/>
        <v>England</v>
      </c>
      <c r="I236" s="9" t="s">
        <v>121</v>
      </c>
      <c r="J236" s="715" t="str">
        <f ca="1">IF(Home!$K$23=$D$1419,O236,
IF(AND(Home!$K$23&lt;&gt;$D$1419,TODAY()&lt;=Horarios!$A$4),O236,$D$1420))</f>
        <v>Inglaterra</v>
      </c>
      <c r="K236" s="715" t="str">
        <f ca="1">IF(Home!$K$23=$D$1419,P236,
IF(AND(Home!$K$23&lt;&gt;$D$1419,TODAY()&lt;=Horarios!$A$4),P236,$D$1420))</f>
        <v>England</v>
      </c>
      <c r="O236" s="714" t="s">
        <v>76</v>
      </c>
      <c r="P236" s="714" t="s">
        <v>292</v>
      </c>
    </row>
    <row r="237" spans="2:16">
      <c r="B237" s="757">
        <v>26</v>
      </c>
      <c r="C237" s="757">
        <v>27</v>
      </c>
      <c r="D237" s="757" t="str">
        <f t="shared" ca="1" si="9"/>
        <v>Irán</v>
      </c>
      <c r="E237" s="757" t="s">
        <v>213</v>
      </c>
      <c r="F237" s="757" t="s">
        <v>324</v>
      </c>
      <c r="G237" s="757" t="str">
        <f t="shared" ca="1" si="10"/>
        <v>Irán</v>
      </c>
      <c r="H237" s="757" t="str">
        <f t="shared" ca="1" si="11"/>
        <v>Iran</v>
      </c>
      <c r="I237" s="9" t="s">
        <v>127</v>
      </c>
      <c r="J237" s="715" t="str">
        <f ca="1">IF(Home!$K$23=$D$1419,O237,
IF(AND(Home!$K$23&lt;&gt;$D$1419,TODAY()&lt;=Horarios!$A$4),O237,$D$1420))</f>
        <v>Irán</v>
      </c>
      <c r="K237" s="715" t="str">
        <f ca="1">IF(Home!$K$23=$D$1419,P237,
IF(AND(Home!$K$23&lt;&gt;$D$1419,TODAY()&lt;=Horarios!$A$4),P237,$D$1420))</f>
        <v>Iran</v>
      </c>
      <c r="O237" s="714" t="str">
        <f>Credits!N87</f>
        <v>Irán</v>
      </c>
      <c r="P237" s="714" t="str">
        <f>Credits!O87</f>
        <v>Iran</v>
      </c>
    </row>
    <row r="238" spans="2:16">
      <c r="B238" s="757">
        <v>27</v>
      </c>
      <c r="C238" s="757">
        <v>22</v>
      </c>
      <c r="D238" s="757" t="str">
        <f t="shared" ca="1" si="9"/>
        <v>Japón</v>
      </c>
      <c r="E238" s="757" t="s">
        <v>213</v>
      </c>
      <c r="F238" s="757" t="s">
        <v>325</v>
      </c>
      <c r="G238" s="757" t="str">
        <f t="shared" ca="1" si="10"/>
        <v>Japón</v>
      </c>
      <c r="H238" s="757" t="str">
        <f t="shared" ca="1" si="11"/>
        <v>Japan</v>
      </c>
      <c r="I238" s="9" t="s">
        <v>1226</v>
      </c>
      <c r="J238" s="715" t="str">
        <f ca="1">IF(Home!$K$23=$D$1419,O238,
IF(AND(Home!$K$23&lt;&gt;$D$1419,TODAY()&lt;=Horarios!$A$4),O238,$D$1420))</f>
        <v>Japón</v>
      </c>
      <c r="K238" s="715" t="str">
        <f ca="1">IF(Home!$K$23=$D$1419,P238,
IF(AND(Home!$K$23&lt;&gt;$D$1419,TODAY()&lt;=Horarios!$A$4),P238,$D$1420))</f>
        <v>Japan</v>
      </c>
      <c r="O238" s="714" t="s">
        <v>1263</v>
      </c>
      <c r="P238" s="714" t="s">
        <v>1284</v>
      </c>
    </row>
    <row r="239" spans="2:16">
      <c r="B239" s="757">
        <v>28</v>
      </c>
      <c r="C239" s="757">
        <v>40</v>
      </c>
      <c r="D239" s="757" t="str">
        <f t="shared" ca="1" si="9"/>
        <v>Jordania</v>
      </c>
      <c r="E239" s="757" t="s">
        <v>213</v>
      </c>
      <c r="F239" s="757" t="s">
        <v>326</v>
      </c>
      <c r="G239" s="757" t="str">
        <f t="shared" ca="1" si="10"/>
        <v>Jordania</v>
      </c>
      <c r="H239" s="757" t="str">
        <f t="shared" ca="1" si="11"/>
        <v>Jordan</v>
      </c>
      <c r="I239" s="9" t="s">
        <v>116</v>
      </c>
      <c r="J239" s="715" t="str">
        <f ca="1">IF(Home!$K$23=$D$1419,O239,
IF(AND(Home!$K$23&lt;&gt;$D$1419,TODAY()&lt;=Horarios!$A$4),O239,$D$1420))</f>
        <v>Jordania</v>
      </c>
      <c r="K239" s="715" t="str">
        <f ca="1">IF(Home!$K$23=$D$1419,P239,
IF(AND(Home!$K$23&lt;&gt;$D$1419,TODAY()&lt;=Horarios!$A$4),P239,$D$1420))</f>
        <v>Jordan</v>
      </c>
      <c r="O239" s="714" t="s">
        <v>1264</v>
      </c>
      <c r="P239" s="714" t="s">
        <v>1286</v>
      </c>
    </row>
    <row r="240" spans="2:16">
      <c r="B240" s="757">
        <v>29</v>
      </c>
      <c r="C240" s="757">
        <v>10</v>
      </c>
      <c r="D240" s="757" t="str">
        <f t="shared" ca="1" si="9"/>
        <v>Marruecos</v>
      </c>
      <c r="E240" s="757" t="s">
        <v>213</v>
      </c>
      <c r="F240" s="757" t="s">
        <v>327</v>
      </c>
      <c r="G240" s="757" t="str">
        <f t="shared" ca="1" si="10"/>
        <v>Marruecos</v>
      </c>
      <c r="H240" s="757" t="str">
        <f t="shared" ca="1" si="11"/>
        <v>Morocco</v>
      </c>
      <c r="I240" s="9" t="s">
        <v>122</v>
      </c>
      <c r="J240" s="715" t="str">
        <f ca="1">IF(Home!$K$23=$D$1419,O240,
IF(AND(Home!$K$23&lt;&gt;$D$1419,TODAY()&lt;=Horarios!$A$4),O240,$D$1420))</f>
        <v>Marruecos</v>
      </c>
      <c r="K240" s="715" t="str">
        <f ca="1">IF(Home!$K$23=$D$1419,P240,
IF(AND(Home!$K$23&lt;&gt;$D$1419,TODAY()&lt;=Horarios!$A$4),P240,$D$1420))</f>
        <v>Morocco</v>
      </c>
      <c r="O240" s="714" t="s">
        <v>1317</v>
      </c>
      <c r="P240" s="714" t="s">
        <v>1322</v>
      </c>
    </row>
    <row r="241" spans="2:16">
      <c r="B241" s="757">
        <v>30</v>
      </c>
      <c r="C241" s="757">
        <v>1</v>
      </c>
      <c r="D241" s="757" t="str">
        <f t="shared" ca="1" si="9"/>
        <v>México</v>
      </c>
      <c r="E241" s="757" t="s">
        <v>213</v>
      </c>
      <c r="F241" s="757" t="s">
        <v>328</v>
      </c>
      <c r="G241" s="757" t="str">
        <f t="shared" ca="1" si="10"/>
        <v>México</v>
      </c>
      <c r="H241" s="757" t="str">
        <f t="shared" ca="1" si="11"/>
        <v>Mexico</v>
      </c>
      <c r="I241" s="9" t="s">
        <v>128</v>
      </c>
      <c r="J241" s="715" t="str">
        <f ca="1">IF(Home!$K$23=$D$1419,O241,
IF(AND(Home!$K$23&lt;&gt;$D$1419,TODAY()&lt;=Horarios!$A$4),O241,$D$1420))</f>
        <v>México</v>
      </c>
      <c r="K241" s="715" t="str">
        <f ca="1">IF(Home!$K$23=$D$1419,P241,
IF(AND(Home!$K$23&lt;&gt;$D$1419,TODAY()&lt;=Horarios!$A$4),P241,$D$1420))</f>
        <v>Mexico</v>
      </c>
      <c r="O241" s="714" t="s">
        <v>1265</v>
      </c>
      <c r="P241" s="714" t="s">
        <v>1288</v>
      </c>
    </row>
    <row r="242" spans="2:16">
      <c r="B242" s="757">
        <v>31</v>
      </c>
      <c r="C242" s="757">
        <v>36</v>
      </c>
      <c r="D242" s="757" t="str">
        <f t="shared" ca="1" si="9"/>
        <v>Noruega</v>
      </c>
      <c r="E242" s="757" t="s">
        <v>213</v>
      </c>
      <c r="F242" s="757" t="s">
        <v>329</v>
      </c>
      <c r="G242" s="757" t="str">
        <f t="shared" ca="1" si="10"/>
        <v>Noruega</v>
      </c>
      <c r="H242" s="757" t="str">
        <f t="shared" ca="1" si="11"/>
        <v>Norway</v>
      </c>
      <c r="I242" s="9" t="s">
        <v>240</v>
      </c>
      <c r="J242" s="715" t="str">
        <f ca="1">IF(Home!$K$23=$D$1419,O242,
IF(AND(Home!$K$23&lt;&gt;$D$1419,TODAY()&lt;=Horarios!$A$4),O242,$D$1420))</f>
        <v>Noruega</v>
      </c>
      <c r="K242" s="715" t="str">
        <f ca="1">IF(Home!$K$23=$D$1419,P242,
IF(AND(Home!$K$23&lt;&gt;$D$1419,TODAY()&lt;=Horarios!$A$4),P242,$D$1420))</f>
        <v>Norway</v>
      </c>
      <c r="O242" s="714" t="s">
        <v>135</v>
      </c>
      <c r="P242" s="714" t="s">
        <v>299</v>
      </c>
    </row>
    <row r="243" spans="2:16">
      <c r="B243" s="757">
        <v>32</v>
      </c>
      <c r="C243" s="757">
        <v>28</v>
      </c>
      <c r="D243" s="757" t="str">
        <f t="shared" ca="1" si="9"/>
        <v>Nueva Zelanda</v>
      </c>
      <c r="E243" s="757" t="s">
        <v>213</v>
      </c>
      <c r="F243" s="757" t="s">
        <v>330</v>
      </c>
      <c r="G243" s="757" t="str">
        <f t="shared" ca="1" si="10"/>
        <v>Nueva Zelanda</v>
      </c>
      <c r="H243" s="757" t="str">
        <f t="shared" ca="1" si="11"/>
        <v>New Zealand</v>
      </c>
      <c r="I243" s="9" t="s">
        <v>117</v>
      </c>
      <c r="J243" s="715" t="str">
        <f ca="1">IF(Home!$K$23=$D$1419,O243,
IF(AND(Home!$K$23&lt;&gt;$D$1419,TODAY()&lt;=Horarios!$A$4),O243,$D$1420))</f>
        <v>Nueva Zelanda</v>
      </c>
      <c r="K243" s="715" t="str">
        <f ca="1">IF(Home!$K$23=$D$1419,P243,
IF(AND(Home!$K$23&lt;&gt;$D$1419,TODAY()&lt;=Horarios!$A$4),P243,$D$1420))</f>
        <v>New Zealand</v>
      </c>
      <c r="O243" s="714" t="s">
        <v>1266</v>
      </c>
      <c r="P243" s="714" t="s">
        <v>1290</v>
      </c>
    </row>
    <row r="244" spans="2:16">
      <c r="B244" s="757">
        <v>33</v>
      </c>
      <c r="C244" s="757">
        <v>21</v>
      </c>
      <c r="D244" s="757" t="str">
        <f t="shared" ca="1" si="9"/>
        <v>Países Bajos</v>
      </c>
      <c r="E244" s="757" t="s">
        <v>213</v>
      </c>
      <c r="F244" s="757" t="s">
        <v>331</v>
      </c>
      <c r="G244" s="757" t="str">
        <f t="shared" ca="1" si="10"/>
        <v>Países Bajos</v>
      </c>
      <c r="H244" s="757" t="str">
        <f t="shared" ca="1" si="11"/>
        <v>Netherlands</v>
      </c>
      <c r="I244" s="9" t="s">
        <v>123</v>
      </c>
      <c r="J244" s="715" t="str">
        <f ca="1">IF(Home!$K$23=$D$1419,O244,
IF(AND(Home!$K$23&lt;&gt;$D$1419,TODAY()&lt;=Horarios!$A$4),O244,$D$1420))</f>
        <v>Países Bajos</v>
      </c>
      <c r="K244" s="715" t="str">
        <f ca="1">IF(Home!$K$23=$D$1419,P244,
IF(AND(Home!$K$23&lt;&gt;$D$1419,TODAY()&lt;=Horarios!$A$4),P244,$D$1420))</f>
        <v>Netherlands</v>
      </c>
      <c r="O244" s="714" t="s">
        <v>111</v>
      </c>
      <c r="P244" s="714" t="s">
        <v>291</v>
      </c>
    </row>
    <row r="245" spans="2:16">
      <c r="B245" s="757">
        <v>34</v>
      </c>
      <c r="C245" s="757">
        <v>48</v>
      </c>
      <c r="D245" s="757" t="str">
        <f t="shared" ca="1" si="9"/>
        <v>Panamá</v>
      </c>
      <c r="E245" s="757" t="s">
        <v>213</v>
      </c>
      <c r="F245" s="757" t="s">
        <v>332</v>
      </c>
      <c r="G245" s="757" t="str">
        <f t="shared" ca="1" si="10"/>
        <v>Panamá</v>
      </c>
      <c r="H245" s="757" t="str">
        <f t="shared" ca="1" si="11"/>
        <v>Panama</v>
      </c>
      <c r="I245" s="9" t="s">
        <v>129</v>
      </c>
      <c r="J245" s="715" t="str">
        <f ca="1">IF(Home!$K$23=$D$1419,O245,
IF(AND(Home!$K$23&lt;&gt;$D$1419,TODAY()&lt;=Horarios!$A$4),O245,$D$1420))</f>
        <v>Panamá</v>
      </c>
      <c r="K245" s="715" t="str">
        <f ca="1">IF(Home!$K$23=$D$1419,P245,
IF(AND(Home!$K$23&lt;&gt;$D$1419,TODAY()&lt;=Horarios!$A$4),P245,$D$1420))</f>
        <v>Panama</v>
      </c>
      <c r="O245" s="714" t="s">
        <v>1725</v>
      </c>
      <c r="P245" s="714" t="s">
        <v>1726</v>
      </c>
    </row>
    <row r="246" spans="2:16">
      <c r="B246" s="757">
        <v>35</v>
      </c>
      <c r="C246" s="757">
        <v>14</v>
      </c>
      <c r="D246" s="757" t="str">
        <f t="shared" ca="1" si="9"/>
        <v>Paraguay</v>
      </c>
      <c r="E246" s="757" t="s">
        <v>213</v>
      </c>
      <c r="F246" s="757" t="s">
        <v>333</v>
      </c>
      <c r="G246" s="757" t="str">
        <f t="shared" ca="1" si="10"/>
        <v>Paraguay</v>
      </c>
      <c r="H246" s="757" t="str">
        <f t="shared" ca="1" si="11"/>
        <v>Paraguay</v>
      </c>
      <c r="I246" s="9" t="s">
        <v>1227</v>
      </c>
      <c r="J246" s="715" t="str">
        <f ca="1">IF(Home!$K$23=$D$1419,O246,
IF(AND(Home!$K$23&lt;&gt;$D$1419,TODAY()&lt;=Horarios!$A$4),O246,$D$1420))</f>
        <v>Paraguay</v>
      </c>
      <c r="K246" s="715" t="str">
        <f ca="1">IF(Home!$K$23=$D$1419,P246,
IF(AND(Home!$K$23&lt;&gt;$D$1419,TODAY()&lt;=Horarios!$A$4),P246,$D$1420))</f>
        <v>Paraguay</v>
      </c>
      <c r="O246" s="714" t="s">
        <v>1315</v>
      </c>
      <c r="P246" s="714" t="s">
        <v>1315</v>
      </c>
    </row>
    <row r="247" spans="2:16">
      <c r="B247" s="757">
        <v>36</v>
      </c>
      <c r="C247" s="757">
        <v>41</v>
      </c>
      <c r="D247" s="757" t="str">
        <f t="shared" ca="1" si="9"/>
        <v>Portugal</v>
      </c>
      <c r="E247" s="757" t="s">
        <v>213</v>
      </c>
      <c r="F247" s="757" t="s">
        <v>334</v>
      </c>
      <c r="G247" s="757" t="str">
        <f t="shared" ca="1" si="10"/>
        <v>Portugal</v>
      </c>
      <c r="H247" s="757" t="str">
        <f t="shared" ca="1" si="11"/>
        <v>Portugal</v>
      </c>
      <c r="I247" s="9" t="s">
        <v>510</v>
      </c>
      <c r="J247" s="715" t="str">
        <f ca="1">IF(Home!$K$23=$D$1419,O247,
IF(AND(Home!$K$23&lt;&gt;$D$1419,TODAY()&lt;=Horarios!$A$4),O247,$D$1420))</f>
        <v>Portugal</v>
      </c>
      <c r="K247" s="715" t="str">
        <f ca="1">IF(Home!$K$23=$D$1419,P247,
IF(AND(Home!$K$23&lt;&gt;$D$1419,TODAY()&lt;=Horarios!$A$4),P247,$D$1420))</f>
        <v>Portugal</v>
      </c>
      <c r="O247" s="714" t="s">
        <v>79</v>
      </c>
      <c r="P247" s="714" t="s">
        <v>79</v>
      </c>
    </row>
    <row r="248" spans="2:16">
      <c r="B248" s="757">
        <v>37</v>
      </c>
      <c r="C248" s="757">
        <v>34</v>
      </c>
      <c r="D248" s="757" t="str">
        <f t="shared" ca="1" si="9"/>
        <v>Senegal</v>
      </c>
      <c r="E248" s="757" t="s">
        <v>213</v>
      </c>
      <c r="F248" s="757" t="s">
        <v>335</v>
      </c>
      <c r="G248" s="757" t="str">
        <f t="shared" ca="1" si="10"/>
        <v>Senegal</v>
      </c>
      <c r="H248" s="757" t="str">
        <f t="shared" ca="1" si="11"/>
        <v>Senegal</v>
      </c>
      <c r="I248" s="9" t="s">
        <v>511</v>
      </c>
      <c r="J248" s="715" t="str">
        <f ca="1">IF(Home!$K$23=$D$1419,O248,
IF(AND(Home!$K$23&lt;&gt;$D$1419,TODAY()&lt;=Horarios!$A$4),O248,$D$1420))</f>
        <v>Senegal</v>
      </c>
      <c r="K248" s="715" t="str">
        <f ca="1">IF(Home!$K$23=$D$1419,P248,
IF(AND(Home!$K$23&lt;&gt;$D$1419,TODAY()&lt;=Horarios!$A$4),P248,$D$1420))</f>
        <v>Senegal</v>
      </c>
      <c r="O248" s="714" t="s">
        <v>1629</v>
      </c>
      <c r="P248" s="714" t="s">
        <v>1629</v>
      </c>
    </row>
    <row r="249" spans="2:16">
      <c r="B249" s="757">
        <v>38</v>
      </c>
      <c r="C249" s="757">
        <v>2</v>
      </c>
      <c r="D249" s="757" t="str">
        <f t="shared" ca="1" si="9"/>
        <v>Sudáfrica</v>
      </c>
      <c r="E249" s="757" t="s">
        <v>213</v>
      </c>
      <c r="F249" s="757" t="s">
        <v>336</v>
      </c>
      <c r="G249" s="757" t="str">
        <f t="shared" ca="1" si="10"/>
        <v>Sudáfrica</v>
      </c>
      <c r="H249" s="757" t="str">
        <f t="shared" ca="1" si="11"/>
        <v>South Africa</v>
      </c>
      <c r="I249" s="9" t="s">
        <v>180</v>
      </c>
      <c r="J249" s="715" t="str">
        <f ca="1">IF(Home!$K$23=$D$1419,O249,
IF(AND(Home!$K$23&lt;&gt;$D$1419,TODAY()&lt;=Horarios!$A$4),O249,$D$1420))</f>
        <v>Sudáfrica</v>
      </c>
      <c r="K249" s="715" t="str">
        <f ca="1">IF(Home!$K$23=$D$1419,P249,
IF(AND(Home!$K$23&lt;&gt;$D$1419,TODAY()&lt;=Horarios!$A$4),P249,$D$1420))</f>
        <v>South Africa</v>
      </c>
      <c r="O249" s="714" t="s">
        <v>1625</v>
      </c>
      <c r="P249" s="714" t="s">
        <v>1630</v>
      </c>
    </row>
    <row r="250" spans="2:16">
      <c r="B250" s="757">
        <v>39</v>
      </c>
      <c r="C250" s="757">
        <v>8</v>
      </c>
      <c r="D250" s="757" t="str">
        <f t="shared" ca="1" si="9"/>
        <v>Suiza</v>
      </c>
      <c r="E250" s="757" t="s">
        <v>213</v>
      </c>
      <c r="F250" s="757" t="s">
        <v>337</v>
      </c>
      <c r="G250" s="757" t="str">
        <f t="shared" ca="1" si="10"/>
        <v>Suiza</v>
      </c>
      <c r="H250" s="757" t="str">
        <f t="shared" ca="1" si="11"/>
        <v>Switzerland</v>
      </c>
      <c r="I250" s="9" t="s">
        <v>177</v>
      </c>
      <c r="J250" s="715" t="str">
        <f ca="1">IF(Home!$K$23=$D$1419,O250,
IF(AND(Home!$K$23&lt;&gt;$D$1419,TODAY()&lt;=Horarios!$A$4),O250,$D$1420))</f>
        <v>Suiza</v>
      </c>
      <c r="K250" s="715" t="str">
        <f ca="1">IF(Home!$K$23=$D$1419,P250,
IF(AND(Home!$K$23&lt;&gt;$D$1419,TODAY()&lt;=Horarios!$A$4),P250,$D$1420))</f>
        <v>Switzerland</v>
      </c>
      <c r="O250" s="714" t="s">
        <v>75</v>
      </c>
      <c r="P250" s="714" t="s">
        <v>290</v>
      </c>
    </row>
    <row r="251" spans="2:16">
      <c r="B251" s="757">
        <v>40</v>
      </c>
      <c r="C251" s="757">
        <v>24</v>
      </c>
      <c r="D251" s="757" t="str">
        <f t="shared" ca="1" si="9"/>
        <v>Túnez</v>
      </c>
      <c r="E251" s="757" t="s">
        <v>213</v>
      </c>
      <c r="F251" s="757" t="s">
        <v>338</v>
      </c>
      <c r="G251" s="757" t="str">
        <f t="shared" ca="1" si="10"/>
        <v>Túnez</v>
      </c>
      <c r="H251" s="757" t="str">
        <f t="shared" ca="1" si="11"/>
        <v>Tunisia</v>
      </c>
      <c r="I251" s="9" t="s">
        <v>512</v>
      </c>
      <c r="J251" s="715" t="str">
        <f ca="1">IF(Home!$K$23=$D$1419,O251,
IF(AND(Home!$K$23&lt;&gt;$D$1419,TODAY()&lt;=Horarios!$A$4),O251,$D$1420))</f>
        <v>Túnez</v>
      </c>
      <c r="K251" s="715" t="str">
        <f ca="1">IF(Home!$K$23=$D$1419,P251,
IF(AND(Home!$K$23&lt;&gt;$D$1419,TODAY()&lt;=Horarios!$A$4),P251,$D$1420))</f>
        <v>Tunisia</v>
      </c>
      <c r="O251" s="714" t="s">
        <v>1318</v>
      </c>
      <c r="P251" s="714" t="s">
        <v>1324</v>
      </c>
    </row>
    <row r="252" spans="2:16">
      <c r="B252" s="757">
        <v>41</v>
      </c>
      <c r="C252" s="757">
        <v>32</v>
      </c>
      <c r="D252" s="757" t="str">
        <f t="shared" ca="1" si="9"/>
        <v>Uruguay</v>
      </c>
      <c r="E252" s="757" t="s">
        <v>213</v>
      </c>
      <c r="F252" s="757" t="s">
        <v>339</v>
      </c>
      <c r="G252" s="757" t="str">
        <f t="shared" ca="1" si="10"/>
        <v>Uruguay</v>
      </c>
      <c r="H252" s="757" t="str">
        <f t="shared" ca="1" si="11"/>
        <v>Uruguay</v>
      </c>
      <c r="I252" s="9" t="s">
        <v>513</v>
      </c>
      <c r="J252" s="715" t="str">
        <f ca="1">IF(Home!$K$23=$D$1419,O252,
IF(AND(Home!$K$23&lt;&gt;$D$1419,TODAY()&lt;=Horarios!$A$4),O252,$D$1420))</f>
        <v>Uruguay</v>
      </c>
      <c r="K252" s="715" t="str">
        <f ca="1">IF(Home!$K$23=$D$1419,P252,
IF(AND(Home!$K$23&lt;&gt;$D$1419,TODAY()&lt;=Horarios!$A$4),P252,$D$1420))</f>
        <v>Uruguay</v>
      </c>
      <c r="O252" s="714" t="s">
        <v>1314</v>
      </c>
      <c r="P252" s="714" t="s">
        <v>1314</v>
      </c>
    </row>
    <row r="253" spans="2:16">
      <c r="B253" s="757">
        <v>42</v>
      </c>
      <c r="C253" s="757">
        <v>43</v>
      </c>
      <c r="D253" s="757" t="str">
        <f t="shared" ca="1" si="9"/>
        <v>Uzbekistán</v>
      </c>
      <c r="E253" s="757" t="s">
        <v>213</v>
      </c>
      <c r="F253" s="757" t="s">
        <v>340</v>
      </c>
      <c r="G253" s="757" t="str">
        <f t="shared" ca="1" si="10"/>
        <v>Uzbekistán</v>
      </c>
      <c r="H253" s="757" t="str">
        <f t="shared" ca="1" si="11"/>
        <v>Uzbekistan</v>
      </c>
      <c r="I253" s="9" t="s">
        <v>181</v>
      </c>
      <c r="J253" s="715" t="str">
        <f ca="1">IF(Home!$K$23=$D$1419,O253,
IF(AND(Home!$K$23&lt;&gt;$D$1419,TODAY()&lt;=Horarios!$A$4),O253,$D$1420))</f>
        <v>Uzbekistán</v>
      </c>
      <c r="K253" s="715" t="str">
        <f ca="1">IF(Home!$K$23=$D$1419,P253,
IF(AND(Home!$K$23&lt;&gt;$D$1419,TODAY()&lt;=Horarios!$A$4),P253,$D$1420))</f>
        <v>Uzbekistan</v>
      </c>
      <c r="O253" s="714" t="s">
        <v>1267</v>
      </c>
      <c r="P253" s="714" t="s">
        <v>1292</v>
      </c>
    </row>
    <row r="254" spans="2:16">
      <c r="B254" s="757">
        <v>43</v>
      </c>
      <c r="C254" s="757">
        <v>42</v>
      </c>
      <c r="D254" s="757" t="str">
        <f t="shared" ca="1" si="9"/>
        <v>RD Congo</v>
      </c>
      <c r="E254" s="757" t="s">
        <v>213</v>
      </c>
      <c r="F254" s="757" t="s">
        <v>341</v>
      </c>
      <c r="G254" s="757" t="str">
        <f t="shared" ca="1" si="10"/>
        <v>RD Congo</v>
      </c>
      <c r="H254" s="757" t="str">
        <f t="shared" ca="1" si="11"/>
        <v>DR Congo</v>
      </c>
      <c r="I254" s="9" t="s">
        <v>1228</v>
      </c>
      <c r="J254" s="715" t="str">
        <f ca="1">IF(Home!$K$23=$D$1419,O254,
IF(AND(Home!$K$23&lt;&gt;$D$1419,TODAY()&lt;=Horarios!$A$4),O254,$D$1420))</f>
        <v>RD Congo</v>
      </c>
      <c r="K254" s="715" t="str">
        <f ca="1">IF(Home!$K$23=$D$1419,P254,
IF(AND(Home!$K$23&lt;&gt;$D$1419,TODAY()&lt;=Horarios!$A$4),P254,$D$1420))</f>
        <v>DR Congo</v>
      </c>
      <c r="O254" s="715" t="s">
        <v>1833</v>
      </c>
      <c r="P254" s="715" t="s">
        <v>1834</v>
      </c>
    </row>
    <row r="255" spans="2:16">
      <c r="B255" s="757">
        <v>44</v>
      </c>
      <c r="C255" s="757">
        <v>35</v>
      </c>
      <c r="D255" s="757" t="str">
        <f t="shared" ca="1" si="9"/>
        <v>Irak</v>
      </c>
      <c r="E255" s="757" t="s">
        <v>213</v>
      </c>
      <c r="F255" s="757" t="s">
        <v>342</v>
      </c>
      <c r="G255" s="757" t="str">
        <f t="shared" ca="1" si="10"/>
        <v>Irak</v>
      </c>
      <c r="H255" s="757" t="str">
        <f t="shared" ca="1" si="11"/>
        <v>Iraq</v>
      </c>
      <c r="I255" s="9" t="s">
        <v>179</v>
      </c>
      <c r="J255" s="715" t="str">
        <f ca="1">IF(Home!$K$23=$D$1419,O255,
IF(AND(Home!$K$23&lt;&gt;$D$1419,TODAY()&lt;=Horarios!$A$4),O255,$D$1420))</f>
        <v>Irak</v>
      </c>
      <c r="K255" s="715" t="str">
        <f ca="1">IF(Home!$K$23=$D$1419,P255,
IF(AND(Home!$K$23&lt;&gt;$D$1419,TODAY()&lt;=Horarios!$A$4),P255,$D$1420))</f>
        <v>Iraq</v>
      </c>
      <c r="O255" s="715" t="s">
        <v>1751</v>
      </c>
      <c r="P255" s="715" t="s">
        <v>1752</v>
      </c>
    </row>
    <row r="256" spans="2:16">
      <c r="B256" s="757">
        <v>45</v>
      </c>
      <c r="C256" s="757">
        <v>6</v>
      </c>
      <c r="D256" s="757" t="str">
        <f t="shared" ca="1" si="9"/>
        <v>Bosnia y Herzegovina</v>
      </c>
      <c r="E256" s="757" t="s">
        <v>213</v>
      </c>
      <c r="F256" s="757" t="s">
        <v>343</v>
      </c>
      <c r="G256" s="757" t="str">
        <f t="shared" ca="1" si="10"/>
        <v>Bosnia y Herzegovina</v>
      </c>
      <c r="H256" s="757" t="str">
        <f t="shared" ca="1" si="11"/>
        <v>Bosnia and Herzegovina</v>
      </c>
      <c r="I256" s="9" t="s">
        <v>514</v>
      </c>
      <c r="J256" s="715" t="str">
        <f ca="1">IF(Home!$K$23=$D$1419,O256,
IF(AND(Home!$K$23&lt;&gt;$D$1419,TODAY()&lt;=Horarios!$A$4),O256,$D$1420))</f>
        <v>Bosnia y Herzegovina</v>
      </c>
      <c r="K256" s="715" t="str">
        <f ca="1">IF(Home!$K$23=$D$1419,P256,
IF(AND(Home!$K$23&lt;&gt;$D$1419,TODAY()&lt;=Horarios!$A$4),P256,$D$1420))</f>
        <v>Bosnia and Herzegovina</v>
      </c>
      <c r="O256" s="715" t="s">
        <v>1835</v>
      </c>
      <c r="P256" s="715" t="s">
        <v>1836</v>
      </c>
    </row>
    <row r="257" spans="1:16">
      <c r="B257" s="757">
        <v>46</v>
      </c>
      <c r="C257" s="757">
        <v>23</v>
      </c>
      <c r="D257" s="757" t="str">
        <f t="shared" ca="1" si="9"/>
        <v>Suecia</v>
      </c>
      <c r="E257" s="757" t="s">
        <v>213</v>
      </c>
      <c r="F257" s="757" t="s">
        <v>344</v>
      </c>
      <c r="G257" s="757" t="str">
        <f t="shared" ca="1" si="10"/>
        <v>Suecia</v>
      </c>
      <c r="H257" s="757" t="str">
        <f t="shared" ca="1" si="11"/>
        <v>Sweden</v>
      </c>
      <c r="I257" s="9" t="s">
        <v>182</v>
      </c>
      <c r="J257" s="715" t="str">
        <f ca="1">IF(Home!$K$23=$D$1419,O257,
IF(AND(Home!$K$23&lt;&gt;$D$1419,TODAY()&lt;=Horarios!$A$4),O257,$D$1420))</f>
        <v>Suecia</v>
      </c>
      <c r="K257" s="715" t="str">
        <f ca="1">IF(Home!$K$23=$D$1419,P257,
IF(AND(Home!$K$23&lt;&gt;$D$1419,TODAY()&lt;=Horarios!$A$4),P257,$D$1420))</f>
        <v>Sweden</v>
      </c>
      <c r="O257" s="715" t="s">
        <v>1827</v>
      </c>
      <c r="P257" s="715" t="s">
        <v>1828</v>
      </c>
    </row>
    <row r="258" spans="1:16">
      <c r="B258" s="757">
        <v>47</v>
      </c>
      <c r="C258" s="757">
        <v>16</v>
      </c>
      <c r="D258" s="757" t="str">
        <f t="shared" ca="1" si="9"/>
        <v>Turquía</v>
      </c>
      <c r="E258" s="757" t="s">
        <v>213</v>
      </c>
      <c r="F258" s="757" t="s">
        <v>345</v>
      </c>
      <c r="G258" s="757" t="str">
        <f t="shared" ca="1" si="10"/>
        <v>Turquía</v>
      </c>
      <c r="H258" s="757" t="str">
        <f t="shared" ca="1" si="11"/>
        <v>Turkey</v>
      </c>
      <c r="I258" s="9" t="s">
        <v>1229</v>
      </c>
      <c r="J258" s="715" t="str">
        <f ca="1">IF(Home!$K$23=$D$1419,O258,
IF(AND(Home!$K$23&lt;&gt;$D$1419,TODAY()&lt;=Horarios!$A$4),O258,$D$1420))</f>
        <v>Turquía</v>
      </c>
      <c r="K258" s="715" t="str">
        <f ca="1">IF(Home!$K$23=$D$1419,P258,
IF(AND(Home!$K$23&lt;&gt;$D$1419,TODAY()&lt;=Horarios!$A$4),P258,$D$1420))</f>
        <v>Turkey</v>
      </c>
      <c r="O258" s="715" t="s">
        <v>1829</v>
      </c>
      <c r="P258" s="715" t="s">
        <v>1830</v>
      </c>
    </row>
    <row r="259" spans="1:16">
      <c r="B259" s="757">
        <v>48</v>
      </c>
      <c r="C259" s="757">
        <v>4</v>
      </c>
      <c r="D259" s="757" t="str">
        <f t="shared" ca="1" si="9"/>
        <v>República Checa</v>
      </c>
      <c r="E259" s="757" t="s">
        <v>213</v>
      </c>
      <c r="F259" s="757" t="s">
        <v>346</v>
      </c>
      <c r="G259" s="757" t="str">
        <f t="shared" ca="1" si="10"/>
        <v>República Checa</v>
      </c>
      <c r="H259" s="757" t="str">
        <f t="shared" ca="1" si="11"/>
        <v>Czech Republic</v>
      </c>
      <c r="I259" s="9" t="s">
        <v>26</v>
      </c>
      <c r="J259" s="715" t="str">
        <f ca="1">IF(Home!$K$23=$D$1419,O259,
IF(AND(Home!$K$23&lt;&gt;$D$1419,TODAY()&lt;=Horarios!$A$4),O259,$D$1420))</f>
        <v>República Checa</v>
      </c>
      <c r="K259" s="715" t="str">
        <f ca="1">IF(Home!$K$23=$D$1419,P259,
IF(AND(Home!$K$23&lt;&gt;$D$1419,TODAY()&lt;=Horarios!$A$4),P259,$D$1420))</f>
        <v>Czech Republic</v>
      </c>
      <c r="O259" s="715" t="s">
        <v>1837</v>
      </c>
      <c r="P259" s="715" t="s">
        <v>1838</v>
      </c>
    </row>
    <row r="260" spans="1:16">
      <c r="D260" s="757" t="str">
        <f t="shared" ref="D260:D264" si="12">IF($B$2,G260,H260)</f>
        <v>Dieciseisavos de final</v>
      </c>
      <c r="G260" s="757" t="s">
        <v>481</v>
      </c>
      <c r="H260" s="757" t="s">
        <v>482</v>
      </c>
    </row>
    <row r="261" spans="1:16">
      <c r="D261" s="757" t="str">
        <f t="shared" si="12"/>
        <v>Octavos de final</v>
      </c>
      <c r="G261" s="757" t="s">
        <v>87</v>
      </c>
      <c r="H261" s="757" t="s">
        <v>1447</v>
      </c>
    </row>
    <row r="262" spans="1:16">
      <c r="D262" s="757" t="str">
        <f t="shared" si="12"/>
        <v>Cuartos de final</v>
      </c>
      <c r="G262" s="757" t="s">
        <v>69</v>
      </c>
      <c r="H262" s="757" t="s">
        <v>219</v>
      </c>
    </row>
    <row r="263" spans="1:16">
      <c r="D263" s="757" t="str">
        <f t="shared" si="12"/>
        <v>Semifinales</v>
      </c>
      <c r="G263" s="757" t="s">
        <v>36</v>
      </c>
      <c r="H263" s="757" t="s">
        <v>220</v>
      </c>
    </row>
    <row r="264" spans="1:16">
      <c r="D264" s="757" t="str">
        <f t="shared" si="12"/>
        <v>3-4 &amp; Final</v>
      </c>
      <c r="G264" s="757" t="s">
        <v>1624</v>
      </c>
      <c r="H264" s="757" t="s">
        <v>1624</v>
      </c>
    </row>
    <row r="266" spans="1:16">
      <c r="A266" s="757" t="s">
        <v>375</v>
      </c>
      <c r="D266" s="757" t="str">
        <f t="shared" ref="D266" si="13">IF($B$2,G266,H266)</f>
        <v>Estados Unidos</v>
      </c>
      <c r="E266" s="757" t="s">
        <v>373</v>
      </c>
      <c r="F266" s="757" t="s">
        <v>374</v>
      </c>
      <c r="G266" s="757" t="s">
        <v>497</v>
      </c>
      <c r="H266" s="757" t="s">
        <v>498</v>
      </c>
    </row>
    <row r="269" spans="1:16">
      <c r="D269" s="757" t="str">
        <f t="shared" ref="D269:D284" si="14">IF($B$2,G269,H269)</f>
        <v>Campeón</v>
      </c>
      <c r="E269" s="757" t="s">
        <v>1242</v>
      </c>
      <c r="G269" s="757" t="s">
        <v>18</v>
      </c>
      <c r="H269" s="761" t="s">
        <v>222</v>
      </c>
    </row>
    <row r="270" spans="1:16">
      <c r="D270" s="757" t="str">
        <f t="shared" si="14"/>
        <v>Subcampeón</v>
      </c>
      <c r="E270" s="757" t="s">
        <v>1242</v>
      </c>
      <c r="G270" s="757" t="s">
        <v>19</v>
      </c>
      <c r="H270" s="757" t="s">
        <v>223</v>
      </c>
    </row>
    <row r="271" spans="1:16">
      <c r="D271" s="757" t="str">
        <f t="shared" si="14"/>
        <v>3º puesto</v>
      </c>
      <c r="E271" s="757" t="s">
        <v>1242</v>
      </c>
      <c r="G271" s="757" t="s">
        <v>1234</v>
      </c>
      <c r="H271" s="757" t="s">
        <v>1235</v>
      </c>
    </row>
    <row r="272" spans="1:16">
      <c r="D272" s="757" t="str">
        <f t="shared" si="14"/>
        <v>Semifinales</v>
      </c>
      <c r="E272" s="757" t="s">
        <v>1242</v>
      </c>
      <c r="G272" s="757" t="s">
        <v>36</v>
      </c>
      <c r="H272" s="761" t="s">
        <v>220</v>
      </c>
    </row>
    <row r="273" spans="4:8">
      <c r="D273" s="757" t="str">
        <f t="shared" si="14"/>
        <v>Cuartos de final</v>
      </c>
      <c r="E273" s="757" t="s">
        <v>1242</v>
      </c>
      <c r="G273" s="757" t="s">
        <v>69</v>
      </c>
      <c r="H273" s="761" t="s">
        <v>219</v>
      </c>
    </row>
    <row r="274" spans="4:8">
      <c r="D274" s="757" t="str">
        <f t="shared" si="14"/>
        <v>Octavos de final</v>
      </c>
      <c r="E274" s="757" t="s">
        <v>1242</v>
      </c>
      <c r="G274" s="757" t="s">
        <v>87</v>
      </c>
      <c r="H274" s="761" t="s">
        <v>218</v>
      </c>
    </row>
    <row r="275" spans="4:8">
      <c r="D275" s="757" t="str">
        <f t="shared" si="14"/>
        <v>Dieciseisavos de final</v>
      </c>
      <c r="E275" s="757" t="s">
        <v>1242</v>
      </c>
      <c r="G275" s="757" t="s">
        <v>481</v>
      </c>
      <c r="H275" s="757" t="s">
        <v>482</v>
      </c>
    </row>
    <row r="276" spans="4:8">
      <c r="D276" s="757" t="str">
        <f t="shared" si="14"/>
        <v>Fase de grupos</v>
      </c>
      <c r="E276" s="757" t="s">
        <v>1242</v>
      </c>
      <c r="G276" s="757" t="s">
        <v>1243</v>
      </c>
      <c r="H276" s="761" t="s">
        <v>1244</v>
      </c>
    </row>
    <row r="277" spans="4:8">
      <c r="D277" s="757" t="str">
        <f t="shared" si="14"/>
        <v>Pronóstica la ronda</v>
      </c>
      <c r="E277" s="757" t="s">
        <v>1242</v>
      </c>
      <c r="G277" s="761" t="s">
        <v>1236</v>
      </c>
      <c r="H277" s="761" t="s">
        <v>1237</v>
      </c>
    </row>
    <row r="278" spans="4:8">
      <c r="D278" s="757" t="str">
        <f t="shared" si="14"/>
        <v>Predice la selección</v>
      </c>
      <c r="E278" s="757" t="s">
        <v>1242</v>
      </c>
      <c r="G278" s="761" t="s">
        <v>1245</v>
      </c>
      <c r="H278" s="761" t="s">
        <v>1246</v>
      </c>
    </row>
    <row r="279" spans="4:8">
      <c r="D279" s="757" t="str">
        <f t="shared" si="14"/>
        <v>Ronda</v>
      </c>
      <c r="E279" s="757" t="s">
        <v>1242</v>
      </c>
      <c r="G279" s="761" t="s">
        <v>1238</v>
      </c>
      <c r="H279" s="761" t="s">
        <v>1239</v>
      </c>
    </row>
    <row r="280" spans="4:8" ht="30">
      <c r="D280" s="757" t="str">
        <f t="shared" si="14"/>
        <v>·Selecciona para cada ronda el la selección o selecciones que crees que van a llegar hasta esa ronda.</v>
      </c>
      <c r="E280" s="757" t="s">
        <v>1242</v>
      </c>
      <c r="G280" s="757" t="s">
        <v>1247</v>
      </c>
      <c r="H280" s="761" t="s">
        <v>1253</v>
      </c>
    </row>
    <row r="281" spans="4:8">
      <c r="D281" s="757" t="str">
        <f t="shared" si="14"/>
        <v>·Una vez elijas una selección, dejará de aparecer en la lista</v>
      </c>
      <c r="E281" s="757" t="s">
        <v>1242</v>
      </c>
      <c r="G281" s="757" t="s">
        <v>1254</v>
      </c>
      <c r="H281" s="761" t="s">
        <v>1252</v>
      </c>
    </row>
    <row r="282" spans="4:8">
      <c r="D282" s="757" t="str">
        <f t="shared" si="14"/>
        <v xml:space="preserve">·Si has rellenado todos y quieres hacer un cambio, </v>
      </c>
      <c r="E282" s="757" t="s">
        <v>1242</v>
      </c>
      <c r="G282" s="757" t="s">
        <v>1240</v>
      </c>
      <c r="H282" s="761" t="s">
        <v>1241</v>
      </c>
    </row>
    <row r="283" spans="4:8">
      <c r="D283" s="757" t="str">
        <f t="shared" si="14"/>
        <v xml:space="preserve"> borra las selecciones que quieras cambiar y podrás volver a elegirlas</v>
      </c>
      <c r="E283" s="757" t="s">
        <v>1242</v>
      </c>
      <c r="G283" s="757" t="s">
        <v>1248</v>
      </c>
      <c r="H283" s="761" t="s">
        <v>1251</v>
      </c>
    </row>
    <row r="284" spans="4:8">
      <c r="D284" s="757" t="str">
        <f t="shared" si="14"/>
        <v>Rellenar antes del comienzo del Mundial</v>
      </c>
      <c r="E284" s="757" t="s">
        <v>1242</v>
      </c>
      <c r="G284" s="757" t="s">
        <v>1249</v>
      </c>
      <c r="H284" s="761" t="s">
        <v>1250</v>
      </c>
    </row>
    <row r="285" spans="4:8">
      <c r="D285" s="757" t="str">
        <f t="shared" ref="D285" si="15">IF($B$2,G285,H285)</f>
        <v>·Si en tu grupo no vais a usar el predictor, puedes dejarlo sin rellenar</v>
      </c>
      <c r="E285" s="757" t="s">
        <v>1242</v>
      </c>
      <c r="G285" s="757" t="s">
        <v>1358</v>
      </c>
      <c r="H285" s="757" t="s">
        <v>1359</v>
      </c>
    </row>
    <row r="299" spans="4:8">
      <c r="D299" s="757" t="str">
        <f t="shared" ref="D299:D363" si="16">IF($B$2,G299,H299)</f>
        <v>Selecciona el Nº de Jugadores</v>
      </c>
      <c r="E299" s="765" t="s">
        <v>1370</v>
      </c>
      <c r="F299" s="765" t="s">
        <v>126</v>
      </c>
      <c r="G299" s="765" t="s">
        <v>1371</v>
      </c>
      <c r="H299" s="765" t="s">
        <v>1511</v>
      </c>
    </row>
    <row r="300" spans="4:8">
      <c r="D300" s="757" t="str">
        <f t="shared" si="16"/>
        <v>↓↓ Resultados reales ↓↓</v>
      </c>
      <c r="E300" s="765" t="s">
        <v>1370</v>
      </c>
      <c r="F300" s="765" t="s">
        <v>181</v>
      </c>
      <c r="G300" s="765" t="s">
        <v>1372</v>
      </c>
      <c r="H300" s="765" t="s">
        <v>1373</v>
      </c>
    </row>
    <row r="301" spans="4:8">
      <c r="D301" s="757" t="str">
        <f t="shared" si="16"/>
        <v>Regla* (Click para ver la explicación)</v>
      </c>
      <c r="E301" s="765" t="s">
        <v>1370</v>
      </c>
      <c r="F301" s="765" t="s">
        <v>1374</v>
      </c>
      <c r="G301" s="765" t="s">
        <v>1823</v>
      </c>
      <c r="H301" s="765" t="s">
        <v>1824</v>
      </c>
    </row>
    <row r="302" spans="4:8">
      <c r="D302" s="757" t="str">
        <f t="shared" si="16"/>
        <v>https://matejero.es/puntuaciones-excel-mundial-2026/</v>
      </c>
      <c r="E302" s="765" t="s">
        <v>1370</v>
      </c>
      <c r="F302" s="765"/>
      <c r="G302" s="766" t="s">
        <v>1822</v>
      </c>
      <c r="H302" s="766" t="s">
        <v>1911</v>
      </c>
    </row>
    <row r="303" spans="4:8">
      <c r="D303" s="757" t="str">
        <f t="shared" si="16"/>
        <v>Puntos</v>
      </c>
      <c r="E303" s="765" t="s">
        <v>1370</v>
      </c>
      <c r="F303" s="765" t="s">
        <v>1375</v>
      </c>
      <c r="G303" s="765" t="s">
        <v>1376</v>
      </c>
      <c r="H303" s="765" t="s">
        <v>1377</v>
      </c>
    </row>
    <row r="304" spans="4:8">
      <c r="D304" s="757" t="str">
        <f t="shared" si="16"/>
        <v>FASE DE GRUPOS - Signo 1X2 (local, empate, visitante)</v>
      </c>
      <c r="E304" s="765" t="s">
        <v>1370</v>
      </c>
      <c r="F304" s="765" t="s">
        <v>1378</v>
      </c>
      <c r="G304" s="765" t="s">
        <v>1768</v>
      </c>
      <c r="H304" s="765" t="s">
        <v>1769</v>
      </c>
    </row>
    <row r="305" spans="4:8">
      <c r="D305" s="757" t="str">
        <f t="shared" si="16"/>
        <v>FASE DE GRUPOS - Diferencia/Distancia de goles (Con 1X2 acertado)</v>
      </c>
      <c r="E305" s="765" t="s">
        <v>1370</v>
      </c>
      <c r="F305" s="765" t="s">
        <v>1379</v>
      </c>
      <c r="G305" s="765" t="s">
        <v>1760</v>
      </c>
      <c r="H305" s="765" t="s">
        <v>1380</v>
      </c>
    </row>
    <row r="306" spans="4:8">
      <c r="D306" s="757" t="str">
        <f t="shared" si="16"/>
        <v>FASE DE GRUPOS - Resultado exacto</v>
      </c>
      <c r="E306" s="765" t="s">
        <v>1370</v>
      </c>
      <c r="F306" s="765" t="s">
        <v>1381</v>
      </c>
      <c r="G306" s="765" t="s">
        <v>1382</v>
      </c>
      <c r="H306" s="765" t="s">
        <v>1383</v>
      </c>
    </row>
    <row r="307" spans="4:8">
      <c r="D307" s="757" t="str">
        <f t="shared" si="16"/>
        <v>FASE DE GRUPOS - Posición exacta (1º)</v>
      </c>
      <c r="E307" s="765" t="s">
        <v>1370</v>
      </c>
      <c r="F307" s="765" t="s">
        <v>1384</v>
      </c>
      <c r="G307" s="765" t="s">
        <v>1385</v>
      </c>
      <c r="H307" s="765" t="s">
        <v>1386</v>
      </c>
    </row>
    <row r="308" spans="4:8">
      <c r="D308" s="757" t="str">
        <f t="shared" si="16"/>
        <v>FASE DE GRUPOS - Posición exacta (2º)</v>
      </c>
      <c r="E308" s="765" t="s">
        <v>1370</v>
      </c>
      <c r="F308" s="765" t="s">
        <v>1393</v>
      </c>
      <c r="G308" s="765" t="s">
        <v>1387</v>
      </c>
      <c r="H308" s="765" t="s">
        <v>1388</v>
      </c>
    </row>
    <row r="309" spans="4:8">
      <c r="D309" s="757" t="str">
        <f t="shared" si="16"/>
        <v>FASE DE GRUPOS - Posición exacta (3º)</v>
      </c>
      <c r="E309" s="765" t="s">
        <v>1370</v>
      </c>
      <c r="F309" s="765" t="s">
        <v>1393</v>
      </c>
      <c r="G309" s="765" t="s">
        <v>1389</v>
      </c>
      <c r="H309" s="765" t="s">
        <v>1390</v>
      </c>
    </row>
    <row r="310" spans="4:8">
      <c r="D310" s="757" t="str">
        <f t="shared" si="16"/>
        <v>FASE DE GRUPOS - Posición exacta (4º)</v>
      </c>
      <c r="E310" s="765" t="s">
        <v>1370</v>
      </c>
      <c r="F310" s="765" t="s">
        <v>1395</v>
      </c>
      <c r="G310" s="765" t="s">
        <v>1391</v>
      </c>
      <c r="H310" s="765" t="s">
        <v>1392</v>
      </c>
    </row>
    <row r="311" spans="4:8">
      <c r="D311" s="757" t="str">
        <f t="shared" si="16"/>
        <v>Equipo clasificado para DIECISEISAVOS</v>
      </c>
      <c r="E311" s="765" t="s">
        <v>1370</v>
      </c>
      <c r="F311" s="765" t="s">
        <v>1398</v>
      </c>
      <c r="G311" s="765" t="s">
        <v>1535</v>
      </c>
      <c r="H311" s="765" t="s">
        <v>1567</v>
      </c>
    </row>
    <row r="312" spans="4:8">
      <c r="D312" s="757" t="str">
        <f t="shared" si="16"/>
        <v>DIECISEISAVOS - Signo 1X2 (local, empate, visitante)</v>
      </c>
      <c r="E312" s="765" t="s">
        <v>1370</v>
      </c>
      <c r="F312" s="765" t="s">
        <v>1400</v>
      </c>
      <c r="G312" s="765" t="s">
        <v>1537</v>
      </c>
      <c r="H312" s="765" t="s">
        <v>1542</v>
      </c>
    </row>
    <row r="313" spans="4:8">
      <c r="D313" s="757" t="str">
        <f t="shared" si="16"/>
        <v>DIECISEISAVOS - Diferencia/Distancia de goles (Con 1X2 acertado)</v>
      </c>
      <c r="E313" s="765" t="s">
        <v>1370</v>
      </c>
      <c r="F313" s="765" t="s">
        <v>1395</v>
      </c>
      <c r="G313" s="765" t="s">
        <v>1761</v>
      </c>
      <c r="H313" s="765" t="s">
        <v>1543</v>
      </c>
    </row>
    <row r="314" spans="4:8">
      <c r="D314" s="757" t="str">
        <f t="shared" si="16"/>
        <v>DIECISEISAVOS - Resultado exacto</v>
      </c>
      <c r="E314" s="765" t="s">
        <v>1370</v>
      </c>
      <c r="F314" s="765" t="s">
        <v>1398</v>
      </c>
      <c r="G314" s="765" t="s">
        <v>1536</v>
      </c>
      <c r="H314" s="765" t="s">
        <v>1544</v>
      </c>
    </row>
    <row r="315" spans="4:8">
      <c r="D315" s="757" t="str">
        <f t="shared" si="16"/>
        <v>Equipo clasificado para OCTAVOS</v>
      </c>
      <c r="E315" s="765" t="s">
        <v>1370</v>
      </c>
      <c r="F315" s="765" t="s">
        <v>1400</v>
      </c>
      <c r="G315" s="765" t="s">
        <v>1394</v>
      </c>
      <c r="H315" s="765" t="s">
        <v>1556</v>
      </c>
    </row>
    <row r="316" spans="4:8">
      <c r="D316" s="757" t="str">
        <f t="shared" si="16"/>
        <v>OCTAVOS - Signo 1X2  (local, empate, visitante)</v>
      </c>
      <c r="E316" s="765" t="s">
        <v>1370</v>
      </c>
      <c r="F316" s="765" t="s">
        <v>1402</v>
      </c>
      <c r="G316" s="765" t="s">
        <v>1396</v>
      </c>
      <c r="H316" s="765" t="s">
        <v>1397</v>
      </c>
    </row>
    <row r="317" spans="4:8">
      <c r="D317" s="757" t="str">
        <f t="shared" si="16"/>
        <v>OCTAVOS -Diferencia/Distancia de goles (Con 1X2 acertado)</v>
      </c>
      <c r="E317" s="765" t="s">
        <v>1370</v>
      </c>
      <c r="F317" s="765" t="s">
        <v>1404</v>
      </c>
      <c r="G317" s="765" t="s">
        <v>1762</v>
      </c>
      <c r="H317" s="765" t="s">
        <v>1399</v>
      </c>
    </row>
    <row r="318" spans="4:8">
      <c r="D318" s="757" t="str">
        <f t="shared" si="16"/>
        <v>OCTAVOS - Resultado exacto</v>
      </c>
      <c r="E318" s="765" t="s">
        <v>1370</v>
      </c>
      <c r="F318" s="765" t="s">
        <v>1407</v>
      </c>
      <c r="G318" s="765" t="s">
        <v>1401</v>
      </c>
      <c r="H318" s="765" t="s">
        <v>1512</v>
      </c>
    </row>
    <row r="319" spans="4:8">
      <c r="D319" s="757" t="str">
        <f t="shared" si="16"/>
        <v>Equipo clasificado para CUARTOS</v>
      </c>
      <c r="E319" s="765" t="s">
        <v>1370</v>
      </c>
      <c r="F319" s="765" t="s">
        <v>1409</v>
      </c>
      <c r="G319" s="765" t="s">
        <v>1403</v>
      </c>
      <c r="H319" s="765" t="s">
        <v>1513</v>
      </c>
    </row>
    <row r="320" spans="4:8">
      <c r="D320" s="757" t="str">
        <f t="shared" si="16"/>
        <v>CUARTOS - Signo 1X2  (local, empate, visitante)</v>
      </c>
      <c r="E320" s="765" t="s">
        <v>1370</v>
      </c>
      <c r="F320" s="765" t="s">
        <v>1411</v>
      </c>
      <c r="G320" s="765" t="s">
        <v>1405</v>
      </c>
      <c r="H320" s="765" t="s">
        <v>1406</v>
      </c>
    </row>
    <row r="321" spans="4:8">
      <c r="D321" s="757" t="str">
        <f t="shared" si="16"/>
        <v>CUARTOS -Diferencia/Distancia de goles (Con 1X2 acertado)</v>
      </c>
      <c r="E321" s="765" t="s">
        <v>1370</v>
      </c>
      <c r="F321" s="765" t="s">
        <v>1413</v>
      </c>
      <c r="G321" s="765" t="s">
        <v>1763</v>
      </c>
      <c r="H321" s="765" t="s">
        <v>1408</v>
      </c>
    </row>
    <row r="322" spans="4:8">
      <c r="D322" s="757" t="str">
        <f t="shared" si="16"/>
        <v>CUARTOS - Resultado exacto</v>
      </c>
      <c r="E322" s="765" t="s">
        <v>1370</v>
      </c>
      <c r="F322" s="765" t="s">
        <v>1416</v>
      </c>
      <c r="G322" s="765" t="s">
        <v>1410</v>
      </c>
      <c r="H322" s="765" t="s">
        <v>1514</v>
      </c>
    </row>
    <row r="323" spans="4:8">
      <c r="D323" s="757" t="str">
        <f t="shared" si="16"/>
        <v>Equipo clasificado para SEMIFINALES</v>
      </c>
      <c r="E323" s="765" t="s">
        <v>1370</v>
      </c>
      <c r="F323" s="765" t="s">
        <v>1418</v>
      </c>
      <c r="G323" s="765" t="s">
        <v>1412</v>
      </c>
      <c r="H323" s="765" t="s">
        <v>1557</v>
      </c>
    </row>
    <row r="324" spans="4:8">
      <c r="D324" s="757" t="str">
        <f t="shared" si="16"/>
        <v>SEMIFINALES - Signo 1X2  (local, empate, visitante)</v>
      </c>
      <c r="E324" s="765" t="s">
        <v>1370</v>
      </c>
      <c r="F324" s="765" t="s">
        <v>1421</v>
      </c>
      <c r="G324" s="765" t="s">
        <v>1414</v>
      </c>
      <c r="H324" s="765" t="s">
        <v>1415</v>
      </c>
    </row>
    <row r="325" spans="4:8">
      <c r="D325" s="757" t="str">
        <f t="shared" si="16"/>
        <v>SEMIFINALES -Diferencia/Distancia de goles (Con 1X2 acertado)</v>
      </c>
      <c r="E325" s="765" t="s">
        <v>1370</v>
      </c>
      <c r="F325" s="765" t="s">
        <v>1421</v>
      </c>
      <c r="G325" s="765" t="s">
        <v>1764</v>
      </c>
      <c r="H325" s="765" t="s">
        <v>1417</v>
      </c>
    </row>
    <row r="326" spans="4:8">
      <c r="D326" s="757" t="str">
        <f t="shared" si="16"/>
        <v>SEMIFINALES - Resultado exacto</v>
      </c>
      <c r="E326" s="765" t="s">
        <v>1370</v>
      </c>
      <c r="F326" s="765" t="s">
        <v>1422</v>
      </c>
      <c r="G326" s="765" t="s">
        <v>1419</v>
      </c>
      <c r="H326" s="765" t="s">
        <v>1420</v>
      </c>
    </row>
    <row r="327" spans="4:8">
      <c r="D327" s="757" t="str">
        <f t="shared" si="16"/>
        <v>Equipo clasificado para 3º y 4º puesto</v>
      </c>
      <c r="E327" s="765" t="s">
        <v>1370</v>
      </c>
      <c r="F327" s="765" t="s">
        <v>1425</v>
      </c>
      <c r="G327" s="765" t="s">
        <v>1539</v>
      </c>
      <c r="H327" s="765" t="s">
        <v>1705</v>
      </c>
    </row>
    <row r="328" spans="4:8">
      <c r="D328" s="757" t="str">
        <f t="shared" si="16"/>
        <v>Equipo clasificado para FINAL</v>
      </c>
      <c r="E328" s="765" t="s">
        <v>1370</v>
      </c>
      <c r="F328" s="765" t="s">
        <v>1427</v>
      </c>
      <c r="G328" s="765" t="s">
        <v>1538</v>
      </c>
      <c r="H328" s="765" t="s">
        <v>1515</v>
      </c>
    </row>
    <row r="329" spans="4:8">
      <c r="D329" s="757" t="str">
        <f t="shared" si="16"/>
        <v>3ºy4º PUESTO - Signo 1X2  (local, empate, visitante)</v>
      </c>
      <c r="E329" s="765" t="s">
        <v>1370</v>
      </c>
      <c r="F329" s="765" t="s">
        <v>1430</v>
      </c>
      <c r="G329" s="765" t="s">
        <v>1540</v>
      </c>
      <c r="H329" s="765" t="s">
        <v>1558</v>
      </c>
    </row>
    <row r="330" spans="4:8">
      <c r="D330" s="757" t="str">
        <f t="shared" si="16"/>
        <v>3ºy4º PUESTO - Diferencia/Distancia de goles (Con 1X2 acertado)</v>
      </c>
      <c r="E330" s="765" t="s">
        <v>1370</v>
      </c>
      <c r="F330" s="765" t="s">
        <v>1431</v>
      </c>
      <c r="G330" s="765" t="s">
        <v>1765</v>
      </c>
      <c r="H330" s="765" t="s">
        <v>1559</v>
      </c>
    </row>
    <row r="331" spans="4:8">
      <c r="D331" s="757" t="str">
        <f t="shared" si="16"/>
        <v>3ºy4º PUESTO - Resultado exacto</v>
      </c>
      <c r="E331" s="765" t="s">
        <v>1370</v>
      </c>
      <c r="F331" s="765" t="s">
        <v>1432</v>
      </c>
      <c r="G331" s="765" t="s">
        <v>1541</v>
      </c>
      <c r="H331" s="765" t="s">
        <v>1560</v>
      </c>
    </row>
    <row r="332" spans="4:8">
      <c r="D332" s="757" t="str">
        <f t="shared" si="16"/>
        <v>FINAL - Signo 1X2  (local, empate, visitante)</v>
      </c>
      <c r="E332" s="765" t="s">
        <v>1370</v>
      </c>
      <c r="F332" s="765" t="s">
        <v>1434</v>
      </c>
      <c r="G332" s="765" t="s">
        <v>1423</v>
      </c>
      <c r="H332" s="765" t="s">
        <v>1424</v>
      </c>
    </row>
    <row r="333" spans="4:8">
      <c r="D333" s="757" t="str">
        <f t="shared" si="16"/>
        <v>FINAL - Diferencia/Distancia de goles (Con 1X2 acertado)</v>
      </c>
      <c r="E333" s="765" t="s">
        <v>1370</v>
      </c>
      <c r="F333" s="765" t="s">
        <v>1436</v>
      </c>
      <c r="G333" s="765" t="s">
        <v>1766</v>
      </c>
      <c r="H333" s="765" t="s">
        <v>1426</v>
      </c>
    </row>
    <row r="334" spans="4:8">
      <c r="D334" s="757" t="str">
        <f t="shared" si="16"/>
        <v>FINAL - Resultado exacto</v>
      </c>
      <c r="E334" s="765" t="s">
        <v>1370</v>
      </c>
      <c r="F334" s="765" t="s">
        <v>1438</v>
      </c>
      <c r="G334" s="765" t="s">
        <v>1428</v>
      </c>
      <c r="H334" s="765" t="s">
        <v>1429</v>
      </c>
    </row>
    <row r="335" spans="4:8">
      <c r="D335" s="757" t="str">
        <f t="shared" si="16"/>
        <v>Campeón</v>
      </c>
      <c r="E335" s="765"/>
      <c r="F335" s="765"/>
      <c r="G335" s="765" t="s">
        <v>18</v>
      </c>
      <c r="H335" s="765" t="s">
        <v>222</v>
      </c>
    </row>
    <row r="336" spans="4:8">
      <c r="D336" s="757" t="str">
        <f t="shared" si="16"/>
        <v>Subcampeón</v>
      </c>
      <c r="E336" s="765"/>
      <c r="F336" s="765"/>
      <c r="G336" s="765" t="s">
        <v>19</v>
      </c>
      <c r="H336" s="765" t="s">
        <v>223</v>
      </c>
    </row>
    <row r="337" spans="4:8">
      <c r="D337" s="757" t="str">
        <f t="shared" si="16"/>
        <v>3º puesto</v>
      </c>
      <c r="E337" s="765"/>
      <c r="F337" s="765"/>
      <c r="G337" s="765" t="s">
        <v>1234</v>
      </c>
      <c r="H337" s="765" t="s">
        <v>1235</v>
      </c>
    </row>
    <row r="338" spans="4:8">
      <c r="D338" s="757" t="str">
        <f t="shared" si="16"/>
        <v>Bota de Oro  (máximo goleador)</v>
      </c>
      <c r="E338" s="765" t="s">
        <v>1370</v>
      </c>
      <c r="F338" s="765" t="s">
        <v>1441</v>
      </c>
      <c r="G338" s="765" t="s">
        <v>499</v>
      </c>
      <c r="H338" s="765" t="s">
        <v>1561</v>
      </c>
    </row>
    <row r="339" spans="4:8">
      <c r="D339" s="757" t="str">
        <f t="shared" si="16"/>
        <v>Bota de Plata (2º máximo goleador)</v>
      </c>
      <c r="E339" s="765" t="s">
        <v>1444</v>
      </c>
      <c r="F339" s="765" t="s">
        <v>1445</v>
      </c>
      <c r="G339" s="765" t="s">
        <v>500</v>
      </c>
      <c r="H339" s="765" t="s">
        <v>1562</v>
      </c>
    </row>
    <row r="340" spans="4:8">
      <c r="D340" s="757" t="str">
        <f t="shared" si="16"/>
        <v>Bota de Bronce (3º máximo goleador)</v>
      </c>
      <c r="E340" s="765" t="s">
        <v>1370</v>
      </c>
      <c r="F340" s="765" t="s">
        <v>1453</v>
      </c>
      <c r="G340" s="765" t="s">
        <v>501</v>
      </c>
      <c r="H340" s="765" t="s">
        <v>1563</v>
      </c>
    </row>
    <row r="341" spans="4:8">
      <c r="D341" s="757" t="str">
        <f t="shared" si="16"/>
        <v>Equipo máximo goleador</v>
      </c>
      <c r="E341" s="765" t="s">
        <v>1370</v>
      </c>
      <c r="F341" s="765" t="s">
        <v>1448</v>
      </c>
      <c r="G341" s="765" t="s">
        <v>1934</v>
      </c>
      <c r="H341" s="765" t="s">
        <v>1564</v>
      </c>
    </row>
    <row r="342" spans="4:8">
      <c r="D342" s="757" t="str">
        <f t="shared" si="16"/>
        <v>Balón de Plata (2º mejor jugador)</v>
      </c>
      <c r="E342" s="765" t="s">
        <v>1444</v>
      </c>
      <c r="F342" s="765" t="s">
        <v>1451</v>
      </c>
      <c r="G342" s="765" t="s">
        <v>503</v>
      </c>
      <c r="H342" s="765" t="s">
        <v>1565</v>
      </c>
    </row>
    <row r="343" spans="4:8">
      <c r="D343" s="757" t="str">
        <f t="shared" si="16"/>
        <v>Balón de Bronce (3º mejor jugador)</v>
      </c>
      <c r="E343" s="765" t="s">
        <v>1370</v>
      </c>
      <c r="F343" s="765" t="s">
        <v>1453</v>
      </c>
      <c r="G343" s="765" t="s">
        <v>504</v>
      </c>
      <c r="H343" s="765" t="s">
        <v>1566</v>
      </c>
    </row>
    <row r="344" spans="4:8">
      <c r="D344" s="757" t="str">
        <f t="shared" si="16"/>
        <v>Fase de grupos</v>
      </c>
      <c r="E344" s="765" t="s">
        <v>1444</v>
      </c>
      <c r="F344" s="765" t="s">
        <v>1456</v>
      </c>
      <c r="G344" s="765" t="s">
        <v>1243</v>
      </c>
      <c r="H344" s="765" t="s">
        <v>1437</v>
      </c>
    </row>
    <row r="345" spans="4:8">
      <c r="D345" s="757" t="str">
        <f t="shared" si="16"/>
        <v>Posición grupos</v>
      </c>
      <c r="E345" s="765" t="s">
        <v>1370</v>
      </c>
      <c r="F345" s="765" t="s">
        <v>1458</v>
      </c>
      <c r="G345" s="765" t="s">
        <v>1439</v>
      </c>
      <c r="H345" s="765" t="s">
        <v>1440</v>
      </c>
    </row>
    <row r="346" spans="4:8">
      <c r="D346" s="757" t="str">
        <f t="shared" si="16"/>
        <v>CLASIFICADOS PARA PLAYOFFS</v>
      </c>
      <c r="E346" s="765" t="s">
        <v>1444</v>
      </c>
      <c r="F346" s="765" t="s">
        <v>1461</v>
      </c>
      <c r="G346" s="765" t="s">
        <v>1516</v>
      </c>
      <c r="H346" s="765" t="s">
        <v>1517</v>
      </c>
    </row>
    <row r="347" spans="4:8">
      <c r="D347" s="757" t="str">
        <f t="shared" si="16"/>
        <v>CLASIFICADOS PARA OCTAVOS (Desde Fase Liga)</v>
      </c>
      <c r="E347" s="765" t="s">
        <v>1370</v>
      </c>
      <c r="F347" s="765" t="s">
        <v>1463</v>
      </c>
      <c r="G347" s="765" t="s">
        <v>1518</v>
      </c>
      <c r="H347" s="765" t="s">
        <v>1519</v>
      </c>
    </row>
    <row r="348" spans="4:8">
      <c r="D348" s="757" t="str">
        <f t="shared" si="16"/>
        <v>CLASIFICADOS PARA OCTAVOS (DESDE PLAYOFFS)</v>
      </c>
      <c r="E348" s="765" t="s">
        <v>1370</v>
      </c>
      <c r="F348" s="765" t="s">
        <v>1465</v>
      </c>
      <c r="G348" s="765" t="s">
        <v>1520</v>
      </c>
      <c r="H348" s="765" t="s">
        <v>1521</v>
      </c>
    </row>
    <row r="349" spans="4:8">
      <c r="D349" s="757" t="str">
        <f t="shared" si="16"/>
        <v>Clasificados para Octavos de Final</v>
      </c>
      <c r="E349" s="765" t="s">
        <v>1370</v>
      </c>
      <c r="F349" s="765" t="s">
        <v>1466</v>
      </c>
      <c r="G349" s="765" t="s">
        <v>1442</v>
      </c>
      <c r="H349" s="765" t="s">
        <v>1443</v>
      </c>
    </row>
    <row r="350" spans="4:8">
      <c r="D350" s="757" t="str">
        <f t="shared" si="16"/>
        <v>Enfrentamientos Octavos de Final</v>
      </c>
      <c r="E350" s="765" t="s">
        <v>1370</v>
      </c>
      <c r="F350" s="765" t="s">
        <v>1467</v>
      </c>
      <c r="G350" s="765" t="s">
        <v>1446</v>
      </c>
      <c r="H350" s="765" t="s">
        <v>1447</v>
      </c>
    </row>
    <row r="351" spans="4:8">
      <c r="D351" s="757" t="str">
        <f t="shared" si="16"/>
        <v>Clasificados para Cuartos de Final</v>
      </c>
      <c r="E351" s="765" t="s">
        <v>1370</v>
      </c>
      <c r="F351" s="765" t="s">
        <v>1469</v>
      </c>
      <c r="G351" s="765" t="s">
        <v>1449</v>
      </c>
      <c r="H351" s="765" t="s">
        <v>1522</v>
      </c>
    </row>
    <row r="352" spans="4:8">
      <c r="D352" s="757" t="str">
        <f t="shared" si="16"/>
        <v>Clasificados para Cuartos de Final</v>
      </c>
      <c r="E352" s="765" t="s">
        <v>1370</v>
      </c>
      <c r="F352" s="765" t="s">
        <v>28</v>
      </c>
      <c r="G352" s="765" t="s">
        <v>1449</v>
      </c>
      <c r="H352" s="765" t="s">
        <v>1450</v>
      </c>
    </row>
    <row r="353" spans="4:8">
      <c r="D353" s="757" t="str">
        <f t="shared" si="16"/>
        <v>Enfrentamientos Cuartos de Final</v>
      </c>
      <c r="E353" s="765" t="s">
        <v>1370</v>
      </c>
      <c r="F353" s="765"/>
      <c r="G353" s="765" t="s">
        <v>1452</v>
      </c>
      <c r="H353" s="765" t="s">
        <v>219</v>
      </c>
    </row>
    <row r="354" spans="4:8">
      <c r="D354" s="757" t="str">
        <f t="shared" si="16"/>
        <v>Clasificados para Semifinales</v>
      </c>
      <c r="E354" s="765" t="s">
        <v>1370</v>
      </c>
      <c r="F354" s="765"/>
      <c r="G354" s="765" t="s">
        <v>1454</v>
      </c>
      <c r="H354" s="765" t="s">
        <v>1455</v>
      </c>
    </row>
    <row r="355" spans="4:8">
      <c r="D355" s="757" t="str">
        <f t="shared" si="16"/>
        <v>Enfrentamientos Semifinales</v>
      </c>
      <c r="E355" s="765" t="s">
        <v>1370</v>
      </c>
      <c r="F355" s="765"/>
      <c r="G355" s="765" t="s">
        <v>1457</v>
      </c>
      <c r="H355" s="765" t="s">
        <v>220</v>
      </c>
    </row>
    <row r="356" spans="4:8">
      <c r="D356" s="757" t="str">
        <f t="shared" si="16"/>
        <v>Clasificados para la Final</v>
      </c>
      <c r="E356" s="765" t="s">
        <v>1370</v>
      </c>
      <c r="F356" s="765"/>
      <c r="G356" s="765" t="s">
        <v>1459</v>
      </c>
      <c r="H356" s="765" t="s">
        <v>1460</v>
      </c>
    </row>
    <row r="357" spans="4:8">
      <c r="D357" s="757" t="str">
        <f t="shared" si="16"/>
        <v>Partido Final</v>
      </c>
      <c r="E357" s="765" t="s">
        <v>1370</v>
      </c>
      <c r="F357" s="765"/>
      <c r="G357" s="765" t="s">
        <v>1462</v>
      </c>
      <c r="H357" s="765" t="s">
        <v>37</v>
      </c>
    </row>
    <row r="358" spans="4:8">
      <c r="D358" s="757" t="str">
        <f t="shared" si="16"/>
        <v>Cuadro de honor</v>
      </c>
      <c r="E358" s="765" t="s">
        <v>1370</v>
      </c>
      <c r="F358" s="765"/>
      <c r="G358" s="765" t="s">
        <v>1306</v>
      </c>
      <c r="H358" s="765" t="s">
        <v>1464</v>
      </c>
    </row>
    <row r="359" spans="4:8">
      <c r="D359" s="757" t="str">
        <f t="shared" si="16"/>
        <v>Campeón</v>
      </c>
      <c r="E359" s="765" t="s">
        <v>1370</v>
      </c>
      <c r="F359" s="765"/>
      <c r="G359" s="765" t="s">
        <v>18</v>
      </c>
      <c r="H359" s="765" t="s">
        <v>222</v>
      </c>
    </row>
    <row r="360" spans="4:8">
      <c r="D360" s="757" t="str">
        <f t="shared" si="16"/>
        <v>Subcampeón</v>
      </c>
      <c r="E360" s="765" t="s">
        <v>1370</v>
      </c>
      <c r="F360" s="765"/>
      <c r="G360" s="765" t="s">
        <v>19</v>
      </c>
      <c r="H360" s="765" t="s">
        <v>223</v>
      </c>
    </row>
    <row r="361" spans="4:8">
      <c r="D361" s="757" t="str">
        <f t="shared" si="16"/>
        <v>Goleador del torneo</v>
      </c>
      <c r="E361" s="765" t="s">
        <v>1370</v>
      </c>
      <c r="F361" s="765"/>
      <c r="G361" s="765" t="s">
        <v>1433</v>
      </c>
      <c r="H361" s="765" t="s">
        <v>1468</v>
      </c>
    </row>
    <row r="362" spans="4:8">
      <c r="D362" s="757" t="str">
        <f t="shared" si="16"/>
        <v>Mejor jugador del torneo</v>
      </c>
      <c r="E362" s="765" t="s">
        <v>1370</v>
      </c>
      <c r="F362" s="765"/>
      <c r="G362" s="765" t="s">
        <v>1435</v>
      </c>
      <c r="H362" s="765" t="s">
        <v>1470</v>
      </c>
    </row>
    <row r="363" spans="4:8">
      <c r="D363" s="757" t="str">
        <f t="shared" si="16"/>
        <v>Pegar Valores Nombre J</v>
      </c>
      <c r="E363" s="765" t="s">
        <v>1370</v>
      </c>
      <c r="F363" s="765"/>
      <c r="G363" s="765" t="s">
        <v>1919</v>
      </c>
      <c r="H363" s="765" t="s">
        <v>1920</v>
      </c>
    </row>
    <row r="364" spans="4:8">
      <c r="D364" s="757" t="str">
        <f t="shared" ref="D364:D423" si="17">IF($B$2,G364,H364)</f>
        <v>Pegar Valores (J1)</v>
      </c>
      <c r="E364" s="765" t="s">
        <v>1370</v>
      </c>
      <c r="F364" s="765"/>
      <c r="G364" s="765" t="s">
        <v>1471</v>
      </c>
      <c r="H364" s="765" t="s">
        <v>1472</v>
      </c>
    </row>
    <row r="365" spans="4:8">
      <c r="D365" s="757" t="str">
        <f t="shared" si="17"/>
        <v>Pegar Valores (J2)</v>
      </c>
      <c r="E365" s="765" t="s">
        <v>1370</v>
      </c>
      <c r="F365" s="765"/>
      <c r="G365" s="765" t="s">
        <v>1473</v>
      </c>
      <c r="H365" s="765" t="s">
        <v>1474</v>
      </c>
    </row>
    <row r="366" spans="4:8">
      <c r="D366" s="757" t="str">
        <f t="shared" si="17"/>
        <v>Pegar Valores (J3)</v>
      </c>
      <c r="E366" s="765" t="s">
        <v>1370</v>
      </c>
      <c r="F366" s="765"/>
      <c r="G366" s="765" t="s">
        <v>1475</v>
      </c>
      <c r="H366" s="765" t="s">
        <v>1476</v>
      </c>
    </row>
    <row r="367" spans="4:8">
      <c r="D367" s="757" t="str">
        <f t="shared" si="17"/>
        <v>Pegar Valores Dieciseisavos</v>
      </c>
      <c r="E367" s="765" t="s">
        <v>1370</v>
      </c>
      <c r="F367" s="765" t="s">
        <v>1483</v>
      </c>
      <c r="G367" s="765" t="s">
        <v>1578</v>
      </c>
      <c r="H367" s="765" t="s">
        <v>1579</v>
      </c>
    </row>
    <row r="368" spans="4:8">
      <c r="D368" s="757" t="str">
        <f t="shared" si="17"/>
        <v>Pegar Valores Octavos</v>
      </c>
      <c r="E368" s="765" t="s">
        <v>1370</v>
      </c>
      <c r="F368" s="765" t="s">
        <v>1484</v>
      </c>
      <c r="G368" s="765" t="s">
        <v>1477</v>
      </c>
      <c r="H368" s="765" t="s">
        <v>1478</v>
      </c>
    </row>
    <row r="369" spans="4:8">
      <c r="D369" s="757" t="str">
        <f t="shared" si="17"/>
        <v>Pegar valores Cuartos</v>
      </c>
      <c r="E369" s="765" t="s">
        <v>1370</v>
      </c>
      <c r="F369" s="765" t="s">
        <v>1485</v>
      </c>
      <c r="G369" s="765" t="s">
        <v>1479</v>
      </c>
      <c r="H369" s="765" t="s">
        <v>1480</v>
      </c>
    </row>
    <row r="370" spans="4:8">
      <c r="D370" s="757" t="str">
        <f t="shared" si="17"/>
        <v>Pegar valores Semifinales</v>
      </c>
      <c r="E370" s="765" t="s">
        <v>1370</v>
      </c>
      <c r="F370" s="765" t="s">
        <v>1486</v>
      </c>
      <c r="G370" s="765" t="s">
        <v>1481</v>
      </c>
      <c r="H370" s="765" t="s">
        <v>1482</v>
      </c>
    </row>
    <row r="371" spans="4:8">
      <c r="D371" s="757" t="str">
        <f t="shared" si="17"/>
        <v>Pegar valores 3º-4º puesto y Final</v>
      </c>
      <c r="E371" s="765" t="s">
        <v>1370</v>
      </c>
      <c r="F371" s="765" t="s">
        <v>1487</v>
      </c>
      <c r="G371" s="765" t="s">
        <v>1580</v>
      </c>
      <c r="H371" s="765" t="s">
        <v>1581</v>
      </c>
    </row>
    <row r="372" spans="4:8">
      <c r="D372" s="757" t="str">
        <f t="shared" si="17"/>
        <v>Pegar valores Predictor</v>
      </c>
      <c r="E372" s="765" t="s">
        <v>1370</v>
      </c>
      <c r="F372" s="765" t="s">
        <v>1488</v>
      </c>
      <c r="G372" s="765" t="s">
        <v>1523</v>
      </c>
      <c r="H372" s="765" t="s">
        <v>1524</v>
      </c>
    </row>
    <row r="373" spans="4:8">
      <c r="D373" s="757" t="str">
        <f t="shared" si="17"/>
        <v>Pegar Valores Cuadro de Honor</v>
      </c>
      <c r="E373" s="765"/>
      <c r="F373" s="765"/>
      <c r="G373" s="765" t="s">
        <v>1582</v>
      </c>
      <c r="H373" s="765" t="s">
        <v>1583</v>
      </c>
    </row>
    <row r="374" spans="4:8">
      <c r="D374" s="757" t="str">
        <f t="shared" si="17"/>
        <v>1º GRUPO A</v>
      </c>
      <c r="E374" s="765" t="s">
        <v>1370</v>
      </c>
      <c r="F374" s="765" t="s">
        <v>1489</v>
      </c>
      <c r="G374" s="765" t="s">
        <v>45</v>
      </c>
      <c r="H374" s="765" t="s">
        <v>377</v>
      </c>
    </row>
    <row r="375" spans="4:8">
      <c r="D375" s="757" t="str">
        <f t="shared" si="17"/>
        <v>2º GRUPO A</v>
      </c>
      <c r="E375" s="765" t="s">
        <v>1370</v>
      </c>
      <c r="F375" s="765" t="s">
        <v>1490</v>
      </c>
      <c r="G375" s="765" t="s">
        <v>46</v>
      </c>
      <c r="H375" s="765" t="s">
        <v>378</v>
      </c>
    </row>
    <row r="376" spans="4:8">
      <c r="D376" s="757" t="str">
        <f t="shared" si="17"/>
        <v>3º GRUPO A</v>
      </c>
      <c r="E376" s="765" t="s">
        <v>1370</v>
      </c>
      <c r="F376" s="765" t="s">
        <v>1491</v>
      </c>
      <c r="G376" s="765" t="s">
        <v>47</v>
      </c>
      <c r="H376" s="765" t="s">
        <v>379</v>
      </c>
    </row>
    <row r="377" spans="4:8">
      <c r="D377" s="757" t="str">
        <f t="shared" si="17"/>
        <v>4º GRUPO A</v>
      </c>
      <c r="E377" s="765" t="s">
        <v>1370</v>
      </c>
      <c r="F377" s="765" t="s">
        <v>1492</v>
      </c>
      <c r="G377" s="765" t="s">
        <v>48</v>
      </c>
      <c r="H377" s="765" t="s">
        <v>380</v>
      </c>
    </row>
    <row r="378" spans="4:8">
      <c r="D378" s="757" t="str">
        <f t="shared" si="17"/>
        <v>1º GRUPO B</v>
      </c>
      <c r="E378" s="765" t="s">
        <v>1370</v>
      </c>
      <c r="F378" s="765" t="s">
        <v>1493</v>
      </c>
      <c r="G378" s="765" t="s">
        <v>49</v>
      </c>
      <c r="H378" s="765" t="s">
        <v>381</v>
      </c>
    </row>
    <row r="379" spans="4:8">
      <c r="D379" s="757" t="str">
        <f t="shared" si="17"/>
        <v>2º GRUPO B</v>
      </c>
      <c r="E379" s="765" t="s">
        <v>1370</v>
      </c>
      <c r="F379" s="765" t="s">
        <v>1494</v>
      </c>
      <c r="G379" s="765" t="s">
        <v>50</v>
      </c>
      <c r="H379" s="765" t="s">
        <v>382</v>
      </c>
    </row>
    <row r="380" spans="4:8">
      <c r="D380" s="757" t="str">
        <f t="shared" si="17"/>
        <v>3º GRUPO B</v>
      </c>
      <c r="E380" s="765" t="s">
        <v>1370</v>
      </c>
      <c r="F380" s="765" t="s">
        <v>1495</v>
      </c>
      <c r="G380" s="765" t="s">
        <v>51</v>
      </c>
      <c r="H380" s="765" t="s">
        <v>383</v>
      </c>
    </row>
    <row r="381" spans="4:8">
      <c r="D381" s="757" t="str">
        <f t="shared" si="17"/>
        <v>4º GRUPO B</v>
      </c>
      <c r="E381" s="765" t="s">
        <v>1370</v>
      </c>
      <c r="F381" s="765" t="s">
        <v>1496</v>
      </c>
      <c r="G381" s="765" t="s">
        <v>52</v>
      </c>
      <c r="H381" s="765" t="s">
        <v>384</v>
      </c>
    </row>
    <row r="382" spans="4:8">
      <c r="D382" s="757" t="str">
        <f t="shared" si="17"/>
        <v>1º GRUPO C</v>
      </c>
      <c r="E382" s="765" t="s">
        <v>1370</v>
      </c>
      <c r="F382" s="765" t="s">
        <v>1497</v>
      </c>
      <c r="G382" s="765" t="s">
        <v>53</v>
      </c>
      <c r="H382" s="765" t="s">
        <v>385</v>
      </c>
    </row>
    <row r="383" spans="4:8">
      <c r="D383" s="757" t="str">
        <f t="shared" si="17"/>
        <v>2º GRUPO C</v>
      </c>
      <c r="E383" s="765" t="s">
        <v>1370</v>
      </c>
      <c r="F383" s="765" t="s">
        <v>1498</v>
      </c>
      <c r="G383" s="765" t="s">
        <v>54</v>
      </c>
      <c r="H383" s="765" t="s">
        <v>386</v>
      </c>
    </row>
    <row r="384" spans="4:8">
      <c r="D384" s="757" t="str">
        <f t="shared" si="17"/>
        <v>3º GRUPO C</v>
      </c>
      <c r="E384" s="765" t="s">
        <v>1370</v>
      </c>
      <c r="F384" s="765" t="s">
        <v>1499</v>
      </c>
      <c r="G384" s="765" t="s">
        <v>55</v>
      </c>
      <c r="H384" s="765" t="s">
        <v>387</v>
      </c>
    </row>
    <row r="385" spans="4:8">
      <c r="D385" s="757" t="str">
        <f t="shared" si="17"/>
        <v>4º GRUPO C</v>
      </c>
      <c r="E385" s="765" t="s">
        <v>1370</v>
      </c>
      <c r="F385" s="765" t="s">
        <v>1500</v>
      </c>
      <c r="G385" s="765" t="s">
        <v>56</v>
      </c>
      <c r="H385" s="765" t="s">
        <v>388</v>
      </c>
    </row>
    <row r="386" spans="4:8">
      <c r="D386" s="757" t="str">
        <f t="shared" si="17"/>
        <v>1º GRUPO D</v>
      </c>
      <c r="E386" s="765" t="s">
        <v>1370</v>
      </c>
      <c r="F386" s="765" t="s">
        <v>1501</v>
      </c>
      <c r="G386" s="765" t="s">
        <v>96</v>
      </c>
      <c r="H386" s="765" t="s">
        <v>389</v>
      </c>
    </row>
    <row r="387" spans="4:8">
      <c r="D387" s="757" t="str">
        <f t="shared" si="17"/>
        <v>2º GRUPO D</v>
      </c>
      <c r="E387" s="765" t="s">
        <v>1370</v>
      </c>
      <c r="F387" s="765" t="s">
        <v>1502</v>
      </c>
      <c r="G387" s="765" t="s">
        <v>97</v>
      </c>
      <c r="H387" s="765" t="s">
        <v>390</v>
      </c>
    </row>
    <row r="388" spans="4:8">
      <c r="D388" s="757" t="str">
        <f t="shared" si="17"/>
        <v>3º GRUPO D</v>
      </c>
      <c r="E388" s="765" t="s">
        <v>1370</v>
      </c>
      <c r="F388" s="765" t="s">
        <v>1503</v>
      </c>
      <c r="G388" s="765" t="s">
        <v>98</v>
      </c>
      <c r="H388" s="765" t="s">
        <v>391</v>
      </c>
    </row>
    <row r="389" spans="4:8">
      <c r="D389" s="757" t="str">
        <f t="shared" si="17"/>
        <v>4º GRUPO D</v>
      </c>
      <c r="E389" s="765" t="s">
        <v>1370</v>
      </c>
      <c r="F389" s="765" t="s">
        <v>1504</v>
      </c>
      <c r="G389" s="765" t="s">
        <v>99</v>
      </c>
      <c r="H389" s="765" t="s">
        <v>392</v>
      </c>
    </row>
    <row r="390" spans="4:8">
      <c r="D390" s="757" t="str">
        <f t="shared" si="17"/>
        <v>1º GRUPO E</v>
      </c>
      <c r="E390" s="765" t="s">
        <v>1370</v>
      </c>
      <c r="F390" s="765" t="s">
        <v>1505</v>
      </c>
      <c r="G390" s="765" t="s">
        <v>100</v>
      </c>
      <c r="H390" s="765" t="s">
        <v>393</v>
      </c>
    </row>
    <row r="391" spans="4:8">
      <c r="D391" s="757" t="str">
        <f t="shared" si="17"/>
        <v>2º GRUPO E</v>
      </c>
      <c r="E391" s="765" t="s">
        <v>1370</v>
      </c>
      <c r="F391" s="765" t="s">
        <v>1506</v>
      </c>
      <c r="G391" s="765" t="s">
        <v>101</v>
      </c>
      <c r="H391" s="765" t="s">
        <v>394</v>
      </c>
    </row>
    <row r="392" spans="4:8">
      <c r="D392" s="757" t="str">
        <f t="shared" si="17"/>
        <v>3º GRUPO E</v>
      </c>
      <c r="E392" s="765" t="s">
        <v>1370</v>
      </c>
      <c r="F392" s="765" t="s">
        <v>1507</v>
      </c>
      <c r="G392" s="765" t="s">
        <v>102</v>
      </c>
      <c r="H392" s="765" t="s">
        <v>395</v>
      </c>
    </row>
    <row r="393" spans="4:8">
      <c r="D393" s="757" t="str">
        <f t="shared" si="17"/>
        <v>4º GRUPO E</v>
      </c>
      <c r="E393" s="765" t="s">
        <v>1370</v>
      </c>
      <c r="F393" s="765" t="s">
        <v>1508</v>
      </c>
      <c r="G393" s="765" t="s">
        <v>103</v>
      </c>
      <c r="H393" s="765" t="s">
        <v>396</v>
      </c>
    </row>
    <row r="394" spans="4:8">
      <c r="D394" s="757" t="str">
        <f t="shared" si="17"/>
        <v>1º GRUPO F</v>
      </c>
      <c r="E394" s="765" t="s">
        <v>1370</v>
      </c>
      <c r="F394" s="765" t="s">
        <v>1509</v>
      </c>
      <c r="G394" s="765" t="s">
        <v>104</v>
      </c>
      <c r="H394" s="765" t="s">
        <v>397</v>
      </c>
    </row>
    <row r="395" spans="4:8">
      <c r="D395" s="757" t="str">
        <f t="shared" si="17"/>
        <v>2º GRUPO F</v>
      </c>
      <c r="E395" s="765" t="s">
        <v>1370</v>
      </c>
      <c r="F395" s="765" t="s">
        <v>1510</v>
      </c>
      <c r="G395" s="765" t="s">
        <v>105</v>
      </c>
      <c r="H395" s="765" t="s">
        <v>398</v>
      </c>
    </row>
    <row r="396" spans="4:8">
      <c r="D396" s="757" t="str">
        <f t="shared" si="17"/>
        <v>3º GRUPO F</v>
      </c>
      <c r="E396" s="765" t="s">
        <v>1370</v>
      </c>
      <c r="F396" s="765"/>
      <c r="G396" s="765" t="s">
        <v>106</v>
      </c>
      <c r="H396" s="765" t="s">
        <v>399</v>
      </c>
    </row>
    <row r="397" spans="4:8">
      <c r="D397" s="757" t="str">
        <f t="shared" si="17"/>
        <v>4º GRUPO F</v>
      </c>
      <c r="E397" s="765" t="s">
        <v>1370</v>
      </c>
      <c r="F397" s="765"/>
      <c r="G397" s="765" t="s">
        <v>107</v>
      </c>
      <c r="H397" s="765" t="s">
        <v>400</v>
      </c>
    </row>
    <row r="398" spans="4:8">
      <c r="D398" s="757" t="str">
        <f t="shared" si="17"/>
        <v>1º GRUPO G</v>
      </c>
      <c r="E398" s="765" t="s">
        <v>1370</v>
      </c>
      <c r="F398" s="765"/>
      <c r="G398" s="765" t="s">
        <v>516</v>
      </c>
      <c r="H398" s="765" t="s">
        <v>520</v>
      </c>
    </row>
    <row r="399" spans="4:8">
      <c r="D399" s="757" t="str">
        <f t="shared" si="17"/>
        <v>2º GRUPO G</v>
      </c>
      <c r="E399" s="765" t="s">
        <v>1370</v>
      </c>
      <c r="F399" s="765"/>
      <c r="G399" s="765" t="s">
        <v>517</v>
      </c>
      <c r="H399" s="765" t="s">
        <v>521</v>
      </c>
    </row>
    <row r="400" spans="4:8">
      <c r="D400" s="757" t="str">
        <f t="shared" si="17"/>
        <v>3º GRUPO G</v>
      </c>
      <c r="E400" s="765" t="s">
        <v>1370</v>
      </c>
      <c r="F400" s="765"/>
      <c r="G400" s="765" t="s">
        <v>518</v>
      </c>
      <c r="H400" s="765" t="s">
        <v>522</v>
      </c>
    </row>
    <row r="401" spans="4:8">
      <c r="D401" s="757" t="str">
        <f t="shared" si="17"/>
        <v>4º GRUPO G</v>
      </c>
      <c r="E401" s="765" t="s">
        <v>1370</v>
      </c>
      <c r="F401" s="765"/>
      <c r="G401" s="765" t="s">
        <v>519</v>
      </c>
      <c r="H401" s="765" t="s">
        <v>523</v>
      </c>
    </row>
    <row r="402" spans="4:8">
      <c r="D402" s="757" t="str">
        <f t="shared" si="17"/>
        <v>1º GRUPO H</v>
      </c>
      <c r="E402" s="765" t="s">
        <v>1370</v>
      </c>
      <c r="F402" s="765"/>
      <c r="G402" s="765" t="s">
        <v>524</v>
      </c>
      <c r="H402" s="765" t="s">
        <v>528</v>
      </c>
    </row>
    <row r="403" spans="4:8">
      <c r="D403" s="757" t="str">
        <f t="shared" si="17"/>
        <v>2º GRUPO H</v>
      </c>
      <c r="E403" s="765" t="s">
        <v>1370</v>
      </c>
      <c r="G403" s="765" t="s">
        <v>525</v>
      </c>
      <c r="H403" s="765" t="s">
        <v>529</v>
      </c>
    </row>
    <row r="404" spans="4:8">
      <c r="D404" s="757" t="str">
        <f t="shared" si="17"/>
        <v>3º GRUPO H</v>
      </c>
      <c r="E404" s="765" t="s">
        <v>1370</v>
      </c>
      <c r="G404" s="765" t="s">
        <v>526</v>
      </c>
      <c r="H404" s="765" t="s">
        <v>530</v>
      </c>
    </row>
    <row r="405" spans="4:8">
      <c r="D405" s="757" t="str">
        <f t="shared" si="17"/>
        <v>4º GRUPO H</v>
      </c>
      <c r="E405" s="765" t="s">
        <v>1370</v>
      </c>
      <c r="G405" s="765" t="s">
        <v>527</v>
      </c>
      <c r="H405" s="765" t="s">
        <v>531</v>
      </c>
    </row>
    <row r="406" spans="4:8">
      <c r="D406" s="757" t="str">
        <f t="shared" si="17"/>
        <v>1º GRUPO I</v>
      </c>
      <c r="E406" s="765" t="s">
        <v>1370</v>
      </c>
      <c r="G406" s="765" t="s">
        <v>532</v>
      </c>
      <c r="H406" s="765" t="s">
        <v>536</v>
      </c>
    </row>
    <row r="407" spans="4:8">
      <c r="D407" s="757" t="str">
        <f t="shared" si="17"/>
        <v>2º GRUPO I</v>
      </c>
      <c r="E407" s="765" t="s">
        <v>1370</v>
      </c>
      <c r="G407" s="765" t="s">
        <v>533</v>
      </c>
      <c r="H407" s="765" t="s">
        <v>537</v>
      </c>
    </row>
    <row r="408" spans="4:8">
      <c r="D408" s="757" t="str">
        <f t="shared" si="17"/>
        <v>3º GRUPO I</v>
      </c>
      <c r="E408" s="765" t="s">
        <v>1370</v>
      </c>
      <c r="G408" s="765" t="s">
        <v>534</v>
      </c>
      <c r="H408" s="765" t="s">
        <v>538</v>
      </c>
    </row>
    <row r="409" spans="4:8">
      <c r="D409" s="757" t="str">
        <f t="shared" si="17"/>
        <v>4º GRUPO I</v>
      </c>
      <c r="E409" s="765" t="s">
        <v>1370</v>
      </c>
      <c r="G409" s="765" t="s">
        <v>535</v>
      </c>
      <c r="H409" s="765" t="s">
        <v>539</v>
      </c>
    </row>
    <row r="410" spans="4:8">
      <c r="D410" s="757" t="str">
        <f t="shared" si="17"/>
        <v>1º GRUPO J</v>
      </c>
      <c r="E410" s="765" t="s">
        <v>1370</v>
      </c>
      <c r="G410" s="765" t="s">
        <v>540</v>
      </c>
      <c r="H410" s="765" t="s">
        <v>544</v>
      </c>
    </row>
    <row r="411" spans="4:8">
      <c r="D411" s="757" t="str">
        <f t="shared" si="17"/>
        <v>2º GRUPO J</v>
      </c>
      <c r="E411" s="765" t="s">
        <v>1370</v>
      </c>
      <c r="G411" s="765" t="s">
        <v>541</v>
      </c>
      <c r="H411" s="765" t="s">
        <v>545</v>
      </c>
    </row>
    <row r="412" spans="4:8">
      <c r="D412" s="757" t="str">
        <f t="shared" si="17"/>
        <v>3º GRUPO J</v>
      </c>
      <c r="E412" s="765" t="s">
        <v>1370</v>
      </c>
      <c r="G412" s="765" t="s">
        <v>542</v>
      </c>
      <c r="H412" s="765" t="s">
        <v>546</v>
      </c>
    </row>
    <row r="413" spans="4:8">
      <c r="D413" s="757" t="str">
        <f t="shared" si="17"/>
        <v>4º GRUPO J</v>
      </c>
      <c r="E413" s="765" t="s">
        <v>1370</v>
      </c>
      <c r="G413" s="765" t="s">
        <v>543</v>
      </c>
      <c r="H413" s="765" t="s">
        <v>547</v>
      </c>
    </row>
    <row r="414" spans="4:8">
      <c r="D414" s="757" t="str">
        <f t="shared" si="17"/>
        <v>1º GRUPO K</v>
      </c>
      <c r="E414" s="765" t="s">
        <v>1370</v>
      </c>
      <c r="G414" s="765" t="s">
        <v>548</v>
      </c>
      <c r="H414" s="765" t="s">
        <v>552</v>
      </c>
    </row>
    <row r="415" spans="4:8">
      <c r="D415" s="757" t="str">
        <f t="shared" si="17"/>
        <v>2º GRUPO K</v>
      </c>
      <c r="E415" s="765" t="s">
        <v>1370</v>
      </c>
      <c r="G415" s="765" t="s">
        <v>549</v>
      </c>
      <c r="H415" s="765" t="s">
        <v>553</v>
      </c>
    </row>
    <row r="416" spans="4:8">
      <c r="D416" s="757" t="str">
        <f t="shared" si="17"/>
        <v>3º GRUPO K</v>
      </c>
      <c r="E416" s="765" t="s">
        <v>1370</v>
      </c>
      <c r="G416" s="765" t="s">
        <v>550</v>
      </c>
      <c r="H416" s="765" t="s">
        <v>554</v>
      </c>
    </row>
    <row r="417" spans="4:8">
      <c r="D417" s="757" t="str">
        <f t="shared" si="17"/>
        <v>4º GRUPO K</v>
      </c>
      <c r="E417" s="765" t="s">
        <v>1370</v>
      </c>
      <c r="G417" s="765" t="s">
        <v>551</v>
      </c>
      <c r="H417" s="765" t="s">
        <v>555</v>
      </c>
    </row>
    <row r="418" spans="4:8">
      <c r="D418" s="757" t="str">
        <f t="shared" si="17"/>
        <v>1º GRUPO L</v>
      </c>
      <c r="E418" s="765" t="s">
        <v>1370</v>
      </c>
      <c r="G418" s="765" t="s">
        <v>556</v>
      </c>
      <c r="H418" s="765" t="s">
        <v>560</v>
      </c>
    </row>
    <row r="419" spans="4:8">
      <c r="D419" s="757" t="str">
        <f t="shared" si="17"/>
        <v>2º GRUPO L</v>
      </c>
      <c r="E419" s="765" t="s">
        <v>1370</v>
      </c>
      <c r="G419" s="765" t="s">
        <v>557</v>
      </c>
      <c r="H419" s="765" t="s">
        <v>561</v>
      </c>
    </row>
    <row r="420" spans="4:8">
      <c r="D420" s="757" t="str">
        <f t="shared" si="17"/>
        <v>3º GRUPO L</v>
      </c>
      <c r="E420" s="765" t="s">
        <v>1370</v>
      </c>
      <c r="G420" s="765" t="s">
        <v>558</v>
      </c>
      <c r="H420" s="765" t="s">
        <v>562</v>
      </c>
    </row>
    <row r="421" spans="4:8">
      <c r="D421" s="757" t="str">
        <f t="shared" si="17"/>
        <v>4º GRUPO L</v>
      </c>
      <c r="E421" s="765" t="s">
        <v>1370</v>
      </c>
      <c r="G421" s="765" t="s">
        <v>559</v>
      </c>
      <c r="H421" s="765" t="s">
        <v>563</v>
      </c>
    </row>
    <row r="422" spans="4:8">
      <c r="D422" s="757" t="str">
        <f t="shared" si="17"/>
        <v>Dieciseisavofinalista</v>
      </c>
      <c r="E422" s="765" t="s">
        <v>1370</v>
      </c>
      <c r="G422" s="765" t="s">
        <v>566</v>
      </c>
      <c r="H422" s="765" t="s">
        <v>567</v>
      </c>
    </row>
    <row r="423" spans="4:8">
      <c r="D423" s="757" t="str">
        <f t="shared" si="17"/>
        <v>Octavofinalista</v>
      </c>
      <c r="E423" s="765" t="s">
        <v>1370</v>
      </c>
      <c r="G423" s="765" t="s">
        <v>1296</v>
      </c>
      <c r="H423" s="765" t="s">
        <v>401</v>
      </c>
    </row>
    <row r="424" spans="4:8">
      <c r="D424" s="757" t="str">
        <f t="shared" ref="D424:D446" si="18">IF($B$2,G424,H424)</f>
        <v>Cuartofinalista</v>
      </c>
      <c r="E424" s="765" t="s">
        <v>1370</v>
      </c>
      <c r="G424" s="765" t="s">
        <v>58</v>
      </c>
      <c r="H424" s="765" t="s">
        <v>402</v>
      </c>
    </row>
    <row r="425" spans="4:8">
      <c r="D425" s="757" t="str">
        <f t="shared" si="18"/>
        <v>Semifinalista</v>
      </c>
      <c r="E425" s="765" t="s">
        <v>1370</v>
      </c>
      <c r="G425" s="765" t="s">
        <v>61</v>
      </c>
      <c r="H425" s="765" t="s">
        <v>403</v>
      </c>
    </row>
    <row r="426" spans="4:8">
      <c r="D426" s="757" t="str">
        <f t="shared" si="18"/>
        <v>3º y 4º puesto</v>
      </c>
      <c r="E426" s="765" t="s">
        <v>1370</v>
      </c>
      <c r="G426" s="765" t="s">
        <v>491</v>
      </c>
      <c r="H426" s="765" t="s">
        <v>492</v>
      </c>
    </row>
    <row r="427" spans="4:8">
      <c r="D427" s="757" t="str">
        <f t="shared" si="18"/>
        <v>Finalista</v>
      </c>
      <c r="E427" s="765" t="s">
        <v>1370</v>
      </c>
      <c r="G427" s="765" t="s">
        <v>64</v>
      </c>
      <c r="H427" s="765" t="s">
        <v>404</v>
      </c>
    </row>
    <row r="428" spans="4:8">
      <c r="D428" s="757" t="str">
        <f t="shared" si="18"/>
        <v>J1</v>
      </c>
      <c r="E428" s="765" t="s">
        <v>1370</v>
      </c>
      <c r="G428" s="765" t="s">
        <v>26</v>
      </c>
      <c r="H428" s="765" t="s">
        <v>273</v>
      </c>
    </row>
    <row r="429" spans="4:8">
      <c r="D429" s="757" t="str">
        <f t="shared" si="18"/>
        <v>J2</v>
      </c>
      <c r="E429" s="765" t="s">
        <v>1370</v>
      </c>
      <c r="G429" s="765" t="s">
        <v>27</v>
      </c>
      <c r="H429" s="765" t="s">
        <v>274</v>
      </c>
    </row>
    <row r="430" spans="4:8">
      <c r="D430" s="757" t="str">
        <f t="shared" si="18"/>
        <v>J3</v>
      </c>
      <c r="E430" s="765" t="s">
        <v>1370</v>
      </c>
      <c r="G430" s="765" t="s">
        <v>28</v>
      </c>
      <c r="H430" s="765" t="s">
        <v>275</v>
      </c>
    </row>
    <row r="431" spans="4:8">
      <c r="D431" s="757" t="str">
        <f t="shared" si="18"/>
        <v>Sistema de puntuación</v>
      </c>
      <c r="E431" s="765" t="s">
        <v>1370</v>
      </c>
      <c r="G431" s="765" t="s">
        <v>1931</v>
      </c>
      <c r="H431" s="765" t="s">
        <v>1932</v>
      </c>
    </row>
    <row r="432" spans="4:8">
      <c r="D432" s="757">
        <f t="shared" si="18"/>
        <v>0</v>
      </c>
      <c r="E432" s="765" t="s">
        <v>1370</v>
      </c>
      <c r="G432" s="765"/>
      <c r="H432" s="765"/>
    </row>
    <row r="433" spans="4:8">
      <c r="D433" s="757" t="str">
        <f t="shared" si="18"/>
        <v>PREDICTOR - Campeón</v>
      </c>
      <c r="E433" s="765" t="s">
        <v>1370</v>
      </c>
      <c r="G433" s="765" t="s">
        <v>1525</v>
      </c>
      <c r="H433" s="765" t="s">
        <v>1526</v>
      </c>
    </row>
    <row r="434" spans="4:8">
      <c r="D434" s="757" t="str">
        <f t="shared" si="18"/>
        <v>PREDICTOR - Subcampeón</v>
      </c>
      <c r="E434" s="765" t="s">
        <v>1370</v>
      </c>
      <c r="G434" s="765" t="s">
        <v>1576</v>
      </c>
      <c r="H434" s="765" t="s">
        <v>1577</v>
      </c>
    </row>
    <row r="435" spans="4:8">
      <c r="D435" s="757" t="str">
        <f t="shared" ref="D435" si="19">IF($B$2,G435,H435)</f>
        <v>PREDICTOR- 3º puesto</v>
      </c>
      <c r="E435" s="765" t="s">
        <v>1370</v>
      </c>
      <c r="G435" s="765" t="s">
        <v>1574</v>
      </c>
      <c r="H435" s="765" t="s">
        <v>1575</v>
      </c>
    </row>
    <row r="436" spans="4:8">
      <c r="D436" s="757" t="str">
        <f t="shared" si="18"/>
        <v>PREDICTOR - Semifinales</v>
      </c>
      <c r="E436" s="765" t="s">
        <v>1370</v>
      </c>
      <c r="G436" s="765" t="s">
        <v>1527</v>
      </c>
      <c r="H436" s="765" t="s">
        <v>1528</v>
      </c>
    </row>
    <row r="437" spans="4:8">
      <c r="D437" s="757" t="str">
        <f t="shared" si="18"/>
        <v>PREDICTOR - Cuartos de final</v>
      </c>
      <c r="E437" s="765" t="s">
        <v>1370</v>
      </c>
      <c r="G437" s="765" t="s">
        <v>1529</v>
      </c>
      <c r="H437" s="765" t="s">
        <v>1530</v>
      </c>
    </row>
    <row r="438" spans="4:8">
      <c r="D438" s="757" t="str">
        <f t="shared" si="18"/>
        <v>PREDICTOR - Octavos de final</v>
      </c>
      <c r="E438" s="765" t="s">
        <v>1370</v>
      </c>
      <c r="G438" s="765" t="s">
        <v>1531</v>
      </c>
      <c r="H438" s="765" t="s">
        <v>1532</v>
      </c>
    </row>
    <row r="439" spans="4:8">
      <c r="D439" s="757" t="str">
        <f t="shared" si="18"/>
        <v>PREDICTOR - Dieciseisavos de final</v>
      </c>
      <c r="E439" s="765" t="s">
        <v>1370</v>
      </c>
      <c r="G439" s="765" t="s">
        <v>1568</v>
      </c>
      <c r="H439" s="765" t="s">
        <v>1569</v>
      </c>
    </row>
    <row r="440" spans="4:8">
      <c r="D440" s="757" t="str">
        <f t="shared" si="18"/>
        <v>PREDICTOR- Fase de Liga</v>
      </c>
      <c r="E440" s="765" t="s">
        <v>1370</v>
      </c>
      <c r="G440" s="765" t="s">
        <v>1533</v>
      </c>
      <c r="H440" s="765" t="s">
        <v>1534</v>
      </c>
    </row>
    <row r="441" spans="4:8">
      <c r="D441" s="757" t="str">
        <f t="shared" si="18"/>
        <v>% Ajuste por desvío en Diferencia/Distancia de goles</v>
      </c>
      <c r="E441" s="765" t="s">
        <v>1370</v>
      </c>
      <c r="G441" s="765" t="s">
        <v>1734</v>
      </c>
      <c r="H441" s="765" t="s">
        <v>1770</v>
      </c>
    </row>
    <row r="442" spans="4:8">
      <c r="D442" s="757" t="str">
        <f t="shared" si="18"/>
        <v>None</v>
      </c>
      <c r="E442" s="765" t="s">
        <v>1444</v>
      </c>
      <c r="G442" s="765" t="s">
        <v>1921</v>
      </c>
      <c r="H442" s="757" t="s">
        <v>1921</v>
      </c>
    </row>
    <row r="443" spans="4:8">
      <c r="D443" s="757" t="str">
        <f t="shared" si="18"/>
        <v>**¿Qué es esto y cómo funciona?</v>
      </c>
      <c r="E443" s="765" t="s">
        <v>1370</v>
      </c>
      <c r="G443" s="765" t="s">
        <v>1820</v>
      </c>
      <c r="H443" s="765" t="s">
        <v>1821</v>
      </c>
    </row>
    <row r="444" spans="4:8" ht="45">
      <c r="D444" s="757" t="str">
        <f t="shared" si="18"/>
        <v>https://matejero.es/puntuaciones-excel-mundial-2026/#%C2%BFQue_es_y_como_funciona_el_ajuste_por_desvio_en_diferenciadistancia_de_goles</v>
      </c>
      <c r="E444" s="765" t="s">
        <v>1370</v>
      </c>
      <c r="G444" s="767" t="s">
        <v>1819</v>
      </c>
      <c r="H444" s="767" t="s">
        <v>1923</v>
      </c>
    </row>
    <row r="445" spans="4:8">
      <c r="D445" s="757" t="str">
        <f t="shared" si="18"/>
        <v>?</v>
      </c>
      <c r="E445" s="765" t="s">
        <v>1370</v>
      </c>
      <c r="G445" s="765" t="s">
        <v>1825</v>
      </c>
      <c r="H445" s="765" t="s">
        <v>1825</v>
      </c>
    </row>
    <row r="446" spans="4:8">
      <c r="D446" s="757" t="str">
        <f t="shared" si="18"/>
        <v>https://matejero.es/puntuaciones-excel-mundial-2026/#%C2%BFQue_es_un_BONUS</v>
      </c>
      <c r="E446" s="765" t="s">
        <v>1370</v>
      </c>
      <c r="G446" s="767" t="s">
        <v>1826</v>
      </c>
      <c r="H446" s="767" t="s">
        <v>1922</v>
      </c>
    </row>
    <row r="447" spans="4:8">
      <c r="E447" s="765"/>
      <c r="G447" s="766"/>
      <c r="H447" s="766"/>
    </row>
    <row r="448" spans="4:8">
      <c r="E448" s="765"/>
      <c r="G448" s="766"/>
      <c r="H448" s="766"/>
    </row>
    <row r="451" spans="4:8">
      <c r="D451" s="757" t="str">
        <f t="shared" ref="D451:D470" si="20">IF($B$2,G451,H451)</f>
        <v>CLASIFICACIÓN MUNDIAL 2026</v>
      </c>
      <c r="E451" s="757" t="s">
        <v>1584</v>
      </c>
      <c r="F451" s="757" t="s">
        <v>1585</v>
      </c>
      <c r="G451" s="768" t="s">
        <v>1605</v>
      </c>
      <c r="H451" s="768" t="s">
        <v>1606</v>
      </c>
    </row>
    <row r="452" spans="4:8">
      <c r="D452" s="757" t="str">
        <f t="shared" si="20"/>
        <v>Pos</v>
      </c>
      <c r="E452" s="757" t="s">
        <v>1584</v>
      </c>
      <c r="F452" s="757" t="s">
        <v>125</v>
      </c>
      <c r="G452" s="768" t="s">
        <v>14</v>
      </c>
      <c r="H452" s="768" t="s">
        <v>14</v>
      </c>
    </row>
    <row r="453" spans="4:8">
      <c r="D453" s="757" t="str">
        <f t="shared" si="20"/>
        <v>Jugador</v>
      </c>
      <c r="E453" s="757" t="s">
        <v>1584</v>
      </c>
      <c r="F453" s="757" t="s">
        <v>126</v>
      </c>
      <c r="G453" s="768" t="s">
        <v>1586</v>
      </c>
      <c r="H453" s="768" t="s">
        <v>1587</v>
      </c>
    </row>
    <row r="454" spans="4:8">
      <c r="D454" s="757" t="str">
        <f t="shared" si="20"/>
        <v>Puntos Totales</v>
      </c>
      <c r="E454" s="757" t="s">
        <v>1584</v>
      </c>
      <c r="F454" s="757" t="s">
        <v>127</v>
      </c>
      <c r="G454" s="768" t="s">
        <v>1588</v>
      </c>
      <c r="H454" s="768" t="s">
        <v>1589</v>
      </c>
    </row>
    <row r="455" spans="4:8">
      <c r="D455" s="757" t="str">
        <f t="shared" si="20"/>
        <v>F. Grupos</v>
      </c>
      <c r="E455" s="757" t="s">
        <v>1584</v>
      </c>
      <c r="F455" s="757" t="s">
        <v>128</v>
      </c>
      <c r="G455" s="768" t="s">
        <v>1590</v>
      </c>
      <c r="H455" s="768" t="s">
        <v>1622</v>
      </c>
    </row>
    <row r="456" spans="4:8">
      <c r="D456" s="757" t="str">
        <f t="shared" si="20"/>
        <v>Pos. Grupos</v>
      </c>
      <c r="E456" s="757" t="s">
        <v>1584</v>
      </c>
      <c r="F456" s="757" t="s">
        <v>129</v>
      </c>
      <c r="G456" s="768" t="s">
        <v>1591</v>
      </c>
      <c r="H456" s="768" t="s">
        <v>1623</v>
      </c>
    </row>
    <row r="457" spans="4:8">
      <c r="D457" s="757" t="str">
        <f t="shared" ref="D457:D458" si="21">IF($B$2,G457,H457)</f>
        <v>Equipos 1/16</v>
      </c>
      <c r="E457" s="757" t="s">
        <v>1584</v>
      </c>
      <c r="F457" s="757" t="s">
        <v>180</v>
      </c>
      <c r="G457" s="768" t="s">
        <v>1607</v>
      </c>
      <c r="H457" s="768" t="s">
        <v>1612</v>
      </c>
    </row>
    <row r="458" spans="4:8">
      <c r="D458" s="757" t="str">
        <f t="shared" si="21"/>
        <v>Partidos 1/16</v>
      </c>
      <c r="E458" s="757" t="s">
        <v>1584</v>
      </c>
      <c r="F458" s="757" t="s">
        <v>181</v>
      </c>
      <c r="G458" s="768" t="s">
        <v>1608</v>
      </c>
      <c r="H458" s="768" t="s">
        <v>1609</v>
      </c>
    </row>
    <row r="459" spans="4:8">
      <c r="D459" s="757" t="str">
        <f t="shared" si="20"/>
        <v>Equipos 1/8</v>
      </c>
      <c r="E459" s="757" t="s">
        <v>1584</v>
      </c>
      <c r="F459" s="757" t="s">
        <v>180</v>
      </c>
      <c r="G459" s="768" t="s">
        <v>1592</v>
      </c>
      <c r="H459" s="768" t="s">
        <v>1613</v>
      </c>
    </row>
    <row r="460" spans="4:8">
      <c r="D460" s="757" t="str">
        <f t="shared" si="20"/>
        <v>Partidos 1/8</v>
      </c>
      <c r="E460" s="757" t="s">
        <v>1584</v>
      </c>
      <c r="F460" s="757" t="s">
        <v>181</v>
      </c>
      <c r="G460" s="768" t="s">
        <v>1593</v>
      </c>
      <c r="H460" s="768" t="s">
        <v>1594</v>
      </c>
    </row>
    <row r="461" spans="4:8">
      <c r="D461" s="757" t="str">
        <f t="shared" si="20"/>
        <v>Equipos 1/4</v>
      </c>
      <c r="E461" s="757" t="s">
        <v>1584</v>
      </c>
      <c r="F461" s="757" t="s">
        <v>182</v>
      </c>
      <c r="G461" s="768" t="s">
        <v>1595</v>
      </c>
      <c r="H461" s="768" t="s">
        <v>1614</v>
      </c>
    </row>
    <row r="462" spans="4:8">
      <c r="D462" s="757" t="str">
        <f t="shared" si="20"/>
        <v>Partidos 1/4</v>
      </c>
      <c r="E462" s="757" t="s">
        <v>1584</v>
      </c>
      <c r="F462" s="757" t="s">
        <v>28</v>
      </c>
      <c r="G462" s="768" t="s">
        <v>1596</v>
      </c>
      <c r="H462" s="768" t="s">
        <v>1597</v>
      </c>
    </row>
    <row r="463" spans="4:8">
      <c r="D463" s="757" t="str">
        <f t="shared" si="20"/>
        <v>Equipos 1/2</v>
      </c>
      <c r="E463" s="757" t="s">
        <v>1584</v>
      </c>
      <c r="F463" s="757" t="s">
        <v>188</v>
      </c>
      <c r="G463" s="768" t="s">
        <v>1598</v>
      </c>
      <c r="H463" s="768" t="s">
        <v>1615</v>
      </c>
    </row>
    <row r="464" spans="4:8">
      <c r="D464" s="757" t="str">
        <f t="shared" si="20"/>
        <v>Partidos 1/2</v>
      </c>
      <c r="E464" s="757" t="s">
        <v>1584</v>
      </c>
      <c r="F464" s="757" t="s">
        <v>1198</v>
      </c>
      <c r="G464" s="768" t="s">
        <v>1599</v>
      </c>
      <c r="H464" s="768" t="s">
        <v>1600</v>
      </c>
    </row>
    <row r="465" spans="4:8">
      <c r="D465" s="757" t="str">
        <f t="shared" si="20"/>
        <v>Equipos 3-4</v>
      </c>
      <c r="E465" s="757" t="s">
        <v>1584</v>
      </c>
      <c r="G465" s="768" t="s">
        <v>1610</v>
      </c>
      <c r="H465" s="768" t="s">
        <v>1611</v>
      </c>
    </row>
    <row r="466" spans="4:8">
      <c r="D466" s="757" t="str">
        <f t="shared" si="20"/>
        <v>Equipos Final</v>
      </c>
      <c r="E466" s="757" t="s">
        <v>1584</v>
      </c>
      <c r="F466" s="757" t="s">
        <v>1601</v>
      </c>
      <c r="G466" s="768" t="s">
        <v>1602</v>
      </c>
      <c r="H466" s="768" t="s">
        <v>1616</v>
      </c>
    </row>
    <row r="467" spans="4:8">
      <c r="D467" s="757" t="str">
        <f t="shared" ref="D467" si="22">IF($B$2,G467,H467)</f>
        <v>Partido 3-4</v>
      </c>
      <c r="E467" s="757" t="s">
        <v>1584</v>
      </c>
      <c r="G467" s="768" t="s">
        <v>1617</v>
      </c>
      <c r="H467" s="768" t="s">
        <v>1618</v>
      </c>
    </row>
    <row r="468" spans="4:8">
      <c r="D468" s="757" t="str">
        <f t="shared" si="20"/>
        <v>Partido Final</v>
      </c>
      <c r="E468" s="757" t="s">
        <v>1584</v>
      </c>
      <c r="F468" s="757" t="s">
        <v>190</v>
      </c>
      <c r="G468" s="768" t="s">
        <v>1462</v>
      </c>
      <c r="H468" s="768" t="s">
        <v>1603</v>
      </c>
    </row>
    <row r="469" spans="4:8">
      <c r="D469" s="757" t="str">
        <f t="shared" ref="D469" si="23">IF($B$2,G469,H469)</f>
        <v xml:space="preserve">Cuadro de Honor </v>
      </c>
      <c r="E469" s="757" t="s">
        <v>1584</v>
      </c>
      <c r="F469" s="757" t="s">
        <v>1604</v>
      </c>
      <c r="G469" s="768" t="s">
        <v>1619</v>
      </c>
      <c r="H469" s="768" t="s">
        <v>1621</v>
      </c>
    </row>
    <row r="470" spans="4:8">
      <c r="D470" s="757" t="str">
        <f t="shared" si="20"/>
        <v xml:space="preserve">Predictor </v>
      </c>
      <c r="E470" s="757" t="s">
        <v>1584</v>
      </c>
      <c r="F470" s="757" t="s">
        <v>1604</v>
      </c>
      <c r="G470" s="768" t="s">
        <v>1620</v>
      </c>
      <c r="H470" s="768" t="s">
        <v>1620</v>
      </c>
    </row>
    <row r="474" spans="4:8">
      <c r="D474" s="757" t="str">
        <f t="shared" ref="D474:D475" si="24">IF($B$2,G474,H474)</f>
        <v>Selecciona día:</v>
      </c>
      <c r="E474" s="757" t="s">
        <v>1645</v>
      </c>
      <c r="F474" s="757" t="s">
        <v>115</v>
      </c>
      <c r="G474" s="757" t="s">
        <v>1646</v>
      </c>
      <c r="H474" s="757" t="s">
        <v>1647</v>
      </c>
    </row>
    <row r="475" spans="4:8">
      <c r="D475" s="757" t="str">
        <f t="shared" si="24"/>
        <v>Nombre</v>
      </c>
      <c r="E475" s="757" t="s">
        <v>1645</v>
      </c>
      <c r="F475" s="757" t="s">
        <v>126</v>
      </c>
      <c r="G475" s="757" t="s">
        <v>42</v>
      </c>
      <c r="H475" s="757" t="s">
        <v>268</v>
      </c>
    </row>
    <row r="478" spans="4:8">
      <c r="D478" s="757" t="str">
        <f t="shared" ref="D478:D481" si="25">IF($B$2,G478,H478)</f>
        <v>Selecciona día:</v>
      </c>
      <c r="E478" s="757" t="s">
        <v>1648</v>
      </c>
      <c r="F478" s="757" t="s">
        <v>512</v>
      </c>
      <c r="G478" s="757" t="s">
        <v>1646</v>
      </c>
      <c r="H478" s="757" t="s">
        <v>1647</v>
      </c>
    </row>
    <row r="479" spans="4:8">
      <c r="D479" s="757" t="str">
        <f t="shared" si="25"/>
        <v>Pos</v>
      </c>
      <c r="E479" s="757" t="s">
        <v>1648</v>
      </c>
      <c r="F479" s="757" t="s">
        <v>128</v>
      </c>
      <c r="G479" s="757" t="s">
        <v>14</v>
      </c>
      <c r="H479" s="757" t="s">
        <v>14</v>
      </c>
    </row>
    <row r="480" spans="4:8">
      <c r="D480" s="757" t="str">
        <f t="shared" si="25"/>
        <v>Nombre</v>
      </c>
      <c r="E480" s="757" t="s">
        <v>1648</v>
      </c>
      <c r="F480" s="757" t="s">
        <v>129</v>
      </c>
      <c r="G480" s="757" t="s">
        <v>42</v>
      </c>
      <c r="H480" s="757" t="s">
        <v>268</v>
      </c>
    </row>
    <row r="481" spans="4:8">
      <c r="D481" s="757" t="str">
        <f t="shared" si="25"/>
        <v>Puntos Día / Eliminatoria</v>
      </c>
      <c r="E481" s="757" t="s">
        <v>1648</v>
      </c>
      <c r="F481" s="757" t="s">
        <v>180</v>
      </c>
      <c r="G481" s="757" t="s">
        <v>1649</v>
      </c>
      <c r="H481" s="757" t="s">
        <v>1650</v>
      </c>
    </row>
    <row r="484" spans="4:8">
      <c r="D484" s="757" t="str">
        <f>IF($B$2,G484,H484)</f>
        <v xml:space="preserve">Puntos en juego </v>
      </c>
      <c r="E484" s="757" t="s">
        <v>1651</v>
      </c>
      <c r="G484" s="757" t="s">
        <v>1652</v>
      </c>
      <c r="H484" s="762" t="s">
        <v>1653</v>
      </c>
    </row>
    <row r="485" spans="4:8">
      <c r="D485" s="757" t="str">
        <f t="shared" ref="D485:D515" si="26">IF($B$2,G485,H485)</f>
        <v xml:space="preserve">Máximo de puntos hasta </v>
      </c>
      <c r="E485" s="757" t="s">
        <v>1651</v>
      </c>
      <c r="G485" s="757" t="s">
        <v>1654</v>
      </c>
      <c r="H485" s="762" t="s">
        <v>1655</v>
      </c>
    </row>
    <row r="486" spans="4:8">
      <c r="D486" s="757" t="str">
        <f t="shared" si="26"/>
        <v xml:space="preserve">Máximo de puntos incluido </v>
      </c>
      <c r="E486" s="757" t="s">
        <v>1651</v>
      </c>
      <c r="G486" s="757" t="s">
        <v>1656</v>
      </c>
      <c r="H486" s="762" t="s">
        <v>1657</v>
      </c>
    </row>
    <row r="487" spans="4:8">
      <c r="D487" s="757" t="str">
        <f t="shared" si="26"/>
        <v xml:space="preserve">Quedan por repartir: </v>
      </c>
      <c r="E487" s="757" t="s">
        <v>1651</v>
      </c>
      <c r="G487" s="757" t="s">
        <v>1658</v>
      </c>
      <c r="H487" s="762" t="s">
        <v>1659</v>
      </c>
    </row>
    <row r="488" spans="4:8">
      <c r="D488" s="757" t="str">
        <f t="shared" si="26"/>
        <v>Puntos máximos totales a repartir hoy (Global):</v>
      </c>
      <c r="E488" s="757" t="s">
        <v>1651</v>
      </c>
      <c r="G488" s="757" t="s">
        <v>1660</v>
      </c>
      <c r="H488" s="762" t="s">
        <v>1661</v>
      </c>
    </row>
    <row r="489" spans="4:8">
      <c r="D489" s="757" t="str">
        <f t="shared" si="26"/>
        <v>Puntos repartidos hoy (Global)</v>
      </c>
      <c r="E489" s="757" t="s">
        <v>1651</v>
      </c>
      <c r="G489" s="757" t="s">
        <v>1662</v>
      </c>
      <c r="H489" s="762" t="s">
        <v>1663</v>
      </c>
    </row>
    <row r="490" spans="4:8">
      <c r="D490" s="757" t="str">
        <f t="shared" si="26"/>
        <v xml:space="preserve">¿Cúantos han acertado el máximo de puntos </v>
      </c>
      <c r="E490" s="757" t="s">
        <v>1651</v>
      </c>
      <c r="G490" s="757" t="s">
        <v>1664</v>
      </c>
      <c r="H490" s="762" t="s">
        <v>1665</v>
      </c>
    </row>
    <row r="491" spans="4:8">
      <c r="D491" s="757" t="str">
        <f>IF($B$2,G491,H491)</f>
        <v xml:space="preserve">¿Cúantos se han llevado algún punto </v>
      </c>
      <c r="E491" s="757" t="s">
        <v>1651</v>
      </c>
      <c r="G491" s="757" t="s">
        <v>1666</v>
      </c>
      <c r="H491" s="762" t="s">
        <v>1667</v>
      </c>
    </row>
    <row r="492" spans="4:8">
      <c r="D492" s="757" t="str">
        <f t="shared" si="26"/>
        <v xml:space="preserve">¿Cúantos no han acertado nada </v>
      </c>
      <c r="E492" s="757" t="s">
        <v>1651</v>
      </c>
      <c r="G492" s="757" t="s">
        <v>1668</v>
      </c>
      <c r="H492" s="762" t="s">
        <v>1669</v>
      </c>
    </row>
    <row r="493" spans="4:8">
      <c r="D493" s="757" t="str">
        <f t="shared" si="26"/>
        <v xml:space="preserve">Media de puntos sumados </v>
      </c>
      <c r="E493" s="757" t="s">
        <v>1651</v>
      </c>
      <c r="G493" s="757" t="s">
        <v>1670</v>
      </c>
      <c r="H493" s="762" t="s">
        <v>1671</v>
      </c>
    </row>
    <row r="494" spans="4:8" ht="60">
      <c r="D494" s="757"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757" t="s">
        <v>1651</v>
      </c>
      <c r="G494" s="757" t="s">
        <v>1672</v>
      </c>
      <c r="H494" s="762" t="s">
        <v>1673</v>
      </c>
    </row>
    <row r="495" spans="4:8" ht="30">
      <c r="D495" s="757" t="str">
        <f t="shared" si="26"/>
        <v>Para que calcule bien las estadísticas, en la hoja ADMIN selecciona el nº de participantes que sois exactamente, si no algunas estádísticas pueden ser incorrectas</v>
      </c>
      <c r="E495" s="757" t="s">
        <v>1651</v>
      </c>
      <c r="G495" s="757" t="s">
        <v>1926</v>
      </c>
      <c r="H495" s="762" t="s">
        <v>1674</v>
      </c>
    </row>
    <row r="496" spans="4:8">
      <c r="D496" s="757" t="str">
        <f t="shared" si="26"/>
        <v>Dia seleccionado en "Daily Prediction"</v>
      </c>
      <c r="E496" s="757" t="s">
        <v>1651</v>
      </c>
      <c r="G496" s="757" t="s">
        <v>1675</v>
      </c>
      <c r="H496" s="762" t="s">
        <v>1676</v>
      </c>
    </row>
    <row r="497" spans="4:8">
      <c r="D497" s="757" t="str">
        <f t="shared" si="26"/>
        <v>Puntos</v>
      </c>
      <c r="E497" s="757" t="s">
        <v>1651</v>
      </c>
      <c r="G497" s="757" t="s">
        <v>1376</v>
      </c>
      <c r="H497" s="762" t="s">
        <v>1377</v>
      </c>
    </row>
    <row r="498" spans="4:8">
      <c r="D498" s="757" t="str">
        <f t="shared" si="26"/>
        <v>Resultados más pronósticados</v>
      </c>
      <c r="E498" s="757" t="s">
        <v>1651</v>
      </c>
      <c r="G498" s="757" t="s">
        <v>1677</v>
      </c>
      <c r="H498" s="762" t="s">
        <v>1678</v>
      </c>
    </row>
    <row r="499" spans="4:8">
      <c r="D499" s="757" t="str">
        <f t="shared" si="26"/>
        <v>Resultado</v>
      </c>
      <c r="E499" s="757" t="s">
        <v>1651</v>
      </c>
      <c r="G499" s="757" t="s">
        <v>1679</v>
      </c>
      <c r="H499" s="762" t="s">
        <v>1680</v>
      </c>
    </row>
    <row r="500" spans="4:8">
      <c r="D500" s="757" t="str">
        <f t="shared" si="26"/>
        <v>Nº de veces</v>
      </c>
      <c r="E500" s="757" t="s">
        <v>1651</v>
      </c>
      <c r="G500" s="757" t="s">
        <v>1681</v>
      </c>
      <c r="H500" s="762" t="s">
        <v>1682</v>
      </c>
    </row>
    <row r="501" spans="4:8">
      <c r="D501" s="757" t="str">
        <f t="shared" si="26"/>
        <v>Selecciona un partido de hoy:↗</v>
      </c>
      <c r="E501" s="757" t="s">
        <v>1651</v>
      </c>
      <c r="G501" s="757" t="s">
        <v>1917</v>
      </c>
      <c r="H501" s="762" t="s">
        <v>1918</v>
      </c>
    </row>
    <row r="502" spans="4:8">
      <c r="D502" s="757" t="str">
        <f t="shared" si="26"/>
        <v>(No cuentan los resultados no predichos)*</v>
      </c>
      <c r="E502" s="757" t="s">
        <v>1651</v>
      </c>
      <c r="G502" s="757" t="s">
        <v>1683</v>
      </c>
      <c r="H502" s="762" t="s">
        <v>1684</v>
      </c>
    </row>
    <row r="503" spans="4:8" ht="30">
      <c r="D503" s="757" t="str">
        <f t="shared" si="26"/>
        <v>*Si alguno de los participantes no ha predicho este resultado, no se cuenta ni en la tabla ni en el gráfico</v>
      </c>
      <c r="E503" s="757" t="s">
        <v>1651</v>
      </c>
      <c r="G503" s="757" t="s">
        <v>1685</v>
      </c>
      <c r="H503" s="762" t="s">
        <v>1686</v>
      </c>
    </row>
    <row r="504" spans="4:8">
      <c r="D504" s="757" t="str">
        <f t="shared" si="26"/>
        <v>Este gráfico de abajo solo aparece en los partidos de la fase de grupos</v>
      </c>
      <c r="E504" s="757" t="s">
        <v>1651</v>
      </c>
      <c r="G504" s="757" t="s">
        <v>1687</v>
      </c>
      <c r="H504" s="757" t="s">
        <v>1688</v>
      </c>
    </row>
    <row r="505" spans="4:8">
      <c r="D505" s="757" t="str">
        <f t="shared" si="26"/>
        <v>Faltan</v>
      </c>
      <c r="E505" s="757" t="s">
        <v>1651</v>
      </c>
      <c r="G505" s="762" t="s">
        <v>1689</v>
      </c>
      <c r="H505" s="762" t="s">
        <v>1690</v>
      </c>
    </row>
    <row r="506" spans="4:8">
      <c r="D506" s="757" t="str">
        <f t="shared" si="26"/>
        <v>días para que empiece el Mundial 2026</v>
      </c>
      <c r="E506" s="757" t="s">
        <v>1651</v>
      </c>
      <c r="G506" s="762" t="s">
        <v>1774</v>
      </c>
      <c r="H506" s="762" t="s">
        <v>1779</v>
      </c>
    </row>
    <row r="507" spans="4:8">
      <c r="D507" s="757" t="str">
        <f t="shared" si="26"/>
        <v>Es el día</v>
      </c>
      <c r="E507" s="757" t="s">
        <v>1651</v>
      </c>
      <c r="G507" s="762" t="s">
        <v>1691</v>
      </c>
      <c r="H507" s="762" t="s">
        <v>1692</v>
      </c>
    </row>
    <row r="508" spans="4:8">
      <c r="D508" s="757" t="str">
        <f t="shared" si="26"/>
        <v>del Mundial 2026</v>
      </c>
      <c r="E508" s="757" t="s">
        <v>1651</v>
      </c>
      <c r="G508" s="762" t="s">
        <v>1773</v>
      </c>
      <c r="H508" s="762" t="s">
        <v>1300</v>
      </c>
    </row>
    <row r="509" spans="4:8">
      <c r="D509" s="757" t="str">
        <f t="shared" si="26"/>
        <v>Quedan</v>
      </c>
      <c r="E509" s="757" t="s">
        <v>1651</v>
      </c>
      <c r="G509" s="762" t="s">
        <v>1693</v>
      </c>
      <c r="H509" s="762" t="s">
        <v>1694</v>
      </c>
    </row>
    <row r="510" spans="4:8">
      <c r="D510" s="757" t="str">
        <f t="shared" si="26"/>
        <v>días para que acabe el Mundial 2026</v>
      </c>
      <c r="E510" s="757" t="s">
        <v>1651</v>
      </c>
      <c r="G510" s="762" t="s">
        <v>1771</v>
      </c>
      <c r="H510" s="762" t="s">
        <v>1772</v>
      </c>
    </row>
    <row r="511" spans="4:8">
      <c r="D511" s="757" t="str">
        <f t="shared" si="26"/>
        <v>Se han marcado un total de</v>
      </c>
      <c r="E511" s="757" t="s">
        <v>1651</v>
      </c>
      <c r="G511" s="762" t="s">
        <v>1695</v>
      </c>
      <c r="H511" s="762" t="s">
        <v>1696</v>
      </c>
    </row>
    <row r="512" spans="4:8">
      <c r="D512" s="757" t="str">
        <f t="shared" si="26"/>
        <v>goles en el Mundial de Clubes sin contar tandas de penalti</v>
      </c>
      <c r="E512" s="757" t="s">
        <v>1651</v>
      </c>
      <c r="G512" s="762" t="s">
        <v>1697</v>
      </c>
      <c r="H512" s="762" t="s">
        <v>1698</v>
      </c>
    </row>
    <row r="513" spans="4:8">
      <c r="D513" s="757" t="str">
        <f t="shared" si="26"/>
        <v>Espero que disfrutéis del Excel del Mundial de Clubes</v>
      </c>
      <c r="E513" s="757" t="s">
        <v>1651</v>
      </c>
      <c r="G513" s="762" t="s">
        <v>1699</v>
      </c>
      <c r="H513" s="762" t="s">
        <v>1700</v>
      </c>
    </row>
    <row r="515" spans="4:8">
      <c r="D515" s="757" t="str">
        <f t="shared" si="26"/>
        <v>Gráfico solo en fase de grupos</v>
      </c>
      <c r="E515" s="757" t="s">
        <v>1651</v>
      </c>
      <c r="G515" s="762" t="s">
        <v>1899</v>
      </c>
      <c r="H515" s="757" t="s">
        <v>1898</v>
      </c>
    </row>
    <row r="1419" spans="4:4">
      <c r="D1419" s="757" t="s">
        <v>1313</v>
      </c>
    </row>
    <row r="1420" spans="4:4">
      <c r="D1420" s="757" t="s">
        <v>1328</v>
      </c>
    </row>
  </sheetData>
  <phoneticPr fontId="14" type="noConversion"/>
  <hyperlinks>
    <hyperlink ref="H444" r:id="rId1" location="What_is_the_goal_differencedistance_deviation_adjustment_and_how_does_it_work"/>
    <hyperlink ref="G446" r:id="rId2" location="%C2%BFQue_es_un_BONUS"/>
    <hyperlink ref="H446" r:id="rId3" location="What_is_a_BONUS"/>
    <hyperlink ref="G103" r:id="rId4"/>
    <hyperlink ref="H302" r:id="rId5"/>
    <hyperlink ref="G444" r:id="rId6" location="%C2%BFQue_es_y_como_funciona_el_ajuste_por_desvio_en_diferenciadistancia_de_goles"/>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7"/>
  <dimension ref="A1:BA71"/>
  <sheetViews>
    <sheetView topLeftCell="G1" workbookViewId="0">
      <selection activeCell="T11" sqref="T11"/>
    </sheetView>
  </sheetViews>
  <sheetFormatPr baseColWidth="10" defaultColWidth="10.85546875" defaultRowHeight="15"/>
  <cols>
    <col min="1" max="2" width="10.85546875" style="17"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2" width="10.85546875" customWidth="1"/>
    <col min="23" max="23" width="23.85546875" customWidth="1"/>
    <col min="24" max="24" width="21.28515625" customWidth="1"/>
    <col min="25" max="25" width="24.42578125" customWidth="1"/>
    <col min="26" max="26" width="17.85546875" customWidth="1"/>
    <col min="27" max="53" width="10.85546875" customWidth="1"/>
  </cols>
  <sheetData>
    <row r="1" spans="1:53">
      <c r="A1" s="21"/>
      <c r="B1" s="21"/>
      <c r="C1" s="13"/>
      <c r="D1" s="432" t="s">
        <v>1925</v>
      </c>
      <c r="E1" s="13"/>
      <c r="F1" s="13"/>
      <c r="G1" s="13"/>
      <c r="H1" s="13"/>
      <c r="I1" s="13"/>
      <c r="J1" s="13"/>
      <c r="K1" s="13"/>
      <c r="L1" s="13"/>
      <c r="M1" s="13"/>
      <c r="N1" s="13"/>
      <c r="O1" s="13"/>
      <c r="P1" s="13"/>
      <c r="Q1" s="13"/>
      <c r="R1" s="13"/>
      <c r="S1" s="13"/>
      <c r="T1" s="13"/>
      <c r="U1" s="2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1"/>
      <c r="B2" s="21"/>
      <c r="C2" s="13"/>
      <c r="D2" s="13"/>
      <c r="E2" s="13"/>
      <c r="F2" s="13"/>
      <c r="G2" s="13"/>
      <c r="H2" s="13"/>
      <c r="I2" s="13"/>
      <c r="J2" s="13"/>
      <c r="K2" s="13"/>
      <c r="L2" s="13"/>
      <c r="M2" s="13"/>
      <c r="N2" s="13"/>
      <c r="O2" s="13"/>
      <c r="P2" s="13"/>
      <c r="Q2" s="13"/>
      <c r="R2" s="13"/>
      <c r="S2" s="13"/>
      <c r="T2" s="13"/>
      <c r="U2" s="2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1"/>
      <c r="B3" s="21"/>
      <c r="C3" s="13"/>
      <c r="D3" s="432"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3"/>
      <c r="F3" s="13"/>
      <c r="G3" s="13"/>
      <c r="H3" s="13"/>
      <c r="I3" s="13"/>
      <c r="J3" s="13"/>
      <c r="K3" s="13"/>
      <c r="L3" s="13"/>
      <c r="M3" s="13"/>
      <c r="N3" s="13"/>
      <c r="O3" s="13"/>
      <c r="P3" s="13"/>
      <c r="Q3" s="13"/>
      <c r="R3" s="13"/>
      <c r="S3" s="13"/>
      <c r="T3" s="13"/>
      <c r="U3" s="2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1"/>
      <c r="B4" s="21"/>
      <c r="C4" s="13"/>
      <c r="D4" s="432" t="str">
        <f>"2) "&amp;Idiomas!D495</f>
        <v>2) Para que calcule bien las estadísticas, en la hoja ADMIN selecciona el nº de participantes que sois exactamente, si no algunas estádísticas pueden ser incorrectas</v>
      </c>
      <c r="E4" s="13"/>
      <c r="F4" s="13"/>
      <c r="G4" s="13"/>
      <c r="H4" s="13"/>
      <c r="I4" s="13"/>
      <c r="J4" s="13"/>
      <c r="K4" s="13"/>
      <c r="L4" s="13"/>
      <c r="M4" s="13"/>
      <c r="N4" s="13"/>
      <c r="O4" s="13"/>
      <c r="P4" s="13"/>
      <c r="Q4" s="13"/>
      <c r="R4" s="13"/>
      <c r="S4" s="13"/>
      <c r="T4" s="13"/>
      <c r="U4" s="2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1"/>
      <c r="B5" s="21"/>
      <c r="C5" s="13"/>
      <c r="D5" s="456" t="str">
        <f>Idiomas!D496</f>
        <v>Dia seleccionado en "Daily Prediction"</v>
      </c>
      <c r="E5" s="740">
        <f>DailyPrediction!H1</f>
        <v>46186</v>
      </c>
      <c r="F5" s="391">
        <f ca="1">VLOOKUP($E$5,Equipos!$Q$2:$R$37,2,0)</f>
        <v>3</v>
      </c>
      <c r="G5" s="13"/>
      <c r="H5" s="455" t="str">
        <f>Idiomas!D501</f>
        <v>Selecciona un partido de hoy:↗</v>
      </c>
      <c r="I5" s="430" t="s">
        <v>1930</v>
      </c>
      <c r="J5" s="13"/>
      <c r="K5" s="13"/>
      <c r="L5" s="865">
        <f>SUM(WORLDCUP!AG4:AG147)/104</f>
        <v>1.9230769230769232E-2</v>
      </c>
      <c r="M5" s="866"/>
      <c r="N5" s="866"/>
      <c r="O5" s="866"/>
      <c r="P5" s="866"/>
      <c r="Q5" s="866"/>
      <c r="R5" s="866"/>
      <c r="S5" s="866"/>
      <c r="T5" s="867"/>
      <c r="U5" s="21"/>
      <c r="V5" s="11">
        <f>ADMIN!$D$5</f>
        <v>40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1"/>
      <c r="B6" s="21"/>
      <c r="C6" s="13"/>
      <c r="D6" s="13"/>
      <c r="E6" s="13"/>
      <c r="F6" s="13"/>
      <c r="G6" s="13"/>
      <c r="H6" s="432" t="str">
        <f>Idiomas!D502</f>
        <v>(No cuentan los resultados no predichos)*</v>
      </c>
      <c r="I6" s="13"/>
      <c r="J6" s="13"/>
      <c r="K6" s="21"/>
      <c r="L6" s="13"/>
      <c r="M6" s="13"/>
      <c r="N6" s="13"/>
      <c r="O6" s="13"/>
      <c r="P6" s="13"/>
      <c r="Q6" s="13"/>
      <c r="R6" s="13"/>
      <c r="S6" s="13"/>
      <c r="T6" s="13"/>
      <c r="U6" s="2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1"/>
      <c r="B7" s="21"/>
      <c r="C7" s="13"/>
      <c r="D7" s="118" t="s">
        <v>1927</v>
      </c>
      <c r="E7" s="119" t="str">
        <f>Idiomas!D497</f>
        <v>Puntos</v>
      </c>
      <c r="F7" s="120" t="s">
        <v>1706</v>
      </c>
      <c r="G7" s="13"/>
      <c r="H7" s="118" t="str">
        <f>Idiomas!D499</f>
        <v>Resultado</v>
      </c>
      <c r="I7" s="119" t="str">
        <f>Idiomas!D500</f>
        <v>Nº de veces</v>
      </c>
      <c r="J7" s="681" t="s">
        <v>1720</v>
      </c>
      <c r="K7" s="21"/>
      <c r="L7" s="124"/>
      <c r="M7" s="440" t="str">
        <f>Idiomas!D344</f>
        <v>Fase de grupos</v>
      </c>
      <c r="N7" s="441" t="s">
        <v>1776</v>
      </c>
      <c r="O7" s="442" t="s">
        <v>1775</v>
      </c>
      <c r="P7" s="443" t="s">
        <v>1777</v>
      </c>
      <c r="Q7" s="444" t="s">
        <v>1778</v>
      </c>
      <c r="R7" s="445" t="str">
        <f>Idiomas!D337</f>
        <v>3º puesto</v>
      </c>
      <c r="S7" s="446" t="str">
        <f>Idiomas!D336</f>
        <v>Subcampeón</v>
      </c>
      <c r="T7" s="447" t="str">
        <f>Idiomas!D335</f>
        <v>Campeón</v>
      </c>
      <c r="U7" s="2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1"/>
      <c r="B8" s="21"/>
      <c r="C8" s="13"/>
      <c r="D8" s="433" t="str">
        <f>Idiomas!D484&amp;TEXT($E$5,"dd/mm/aa")&amp;" (Individual)"</f>
        <v>Puntos en juego 13/06/26 (Individual)</v>
      </c>
      <c r="E8" s="434">
        <f ca="1">IFERROR(SUMIF(ADMIN!$G$6:$G$258,$F$5,ADMIN!$F$6:$F$258),"")</f>
        <v>34</v>
      </c>
      <c r="F8" s="435">
        <f ca="1">IFERROR(E8/$B$46,0)</f>
        <v>1.3923013923013924E-2</v>
      </c>
      <c r="G8" s="13"/>
      <c r="H8" s="433" t="e" cm="1">
        <f t="array" aca="1" ref="H8:I8" ca="1">_xlfn.SORTBY(OFFSET($Y$35,0,0,COUNTA(_xlfn.ANCHORARRAY($Y$35)),2),OFFSET(Z35,0,0,COUNTA(_xlfn.ANCHORARRAY($Y$35))),-1)</f>
        <v>#NAME?</v>
      </c>
      <c r="I8" s="682" t="e">
        <f ca="1"/>
        <v>#NAME?</v>
      </c>
      <c r="J8" s="683"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391"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21" t="str">
        <f ca="1">Horarios!Q3</f>
        <v>Alemania</v>
      </c>
      <c r="M8" s="448">
        <f ca="1">ADMIN!$D$5-SUM(N8:T8)</f>
        <v>22</v>
      </c>
      <c r="N8" s="448">
        <f ca="1">IFERROR(COUNTIF(ADMIN!$S$130:INDEX(ADMIN!$S$130:$JE$161,32,ADMIN!$D$5*3-1),Stats!$L8)-SUM(O8:T8),0)</f>
        <v>0</v>
      </c>
      <c r="O8" s="448">
        <f ca="1">COUNTIF(ADMIN!$S$182:INDEX(ADMIN!$S$182:$JE$197,16,ADMIN!$D$5*3-1),Stats!$L8)-SUM(P8:T8)</f>
        <v>13</v>
      </c>
      <c r="P8" s="448">
        <f ca="1">COUNTIF(ADMIN!$S$210:INDEX(ADMIN!$S$210:$JE$217,8,ADMIN!$D$5*3-1),Stats!$L8)-SUM(Q8:T8)</f>
        <v>2</v>
      </c>
      <c r="Q8" s="448">
        <f ca="1">COUNTIF(ADMIN!$S$226:INDEX(ADMIN!$S$226:$JE$229,4,ADMIN!$D$5*3-1),Stats!$L8)-SUM(R8:T8)</f>
        <v>1</v>
      </c>
      <c r="R8" s="448">
        <f ca="1">IFERROR(COUNTIF(ADMIN!$S$252:INDEX(ADMIN!$S$252:$JE$252,1,ADMIN!$D$5*3-1),Stats!$L8),0)</f>
        <v>1</v>
      </c>
      <c r="S8" s="448">
        <f ca="1">IFERROR(COUNTIF(ADMIN!$S$251:INDEX(ADMIN!$S$251:$JE$251,1,ADMIN!$D$5*3-1),Stats!$L8),0)</f>
        <v>1</v>
      </c>
      <c r="T8" s="449">
        <f ca="1">IFERROR(COUNTIF(ADMIN!$S$250:INDEX(ADMIN!$S$250:$JE$250,1,ADMIN!$D$5*3-1),Stats!$L8),0)</f>
        <v>0</v>
      </c>
      <c r="U8" s="21"/>
      <c r="V8" s="11">
        <f t="shared" ref="V8:V55" ca="1" si="0">SUM(M8:T8)</f>
        <v>40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1"/>
      <c r="B9" s="21"/>
      <c r="C9" s="13"/>
      <c r="D9" s="436" t="str">
        <f>Idiomas!D485&amp;TEXT($E$5,"dd/mm/aa")&amp;" (Individual)"</f>
        <v>Máximo de puntos hasta 13/06/26 (Individual)</v>
      </c>
      <c r="E9" s="434">
        <f ca="1">IFERROR(SUMIF($A$22:$A$45,"&lt;"&amp;$F$5,$B$22:$B$45),"")</f>
        <v>51</v>
      </c>
      <c r="F9" s="435">
        <f ca="1">IFERROR(E9/$B$46,0)</f>
        <v>2.0884520884520884E-2</v>
      </c>
      <c r="G9" s="13"/>
      <c r="H9" s="436"/>
      <c r="I9" s="682"/>
      <c r="J9" s="683"/>
      <c r="K9" s="391"/>
      <c r="L9" s="122" t="str">
        <f ca="1">Horarios!Q4</f>
        <v>Arabia Saudita</v>
      </c>
      <c r="M9" s="450">
        <f ca="1">ADMIN!$D$5-SUM(N9:T9)</f>
        <v>32</v>
      </c>
      <c r="N9" s="450">
        <f ca="1">IFERROR(COUNTIF(ADMIN!$S$130:INDEX(ADMIN!$S$130:$JE$161,32,ADMIN!$D$5*3-1),Stats!$L9)-SUM(O9:T9),0)</f>
        <v>8</v>
      </c>
      <c r="O9" s="450">
        <f ca="1">COUNTIF(ADMIN!$S$182:INDEX(ADMIN!$S$182:$JE$197,16,ADMIN!$D$5*3-1),Stats!$L9)-SUM(P9:T9)</f>
        <v>0</v>
      </c>
      <c r="P9" s="450">
        <f ca="1">COUNTIF(ADMIN!$S$210:INDEX(ADMIN!$S$210:$JE$217,8,ADMIN!$D$5*3-1),Stats!$L9)-SUM(Q9:T9)</f>
        <v>0</v>
      </c>
      <c r="Q9" s="450">
        <f ca="1">COUNTIF(ADMIN!$S$226:INDEX(ADMIN!$S$226:$JE$229,4,ADMIN!$D$5*3-1),Stats!$L9)-SUM(R9:T9)</f>
        <v>0</v>
      </c>
      <c r="R9" s="450">
        <f ca="1">IFERROR(COUNTIF(ADMIN!$S$252:INDEX(ADMIN!$S$252:$JE$252,1,ADMIN!$D$5*3-1),Stats!$L9),0)</f>
        <v>0</v>
      </c>
      <c r="S9" s="450">
        <f ca="1">IFERROR(COUNTIF(ADMIN!$S$251:INDEX(ADMIN!$S$251:$JE$251,1,ADMIN!$D$5*3-1),Stats!$L9),0)</f>
        <v>0</v>
      </c>
      <c r="T9" s="451">
        <f ca="1">IFERROR(COUNTIF(ADMIN!$S$250:INDEX(ADMIN!$S$250:$JE$250,1,ADMIN!$D$5*3-1),Stats!$L9),0)</f>
        <v>0</v>
      </c>
      <c r="U9" s="21"/>
      <c r="V9" s="11">
        <f t="shared" ca="1" si="0"/>
        <v>40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1"/>
      <c r="B10" s="21"/>
      <c r="C10" s="13"/>
      <c r="D10" s="433" t="str">
        <f>Idiomas!D486&amp;TEXT($E$5,"dd/mm/aa")&amp;" (Individual)"</f>
        <v>Máximo de puntos incluido 13/06/26 (Individual)</v>
      </c>
      <c r="E10" s="434">
        <f ca="1">IFERROR(SUMIF($A$22:$A$45,"&lt;="&amp;$F$5,$B$22:$B$45),"")</f>
        <v>85</v>
      </c>
      <c r="F10" s="435">
        <f ca="1">IFERROR(E10/$B$46,0)</f>
        <v>3.4807534807534811E-2</v>
      </c>
      <c r="G10" s="13"/>
      <c r="H10" s="433"/>
      <c r="I10" s="682"/>
      <c r="J10" s="683"/>
      <c r="K10" s="391"/>
      <c r="L10" s="123" t="str">
        <f ca="1">Horarios!Q5</f>
        <v>Argelia</v>
      </c>
      <c r="M10" s="448">
        <f ca="1">ADMIN!$D$5-SUM(N10:T10)</f>
        <v>29</v>
      </c>
      <c r="N10" s="448">
        <f ca="1">IFERROR(COUNTIF(ADMIN!$S$130:INDEX(ADMIN!$S$130:$JE$161,32,ADMIN!$D$5*3-1),Stats!$L10)-SUM(O10:T10),0)</f>
        <v>9</v>
      </c>
      <c r="O10" s="448">
        <f ca="1">COUNTIF(ADMIN!$S$182:INDEX(ADMIN!$S$182:$JE$197,16,ADMIN!$D$5*3-1),Stats!$L10)-SUM(P10:T10)</f>
        <v>2</v>
      </c>
      <c r="P10" s="448">
        <f ca="1">COUNTIF(ADMIN!$S$210:INDEX(ADMIN!$S$210:$JE$217,8,ADMIN!$D$5*3-1),Stats!$L10)-SUM(Q10:T10)</f>
        <v>0</v>
      </c>
      <c r="Q10" s="448">
        <f ca="1">COUNTIF(ADMIN!$S$226:INDEX(ADMIN!$S$226:$JE$229,4,ADMIN!$D$5*3-1),Stats!$L10)-SUM(R10:T10)</f>
        <v>0</v>
      </c>
      <c r="R10" s="448">
        <f ca="1">IFERROR(COUNTIF(ADMIN!$S$252:INDEX(ADMIN!$S$252:$JE$252,1,ADMIN!$D$5*3-1),Stats!$L10),0)</f>
        <v>0</v>
      </c>
      <c r="S10" s="448">
        <f ca="1">IFERROR(COUNTIF(ADMIN!$S$251:INDEX(ADMIN!$S$251:$JE$251,1,ADMIN!$D$5*3-1),Stats!$L10),0)</f>
        <v>0</v>
      </c>
      <c r="T10" s="449">
        <f ca="1">IFERROR(COUNTIF(ADMIN!$S$250:INDEX(ADMIN!$S$250:$JE$250,1,ADMIN!$D$5*3-1),Stats!$L10),0)</f>
        <v>0</v>
      </c>
      <c r="U10" s="21"/>
      <c r="V10" s="11">
        <f t="shared" ca="1" si="0"/>
        <v>40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1"/>
      <c r="B11" s="21"/>
      <c r="C11" s="13"/>
      <c r="D11" s="436" t="str">
        <f>Idiomas!D487&amp;" (Individual)"</f>
        <v>Quedan por repartir:  (Individual)</v>
      </c>
      <c r="E11" s="434">
        <f ca="1">IFERROR(SUMIF($A$22:$A$45,"&gt;"&amp;$F$5,$B$22:$B$45),0)</f>
        <v>2357</v>
      </c>
      <c r="F11" s="435">
        <f ca="1">IFERROR(1-F10,0)</f>
        <v>0.96519246519246515</v>
      </c>
      <c r="G11" s="13"/>
      <c r="H11" s="436"/>
      <c r="I11" s="682"/>
      <c r="J11" s="683"/>
      <c r="K11" s="391"/>
      <c r="L11" s="122" t="str">
        <f ca="1">Horarios!Q6</f>
        <v>Argentina</v>
      </c>
      <c r="M11" s="450">
        <f ca="1">ADMIN!$D$5-SUM(N11:T11)</f>
        <v>22</v>
      </c>
      <c r="N11" s="450">
        <f ca="1">IFERROR(COUNTIF(ADMIN!$S$130:INDEX(ADMIN!$S$130:$JE$161,32,ADMIN!$D$5*3-1),Stats!$L11)-SUM(O11:T11),0)</f>
        <v>4</v>
      </c>
      <c r="O11" s="450">
        <f ca="1">COUNTIF(ADMIN!$S$182:INDEX(ADMIN!$S$182:$JE$197,16,ADMIN!$D$5*3-1),Stats!$L11)-SUM(P11:T11)</f>
        <v>0</v>
      </c>
      <c r="P11" s="450">
        <f ca="1">COUNTIF(ADMIN!$S$210:INDEX(ADMIN!$S$210:$JE$217,8,ADMIN!$D$5*3-1),Stats!$L11)-SUM(Q11:T11)</f>
        <v>6</v>
      </c>
      <c r="Q11" s="450">
        <f ca="1">COUNTIF(ADMIN!$S$226:INDEX(ADMIN!$S$226:$JE$229,4,ADMIN!$D$5*3-1),Stats!$L11)-SUM(R11:T11)</f>
        <v>3</v>
      </c>
      <c r="R11" s="450">
        <f ca="1">IFERROR(COUNTIF(ADMIN!$S$252:INDEX(ADMIN!$S$252:$JE$252,1,ADMIN!$D$5*3-1),Stats!$L11),0)</f>
        <v>0</v>
      </c>
      <c r="S11" s="450">
        <f ca="1">IFERROR(COUNTIF(ADMIN!$S$251:INDEX(ADMIN!$S$251:$JE$251,1,ADMIN!$D$5*3-1),Stats!$L11),0)</f>
        <v>4</v>
      </c>
      <c r="T11" s="451">
        <f ca="1">IFERROR(COUNTIF(ADMIN!$S$250:INDEX(ADMIN!$S$250:$JE$250,1,ADMIN!$D$5*3-1),Stats!$L11),0)</f>
        <v>1</v>
      </c>
      <c r="U11" s="21"/>
      <c r="V11" s="11">
        <f t="shared" ca="1" si="0"/>
        <v>40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1"/>
      <c r="B12" s="21"/>
      <c r="C12" s="13"/>
      <c r="D12" s="433" t="str">
        <f>Idiomas!D488</f>
        <v>Puntos máximos totales a repartir hoy (Global):</v>
      </c>
      <c r="E12" s="434">
        <f ca="1">IFERROR($E$8*ADMIN!$D$5,0)</f>
        <v>1360</v>
      </c>
      <c r="F12" s="435">
        <f ca="1">IFERROR(E12/B47,0)</f>
        <v>1.3923013923013924E-2</v>
      </c>
      <c r="G12" s="13"/>
      <c r="H12" s="433"/>
      <c r="I12" s="682"/>
      <c r="J12" s="683"/>
      <c r="K12" s="391"/>
      <c r="L12" s="123" t="str">
        <f ca="1">Horarios!Q7</f>
        <v>Australia</v>
      </c>
      <c r="M12" s="448">
        <f ca="1">ADMIN!$D$5-SUM(N12:T12)</f>
        <v>39</v>
      </c>
      <c r="N12" s="448">
        <f ca="1">IFERROR(COUNTIF(ADMIN!$S$130:INDEX(ADMIN!$S$130:$JE$161,32,ADMIN!$D$5*3-1),Stats!$L12)-SUM(O12:T12),0)</f>
        <v>1</v>
      </c>
      <c r="O12" s="448">
        <f ca="1">COUNTIF(ADMIN!$S$182:INDEX(ADMIN!$S$182:$JE$197,16,ADMIN!$D$5*3-1),Stats!$L12)-SUM(P12:T12)</f>
        <v>0</v>
      </c>
      <c r="P12" s="448">
        <f ca="1">COUNTIF(ADMIN!$S$210:INDEX(ADMIN!$S$210:$JE$217,8,ADMIN!$D$5*3-1),Stats!$L12)-SUM(Q12:T12)</f>
        <v>0</v>
      </c>
      <c r="Q12" s="448">
        <f ca="1">COUNTIF(ADMIN!$S$226:INDEX(ADMIN!$S$226:$JE$229,4,ADMIN!$D$5*3-1),Stats!$L12)-SUM(R12:T12)</f>
        <v>0</v>
      </c>
      <c r="R12" s="448">
        <f ca="1">IFERROR(COUNTIF(ADMIN!$S$252:INDEX(ADMIN!$S$252:$JE$252,1,ADMIN!$D$5*3-1),Stats!$L12),0)</f>
        <v>0</v>
      </c>
      <c r="S12" s="448">
        <f ca="1">IFERROR(COUNTIF(ADMIN!$S$251:INDEX(ADMIN!$S$251:$JE$251,1,ADMIN!$D$5*3-1),Stats!$L12),0)</f>
        <v>0</v>
      </c>
      <c r="T12" s="449">
        <f ca="1">IFERROR(COUNTIF(ADMIN!$S$250:INDEX(ADMIN!$S$250:$JE$250,1,ADMIN!$D$5*3-1),Stats!$L12),0)</f>
        <v>0</v>
      </c>
      <c r="U12" s="21"/>
      <c r="V12" s="11">
        <f t="shared" ca="1" si="0"/>
        <v>40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1"/>
      <c r="B13" s="21"/>
      <c r="C13" s="13"/>
      <c r="D13" s="436" t="str">
        <f>Idiomas!D489</f>
        <v>Puntos repartidos hoy (Global)</v>
      </c>
      <c r="E13" s="434">
        <f ca="1">IFERROR(SUM(DailyClas!$G$4:INDEX(DailyClas!$G$4:$G$63,ADMIN!$D$5)),0)</f>
        <v>0</v>
      </c>
      <c r="F13" s="435">
        <f ca="1">IFERROR(E13/E12,0)</f>
        <v>0</v>
      </c>
      <c r="G13" s="13"/>
      <c r="H13" s="436"/>
      <c r="I13" s="682"/>
      <c r="J13" s="683"/>
      <c r="K13" s="391"/>
      <c r="L13" s="122" t="str">
        <f ca="1">Horarios!Q8</f>
        <v>Austria</v>
      </c>
      <c r="M13" s="450">
        <f ca="1">ADMIN!$D$5-SUM(N13:T13)</f>
        <v>22</v>
      </c>
      <c r="N13" s="450">
        <f ca="1">IFERROR(COUNTIF(ADMIN!$S$130:INDEX(ADMIN!$S$130:$JE$161,32,ADMIN!$D$5*3-1),Stats!$L13)-SUM(O13:T13),0)</f>
        <v>17</v>
      </c>
      <c r="O13" s="450">
        <f ca="1">COUNTIF(ADMIN!$S$182:INDEX(ADMIN!$S$182:$JE$197,16,ADMIN!$D$5*3-1),Stats!$L13)-SUM(P13:T13)</f>
        <v>0</v>
      </c>
      <c r="P13" s="450">
        <f ca="1">COUNTIF(ADMIN!$S$210:INDEX(ADMIN!$S$210:$JE$217,8,ADMIN!$D$5*3-1),Stats!$L13)-SUM(Q13:T13)</f>
        <v>1</v>
      </c>
      <c r="Q13" s="450">
        <f ca="1">COUNTIF(ADMIN!$S$226:INDEX(ADMIN!$S$226:$JE$229,4,ADMIN!$D$5*3-1),Stats!$L13)-SUM(R13:T13)</f>
        <v>0</v>
      </c>
      <c r="R13" s="450">
        <f ca="1">IFERROR(COUNTIF(ADMIN!$S$252:INDEX(ADMIN!$S$252:$JE$252,1,ADMIN!$D$5*3-1),Stats!$L13),0)</f>
        <v>0</v>
      </c>
      <c r="S13" s="450">
        <f ca="1">IFERROR(COUNTIF(ADMIN!$S$251:INDEX(ADMIN!$S$251:$JE$251,1,ADMIN!$D$5*3-1),Stats!$L13),0)</f>
        <v>0</v>
      </c>
      <c r="T13" s="451">
        <f ca="1">IFERROR(COUNTIF(ADMIN!$S$250:INDEX(ADMIN!$S$250:$JE$250,1,ADMIN!$D$5*3-1),Stats!$L13),0)</f>
        <v>0</v>
      </c>
      <c r="U13" s="21"/>
      <c r="V13" s="11">
        <f t="shared" ca="1" si="0"/>
        <v>40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1"/>
      <c r="B14" s="21"/>
      <c r="C14" s="13"/>
      <c r="D14" s="433" t="str">
        <f>Idiomas!D490&amp;TEXT($E$5,"dd/mm/aa")&amp;"?"</f>
        <v>¿Cúantos han acertado el máximo de puntos 13/06/26?</v>
      </c>
      <c r="E14" s="434">
        <f ca="1">IFERROR(IF(SUM(ADMIN!$D$8:$D$47)=0,0,COUNTIF(DailyClas!$G$4:INDEX(DailyClas!$G:$G,ADMIN!$D$5+3),Stats!E8)),0)</f>
        <v>0</v>
      </c>
      <c r="F14" s="435">
        <f ca="1">IFERROR(E14/ADMIN!$D$5,0)</f>
        <v>0</v>
      </c>
      <c r="G14" s="13"/>
      <c r="H14" s="433"/>
      <c r="I14" s="682"/>
      <c r="J14" s="683"/>
      <c r="K14" s="391"/>
      <c r="L14" s="123" t="str">
        <f ca="1">Horarios!Q9</f>
        <v>Bélgica</v>
      </c>
      <c r="M14" s="448">
        <f ca="1">ADMIN!$D$5-SUM(N14:T14)</f>
        <v>22</v>
      </c>
      <c r="N14" s="448">
        <f ca="1">IFERROR(COUNTIF(ADMIN!$S$130:INDEX(ADMIN!$S$130:$JE$161,32,ADMIN!$D$5*3-1),Stats!$L14)-SUM(O14:T14),0)</f>
        <v>0</v>
      </c>
      <c r="O14" s="448">
        <f ca="1">COUNTIF(ADMIN!$S$182:INDEX(ADMIN!$S$182:$JE$197,16,ADMIN!$D$5*3-1),Stats!$L14)-SUM(P14:T14)</f>
        <v>3</v>
      </c>
      <c r="P14" s="448">
        <f ca="1">COUNTIF(ADMIN!$S$210:INDEX(ADMIN!$S$210:$JE$217,8,ADMIN!$D$5*3-1),Stats!$L14)-SUM(Q14:T14)</f>
        <v>14</v>
      </c>
      <c r="Q14" s="448">
        <f ca="1">COUNTIF(ADMIN!$S$226:INDEX(ADMIN!$S$226:$JE$229,4,ADMIN!$D$5*3-1),Stats!$L14)-SUM(R14:T14)</f>
        <v>0</v>
      </c>
      <c r="R14" s="448">
        <f ca="1">IFERROR(COUNTIF(ADMIN!$S$252:INDEX(ADMIN!$S$252:$JE$252,1,ADMIN!$D$5*3-1),Stats!$L14),0)</f>
        <v>1</v>
      </c>
      <c r="S14" s="448">
        <f ca="1">IFERROR(COUNTIF(ADMIN!$S$251:INDEX(ADMIN!$S$251:$JE$251,1,ADMIN!$D$5*3-1),Stats!$L14),0)</f>
        <v>0</v>
      </c>
      <c r="T14" s="449">
        <f ca="1">IFERROR(COUNTIF(ADMIN!$S$250:INDEX(ADMIN!$S$250:$JE$250,1,ADMIN!$D$5*3-1),Stats!$L14),0)</f>
        <v>0</v>
      </c>
      <c r="U14" s="21"/>
      <c r="V14" s="11">
        <f t="shared" ca="1" si="0"/>
        <v>40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1"/>
      <c r="B15" s="21"/>
      <c r="C15" s="13"/>
      <c r="D15" s="436" t="str">
        <f>Idiomas!D491&amp;TEXT($E$5,"dd/mm/aa")&amp;"?"</f>
        <v>¿Cúantos se han llevado algún punto 13/06/26?</v>
      </c>
      <c r="E15" s="434">
        <f ca="1">IFERROR(COUNTIF(DailyClas!$G$4:INDEX(DailyClas!$G$4:$G$63,ADMIN!$D$5),"&gt;0"),0)</f>
        <v>0</v>
      </c>
      <c r="F15" s="435">
        <f ca="1">IFERROR(E15/ADMIN!$D$5,0)</f>
        <v>0</v>
      </c>
      <c r="G15" s="13"/>
      <c r="H15" s="436"/>
      <c r="I15" s="682"/>
      <c r="J15" s="683"/>
      <c r="K15" s="391"/>
      <c r="L15" s="122" t="str">
        <f ca="1">Horarios!Q10</f>
        <v>Bosnia y Herzegovina</v>
      </c>
      <c r="M15" s="450">
        <f ca="1">ADMIN!$D$5-SUM(N15:T15)</f>
        <v>27</v>
      </c>
      <c r="N15" s="450">
        <f ca="1">IFERROR(COUNTIF(ADMIN!$S$130:INDEX(ADMIN!$S$130:$JE$161,32,ADMIN!$D$5*3-1),Stats!$L15)-SUM(O15:T15),0)</f>
        <v>10</v>
      </c>
      <c r="O15" s="450">
        <f ca="1">COUNTIF(ADMIN!$S$182:INDEX(ADMIN!$S$182:$JE$197,16,ADMIN!$D$5*3-1),Stats!$L15)-SUM(P15:T15)</f>
        <v>3</v>
      </c>
      <c r="P15" s="450">
        <f ca="1">COUNTIF(ADMIN!$S$210:INDEX(ADMIN!$S$210:$JE$217,8,ADMIN!$D$5*3-1),Stats!$L15)-SUM(Q15:T15)</f>
        <v>0</v>
      </c>
      <c r="Q15" s="450">
        <f ca="1">COUNTIF(ADMIN!$S$226:INDEX(ADMIN!$S$226:$JE$229,4,ADMIN!$D$5*3-1),Stats!$L15)-SUM(R15:T15)</f>
        <v>0</v>
      </c>
      <c r="R15" s="450">
        <f ca="1">IFERROR(COUNTIF(ADMIN!$S$252:INDEX(ADMIN!$S$252:$JE$252,1,ADMIN!$D$5*3-1),Stats!$L15),0)</f>
        <v>0</v>
      </c>
      <c r="S15" s="450">
        <f ca="1">IFERROR(COUNTIF(ADMIN!$S$251:INDEX(ADMIN!$S$251:$JE$251,1,ADMIN!$D$5*3-1),Stats!$L15),0)</f>
        <v>0</v>
      </c>
      <c r="T15" s="451">
        <f ca="1">IFERROR(COUNTIF(ADMIN!$S$250:INDEX(ADMIN!$S$250:$JE$250,1,ADMIN!$D$5*3-1),Stats!$L15),0)</f>
        <v>0</v>
      </c>
      <c r="U15" s="21"/>
      <c r="V15" s="11">
        <f t="shared" ca="1" si="0"/>
        <v>40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1"/>
      <c r="B16" s="21"/>
      <c r="C16" s="13"/>
      <c r="D16" s="433" t="str">
        <f>Idiomas!D492&amp;TEXT($E$5,"dd/mm/aa")&amp;"?"</f>
        <v>¿Cúantos no han acertado nada 13/06/26?</v>
      </c>
      <c r="E16" s="434">
        <f ca="1">IFERROR(IF(SUM(ADMIN!$D$8:$D$47)=0,0,COUNTIF(DailyClas!$G$4:INDEX(DailyClas!$G$4:$G$63,ADMIN!$D$5),0)),0)</f>
        <v>40</v>
      </c>
      <c r="F16" s="435">
        <f ca="1">IFERROR(E16/ADMIN!$D$5,0)</f>
        <v>1</v>
      </c>
      <c r="G16" s="13"/>
      <c r="H16" s="433"/>
      <c r="I16" s="682"/>
      <c r="J16" s="683"/>
      <c r="K16" s="391"/>
      <c r="L16" s="123" t="str">
        <f ca="1">Horarios!Q11</f>
        <v>Brasil</v>
      </c>
      <c r="M16" s="448">
        <f ca="1">ADMIN!$D$5-SUM(N16:T16)</f>
        <v>22</v>
      </c>
      <c r="N16" s="448">
        <f ca="1">IFERROR(COUNTIF(ADMIN!$S$130:INDEX(ADMIN!$S$130:$JE$161,32,ADMIN!$D$5*3-1),Stats!$L16)-SUM(O16:T16),0)</f>
        <v>2</v>
      </c>
      <c r="O16" s="448">
        <f ca="1">COUNTIF(ADMIN!$S$182:INDEX(ADMIN!$S$182:$JE$197,16,ADMIN!$D$5*3-1),Stats!$L16)-SUM(P16:T16)</f>
        <v>0</v>
      </c>
      <c r="P16" s="448">
        <f ca="1">COUNTIF(ADMIN!$S$210:INDEX(ADMIN!$S$210:$JE$217,8,ADMIN!$D$5*3-1),Stats!$L16)-SUM(Q16:T16)</f>
        <v>5</v>
      </c>
      <c r="Q16" s="448">
        <f ca="1">COUNTIF(ADMIN!$S$226:INDEX(ADMIN!$S$226:$JE$229,4,ADMIN!$D$5*3-1),Stats!$L16)-SUM(R16:T16)</f>
        <v>4</v>
      </c>
      <c r="R16" s="448">
        <f ca="1">IFERROR(COUNTIF(ADMIN!$S$252:INDEX(ADMIN!$S$252:$JE$252,1,ADMIN!$D$5*3-1),Stats!$L16),0)</f>
        <v>3</v>
      </c>
      <c r="S16" s="448">
        <f ca="1">IFERROR(COUNTIF(ADMIN!$S$251:INDEX(ADMIN!$S$251:$JE$251,1,ADMIN!$D$5*3-1),Stats!$L16),0)</f>
        <v>2</v>
      </c>
      <c r="T16" s="449">
        <f ca="1">IFERROR(COUNTIF(ADMIN!$S$250:INDEX(ADMIN!$S$250:$JE$250,1,ADMIN!$D$5*3-1),Stats!$L16),0)</f>
        <v>2</v>
      </c>
      <c r="U16" s="21"/>
      <c r="V16" s="11">
        <f t="shared" ca="1" si="0"/>
        <v>40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1"/>
      <c r="B17" s="21"/>
      <c r="C17" s="13"/>
      <c r="D17" s="437" t="str">
        <f>Idiomas!D493&amp;TEXT($E$5,"dd/mm/aa")&amp;"?"</f>
        <v>Media de puntos sumados 13/06/26?</v>
      </c>
      <c r="E17" s="438">
        <f ca="1">IFERROR(AVERAGE(DailyClas!$G$4:INDEX(DailyClas!$G$4:$G$63,ADMIN!$D$5)),0)</f>
        <v>0</v>
      </c>
      <c r="F17" s="439"/>
      <c r="G17" s="13"/>
      <c r="H17" s="436"/>
      <c r="I17" s="682"/>
      <c r="J17" s="684"/>
      <c r="K17" s="391"/>
      <c r="L17" s="122" t="str">
        <f ca="1">Horarios!Q12</f>
        <v>Cabo Verde</v>
      </c>
      <c r="M17" s="450">
        <f ca="1">ADMIN!$D$5-SUM(N17:T17)</f>
        <v>39</v>
      </c>
      <c r="N17" s="450">
        <f ca="1">IFERROR(COUNTIF(ADMIN!$S$130:INDEX(ADMIN!$S$130:$JE$161,32,ADMIN!$D$5*3-1),Stats!$L17)-SUM(O17:T17),0)</f>
        <v>1</v>
      </c>
      <c r="O17" s="450">
        <f ca="1">COUNTIF(ADMIN!$S$182:INDEX(ADMIN!$S$182:$JE$197,16,ADMIN!$D$5*3-1),Stats!$L17)-SUM(P17:T17)</f>
        <v>0</v>
      </c>
      <c r="P17" s="450">
        <f ca="1">COUNTIF(ADMIN!$S$210:INDEX(ADMIN!$S$210:$JE$217,8,ADMIN!$D$5*3-1),Stats!$L17)-SUM(Q17:T17)</f>
        <v>0</v>
      </c>
      <c r="Q17" s="450">
        <f ca="1">COUNTIF(ADMIN!$S$226:INDEX(ADMIN!$S$226:$JE$229,4,ADMIN!$D$5*3-1),Stats!$L17)-SUM(R17:T17)</f>
        <v>0</v>
      </c>
      <c r="R17" s="450">
        <f ca="1">IFERROR(COUNTIF(ADMIN!$S$252:INDEX(ADMIN!$S$252:$JE$252,1,ADMIN!$D$5*3-1),Stats!$L17),0)</f>
        <v>0</v>
      </c>
      <c r="S17" s="450">
        <f ca="1">IFERROR(COUNTIF(ADMIN!$S$251:INDEX(ADMIN!$S$251:$JE$251,1,ADMIN!$D$5*3-1),Stats!$L17),0)</f>
        <v>0</v>
      </c>
      <c r="T17" s="451">
        <f ca="1">IFERROR(COUNTIF(ADMIN!$S$250:INDEX(ADMIN!$S$250:$JE$250,1,ADMIN!$D$5*3-1),Stats!$L17),0)</f>
        <v>0</v>
      </c>
      <c r="U17" s="21"/>
      <c r="V17" s="11">
        <f t="shared" ca="1" si="0"/>
        <v>40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1"/>
      <c r="B18" s="21"/>
      <c r="C18" s="13"/>
      <c r="D18" s="13"/>
      <c r="E18" s="13"/>
      <c r="F18" s="13"/>
      <c r="G18" s="13"/>
      <c r="H18" s="742"/>
      <c r="I18" s="743"/>
      <c r="J18" s="391"/>
      <c r="K18" s="391"/>
      <c r="L18" s="123" t="str">
        <f ca="1">Horarios!Q13</f>
        <v>Canadá</v>
      </c>
      <c r="M18" s="448">
        <f ca="1">ADMIN!$D$5-SUM(N18:T18)</f>
        <v>22</v>
      </c>
      <c r="N18" s="448">
        <f ca="1">IFERROR(COUNTIF(ADMIN!$S$130:INDEX(ADMIN!$S$130:$JE$161,32,ADMIN!$D$5*3-1),Stats!$L18)-SUM(O18:T18),0)</f>
        <v>10</v>
      </c>
      <c r="O18" s="448">
        <f ca="1">COUNTIF(ADMIN!$S$182:INDEX(ADMIN!$S$182:$JE$197,16,ADMIN!$D$5*3-1),Stats!$L18)-SUM(P18:T18)</f>
        <v>8</v>
      </c>
      <c r="P18" s="448">
        <f ca="1">COUNTIF(ADMIN!$S$210:INDEX(ADMIN!$S$210:$JE$217,8,ADMIN!$D$5*3-1),Stats!$L18)-SUM(Q18:T18)</f>
        <v>0</v>
      </c>
      <c r="Q18" s="448">
        <f ca="1">COUNTIF(ADMIN!$S$226:INDEX(ADMIN!$S$226:$JE$229,4,ADMIN!$D$5*3-1),Stats!$L18)-SUM(R18:T18)</f>
        <v>0</v>
      </c>
      <c r="R18" s="448">
        <f ca="1">IFERROR(COUNTIF(ADMIN!$S$252:INDEX(ADMIN!$S$252:$JE$252,1,ADMIN!$D$5*3-1),Stats!$L18),0)</f>
        <v>0</v>
      </c>
      <c r="S18" s="448">
        <f ca="1">IFERROR(COUNTIF(ADMIN!$S$251:INDEX(ADMIN!$S$251:$JE$251,1,ADMIN!$D$5*3-1),Stats!$L18),0)</f>
        <v>0</v>
      </c>
      <c r="T18" s="449">
        <f ca="1">IFERROR(COUNTIF(ADMIN!$S$250:INDEX(ADMIN!$S$250:$JE$250,1,ADMIN!$D$5*3-1),Stats!$L18),0)</f>
        <v>0</v>
      </c>
      <c r="U18" s="21"/>
      <c r="V18" s="11">
        <f t="shared" ca="1" si="0"/>
        <v>40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1"/>
      <c r="B19" s="21"/>
      <c r="C19" s="13"/>
      <c r="D19" s="13"/>
      <c r="E19" s="13"/>
      <c r="F19" s="13"/>
      <c r="G19" s="13"/>
      <c r="H19" s="742"/>
      <c r="I19" s="743"/>
      <c r="J19" s="454"/>
      <c r="K19" s="454"/>
      <c r="L19" s="122" t="str">
        <f ca="1">Horarios!Q14</f>
        <v>Catar</v>
      </c>
      <c r="M19" s="450">
        <f ca="1">ADMIN!$D$5-SUM(N19:T19)</f>
        <v>40</v>
      </c>
      <c r="N19" s="450">
        <f ca="1">IFERROR(COUNTIF(ADMIN!$S$130:INDEX(ADMIN!$S$130:$JE$161,32,ADMIN!$D$5*3-1),Stats!$L19)-SUM(O19:T19),0)</f>
        <v>0</v>
      </c>
      <c r="O19" s="450">
        <f ca="1">COUNTIF(ADMIN!$S$182:INDEX(ADMIN!$S$182:$JE$197,16,ADMIN!$D$5*3-1),Stats!$L19)-SUM(P19:T19)</f>
        <v>0</v>
      </c>
      <c r="P19" s="450">
        <f ca="1">COUNTIF(ADMIN!$S$210:INDEX(ADMIN!$S$210:$JE$217,8,ADMIN!$D$5*3-1),Stats!$L19)-SUM(Q19:T19)</f>
        <v>0</v>
      </c>
      <c r="Q19" s="450">
        <f ca="1">COUNTIF(ADMIN!$S$226:INDEX(ADMIN!$S$226:$JE$229,4,ADMIN!$D$5*3-1),Stats!$L19)-SUM(R19:T19)</f>
        <v>0</v>
      </c>
      <c r="R19" s="450">
        <f ca="1">IFERROR(COUNTIF(ADMIN!$S$252:INDEX(ADMIN!$S$252:$JE$252,1,ADMIN!$D$5*3-1),Stats!$L19),0)</f>
        <v>0</v>
      </c>
      <c r="S19" s="450">
        <f ca="1">IFERROR(COUNTIF(ADMIN!$S$251:INDEX(ADMIN!$S$251:$JE$251,1,ADMIN!$D$5*3-1),Stats!$L19),0)</f>
        <v>0</v>
      </c>
      <c r="T19" s="451">
        <f ca="1">IFERROR(COUNTIF(ADMIN!$S$250:INDEX(ADMIN!$S$250:$JE$250,1,ADMIN!$D$5*3-1),Stats!$L19),0)</f>
        <v>0</v>
      </c>
      <c r="U19" s="21"/>
      <c r="V19" s="11">
        <f t="shared" ca="1" si="0"/>
        <v>40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1"/>
      <c r="B20" s="21"/>
      <c r="C20" s="13"/>
      <c r="D20" s="13"/>
      <c r="E20" s="13"/>
      <c r="F20" s="13"/>
      <c r="G20" s="13"/>
      <c r="H20" s="742"/>
      <c r="I20" s="743"/>
      <c r="J20" s="454"/>
      <c r="K20" s="454"/>
      <c r="L20" s="123" t="str">
        <f ca="1">Horarios!Q15</f>
        <v>Colombia</v>
      </c>
      <c r="M20" s="448">
        <f ca="1">ADMIN!$D$5-SUM(N20:T20)</f>
        <v>22</v>
      </c>
      <c r="N20" s="448">
        <f ca="1">IFERROR(COUNTIF(ADMIN!$S$130:INDEX(ADMIN!$S$130:$JE$161,32,ADMIN!$D$5*3-1),Stats!$L20)-SUM(O20:T20),0)</f>
        <v>9</v>
      </c>
      <c r="O20" s="448">
        <f ca="1">COUNTIF(ADMIN!$S$182:INDEX(ADMIN!$S$182:$JE$197,16,ADMIN!$D$5*3-1),Stats!$L20)-SUM(P20:T20)</f>
        <v>9</v>
      </c>
      <c r="P20" s="448">
        <f ca="1">COUNTIF(ADMIN!$S$210:INDEX(ADMIN!$S$210:$JE$217,8,ADMIN!$D$5*3-1),Stats!$L20)-SUM(Q20:T20)</f>
        <v>0</v>
      </c>
      <c r="Q20" s="448">
        <f ca="1">COUNTIF(ADMIN!$S$226:INDEX(ADMIN!$S$226:$JE$229,4,ADMIN!$D$5*3-1),Stats!$L20)-SUM(R20:T20)</f>
        <v>0</v>
      </c>
      <c r="R20" s="448">
        <f ca="1">IFERROR(COUNTIF(ADMIN!$S$252:INDEX(ADMIN!$S$252:$JE$252,1,ADMIN!$D$5*3-1),Stats!$L20),0)</f>
        <v>0</v>
      </c>
      <c r="S20" s="448">
        <f ca="1">IFERROR(COUNTIF(ADMIN!$S$251:INDEX(ADMIN!$S$251:$JE$251,1,ADMIN!$D$5*3-1),Stats!$L20),0)</f>
        <v>0</v>
      </c>
      <c r="T20" s="449">
        <f ca="1">IFERROR(COUNTIF(ADMIN!$S$250:INDEX(ADMIN!$S$250:$JE$250,1,ADMIN!$D$5*3-1),Stats!$L20),0)</f>
        <v>0</v>
      </c>
      <c r="U20" s="21"/>
      <c r="V20" s="11">
        <f ca="1">SUM(M20:T20)</f>
        <v>40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1" t="s">
        <v>1707</v>
      </c>
      <c r="B21" s="21" t="s">
        <v>1708</v>
      </c>
      <c r="C21" s="13"/>
      <c r="D21" s="13"/>
      <c r="E21" s="13"/>
      <c r="F21" s="13"/>
      <c r="G21" s="13"/>
      <c r="H21" s="742"/>
      <c r="I21" s="743"/>
      <c r="J21" s="454"/>
      <c r="K21" s="454"/>
      <c r="L21" s="122" t="str">
        <f ca="1">Horarios!Q16</f>
        <v>Corea del Sur</v>
      </c>
      <c r="M21" s="450">
        <f ca="1">ADMIN!$D$5-SUM(N21:T21)</f>
        <v>27</v>
      </c>
      <c r="N21" s="450">
        <f ca="1">IFERROR(COUNTIF(ADMIN!$S$130:INDEX(ADMIN!$S$130:$JE$161,32,ADMIN!$D$5*3-1),Stats!$L21)-SUM(O21:T21),0)</f>
        <v>3</v>
      </c>
      <c r="O21" s="450">
        <f ca="1">COUNTIF(ADMIN!$S$182:INDEX(ADMIN!$S$182:$JE$197,16,ADMIN!$D$5*3-1),Stats!$L21)-SUM(P21:T21)</f>
        <v>10</v>
      </c>
      <c r="P21" s="450">
        <f ca="1">COUNTIF(ADMIN!$S$210:INDEX(ADMIN!$S$210:$JE$217,8,ADMIN!$D$5*3-1),Stats!$L21)-SUM(Q21:T21)</f>
        <v>0</v>
      </c>
      <c r="Q21" s="450">
        <f ca="1">COUNTIF(ADMIN!$S$226:INDEX(ADMIN!$S$226:$JE$229,4,ADMIN!$D$5*3-1),Stats!$L21)-SUM(R21:T21)</f>
        <v>0</v>
      </c>
      <c r="R21" s="450">
        <f ca="1">IFERROR(COUNTIF(ADMIN!$S$252:INDEX(ADMIN!$S$252:$JE$252,1,ADMIN!$D$5*3-1),Stats!$L21),0)</f>
        <v>0</v>
      </c>
      <c r="S21" s="450">
        <f ca="1">IFERROR(COUNTIF(ADMIN!$S$251:INDEX(ADMIN!$S$251:$JE$251,1,ADMIN!$D$5*3-1),Stats!$L21),0)</f>
        <v>0</v>
      </c>
      <c r="T21" s="451">
        <f ca="1">IFERROR(COUNTIF(ADMIN!$S$250:INDEX(ADMIN!$S$250:$JE$250,1,ADMIN!$D$5*3-1),Stats!$L21),0)</f>
        <v>0</v>
      </c>
      <c r="U21" s="21"/>
      <c r="V21" s="11">
        <f t="shared" ca="1" si="0"/>
        <v>40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1">
        <v>1</v>
      </c>
      <c r="B22" s="21">
        <f ca="1">IFERROR(SUMIF(ADMIN!$G$6:$G$258,A22,ADMIN!$F$6:$F$258),"")</f>
        <v>17</v>
      </c>
      <c r="C22" s="13"/>
      <c r="D22" s="13"/>
      <c r="E22" s="13"/>
      <c r="F22" s="13"/>
      <c r="G22" s="13"/>
      <c r="H22" s="742"/>
      <c r="I22" s="743"/>
      <c r="J22" s="454"/>
      <c r="K22" s="454"/>
      <c r="L22" s="123" t="str">
        <f ca="1">Horarios!Q17</f>
        <v>Costa de Marfil</v>
      </c>
      <c r="M22" s="448">
        <f ca="1">ADMIN!$D$5-SUM(N22:T22)</f>
        <v>25</v>
      </c>
      <c r="N22" s="448">
        <f ca="1">IFERROR(COUNTIF(ADMIN!$S$130:INDEX(ADMIN!$S$130:$JE$161,32,ADMIN!$D$5*3-1),Stats!$L22)-SUM(O22:T22),0)</f>
        <v>15</v>
      </c>
      <c r="O22" s="448">
        <f ca="1">COUNTIF(ADMIN!$S$182:INDEX(ADMIN!$S$182:$JE$197,16,ADMIN!$D$5*3-1),Stats!$L22)-SUM(P22:T22)</f>
        <v>0</v>
      </c>
      <c r="P22" s="448">
        <f ca="1">COUNTIF(ADMIN!$S$210:INDEX(ADMIN!$S$210:$JE$217,8,ADMIN!$D$5*3-1),Stats!$L22)-SUM(Q22:T22)</f>
        <v>0</v>
      </c>
      <c r="Q22" s="448">
        <f ca="1">COUNTIF(ADMIN!$S$226:INDEX(ADMIN!$S$226:$JE$229,4,ADMIN!$D$5*3-1),Stats!$L22)-SUM(R22:T22)</f>
        <v>0</v>
      </c>
      <c r="R22" s="448">
        <f ca="1">IFERROR(COUNTIF(ADMIN!$S$252:INDEX(ADMIN!$S$252:$JE$252,1,ADMIN!$D$5*3-1),Stats!$L22),0)</f>
        <v>0</v>
      </c>
      <c r="S22" s="448">
        <f ca="1">IFERROR(COUNTIF(ADMIN!$S$251:INDEX(ADMIN!$S$251:$JE$251,1,ADMIN!$D$5*3-1),Stats!$L22),0)</f>
        <v>0</v>
      </c>
      <c r="T22" s="449">
        <f ca="1">IFERROR(COUNTIF(ADMIN!$S$250:INDEX(ADMIN!$S$250:$JE$250,1,ADMIN!$D$5*3-1),Stats!$L22),0)</f>
        <v>0</v>
      </c>
      <c r="U22" s="21"/>
      <c r="V22" s="11">
        <f t="shared" ca="1" si="0"/>
        <v>40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1">
        <v>2</v>
      </c>
      <c r="B23" s="21">
        <f ca="1">IFERROR(SUMIF(ADMIN!$G$6:$G$258,A23,ADMIN!$F$6:$F$258),"")</f>
        <v>34</v>
      </c>
      <c r="C23" s="13"/>
      <c r="D23" s="13"/>
      <c r="E23" s="13"/>
      <c r="F23" s="13"/>
      <c r="G23" s="13"/>
      <c r="H23" s="742"/>
      <c r="I23" s="743"/>
      <c r="J23" s="454"/>
      <c r="K23" s="454"/>
      <c r="L23" s="122" t="str">
        <f ca="1">Horarios!Q18</f>
        <v>Croacia</v>
      </c>
      <c r="M23" s="450">
        <f ca="1">ADMIN!$D$5-SUM(N23:T23)</f>
        <v>22</v>
      </c>
      <c r="N23" s="450">
        <f ca="1">IFERROR(COUNTIF(ADMIN!$S$130:INDEX(ADMIN!$S$130:$JE$161,32,ADMIN!$D$5*3-1),Stats!$L23)-SUM(O23:T23),0)</f>
        <v>8</v>
      </c>
      <c r="O23" s="450">
        <f ca="1">COUNTIF(ADMIN!$S$182:INDEX(ADMIN!$S$182:$JE$197,16,ADMIN!$D$5*3-1),Stats!$L23)-SUM(P23:T23)</f>
        <v>9</v>
      </c>
      <c r="P23" s="450">
        <f ca="1">COUNTIF(ADMIN!$S$210:INDEX(ADMIN!$S$210:$JE$217,8,ADMIN!$D$5*3-1),Stats!$L23)-SUM(Q23:T23)</f>
        <v>0</v>
      </c>
      <c r="Q23" s="450">
        <f ca="1">COUNTIF(ADMIN!$S$226:INDEX(ADMIN!$S$226:$JE$229,4,ADMIN!$D$5*3-1),Stats!$L23)-SUM(R23:T23)</f>
        <v>0</v>
      </c>
      <c r="R23" s="450">
        <f ca="1">IFERROR(COUNTIF(ADMIN!$S$252:INDEX(ADMIN!$S$252:$JE$252,1,ADMIN!$D$5*3-1),Stats!$L23),0)</f>
        <v>0</v>
      </c>
      <c r="S23" s="450">
        <f ca="1">IFERROR(COUNTIF(ADMIN!$S$251:INDEX(ADMIN!$S$251:$JE$251,1,ADMIN!$D$5*3-1),Stats!$L23),0)</f>
        <v>1</v>
      </c>
      <c r="T23" s="451">
        <f ca="1">IFERROR(COUNTIF(ADMIN!$S$250:INDEX(ADMIN!$S$250:$JE$250,1,ADMIN!$D$5*3-1),Stats!$L23),0)</f>
        <v>0</v>
      </c>
      <c r="U23" s="21"/>
      <c r="V23" s="11">
        <f t="shared" ca="1" si="0"/>
        <v>40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1">
        <v>3</v>
      </c>
      <c r="B24" s="21">
        <f ca="1">IFERROR(SUMIF(ADMIN!$G$6:$G$258,A24,ADMIN!$F$6:$F$258),"")</f>
        <v>34</v>
      </c>
      <c r="C24" s="13"/>
      <c r="D24" s="13"/>
      <c r="E24" s="13"/>
      <c r="F24" s="13"/>
      <c r="G24" s="13"/>
      <c r="H24" s="742"/>
      <c r="I24" s="743"/>
      <c r="J24" s="454"/>
      <c r="K24" s="454"/>
      <c r="L24" s="123" t="str">
        <f ca="1">Horarios!Q19</f>
        <v>Curazao</v>
      </c>
      <c r="M24" s="448">
        <f ca="1">ADMIN!$D$5-SUM(N24:T24)</f>
        <v>40</v>
      </c>
      <c r="N24" s="448">
        <f ca="1">IFERROR(COUNTIF(ADMIN!$S$130:INDEX(ADMIN!$S$130:$JE$161,32,ADMIN!$D$5*3-1),Stats!$L24)-SUM(O24:T24),0)</f>
        <v>0</v>
      </c>
      <c r="O24" s="448">
        <f ca="1">COUNTIF(ADMIN!$S$182:INDEX(ADMIN!$S$182:$JE$197,16,ADMIN!$D$5*3-1),Stats!$L24)-SUM(P24:T24)</f>
        <v>0</v>
      </c>
      <c r="P24" s="448">
        <f ca="1">COUNTIF(ADMIN!$S$210:INDEX(ADMIN!$S$210:$JE$217,8,ADMIN!$D$5*3-1),Stats!$L24)-SUM(Q24:T24)</f>
        <v>0</v>
      </c>
      <c r="Q24" s="448">
        <f ca="1">COUNTIF(ADMIN!$S$226:INDEX(ADMIN!$S$226:$JE$229,4,ADMIN!$D$5*3-1),Stats!$L24)-SUM(R24:T24)</f>
        <v>0</v>
      </c>
      <c r="R24" s="448">
        <f ca="1">IFERROR(COUNTIF(ADMIN!$S$252:INDEX(ADMIN!$S$252:$JE$252,1,ADMIN!$D$5*3-1),Stats!$L24),0)</f>
        <v>0</v>
      </c>
      <c r="S24" s="448">
        <f ca="1">IFERROR(COUNTIF(ADMIN!$S$251:INDEX(ADMIN!$S$251:$JE$251,1,ADMIN!$D$5*3-1),Stats!$L24),0)</f>
        <v>0</v>
      </c>
      <c r="T24" s="449">
        <f ca="1">IFERROR(COUNTIF(ADMIN!$S$250:INDEX(ADMIN!$S$250:$JE$250,1,ADMIN!$D$5*3-1),Stats!$L24),0)</f>
        <v>0</v>
      </c>
      <c r="U24" s="21"/>
      <c r="V24" s="11">
        <f t="shared" ca="1" si="0"/>
        <v>40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1">
        <v>4</v>
      </c>
      <c r="B25" s="21">
        <f ca="1">IFERROR(SUMIF(ADMIN!$G$6:$G$258,A25,ADMIN!$F$6:$F$258),"")</f>
        <v>68</v>
      </c>
      <c r="C25" s="13"/>
      <c r="D25" s="13"/>
      <c r="E25" s="13"/>
      <c r="F25" s="13"/>
      <c r="G25" s="13"/>
      <c r="H25" s="742"/>
      <c r="I25" s="743"/>
      <c r="J25" s="454"/>
      <c r="K25" s="454"/>
      <c r="L25" s="122" t="str">
        <f ca="1">Horarios!Q20</f>
        <v>Ecuador</v>
      </c>
      <c r="M25" s="450">
        <f ca="1">ADMIN!$D$5-SUM(N25:T25)</f>
        <v>22</v>
      </c>
      <c r="N25" s="450">
        <f ca="1">IFERROR(COUNTIF(ADMIN!$S$130:INDEX(ADMIN!$S$130:$JE$161,32,ADMIN!$D$5*3-1),Stats!$L25)-SUM(O25:T25),0)</f>
        <v>14</v>
      </c>
      <c r="O25" s="450">
        <f ca="1">COUNTIF(ADMIN!$S$182:INDEX(ADMIN!$S$182:$JE$197,16,ADMIN!$D$5*3-1),Stats!$L25)-SUM(P25:T25)</f>
        <v>4</v>
      </c>
      <c r="P25" s="450">
        <f ca="1">COUNTIF(ADMIN!$S$210:INDEX(ADMIN!$S$210:$JE$217,8,ADMIN!$D$5*3-1),Stats!$L25)-SUM(Q25:T25)</f>
        <v>0</v>
      </c>
      <c r="Q25" s="450">
        <f ca="1">COUNTIF(ADMIN!$S$226:INDEX(ADMIN!$S$226:$JE$229,4,ADMIN!$D$5*3-1),Stats!$L25)-SUM(R25:T25)</f>
        <v>0</v>
      </c>
      <c r="R25" s="450">
        <f ca="1">IFERROR(COUNTIF(ADMIN!$S$252:INDEX(ADMIN!$S$252:$JE$252,1,ADMIN!$D$5*3-1),Stats!$L25),0)</f>
        <v>0</v>
      </c>
      <c r="S25" s="450">
        <f ca="1">IFERROR(COUNTIF(ADMIN!$S$251:INDEX(ADMIN!$S$251:$JE$251,1,ADMIN!$D$5*3-1),Stats!$L25),0)</f>
        <v>0</v>
      </c>
      <c r="T25" s="451">
        <f ca="1">IFERROR(COUNTIF(ADMIN!$S$250:INDEX(ADMIN!$S$250:$JE$250,1,ADMIN!$D$5*3-1),Stats!$L25),0)</f>
        <v>0</v>
      </c>
      <c r="U25" s="21"/>
      <c r="V25" s="11">
        <f t="shared" ca="1" si="0"/>
        <v>40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1">
        <v>5</v>
      </c>
      <c r="B26" s="21">
        <f ca="1">IFERROR(SUMIF(ADMIN!$G$6:$G$258,A26,ADMIN!$F$6:$F$258),"")</f>
        <v>85</v>
      </c>
      <c r="C26" s="13"/>
      <c r="D26" s="13"/>
      <c r="E26" s="13"/>
      <c r="F26" s="13"/>
      <c r="G26" s="13"/>
      <c r="H26" s="742"/>
      <c r="I26" s="743"/>
      <c r="J26" s="454"/>
      <c r="K26" s="454"/>
      <c r="L26" s="123" t="str">
        <f ca="1">Horarios!Q21</f>
        <v>Egipto</v>
      </c>
      <c r="M26" s="448">
        <f ca="1">ADMIN!$D$5-SUM(N26:T26)</f>
        <v>23</v>
      </c>
      <c r="N26" s="448">
        <f ca="1">IFERROR(COUNTIF(ADMIN!$S$130:INDEX(ADMIN!$S$130:$JE$161,32,ADMIN!$D$5*3-1),Stats!$L26)-SUM(O26:T26),0)</f>
        <v>12</v>
      </c>
      <c r="O26" s="448">
        <f ca="1">COUNTIF(ADMIN!$S$182:INDEX(ADMIN!$S$182:$JE$197,16,ADMIN!$D$5*3-1),Stats!$L26)-SUM(P26:T26)</f>
        <v>5</v>
      </c>
      <c r="P26" s="448">
        <f ca="1">COUNTIF(ADMIN!$S$210:INDEX(ADMIN!$S$210:$JE$217,8,ADMIN!$D$5*3-1),Stats!$L26)-SUM(Q26:T26)</f>
        <v>0</v>
      </c>
      <c r="Q26" s="448">
        <f ca="1">COUNTIF(ADMIN!$S$226:INDEX(ADMIN!$S$226:$JE$229,4,ADMIN!$D$5*3-1),Stats!$L26)-SUM(R26:T26)</f>
        <v>0</v>
      </c>
      <c r="R26" s="448">
        <f ca="1">IFERROR(COUNTIF(ADMIN!$S$252:INDEX(ADMIN!$S$252:$JE$252,1,ADMIN!$D$5*3-1),Stats!$L26),0)</f>
        <v>0</v>
      </c>
      <c r="S26" s="448">
        <f ca="1">IFERROR(COUNTIF(ADMIN!$S$251:INDEX(ADMIN!$S$251:$JE$251,1,ADMIN!$D$5*3-1),Stats!$L26),0)</f>
        <v>0</v>
      </c>
      <c r="T26" s="449">
        <f ca="1">IFERROR(COUNTIF(ADMIN!$S$250:INDEX(ADMIN!$S$250:$JE$250,1,ADMIN!$D$5*3-1),Stats!$L26),0)</f>
        <v>0</v>
      </c>
      <c r="U26" s="21"/>
      <c r="V26" s="11">
        <f t="shared" ca="1" si="0"/>
        <v>40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1">
        <v>6</v>
      </c>
      <c r="B27" s="21">
        <f ca="1">IFERROR(SUMIF(ADMIN!$G$6:$G$258,A27,ADMIN!$F$6:$F$258),"")</f>
        <v>51</v>
      </c>
      <c r="C27" s="13"/>
      <c r="D27" s="13"/>
      <c r="E27" s="13"/>
      <c r="F27" s="13"/>
      <c r="G27" s="13"/>
      <c r="H27" s="742"/>
      <c r="I27" s="743"/>
      <c r="J27" s="454"/>
      <c r="K27" s="454"/>
      <c r="L27" s="122" t="str">
        <f ca="1">Horarios!Q22</f>
        <v>Escocia</v>
      </c>
      <c r="M27" s="450">
        <f ca="1">ADMIN!$D$5-SUM(N27:T27)</f>
        <v>24</v>
      </c>
      <c r="N27" s="450">
        <f ca="1">IFERROR(COUNTIF(ADMIN!$S$130:INDEX(ADMIN!$S$130:$JE$161,32,ADMIN!$D$5*3-1),Stats!$L27)-SUM(O27:T27),0)</f>
        <v>16</v>
      </c>
      <c r="O27" s="450">
        <f ca="1">COUNTIF(ADMIN!$S$182:INDEX(ADMIN!$S$182:$JE$197,16,ADMIN!$D$5*3-1),Stats!$L27)-SUM(P27:T27)</f>
        <v>0</v>
      </c>
      <c r="P27" s="450">
        <f ca="1">COUNTIF(ADMIN!$S$210:INDEX(ADMIN!$S$210:$JE$217,8,ADMIN!$D$5*3-1),Stats!$L27)-SUM(Q27:T27)</f>
        <v>0</v>
      </c>
      <c r="Q27" s="450">
        <f ca="1">COUNTIF(ADMIN!$S$226:INDEX(ADMIN!$S$226:$JE$229,4,ADMIN!$D$5*3-1),Stats!$L27)-SUM(R27:T27)</f>
        <v>0</v>
      </c>
      <c r="R27" s="450">
        <f ca="1">IFERROR(COUNTIF(ADMIN!$S$252:INDEX(ADMIN!$S$252:$JE$252,1,ADMIN!$D$5*3-1),Stats!$L27),0)</f>
        <v>0</v>
      </c>
      <c r="S27" s="450">
        <f ca="1">IFERROR(COUNTIF(ADMIN!$S$251:INDEX(ADMIN!$S$251:$JE$251,1,ADMIN!$D$5*3-1),Stats!$L27),0)</f>
        <v>0</v>
      </c>
      <c r="T27" s="451">
        <f ca="1">IFERROR(COUNTIF(ADMIN!$S$250:INDEX(ADMIN!$S$250:$JE$250,1,ADMIN!$D$5*3-1),Stats!$L27),0)</f>
        <v>0</v>
      </c>
      <c r="U27" s="21"/>
      <c r="V27" s="11">
        <f t="shared" ca="1" si="0"/>
        <v>40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1">
        <v>7</v>
      </c>
      <c r="B28" s="21">
        <f ca="1">IFERROR(SUMIF(ADMIN!$G$6:$G$258,A28,ADMIN!$F$6:$F$258),"")</f>
        <v>68</v>
      </c>
      <c r="C28" s="13"/>
      <c r="D28" s="13"/>
      <c r="E28" s="13"/>
      <c r="F28" s="13"/>
      <c r="G28" s="13"/>
      <c r="H28" s="742"/>
      <c r="I28" s="743"/>
      <c r="J28" s="454"/>
      <c r="K28" s="454"/>
      <c r="L28" s="123" t="str">
        <f ca="1">Horarios!Q23</f>
        <v>España</v>
      </c>
      <c r="M28" s="448">
        <f ca="1">ADMIN!$D$5-SUM(N28:T28)</f>
        <v>22</v>
      </c>
      <c r="N28" s="448">
        <f ca="1">IFERROR(COUNTIF(ADMIN!$S$130:INDEX(ADMIN!$S$130:$JE$161,32,ADMIN!$D$5*3-1),Stats!$L28)-SUM(O28:T28),0)</f>
        <v>0</v>
      </c>
      <c r="O28" s="448">
        <f ca="1">COUNTIF(ADMIN!$S$182:INDEX(ADMIN!$S$182:$JE$197,16,ADMIN!$D$5*3-1),Stats!$L28)-SUM(P28:T28)</f>
        <v>1</v>
      </c>
      <c r="P28" s="448">
        <f ca="1">COUNTIF(ADMIN!$S$210:INDEX(ADMIN!$S$210:$JE$217,8,ADMIN!$D$5*3-1),Stats!$L28)-SUM(Q28:T28)</f>
        <v>0</v>
      </c>
      <c r="Q28" s="448">
        <f ca="1">COUNTIF(ADMIN!$S$226:INDEX(ADMIN!$S$226:$JE$229,4,ADMIN!$D$5*3-1),Stats!$L28)-SUM(R28:T28)</f>
        <v>1</v>
      </c>
      <c r="R28" s="448">
        <f ca="1">IFERROR(COUNTIF(ADMIN!$S$252:INDEX(ADMIN!$S$252:$JE$252,1,ADMIN!$D$5*3-1),Stats!$L28),0)</f>
        <v>5</v>
      </c>
      <c r="S28" s="448">
        <f ca="1">IFERROR(COUNTIF(ADMIN!$S$251:INDEX(ADMIN!$S$251:$JE$251,1,ADMIN!$D$5*3-1),Stats!$L28),0)</f>
        <v>2</v>
      </c>
      <c r="T28" s="449">
        <f ca="1">IFERROR(COUNTIF(ADMIN!$S$250:INDEX(ADMIN!$S$250:$JE$250,1,ADMIN!$D$5*3-1),Stats!$L28),0)</f>
        <v>9</v>
      </c>
      <c r="U28" s="21"/>
      <c r="V28" s="11">
        <f t="shared" ca="1" si="0"/>
        <v>40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1">
        <v>8</v>
      </c>
      <c r="B29" s="21">
        <f ca="1">IFERROR(SUMIF(ADMIN!$G$6:$G$258,A29,ADMIN!$F$6:$F$258),"")</f>
        <v>85</v>
      </c>
      <c r="C29" s="13"/>
      <c r="D29" s="13"/>
      <c r="E29" s="13"/>
      <c r="F29" s="13"/>
      <c r="G29" s="13"/>
      <c r="H29" s="742"/>
      <c r="I29" s="743"/>
      <c r="J29" s="454"/>
      <c r="K29" s="454"/>
      <c r="L29" s="122" t="str">
        <f ca="1">Horarios!Q24</f>
        <v>Estados Unidos</v>
      </c>
      <c r="M29" s="450">
        <f ca="1">ADMIN!$D$5-SUM(N29:T29)</f>
        <v>23</v>
      </c>
      <c r="N29" s="450">
        <f ca="1">IFERROR(COUNTIF(ADMIN!$S$130:INDEX(ADMIN!$S$130:$JE$161,32,ADMIN!$D$5*3-1),Stats!$L29)-SUM(O29:T29),0)</f>
        <v>5</v>
      </c>
      <c r="O29" s="450">
        <f ca="1">COUNTIF(ADMIN!$S$182:INDEX(ADMIN!$S$182:$JE$197,16,ADMIN!$D$5*3-1),Stats!$L29)-SUM(P29:T29)</f>
        <v>10</v>
      </c>
      <c r="P29" s="450">
        <f ca="1">COUNTIF(ADMIN!$S$210:INDEX(ADMIN!$S$210:$JE$217,8,ADMIN!$D$5*3-1),Stats!$L29)-SUM(Q29:T29)</f>
        <v>2</v>
      </c>
      <c r="Q29" s="450">
        <f ca="1">COUNTIF(ADMIN!$S$226:INDEX(ADMIN!$S$226:$JE$229,4,ADMIN!$D$5*3-1),Stats!$L29)-SUM(R29:T29)</f>
        <v>0</v>
      </c>
      <c r="R29" s="450">
        <f ca="1">IFERROR(COUNTIF(ADMIN!$S$252:INDEX(ADMIN!$S$252:$JE$252,1,ADMIN!$D$5*3-1),Stats!$L29),0)</f>
        <v>0</v>
      </c>
      <c r="S29" s="450">
        <f ca="1">IFERROR(COUNTIF(ADMIN!$S$251:INDEX(ADMIN!$S$251:$JE$251,1,ADMIN!$D$5*3-1),Stats!$L29),0)</f>
        <v>0</v>
      </c>
      <c r="T29" s="451">
        <f ca="1">IFERROR(COUNTIF(ADMIN!$S$250:INDEX(ADMIN!$S$250:$JE$250,1,ADMIN!$D$5*3-1),Stats!$L29),0)</f>
        <v>0</v>
      </c>
      <c r="U29" s="21"/>
      <c r="V29" s="11">
        <f t="shared" ca="1" si="0"/>
        <v>40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1">
        <v>9</v>
      </c>
      <c r="B30" s="21">
        <f ca="1">IFERROR(SUMIF(ADMIN!$G$6:$G$258,A30,ADMIN!$F$6:$F$258),"")</f>
        <v>51</v>
      </c>
      <c r="C30" s="13"/>
      <c r="D30" s="13"/>
      <c r="E30" s="13"/>
      <c r="F30" s="13"/>
      <c r="G30" s="13"/>
      <c r="H30" s="742"/>
      <c r="I30" s="743"/>
      <c r="J30" s="454"/>
      <c r="K30" s="454"/>
      <c r="L30" s="123" t="str">
        <f ca="1">Horarios!Q25</f>
        <v>Francia</v>
      </c>
      <c r="M30" s="448">
        <f ca="1">ADMIN!$D$5-SUM(N30:T30)</f>
        <v>22</v>
      </c>
      <c r="N30" s="448">
        <f ca="1">IFERROR(COUNTIF(ADMIN!$S$130:INDEX(ADMIN!$S$130:$JE$161,32,ADMIN!$D$5*3-1),Stats!$L30)-SUM(O30:T30),0)</f>
        <v>0</v>
      </c>
      <c r="O30" s="448">
        <f ca="1">COUNTIF(ADMIN!$S$182:INDEX(ADMIN!$S$182:$JE$197,16,ADMIN!$D$5*3-1),Stats!$L30)-SUM(P30:T30)</f>
        <v>5</v>
      </c>
      <c r="P30" s="448">
        <f ca="1">COUNTIF(ADMIN!$S$210:INDEX(ADMIN!$S$210:$JE$217,8,ADMIN!$D$5*3-1),Stats!$L30)-SUM(Q30:T30)</f>
        <v>0</v>
      </c>
      <c r="Q30" s="448">
        <f ca="1">COUNTIF(ADMIN!$S$226:INDEX(ADMIN!$S$226:$JE$229,4,ADMIN!$D$5*3-1),Stats!$L30)-SUM(R30:T30)</f>
        <v>0</v>
      </c>
      <c r="R30" s="448">
        <f ca="1">IFERROR(COUNTIF(ADMIN!$S$252:INDEX(ADMIN!$S$252:$JE$252,1,ADMIN!$D$5*3-1),Stats!$L30),0)</f>
        <v>8</v>
      </c>
      <c r="S30" s="448">
        <f ca="1">IFERROR(COUNTIF(ADMIN!$S$251:INDEX(ADMIN!$S$251:$JE$251,1,ADMIN!$D$5*3-1),Stats!$L30),0)</f>
        <v>1</v>
      </c>
      <c r="T30" s="449">
        <f ca="1">IFERROR(COUNTIF(ADMIN!$S$250:INDEX(ADMIN!$S$250:$JE$250,1,ADMIN!$D$5*3-1),Stats!$L30),0)</f>
        <v>4</v>
      </c>
      <c r="U30" s="21"/>
      <c r="V30" s="11">
        <f t="shared" ca="1" si="0"/>
        <v>40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1">
        <v>10</v>
      </c>
      <c r="B31" s="21">
        <f ca="1">IFERROR(SUMIF(ADMIN!$G$6:$G$258,A31,ADMIN!$F$6:$F$258),"")</f>
        <v>68</v>
      </c>
      <c r="C31" s="13"/>
      <c r="D31" s="13"/>
      <c r="E31" s="13"/>
      <c r="F31" s="13"/>
      <c r="G31" s="13"/>
      <c r="H31" s="744"/>
      <c r="I31" s="745"/>
      <c r="J31" s="454"/>
      <c r="K31" s="454"/>
      <c r="L31" s="122" t="str">
        <f ca="1">Horarios!Q26</f>
        <v>Ghana</v>
      </c>
      <c r="M31" s="450">
        <f ca="1">ADMIN!$D$5-SUM(N31:T31)</f>
        <v>28</v>
      </c>
      <c r="N31" s="450">
        <f ca="1">IFERROR(COUNTIF(ADMIN!$S$130:INDEX(ADMIN!$S$130:$JE$161,32,ADMIN!$D$5*3-1),Stats!$L31)-SUM(O31:T31),0)</f>
        <v>11</v>
      </c>
      <c r="O31" s="450">
        <f ca="1">COUNTIF(ADMIN!$S$182:INDEX(ADMIN!$S$182:$JE$197,16,ADMIN!$D$5*3-1),Stats!$L31)-SUM(P31:T31)</f>
        <v>0</v>
      </c>
      <c r="P31" s="450">
        <f ca="1">COUNTIF(ADMIN!$S$210:INDEX(ADMIN!$S$210:$JE$217,8,ADMIN!$D$5*3-1),Stats!$L31)-SUM(Q31:T31)</f>
        <v>1</v>
      </c>
      <c r="Q31" s="450">
        <f ca="1">COUNTIF(ADMIN!$S$226:INDEX(ADMIN!$S$226:$JE$229,4,ADMIN!$D$5*3-1),Stats!$L31)-SUM(R31:T31)</f>
        <v>0</v>
      </c>
      <c r="R31" s="450">
        <f ca="1">IFERROR(COUNTIF(ADMIN!$S$252:INDEX(ADMIN!$S$252:$JE$252,1,ADMIN!$D$5*3-1),Stats!$L31),0)</f>
        <v>0</v>
      </c>
      <c r="S31" s="450">
        <f ca="1">IFERROR(COUNTIF(ADMIN!$S$251:INDEX(ADMIN!$S$251:$JE$251,1,ADMIN!$D$5*3-1),Stats!$L31),0)</f>
        <v>0</v>
      </c>
      <c r="T31" s="451">
        <f ca="1">IFERROR(COUNTIF(ADMIN!$S$250:INDEX(ADMIN!$S$250:$JE$250,1,ADMIN!$D$5*3-1),Stats!$L31),0)</f>
        <v>0</v>
      </c>
      <c r="U31" s="21"/>
      <c r="V31" s="11">
        <f t="shared" ca="1" si="0"/>
        <v>40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1">
        <v>11</v>
      </c>
      <c r="B32" s="21">
        <f ca="1">IFERROR(SUMIF(ADMIN!$G$6:$G$258,A32,ADMIN!$F$6:$F$258),"")</f>
        <v>85</v>
      </c>
      <c r="C32" s="13"/>
      <c r="D32" s="13"/>
      <c r="E32" s="13"/>
      <c r="F32" s="13"/>
      <c r="G32" s="13"/>
      <c r="H32" s="13"/>
      <c r="I32" s="13"/>
      <c r="J32" s="454"/>
      <c r="K32" s="454"/>
      <c r="L32" s="123" t="str">
        <f ca="1">Horarios!Q27</f>
        <v>Haití</v>
      </c>
      <c r="M32" s="448">
        <f ca="1">ADMIN!$D$5-SUM(N32:T32)</f>
        <v>40</v>
      </c>
      <c r="N32" s="448">
        <f ca="1">IFERROR(COUNTIF(ADMIN!$S$130:INDEX(ADMIN!$S$130:$JE$161,32,ADMIN!$D$5*3-1),Stats!$L32)-SUM(O32:T32),0)</f>
        <v>0</v>
      </c>
      <c r="O32" s="448">
        <f ca="1">COUNTIF(ADMIN!$S$182:INDEX(ADMIN!$S$182:$JE$197,16,ADMIN!$D$5*3-1),Stats!$L32)-SUM(P32:T32)</f>
        <v>0</v>
      </c>
      <c r="P32" s="448">
        <f ca="1">COUNTIF(ADMIN!$S$210:INDEX(ADMIN!$S$210:$JE$217,8,ADMIN!$D$5*3-1),Stats!$L32)-SUM(Q32:T32)</f>
        <v>0</v>
      </c>
      <c r="Q32" s="448">
        <f ca="1">COUNTIF(ADMIN!$S$226:INDEX(ADMIN!$S$226:$JE$229,4,ADMIN!$D$5*3-1),Stats!$L32)-SUM(R32:T32)</f>
        <v>0</v>
      </c>
      <c r="R32" s="448">
        <f ca="1">IFERROR(COUNTIF(ADMIN!$S$252:INDEX(ADMIN!$S$252:$JE$252,1,ADMIN!$D$5*3-1),Stats!$L32),0)</f>
        <v>0</v>
      </c>
      <c r="S32" s="448">
        <f ca="1">IFERROR(COUNTIF(ADMIN!$S$251:INDEX(ADMIN!$S$251:$JE$251,1,ADMIN!$D$5*3-1),Stats!$L32),0)</f>
        <v>0</v>
      </c>
      <c r="T32" s="449">
        <f ca="1">IFERROR(COUNTIF(ADMIN!$S$250:INDEX(ADMIN!$S$250:$JE$250,1,ADMIN!$D$5*3-1),Stats!$L32),0)</f>
        <v>0</v>
      </c>
      <c r="U32" s="21"/>
      <c r="V32" s="11">
        <f t="shared" ca="1" si="0"/>
        <v>40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1">
        <v>12</v>
      </c>
      <c r="B33" s="21">
        <f ca="1">IFERROR(SUMIF(ADMIN!$G$6:$G$258,A33,ADMIN!$F$6:$F$258),"")</f>
        <v>51</v>
      </c>
      <c r="C33" s="13"/>
      <c r="D33" s="13"/>
      <c r="E33" s="13"/>
      <c r="F33" s="13"/>
      <c r="G33" s="13"/>
      <c r="H33" s="13"/>
      <c r="I33" s="13"/>
      <c r="J33" s="454"/>
      <c r="K33" s="454"/>
      <c r="L33" s="122" t="str">
        <f ca="1">Horarios!Q28</f>
        <v>Inglaterra</v>
      </c>
      <c r="M33" s="450">
        <f ca="1">ADMIN!$D$5-SUM(N33:T33)</f>
        <v>22</v>
      </c>
      <c r="N33" s="450">
        <f ca="1">IFERROR(COUNTIF(ADMIN!$S$130:INDEX(ADMIN!$S$130:$JE$161,32,ADMIN!$D$5*3-1),Stats!$L33)-SUM(O33:T33),0)</f>
        <v>1</v>
      </c>
      <c r="O33" s="450">
        <f ca="1">COUNTIF(ADMIN!$S$182:INDEX(ADMIN!$S$182:$JE$197,16,ADMIN!$D$5*3-1),Stats!$L33)-SUM(P33:T33)</f>
        <v>1</v>
      </c>
      <c r="P33" s="450">
        <f ca="1">COUNTIF(ADMIN!$S$210:INDEX(ADMIN!$S$210:$JE$217,8,ADMIN!$D$5*3-1),Stats!$L33)-SUM(Q33:T33)</f>
        <v>11</v>
      </c>
      <c r="Q33" s="450">
        <f ca="1">COUNTIF(ADMIN!$S$226:INDEX(ADMIN!$S$226:$JE$229,4,ADMIN!$D$5*3-1),Stats!$L33)-SUM(R33:T33)</f>
        <v>1</v>
      </c>
      <c r="R33" s="450">
        <f ca="1">IFERROR(COUNTIF(ADMIN!$S$252:INDEX(ADMIN!$S$252:$JE$252,1,ADMIN!$D$5*3-1),Stats!$L33),0)</f>
        <v>0</v>
      </c>
      <c r="S33" s="450">
        <f ca="1">IFERROR(COUNTIF(ADMIN!$S$251:INDEX(ADMIN!$S$251:$JE$251,1,ADMIN!$D$5*3-1),Stats!$L33),0)</f>
        <v>4</v>
      </c>
      <c r="T33" s="451">
        <f ca="1">IFERROR(COUNTIF(ADMIN!$S$250:INDEX(ADMIN!$S$250:$JE$250,1,ADMIN!$D$5*3-1),Stats!$L33),0)</f>
        <v>0</v>
      </c>
      <c r="U33" s="21"/>
      <c r="V33" s="11">
        <f t="shared" ca="1" si="0"/>
        <v>40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1">
        <v>13</v>
      </c>
      <c r="B34" s="21">
        <f ca="1">IFERROR(SUMIF(ADMIN!$G$6:$G$258,A34,ADMIN!$F$6:$F$258),"")</f>
        <v>68</v>
      </c>
      <c r="C34" s="13"/>
      <c r="D34" s="21">
        <f ca="1">IFERROR(IF(OR(AND($F$5&lt;19,LEFT($H$8,1)="1"),AND($F$5&lt;19,LEFT($H$8,1)="2"),AND($F$5&lt;19,LEFT($H$8,1)="X")),1,0),0)</f>
        <v>0</v>
      </c>
      <c r="E34" s="21"/>
      <c r="F34" s="21"/>
      <c r="G34" s="13"/>
      <c r="H34" s="13"/>
      <c r="I34" s="13"/>
      <c r="J34" s="454"/>
      <c r="K34" s="454"/>
      <c r="L34" s="123" t="str">
        <f ca="1">Horarios!Q29</f>
        <v>Irak</v>
      </c>
      <c r="M34" s="448">
        <f ca="1">ADMIN!$D$5-SUM(N34:T34)</f>
        <v>40</v>
      </c>
      <c r="N34" s="448">
        <f ca="1">IFERROR(COUNTIF(ADMIN!$S$130:INDEX(ADMIN!$S$130:$JE$161,32,ADMIN!$D$5*3-1),Stats!$L34)-SUM(O34:T34),0)</f>
        <v>0</v>
      </c>
      <c r="O34" s="448">
        <f ca="1">COUNTIF(ADMIN!$S$182:INDEX(ADMIN!$S$182:$JE$197,16,ADMIN!$D$5*3-1),Stats!$L34)-SUM(P34:T34)</f>
        <v>0</v>
      </c>
      <c r="P34" s="448">
        <f ca="1">COUNTIF(ADMIN!$S$210:INDEX(ADMIN!$S$210:$JE$217,8,ADMIN!$D$5*3-1),Stats!$L34)-SUM(Q34:T34)</f>
        <v>0</v>
      </c>
      <c r="Q34" s="448">
        <f ca="1">COUNTIF(ADMIN!$S$226:INDEX(ADMIN!$S$226:$JE$229,4,ADMIN!$D$5*3-1),Stats!$L34)-SUM(R34:T34)</f>
        <v>0</v>
      </c>
      <c r="R34" s="448">
        <f ca="1">IFERROR(COUNTIF(ADMIN!$S$252:INDEX(ADMIN!$S$252:$JE$252,1,ADMIN!$D$5*3-1),Stats!$L34),0)</f>
        <v>0</v>
      </c>
      <c r="S34" s="448">
        <f ca="1">IFERROR(COUNTIF(ADMIN!$S$251:INDEX(ADMIN!$S$251:$JE$251,1,ADMIN!$D$5*3-1),Stats!$L34),0)</f>
        <v>0</v>
      </c>
      <c r="T34" s="449">
        <f ca="1">IFERROR(COUNTIF(ADMIN!$S$250:INDEX(ADMIN!$S$250:$JE$250,1,ADMIN!$D$5*3-1),Stats!$L34),0)</f>
        <v>0</v>
      </c>
      <c r="U34" s="21"/>
      <c r="V34" s="11">
        <f t="shared" ca="1" si="0"/>
        <v>40</v>
      </c>
      <c r="W34" s="11" t="s">
        <v>1748</v>
      </c>
      <c r="X34" s="11" t="s">
        <v>1747</v>
      </c>
      <c r="Y34" s="472" t="s">
        <v>1679</v>
      </c>
      <c r="Z34" s="472" t="s">
        <v>1681</v>
      </c>
      <c r="AA34" s="472" t="s">
        <v>1709</v>
      </c>
      <c r="AB34" s="472" t="s">
        <v>1710</v>
      </c>
      <c r="AC34" s="472" t="s">
        <v>1711</v>
      </c>
      <c r="AD34" s="472"/>
      <c r="AE34" s="8"/>
      <c r="AF34" s="8"/>
      <c r="AG34" s="472" t="s">
        <v>1712</v>
      </c>
      <c r="AH34" s="472" t="s">
        <v>1713</v>
      </c>
      <c r="AI34" s="472" t="s">
        <v>1714</v>
      </c>
      <c r="AJ34" s="8" t="s">
        <v>1715</v>
      </c>
      <c r="AK34" s="472" t="s">
        <v>1716</v>
      </c>
      <c r="AL34" s="8" t="s">
        <v>1717</v>
      </c>
      <c r="AM34" s="8"/>
      <c r="AN34" s="8"/>
      <c r="AO34" s="472" t="s">
        <v>1718</v>
      </c>
      <c r="AP34" s="472" t="s">
        <v>1719</v>
      </c>
      <c r="AQ34" s="11"/>
      <c r="AR34" s="11"/>
      <c r="AS34" s="11"/>
      <c r="AT34" s="11"/>
      <c r="AU34" s="11"/>
      <c r="AV34" s="11"/>
      <c r="AW34" s="11"/>
      <c r="AX34" s="11"/>
      <c r="AY34" s="11"/>
      <c r="AZ34" s="11"/>
      <c r="BA34" s="11"/>
    </row>
    <row r="35" spans="1:53" ht="15" customHeight="1">
      <c r="A35" s="21">
        <v>14</v>
      </c>
      <c r="B35" s="21">
        <f ca="1">IFERROR(SUMIF(ADMIN!$G$6:$G$258,A35,ADMIN!$F$6:$F$258),"")</f>
        <v>105</v>
      </c>
      <c r="C35" s="13"/>
      <c r="D35" s="21">
        <v>1</v>
      </c>
      <c r="E35" s="21" t="e">
        <f ca="1">SUMIFS(_xlfn.ANCHORARRAY($Z$35),_xlfn.ANCHORARRAY($AH$35),D35)</f>
        <v>#NAME?</v>
      </c>
      <c r="F35" s="21">
        <f ca="1">IFERROR(E35/SUM($E$35:E37),0)</f>
        <v>0</v>
      </c>
      <c r="G35" s="13"/>
      <c r="H35" s="13"/>
      <c r="I35" s="13"/>
      <c r="J35" s="21"/>
      <c r="K35" s="21"/>
      <c r="L35" s="122" t="str">
        <f ca="1">Horarios!Q30</f>
        <v>Irán</v>
      </c>
      <c r="M35" s="450">
        <f ca="1">ADMIN!$D$5-SUM(N35:T35)</f>
        <v>31</v>
      </c>
      <c r="N35" s="450">
        <f ca="1">IFERROR(COUNTIF(ADMIN!$S$130:INDEX(ADMIN!$S$130:$JE$161,32,ADMIN!$D$5*3-1),Stats!$L35)-SUM(O35:T35),0)</f>
        <v>9</v>
      </c>
      <c r="O35" s="450">
        <f ca="1">COUNTIF(ADMIN!$S$182:INDEX(ADMIN!$S$182:$JE$197,16,ADMIN!$D$5*3-1),Stats!$L35)-SUM(P35:T35)</f>
        <v>0</v>
      </c>
      <c r="P35" s="450">
        <f ca="1">COUNTIF(ADMIN!$S$210:INDEX(ADMIN!$S$210:$JE$217,8,ADMIN!$D$5*3-1),Stats!$L35)-SUM(Q35:T35)</f>
        <v>0</v>
      </c>
      <c r="Q35" s="450">
        <f ca="1">COUNTIF(ADMIN!$S$226:INDEX(ADMIN!$S$226:$JE$229,4,ADMIN!$D$5*3-1),Stats!$L35)-SUM(R35:T35)</f>
        <v>0</v>
      </c>
      <c r="R35" s="450">
        <f ca="1">IFERROR(COUNTIF(ADMIN!$S$252:INDEX(ADMIN!$S$252:$JE$252,1,ADMIN!$D$5*3-1),Stats!$L35),0)</f>
        <v>0</v>
      </c>
      <c r="S35" s="450">
        <f ca="1">IFERROR(COUNTIF(ADMIN!$S$251:INDEX(ADMIN!$S$251:$JE$251,1,ADMIN!$D$5*3-1),Stats!$L35),0)</f>
        <v>0</v>
      </c>
      <c r="T35" s="451">
        <f ca="1">IFERROR(COUNTIF(ADMIN!$S$250:INDEX(ADMIN!$S$250:$JE$250,1,ADMIN!$D$5*3-1),Stats!$L35),0)</f>
        <v>0</v>
      </c>
      <c r="U35" s="21"/>
      <c r="V35" s="11">
        <f t="shared" ca="1" si="0"/>
        <v>40</v>
      </c>
      <c r="W35" s="11" t="str" cm="1">
        <f t="array" aca="1" ref="W35" ca="1">IFERROR(IF(_xlfn.ANCHORARRAY(Y35)&lt;&gt;"",COUNTIF(INDEX(DailyPrediction!$G$4:$AQ$58,,MATCH(Stats!$I$5,DailyPrediction!$G$2:$AQ$2,0)),_xlfn.ANCHORARRAY(Y35)),""),"")</f>
        <v/>
      </c>
      <c r="X35" s="11" t="str" cm="1">
        <f t="array" aca="1" ref="X35" ca="1">IFERROR(_xlfn._xlws.SORT(_xlfn.UNIQUE(_xlfn._xlws.FILTER(INDEX(DailyPrediction!$G$4:$AQ$58,,MATCH(Stats!$I$5,DailyPrediction!$G$2:$AQ$2,0)),LEN(INDEX(DailyPrediction!$G$4:$AQ$58,,MATCH(Stats!$I$5,DailyPrediction!$G$2:$AQ$2,0)))&gt;1))),Idiomas!D501)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1">
        <v>15</v>
      </c>
      <c r="B36" s="21">
        <f ca="1">IFERROR(SUMIF(ADMIN!$G$6:$G$258,A36,ADMIN!$F$6:$F$258),"")</f>
        <v>108</v>
      </c>
      <c r="C36" s="13"/>
      <c r="D36" s="21" t="s">
        <v>13</v>
      </c>
      <c r="E36" s="21" t="e">
        <f ca="1">SUMIFS(_xlfn.ANCHORARRAY($Z$35),_xlfn.ANCHORARRAY($AH$35),D36)</f>
        <v>#NAME?</v>
      </c>
      <c r="F36" s="21">
        <f ca="1">IFERROR(E36/SUM($E$35:E38),0)</f>
        <v>0</v>
      </c>
      <c r="G36" s="13"/>
      <c r="H36" s="13"/>
      <c r="I36" s="13"/>
      <c r="J36" s="21"/>
      <c r="K36" s="21"/>
      <c r="L36" s="123" t="str">
        <f ca="1">Horarios!Q31</f>
        <v>Japón</v>
      </c>
      <c r="M36" s="448">
        <f ca="1">ADMIN!$D$5-SUM(N36:T36)</f>
        <v>24</v>
      </c>
      <c r="N36" s="448">
        <f ca="1">IFERROR(COUNTIF(ADMIN!$S$130:INDEX(ADMIN!$S$130:$JE$161,32,ADMIN!$D$5*3-1),Stats!$L36)-SUM(O36:T36),0)</f>
        <v>16</v>
      </c>
      <c r="O36" s="448">
        <f ca="1">COUNTIF(ADMIN!$S$182:INDEX(ADMIN!$S$182:$JE$197,16,ADMIN!$D$5*3-1),Stats!$L36)-SUM(P36:T36)</f>
        <v>0</v>
      </c>
      <c r="P36" s="448">
        <f ca="1">COUNTIF(ADMIN!$S$210:INDEX(ADMIN!$S$210:$JE$217,8,ADMIN!$D$5*3-1),Stats!$L36)-SUM(Q36:T36)</f>
        <v>0</v>
      </c>
      <c r="Q36" s="448">
        <f ca="1">COUNTIF(ADMIN!$S$226:INDEX(ADMIN!$S$226:$JE$229,4,ADMIN!$D$5*3-1),Stats!$L36)-SUM(R36:T36)</f>
        <v>0</v>
      </c>
      <c r="R36" s="448">
        <f ca="1">IFERROR(COUNTIF(ADMIN!$S$252:INDEX(ADMIN!$S$252:$JE$252,1,ADMIN!$D$5*3-1),Stats!$L36),0)</f>
        <v>0</v>
      </c>
      <c r="S36" s="448">
        <f ca="1">IFERROR(COUNTIF(ADMIN!$S$251:INDEX(ADMIN!$S$251:$JE$251,1,ADMIN!$D$5*3-1),Stats!$L36),0)</f>
        <v>0</v>
      </c>
      <c r="T36" s="449">
        <f ca="1">IFERROR(COUNTIF(ADMIN!$S$250:INDEX(ADMIN!$S$250:$JE$250,1,ADMIN!$D$5*3-1),Stats!$L36),0)</f>
        <v>0</v>
      </c>
      <c r="U36" s="21"/>
      <c r="V36" s="11">
        <f t="shared" ca="1" si="0"/>
        <v>40</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1">
        <v>16</v>
      </c>
      <c r="B37" s="21">
        <f ca="1">IFERROR(SUMIF(ADMIN!$G$6:$G$258,A37,ADMIN!$F$6:$F$258),"")</f>
        <v>216</v>
      </c>
      <c r="C37" s="13"/>
      <c r="D37" s="21">
        <v>2</v>
      </c>
      <c r="E37" s="21" t="e">
        <f ca="1">SUMIFS(_xlfn.ANCHORARRAY($Z$35),_xlfn.ANCHORARRAY($AH$35),D37)</f>
        <v>#NAME?</v>
      </c>
      <c r="F37" s="21">
        <f ca="1">IFERROR(E37/SUM($E$35:E39),0)</f>
        <v>0</v>
      </c>
      <c r="G37" s="13"/>
      <c r="H37" s="13"/>
      <c r="I37" s="13"/>
      <c r="J37" s="21"/>
      <c r="K37" s="21"/>
      <c r="L37" s="122" t="str">
        <f ca="1">Horarios!Q32</f>
        <v>Jordania</v>
      </c>
      <c r="M37" s="450">
        <f ca="1">ADMIN!$D$5-SUM(N37:T37)</f>
        <v>40</v>
      </c>
      <c r="N37" s="450">
        <f ca="1">IFERROR(COUNTIF(ADMIN!$S$130:INDEX(ADMIN!$S$130:$JE$161,32,ADMIN!$D$5*3-1),Stats!$L37)-SUM(O37:T37),0)</f>
        <v>0</v>
      </c>
      <c r="O37" s="450">
        <f ca="1">COUNTIF(ADMIN!$S$182:INDEX(ADMIN!$S$182:$JE$197,16,ADMIN!$D$5*3-1),Stats!$L37)-SUM(P37:T37)</f>
        <v>0</v>
      </c>
      <c r="P37" s="450">
        <f ca="1">COUNTIF(ADMIN!$S$210:INDEX(ADMIN!$S$210:$JE$217,8,ADMIN!$D$5*3-1),Stats!$L37)-SUM(Q37:T37)</f>
        <v>0</v>
      </c>
      <c r="Q37" s="450">
        <f ca="1">COUNTIF(ADMIN!$S$226:INDEX(ADMIN!$S$226:$JE$229,4,ADMIN!$D$5*3-1),Stats!$L37)-SUM(R37:T37)</f>
        <v>0</v>
      </c>
      <c r="R37" s="450">
        <f ca="1">IFERROR(COUNTIF(ADMIN!$S$252:INDEX(ADMIN!$S$252:$JE$252,1,ADMIN!$D$5*3-1),Stats!$L37),0)</f>
        <v>0</v>
      </c>
      <c r="S37" s="450">
        <f ca="1">IFERROR(COUNTIF(ADMIN!$S$251:INDEX(ADMIN!$S$251:$JE$251,1,ADMIN!$D$5*3-1),Stats!$L37),0)</f>
        <v>0</v>
      </c>
      <c r="T37" s="451">
        <f ca="1">IFERROR(COUNTIF(ADMIN!$S$250:INDEX(ADMIN!$S$250:$JE$250,1,ADMIN!$D$5*3-1),Stats!$L37),0)</f>
        <v>0</v>
      </c>
      <c r="U37" s="21"/>
      <c r="V37" s="11">
        <f t="shared" ca="1" si="0"/>
        <v>40</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1">
        <v>17</v>
      </c>
      <c r="B38" s="21">
        <f ca="1">IFERROR(SUMIF(ADMIN!$G$6:$G$258,A38,ADMIN!$F$6:$F$258),"")</f>
        <v>108</v>
      </c>
      <c r="C38" s="13"/>
      <c r="D38" s="21"/>
      <c r="E38" s="21"/>
      <c r="F38" s="21"/>
      <c r="G38" s="13"/>
      <c r="H38" s="13"/>
      <c r="I38" s="13"/>
      <c r="J38" s="21"/>
      <c r="K38" s="21"/>
      <c r="L38" s="123" t="str">
        <f ca="1">Horarios!Q33</f>
        <v>Marruecos</v>
      </c>
      <c r="M38" s="448">
        <f ca="1">ADMIN!$D$5-SUM(N38:T38)</f>
        <v>22</v>
      </c>
      <c r="N38" s="448">
        <f ca="1">IFERROR(COUNTIF(ADMIN!$S$130:INDEX(ADMIN!$S$130:$JE$161,32,ADMIN!$D$5*3-1),Stats!$L38)-SUM(O38:T38),0)</f>
        <v>9</v>
      </c>
      <c r="O38" s="448">
        <f ca="1">COUNTIF(ADMIN!$S$182:INDEX(ADMIN!$S$182:$JE$197,16,ADMIN!$D$5*3-1),Stats!$L38)-SUM(P38:T38)</f>
        <v>0</v>
      </c>
      <c r="P38" s="448">
        <f ca="1">COUNTIF(ADMIN!$S$210:INDEX(ADMIN!$S$210:$JE$217,8,ADMIN!$D$5*3-1),Stats!$L38)-SUM(Q38:T38)</f>
        <v>8</v>
      </c>
      <c r="Q38" s="448">
        <f ca="1">COUNTIF(ADMIN!$S$226:INDEX(ADMIN!$S$226:$JE$229,4,ADMIN!$D$5*3-1),Stats!$L38)-SUM(R38:T38)</f>
        <v>1</v>
      </c>
      <c r="R38" s="448">
        <f ca="1">IFERROR(COUNTIF(ADMIN!$S$252:INDEX(ADMIN!$S$252:$JE$252,1,ADMIN!$D$5*3-1),Stats!$L38),0)</f>
        <v>0</v>
      </c>
      <c r="S38" s="448">
        <f ca="1">IFERROR(COUNTIF(ADMIN!$S$251:INDEX(ADMIN!$S$251:$JE$251,1,ADMIN!$D$5*3-1),Stats!$L38),0)</f>
        <v>0</v>
      </c>
      <c r="T38" s="449">
        <f ca="1">IFERROR(COUNTIF(ADMIN!$S$250:INDEX(ADMIN!$S$250:$JE$250,1,ADMIN!$D$5*3-1),Stats!$L38),0)</f>
        <v>0</v>
      </c>
      <c r="U38" s="21"/>
      <c r="V38" s="11">
        <f t="shared" ca="1" si="0"/>
        <v>40</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1">
        <v>18</v>
      </c>
      <c r="B39" s="21">
        <f ca="1">IFERROR(SUMIF(ADMIN!$G$6:$G$258,A39,ADMIN!$F$6:$F$258),"")</f>
        <v>162</v>
      </c>
      <c r="C39" s="13"/>
      <c r="D39" s="432"/>
      <c r="E39" s="432"/>
      <c r="F39" s="432"/>
      <c r="G39" s="13"/>
      <c r="H39" s="13"/>
      <c r="I39" s="13"/>
      <c r="J39" s="21"/>
      <c r="K39" s="21"/>
      <c r="L39" s="122" t="str">
        <f ca="1">Horarios!Q34</f>
        <v>México</v>
      </c>
      <c r="M39" s="450">
        <f ca="1">ADMIN!$D$5-SUM(N39:T39)</f>
        <v>22</v>
      </c>
      <c r="N39" s="450">
        <f ca="1">IFERROR(COUNTIF(ADMIN!$S$130:INDEX(ADMIN!$S$130:$JE$161,32,ADMIN!$D$5*3-1),Stats!$L39)-SUM(O39:T39),0)</f>
        <v>5</v>
      </c>
      <c r="O39" s="450">
        <f ca="1">COUNTIF(ADMIN!$S$182:INDEX(ADMIN!$S$182:$JE$197,16,ADMIN!$D$5*3-1),Stats!$L39)-SUM(P39:T39)</f>
        <v>12</v>
      </c>
      <c r="P39" s="450">
        <f ca="1">COUNTIF(ADMIN!$S$210:INDEX(ADMIN!$S$210:$JE$217,8,ADMIN!$D$5*3-1),Stats!$L39)-SUM(Q39:T39)</f>
        <v>1</v>
      </c>
      <c r="Q39" s="450">
        <f ca="1">COUNTIF(ADMIN!$S$226:INDEX(ADMIN!$S$226:$JE$229,4,ADMIN!$D$5*3-1),Stats!$L39)-SUM(R39:T39)</f>
        <v>0</v>
      </c>
      <c r="R39" s="450">
        <f ca="1">IFERROR(COUNTIF(ADMIN!$S$252:INDEX(ADMIN!$S$252:$JE$252,1,ADMIN!$D$5*3-1),Stats!$L39),0)</f>
        <v>0</v>
      </c>
      <c r="S39" s="450">
        <f ca="1">IFERROR(COUNTIF(ADMIN!$S$251:INDEX(ADMIN!$S$251:$JE$251,1,ADMIN!$D$5*3-1),Stats!$L39),0)</f>
        <v>0</v>
      </c>
      <c r="T39" s="451">
        <f ca="1">IFERROR(COUNTIF(ADMIN!$S$250:INDEX(ADMIN!$S$250:$JE$250,1,ADMIN!$D$5*3-1),Stats!$L39),0)</f>
        <v>0</v>
      </c>
      <c r="U39" s="21"/>
      <c r="V39" s="11">
        <f t="shared" ca="1" si="0"/>
        <v>40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1">
        <v>19</v>
      </c>
      <c r="B40" s="21">
        <f ca="1">IFERROR(SUMIF(ADMIN!$G$6:$G$258,A40,ADMIN!$F$6:$F$258),"")</f>
        <v>96</v>
      </c>
      <c r="C40" s="13"/>
      <c r="D40" s="432"/>
      <c r="E40" s="432"/>
      <c r="F40" s="432"/>
      <c r="G40" s="13"/>
      <c r="H40" s="13"/>
      <c r="I40" s="13"/>
      <c r="J40" s="21"/>
      <c r="K40" s="21"/>
      <c r="L40" s="123" t="str">
        <f ca="1">Horarios!Q35</f>
        <v>Noruega</v>
      </c>
      <c r="M40" s="448">
        <f ca="1">ADMIN!$D$5-SUM(N40:T40)</f>
        <v>22</v>
      </c>
      <c r="N40" s="448">
        <f ca="1">IFERROR(COUNTIF(ADMIN!$S$130:INDEX(ADMIN!$S$130:$JE$161,32,ADMIN!$D$5*3-1),Stats!$L40)-SUM(O40:T40),0)</f>
        <v>8</v>
      </c>
      <c r="O40" s="448">
        <f ca="1">COUNTIF(ADMIN!$S$182:INDEX(ADMIN!$S$182:$JE$197,16,ADMIN!$D$5*3-1),Stats!$L40)-SUM(P40:T40)</f>
        <v>9</v>
      </c>
      <c r="P40" s="448">
        <f ca="1">COUNTIF(ADMIN!$S$210:INDEX(ADMIN!$S$210:$JE$217,8,ADMIN!$D$5*3-1),Stats!$L40)-SUM(Q40:T40)</f>
        <v>0</v>
      </c>
      <c r="Q40" s="448">
        <f ca="1">COUNTIF(ADMIN!$S$226:INDEX(ADMIN!$S$226:$JE$229,4,ADMIN!$D$5*3-1),Stats!$L40)-SUM(R40:T40)</f>
        <v>1</v>
      </c>
      <c r="R40" s="448">
        <f ca="1">IFERROR(COUNTIF(ADMIN!$S$252:INDEX(ADMIN!$S$252:$JE$252,1,ADMIN!$D$5*3-1),Stats!$L40),0)</f>
        <v>0</v>
      </c>
      <c r="S40" s="448">
        <f ca="1">IFERROR(COUNTIF(ADMIN!$S$251:INDEX(ADMIN!$S$251:$JE$251,1,ADMIN!$D$5*3-1),Stats!$L40),0)</f>
        <v>0</v>
      </c>
      <c r="T40" s="449">
        <f ca="1">IFERROR(COUNTIF(ADMIN!$S$250:INDEX(ADMIN!$S$250:$JE$250,1,ADMIN!$D$5*3-1),Stats!$L40),0)</f>
        <v>0</v>
      </c>
      <c r="U40" s="21"/>
      <c r="V40" s="11">
        <f t="shared" ca="1" si="0"/>
        <v>40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1">
        <v>20</v>
      </c>
      <c r="B41" s="21">
        <f ca="1">IFERROR(SUMIF(ADMIN!$G$6:$G$258,A41,ADMIN!$F$6:$F$258),"")</f>
        <v>336</v>
      </c>
      <c r="C41" s="13"/>
      <c r="D41" s="13"/>
      <c r="E41" s="13"/>
      <c r="F41" s="432"/>
      <c r="G41" s="13"/>
      <c r="H41" s="13"/>
      <c r="I41" s="13"/>
      <c r="J41" s="21"/>
      <c r="K41" s="21"/>
      <c r="L41" s="122" t="str">
        <f ca="1">Horarios!Q36</f>
        <v>Nueva Zelanda</v>
      </c>
      <c r="M41" s="450">
        <f ca="1">ADMIN!$D$5-SUM(N41:T41)</f>
        <v>39</v>
      </c>
      <c r="N41" s="450">
        <f ca="1">IFERROR(COUNTIF(ADMIN!$S$130:INDEX(ADMIN!$S$130:$JE$161,32,ADMIN!$D$5*3-1),Stats!$L41)-SUM(O41:T41),0)</f>
        <v>1</v>
      </c>
      <c r="O41" s="450">
        <f ca="1">COUNTIF(ADMIN!$S$182:INDEX(ADMIN!$S$182:$JE$197,16,ADMIN!$D$5*3-1),Stats!$L41)-SUM(P41:T41)</f>
        <v>0</v>
      </c>
      <c r="P41" s="450">
        <f ca="1">COUNTIF(ADMIN!$S$210:INDEX(ADMIN!$S$210:$JE$217,8,ADMIN!$D$5*3-1),Stats!$L41)-SUM(Q41:T41)</f>
        <v>0</v>
      </c>
      <c r="Q41" s="450">
        <f ca="1">COUNTIF(ADMIN!$S$226:INDEX(ADMIN!$S$226:$JE$229,4,ADMIN!$D$5*3-1),Stats!$L41)-SUM(R41:T41)</f>
        <v>0</v>
      </c>
      <c r="R41" s="450">
        <f ca="1">IFERROR(COUNTIF(ADMIN!$S$252:INDEX(ADMIN!$S$252:$JE$252,1,ADMIN!$D$5*3-1),Stats!$L41),0)</f>
        <v>0</v>
      </c>
      <c r="S41" s="450">
        <f ca="1">IFERROR(COUNTIF(ADMIN!$S$251:INDEX(ADMIN!$S$251:$JE$251,1,ADMIN!$D$5*3-1),Stats!$L41),0)</f>
        <v>0</v>
      </c>
      <c r="T41" s="451">
        <f ca="1">IFERROR(COUNTIF(ADMIN!$S$250:INDEX(ADMIN!$S$250:$JE$250,1,ADMIN!$D$5*3-1),Stats!$L41),0)</f>
        <v>0</v>
      </c>
      <c r="U41" s="21"/>
      <c r="V41" s="11">
        <f t="shared" ca="1" si="0"/>
        <v>40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1">
        <v>21</v>
      </c>
      <c r="B42" s="21">
        <f ca="1">IFERROR(SUMIF(ADMIN!$G$6:$G$258,A42,ADMIN!$F$6:$F$258),"")</f>
        <v>176</v>
      </c>
      <c r="C42" s="13"/>
      <c r="D42" s="13"/>
      <c r="E42" s="13"/>
      <c r="F42" s="432"/>
      <c r="G42" s="13"/>
      <c r="H42" s="13"/>
      <c r="I42" s="13"/>
      <c r="J42" s="21"/>
      <c r="K42" s="21"/>
      <c r="L42" s="123" t="str">
        <f ca="1">Horarios!Q37</f>
        <v>Países Bajos</v>
      </c>
      <c r="M42" s="448">
        <f ca="1">ADMIN!$D$5-SUM(N42:T42)</f>
        <v>22</v>
      </c>
      <c r="N42" s="448">
        <f ca="1">IFERROR(COUNTIF(ADMIN!$S$130:INDEX(ADMIN!$S$130:$JE$161,32,ADMIN!$D$5*3-1),Stats!$L42)-SUM(O42:T42),0)</f>
        <v>8</v>
      </c>
      <c r="O42" s="448">
        <f ca="1">COUNTIF(ADMIN!$S$182:INDEX(ADMIN!$S$182:$JE$197,16,ADMIN!$D$5*3-1),Stats!$L42)-SUM(P42:T42)</f>
        <v>0</v>
      </c>
      <c r="P42" s="448">
        <f ca="1">COUNTIF(ADMIN!$S$210:INDEX(ADMIN!$S$210:$JE$217,8,ADMIN!$D$5*3-1),Stats!$L42)-SUM(Q42:T42)</f>
        <v>9</v>
      </c>
      <c r="Q42" s="448">
        <f ca="1">COUNTIF(ADMIN!$S$226:INDEX(ADMIN!$S$226:$JE$229,4,ADMIN!$D$5*3-1),Stats!$L42)-SUM(R42:T42)</f>
        <v>0</v>
      </c>
      <c r="R42" s="448">
        <f ca="1">IFERROR(COUNTIF(ADMIN!$S$252:INDEX(ADMIN!$S$252:$JE$252,1,ADMIN!$D$5*3-1),Stats!$L42),0)</f>
        <v>0</v>
      </c>
      <c r="S42" s="448">
        <f ca="1">IFERROR(COUNTIF(ADMIN!$S$251:INDEX(ADMIN!$S$251:$JE$251,1,ADMIN!$D$5*3-1),Stats!$L42),0)</f>
        <v>0</v>
      </c>
      <c r="T42" s="449">
        <f ca="1">IFERROR(COUNTIF(ADMIN!$S$250:INDEX(ADMIN!$S$250:$JE$250,1,ADMIN!$D$5*3-1),Stats!$L42),0)</f>
        <v>1</v>
      </c>
      <c r="U42" s="21"/>
      <c r="V42" s="11">
        <f t="shared" ca="1" si="0"/>
        <v>40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1">
        <v>22</v>
      </c>
      <c r="B43" s="21">
        <f ca="1">IFERROR(SUMIF(ADMIN!$G$6:$G$258,A43,ADMIN!$F$6:$F$258),"")</f>
        <v>92</v>
      </c>
      <c r="C43" s="13"/>
      <c r="D43" s="13"/>
      <c r="E43" s="13"/>
      <c r="F43" s="432"/>
      <c r="G43" s="13"/>
      <c r="H43" s="13"/>
      <c r="I43" s="13"/>
      <c r="J43" s="21"/>
      <c r="K43" s="21"/>
      <c r="L43" s="122" t="str">
        <f ca="1">Horarios!Q38</f>
        <v>Panamá</v>
      </c>
      <c r="M43" s="450">
        <f ca="1">ADMIN!$D$5-SUM(N43:T43)</f>
        <v>39</v>
      </c>
      <c r="N43" s="450">
        <f ca="1">IFERROR(COUNTIF(ADMIN!$S$130:INDEX(ADMIN!$S$130:$JE$161,32,ADMIN!$D$5*3-1),Stats!$L43)-SUM(O43:T43),0)</f>
        <v>1</v>
      </c>
      <c r="O43" s="450">
        <f ca="1">COUNTIF(ADMIN!$S$182:INDEX(ADMIN!$S$182:$JE$197,16,ADMIN!$D$5*3-1),Stats!$L43)-SUM(P43:T43)</f>
        <v>0</v>
      </c>
      <c r="P43" s="450">
        <f ca="1">COUNTIF(ADMIN!$S$210:INDEX(ADMIN!$S$210:$JE$217,8,ADMIN!$D$5*3-1),Stats!$L43)-SUM(Q43:T43)</f>
        <v>0</v>
      </c>
      <c r="Q43" s="450">
        <f ca="1">COUNTIF(ADMIN!$S$226:INDEX(ADMIN!$S$226:$JE$229,4,ADMIN!$D$5*3-1),Stats!$L43)-SUM(R43:T43)</f>
        <v>0</v>
      </c>
      <c r="R43" s="450">
        <f ca="1">IFERROR(COUNTIF(ADMIN!$S$252:INDEX(ADMIN!$S$252:$JE$252,1,ADMIN!$D$5*3-1),Stats!$L43),0)</f>
        <v>0</v>
      </c>
      <c r="S43" s="450">
        <f ca="1">IFERROR(COUNTIF(ADMIN!$S$251:INDEX(ADMIN!$S$251:$JE$251,1,ADMIN!$D$5*3-1),Stats!$L43),0)</f>
        <v>0</v>
      </c>
      <c r="T43" s="451">
        <f ca="1">IFERROR(COUNTIF(ADMIN!$S$250:INDEX(ADMIN!$S$250:$JE$250,1,ADMIN!$D$5*3-1),Stats!$L43),0)</f>
        <v>0</v>
      </c>
      <c r="U43" s="21"/>
      <c r="V43" s="11">
        <f t="shared" ca="1" si="0"/>
        <v>40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1">
        <v>23</v>
      </c>
      <c r="B44" s="21">
        <f ca="1">IFERROR(SUMIF(ADMIN!$G$6:$G$258,A44,ADMIN!$F$6:$F$258),"")</f>
        <v>64</v>
      </c>
      <c r="C44" s="13"/>
      <c r="D44" s="432"/>
      <c r="E44" s="432"/>
      <c r="F44" s="432"/>
      <c r="G44" s="13"/>
      <c r="H44" s="13"/>
      <c r="I44" s="13"/>
      <c r="J44" s="21"/>
      <c r="K44" s="21"/>
      <c r="L44" s="123" t="str">
        <f ca="1">Horarios!Q39</f>
        <v>Paraguay</v>
      </c>
      <c r="M44" s="448">
        <f ca="1">ADMIN!$D$5-SUM(N44:T44)</f>
        <v>25</v>
      </c>
      <c r="N44" s="448">
        <f ca="1">IFERROR(COUNTIF(ADMIN!$S$130:INDEX(ADMIN!$S$130:$JE$161,32,ADMIN!$D$5*3-1),Stats!$L44)-SUM(O44:T44),0)</f>
        <v>14</v>
      </c>
      <c r="O44" s="448">
        <f ca="1">COUNTIF(ADMIN!$S$182:INDEX(ADMIN!$S$182:$JE$197,16,ADMIN!$D$5*3-1),Stats!$L44)-SUM(P44:T44)</f>
        <v>1</v>
      </c>
      <c r="P44" s="448">
        <f ca="1">COUNTIF(ADMIN!$S$210:INDEX(ADMIN!$S$210:$JE$217,8,ADMIN!$D$5*3-1),Stats!$L44)-SUM(Q44:T44)</f>
        <v>0</v>
      </c>
      <c r="Q44" s="448">
        <f ca="1">COUNTIF(ADMIN!$S$226:INDEX(ADMIN!$S$226:$JE$229,4,ADMIN!$D$5*3-1),Stats!$L44)-SUM(R44:T44)</f>
        <v>0</v>
      </c>
      <c r="R44" s="448">
        <f ca="1">IFERROR(COUNTIF(ADMIN!$S$252:INDEX(ADMIN!$S$252:$JE$252,1,ADMIN!$D$5*3-1),Stats!$L44),0)</f>
        <v>0</v>
      </c>
      <c r="S44" s="448">
        <f ca="1">IFERROR(COUNTIF(ADMIN!$S$251:INDEX(ADMIN!$S$251:$JE$251,1,ADMIN!$D$5*3-1),Stats!$L44),0)</f>
        <v>0</v>
      </c>
      <c r="T44" s="449">
        <f ca="1">IFERROR(COUNTIF(ADMIN!$S$250:INDEX(ADMIN!$S$250:$JE$250,1,ADMIN!$D$5*3-1),Stats!$L44),0)</f>
        <v>0</v>
      </c>
      <c r="U44" s="21"/>
      <c r="V44" s="11">
        <f t="shared" ca="1" si="0"/>
        <v>40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1">
        <v>24</v>
      </c>
      <c r="B45" s="21">
        <f ca="1">IFERROR(SUMIF(ADMIN!$G$6:$G$258,A45,ADMIN!$F$6:$F$258),"")</f>
        <v>214</v>
      </c>
      <c r="C45" s="13"/>
      <c r="D45" s="432"/>
      <c r="E45" s="432" t="str">
        <f ca="1">IF(Home!E41&lt;Home!E42,"",IF(Home!E41&gt;=Home!E42,Idiomas!D511&amp;" "&amp;SUM(WORLDCUP!$BJ$6:$BJ$53,WORLDCUP!$AC$101:$AD$147)&amp;" "&amp;Idiomas!D512,""))</f>
        <v>Se han marcado un total de 5 goles en el Mundial de Clubes sin contar tandas de penalti</v>
      </c>
      <c r="F45" s="432"/>
      <c r="G45" s="13"/>
      <c r="H45" s="13"/>
      <c r="I45" s="13"/>
      <c r="J45" s="21"/>
      <c r="K45" s="21"/>
      <c r="L45" s="122" t="str">
        <f ca="1">Horarios!Q40</f>
        <v>Portugal</v>
      </c>
      <c r="M45" s="450">
        <f ca="1">ADMIN!$D$5-SUM(N45:T45)</f>
        <v>22</v>
      </c>
      <c r="N45" s="450">
        <f ca="1">IFERROR(COUNTIF(ADMIN!$S$130:INDEX(ADMIN!$S$130:$JE$161,32,ADMIN!$D$5*3-1),Stats!$L45)-SUM(O45:T45),0)</f>
        <v>1</v>
      </c>
      <c r="O45" s="450">
        <f ca="1">COUNTIF(ADMIN!$S$182:INDEX(ADMIN!$S$182:$JE$197,16,ADMIN!$D$5*3-1),Stats!$L45)-SUM(P45:T45)</f>
        <v>0</v>
      </c>
      <c r="P45" s="450">
        <f ca="1">COUNTIF(ADMIN!$S$210:INDEX(ADMIN!$S$210:$JE$217,8,ADMIN!$D$5*3-1),Stats!$L45)-SUM(Q45:T45)</f>
        <v>8</v>
      </c>
      <c r="Q45" s="450">
        <f ca="1">COUNTIF(ADMIN!$S$226:INDEX(ADMIN!$S$226:$JE$229,4,ADMIN!$D$5*3-1),Stats!$L45)-SUM(R45:T45)</f>
        <v>5</v>
      </c>
      <c r="R45" s="450">
        <f ca="1">IFERROR(COUNTIF(ADMIN!$S$252:INDEX(ADMIN!$S$252:$JE$252,1,ADMIN!$D$5*3-1),Stats!$L45),0)</f>
        <v>0</v>
      </c>
      <c r="S45" s="450">
        <f ca="1">IFERROR(COUNTIF(ADMIN!$S$251:INDEX(ADMIN!$S$251:$JE$251,1,ADMIN!$D$5*3-1),Stats!$L45),0)</f>
        <v>3</v>
      </c>
      <c r="T45" s="451">
        <f ca="1">IFERROR(COUNTIF(ADMIN!$S$250:INDEX(ADMIN!$S$250:$JE$250,1,ADMIN!$D$5*3-1),Stats!$L45),0)</f>
        <v>1</v>
      </c>
      <c r="U45" s="21"/>
      <c r="V45" s="11">
        <f t="shared" ca="1" si="0"/>
        <v>40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1"/>
      <c r="B46" s="390">
        <f ca="1">SUM(B22:B45)</f>
        <v>2442</v>
      </c>
      <c r="C46" s="13"/>
      <c r="D46" s="432"/>
      <c r="E46" s="432"/>
      <c r="F46" s="432"/>
      <c r="G46" s="13"/>
      <c r="H46" s="13"/>
      <c r="I46" s="13"/>
      <c r="J46" s="21"/>
      <c r="K46" s="21"/>
      <c r="L46" s="123" t="str">
        <f ca="1">Horarios!Q41</f>
        <v>RD Congo</v>
      </c>
      <c r="M46" s="448">
        <f ca="1">ADMIN!$D$5-SUM(N46:T46)</f>
        <v>40</v>
      </c>
      <c r="N46" s="448">
        <f ca="1">IFERROR(COUNTIF(ADMIN!$S$130:INDEX(ADMIN!$S$130:$JE$161,32,ADMIN!$D$5*3-1),Stats!$L46)-SUM(O46:T46),0)</f>
        <v>0</v>
      </c>
      <c r="O46" s="448">
        <f ca="1">COUNTIF(ADMIN!$S$182:INDEX(ADMIN!$S$182:$JE$197,16,ADMIN!$D$5*3-1),Stats!$L46)-SUM(P46:T46)</f>
        <v>0</v>
      </c>
      <c r="P46" s="448">
        <f ca="1">COUNTIF(ADMIN!$S$210:INDEX(ADMIN!$S$210:$JE$217,8,ADMIN!$D$5*3-1),Stats!$L46)-SUM(Q46:T46)</f>
        <v>0</v>
      </c>
      <c r="Q46" s="448">
        <f ca="1">COUNTIF(ADMIN!$S$226:INDEX(ADMIN!$S$226:$JE$229,4,ADMIN!$D$5*3-1),Stats!$L46)-SUM(R46:T46)</f>
        <v>0</v>
      </c>
      <c r="R46" s="448">
        <f ca="1">IFERROR(COUNTIF(ADMIN!$S$252:INDEX(ADMIN!$S$252:$JE$252,1,ADMIN!$D$5*3-1),Stats!$L46),0)</f>
        <v>0</v>
      </c>
      <c r="S46" s="448">
        <f ca="1">IFERROR(COUNTIF(ADMIN!$S$251:INDEX(ADMIN!$S$251:$JE$251,1,ADMIN!$D$5*3-1),Stats!$L46),0)</f>
        <v>0</v>
      </c>
      <c r="T46" s="449">
        <f ca="1">IFERROR(COUNTIF(ADMIN!$S$250:INDEX(ADMIN!$S$250:$JE$250,1,ADMIN!$D$5*3-1),Stats!$L46),0)</f>
        <v>0</v>
      </c>
      <c r="U46" s="21"/>
      <c r="V46" s="11">
        <f t="shared" ca="1" si="0"/>
        <v>40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1"/>
      <c r="B47" s="21">
        <f ca="1">B46*ADMIN!$D$5</f>
        <v>97680</v>
      </c>
      <c r="C47" s="13"/>
      <c r="D47" s="432"/>
      <c r="E47" s="432"/>
      <c r="F47" s="432"/>
      <c r="G47" s="13"/>
      <c r="H47" s="13"/>
      <c r="I47" s="13"/>
      <c r="J47" s="21"/>
      <c r="K47" s="21"/>
      <c r="L47" s="122" t="str">
        <f ca="1">Horarios!Q42</f>
        <v>República Checa</v>
      </c>
      <c r="M47" s="450">
        <f ca="1">ADMIN!$D$5-SUM(N47:T47)</f>
        <v>27</v>
      </c>
      <c r="N47" s="450">
        <f ca="1">IFERROR(COUNTIF(ADMIN!$S$130:INDEX(ADMIN!$S$130:$JE$161,32,ADMIN!$D$5*3-1),Stats!$L47)-SUM(O47:T47),0)</f>
        <v>6</v>
      </c>
      <c r="O47" s="450">
        <f ca="1">COUNTIF(ADMIN!$S$182:INDEX(ADMIN!$S$182:$JE$197,16,ADMIN!$D$5*3-1),Stats!$L47)-SUM(P47:T47)</f>
        <v>6</v>
      </c>
      <c r="P47" s="450">
        <f ca="1">COUNTIF(ADMIN!$S$210:INDEX(ADMIN!$S$210:$JE$217,8,ADMIN!$D$5*3-1),Stats!$L47)-SUM(Q47:T47)</f>
        <v>0</v>
      </c>
      <c r="Q47" s="450">
        <f ca="1">COUNTIF(ADMIN!$S$226:INDEX(ADMIN!$S$226:$JE$229,4,ADMIN!$D$5*3-1),Stats!$L47)-SUM(R47:T47)</f>
        <v>1</v>
      </c>
      <c r="R47" s="450">
        <f ca="1">IFERROR(COUNTIF(ADMIN!$S$252:INDEX(ADMIN!$S$252:$JE$252,1,ADMIN!$D$5*3-1),Stats!$L47),0)</f>
        <v>0</v>
      </c>
      <c r="S47" s="450">
        <f ca="1">IFERROR(COUNTIF(ADMIN!$S$251:INDEX(ADMIN!$S$251:$JE$251,1,ADMIN!$D$5*3-1),Stats!$L47),0)</f>
        <v>0</v>
      </c>
      <c r="T47" s="451">
        <f ca="1">IFERROR(COUNTIF(ADMIN!$S$250:INDEX(ADMIN!$S$250:$JE$250,1,ADMIN!$D$5*3-1),Stats!$L47),0)</f>
        <v>0</v>
      </c>
      <c r="U47" s="21"/>
      <c r="V47" s="11">
        <f t="shared" ca="1" si="0"/>
        <v>40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1"/>
      <c r="B48" s="21"/>
      <c r="C48" s="13"/>
      <c r="D48" s="13"/>
      <c r="E48" s="13"/>
      <c r="F48" s="13"/>
      <c r="G48" s="13"/>
      <c r="H48" s="13"/>
      <c r="I48" s="13"/>
      <c r="J48" s="21"/>
      <c r="K48" s="21"/>
      <c r="L48" s="123" t="str">
        <f ca="1">Horarios!Q43</f>
        <v>Senegal</v>
      </c>
      <c r="M48" s="448">
        <f ca="1">ADMIN!$D$5-SUM(N48:T48)</f>
        <v>24</v>
      </c>
      <c r="N48" s="448">
        <f ca="1">IFERROR(COUNTIF(ADMIN!$S$130:INDEX(ADMIN!$S$130:$JE$161,32,ADMIN!$D$5*3-1),Stats!$L48)-SUM(O48:T48),0)</f>
        <v>11</v>
      </c>
      <c r="O48" s="448">
        <f ca="1">COUNTIF(ADMIN!$S$182:INDEX(ADMIN!$S$182:$JE$197,16,ADMIN!$D$5*3-1),Stats!$L48)-SUM(P48:T48)</f>
        <v>5</v>
      </c>
      <c r="P48" s="448">
        <f ca="1">COUNTIF(ADMIN!$S$210:INDEX(ADMIN!$S$210:$JE$217,8,ADMIN!$D$5*3-1),Stats!$L48)-SUM(Q48:T48)</f>
        <v>0</v>
      </c>
      <c r="Q48" s="448">
        <f ca="1">COUNTIF(ADMIN!$S$226:INDEX(ADMIN!$S$226:$JE$229,4,ADMIN!$D$5*3-1),Stats!$L48)-SUM(R48:T48)</f>
        <v>0</v>
      </c>
      <c r="R48" s="448">
        <f ca="1">IFERROR(COUNTIF(ADMIN!$S$252:INDEX(ADMIN!$S$252:$JE$252,1,ADMIN!$D$5*3-1),Stats!$L48),0)</f>
        <v>0</v>
      </c>
      <c r="S48" s="448">
        <f ca="1">IFERROR(COUNTIF(ADMIN!$S$251:INDEX(ADMIN!$S$251:$JE$251,1,ADMIN!$D$5*3-1),Stats!$L48),0)</f>
        <v>0</v>
      </c>
      <c r="T48" s="449">
        <f ca="1">IFERROR(COUNTIF(ADMIN!$S$250:INDEX(ADMIN!$S$250:$JE$250,1,ADMIN!$D$5*3-1),Stats!$L48),0)</f>
        <v>0</v>
      </c>
      <c r="U48" s="21"/>
      <c r="V48" s="11">
        <f t="shared" ca="1" si="0"/>
        <v>40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1"/>
      <c r="B49" s="21"/>
      <c r="C49" s="13"/>
      <c r="D49" s="13"/>
      <c r="E49" s="13"/>
      <c r="F49" s="13"/>
      <c r="G49" s="13"/>
      <c r="H49" s="13"/>
      <c r="I49" s="13"/>
      <c r="J49" s="21"/>
      <c r="K49" s="21"/>
      <c r="L49" s="122" t="str">
        <f ca="1">Horarios!Q44</f>
        <v>Sudáfrica</v>
      </c>
      <c r="M49" s="450">
        <f ca="1">ADMIN!$D$5-SUM(N49:T49)</f>
        <v>37</v>
      </c>
      <c r="N49" s="450">
        <f ca="1">IFERROR(COUNTIF(ADMIN!$S$130:INDEX(ADMIN!$S$130:$JE$161,32,ADMIN!$D$5*3-1),Stats!$L49)-SUM(O49:T49),0)</f>
        <v>3</v>
      </c>
      <c r="O49" s="450">
        <f ca="1">COUNTIF(ADMIN!$S$182:INDEX(ADMIN!$S$182:$JE$197,16,ADMIN!$D$5*3-1),Stats!$L49)-SUM(P49:T49)</f>
        <v>0</v>
      </c>
      <c r="P49" s="450">
        <f ca="1">COUNTIF(ADMIN!$S$210:INDEX(ADMIN!$S$210:$JE$217,8,ADMIN!$D$5*3-1),Stats!$L49)-SUM(Q49:T49)</f>
        <v>0</v>
      </c>
      <c r="Q49" s="450">
        <f ca="1">COUNTIF(ADMIN!$S$226:INDEX(ADMIN!$S$226:$JE$229,4,ADMIN!$D$5*3-1),Stats!$L49)-SUM(R49:T49)</f>
        <v>0</v>
      </c>
      <c r="R49" s="450">
        <f ca="1">IFERROR(COUNTIF(ADMIN!$S$252:INDEX(ADMIN!$S$252:$JE$252,1,ADMIN!$D$5*3-1),Stats!$L49),0)</f>
        <v>0</v>
      </c>
      <c r="S49" s="450">
        <f ca="1">IFERROR(COUNTIF(ADMIN!$S$251:INDEX(ADMIN!$S$251:$JE$251,1,ADMIN!$D$5*3-1),Stats!$L49),0)</f>
        <v>0</v>
      </c>
      <c r="T49" s="451">
        <f ca="1">IFERROR(COUNTIF(ADMIN!$S$250:INDEX(ADMIN!$S$250:$JE$250,1,ADMIN!$D$5*3-1),Stats!$L49),0)</f>
        <v>0</v>
      </c>
      <c r="U49" s="21"/>
      <c r="V49" s="11">
        <f t="shared" ca="1" si="0"/>
        <v>40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1"/>
      <c r="B50" s="21"/>
      <c r="C50" s="13"/>
      <c r="D50" s="13"/>
      <c r="E50" s="13"/>
      <c r="F50" s="13"/>
      <c r="G50" s="13"/>
      <c r="H50" s="13"/>
      <c r="I50" s="13"/>
      <c r="J50" s="21"/>
      <c r="K50" s="21"/>
      <c r="L50" s="123" t="str">
        <f ca="1">Horarios!Q45</f>
        <v>Suecia</v>
      </c>
      <c r="M50" s="448">
        <f ca="1">ADMIN!$D$5-SUM(N50:T50)</f>
        <v>25</v>
      </c>
      <c r="N50" s="448">
        <f ca="1">IFERROR(COUNTIF(ADMIN!$S$130:INDEX(ADMIN!$S$130:$JE$161,32,ADMIN!$D$5*3-1),Stats!$L50)-SUM(O50:T50),0)</f>
        <v>14</v>
      </c>
      <c r="O50" s="448">
        <f ca="1">COUNTIF(ADMIN!$S$182:INDEX(ADMIN!$S$182:$JE$197,16,ADMIN!$D$5*3-1),Stats!$L50)-SUM(P50:T50)</f>
        <v>1</v>
      </c>
      <c r="P50" s="448">
        <f ca="1">COUNTIF(ADMIN!$S$210:INDEX(ADMIN!$S$210:$JE$217,8,ADMIN!$D$5*3-1),Stats!$L50)-SUM(Q50:T50)</f>
        <v>0</v>
      </c>
      <c r="Q50" s="448">
        <f ca="1">COUNTIF(ADMIN!$S$226:INDEX(ADMIN!$S$226:$JE$229,4,ADMIN!$D$5*3-1),Stats!$L50)-SUM(R50:T50)</f>
        <v>0</v>
      </c>
      <c r="R50" s="448">
        <f ca="1">IFERROR(COUNTIF(ADMIN!$S$252:INDEX(ADMIN!$S$252:$JE$252,1,ADMIN!$D$5*3-1),Stats!$L50),0)</f>
        <v>0</v>
      </c>
      <c r="S50" s="448">
        <f ca="1">IFERROR(COUNTIF(ADMIN!$S$251:INDEX(ADMIN!$S$251:$JE$251,1,ADMIN!$D$5*3-1),Stats!$L50),0)</f>
        <v>0</v>
      </c>
      <c r="T50" s="449">
        <f ca="1">IFERROR(COUNTIF(ADMIN!$S$250:INDEX(ADMIN!$S$250:$JE$250,1,ADMIN!$D$5*3-1),Stats!$L50),0)</f>
        <v>0</v>
      </c>
      <c r="U50" s="21"/>
      <c r="V50" s="11">
        <f t="shared" ca="1" si="0"/>
        <v>40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1"/>
      <c r="B51" s="21"/>
      <c r="C51" s="13"/>
      <c r="D51" s="13"/>
      <c r="E51" s="13"/>
      <c r="F51" s="13"/>
      <c r="G51" s="13"/>
      <c r="H51" s="13"/>
      <c r="I51" s="13"/>
      <c r="J51" s="21"/>
      <c r="K51" s="21"/>
      <c r="L51" s="122" t="str">
        <f ca="1">Horarios!Q46</f>
        <v>Suiza</v>
      </c>
      <c r="M51" s="450">
        <f ca="1">ADMIN!$D$5-SUM(N51:T51)</f>
        <v>22</v>
      </c>
      <c r="N51" s="450">
        <f ca="1">IFERROR(COUNTIF(ADMIN!$S$130:INDEX(ADMIN!$S$130:$JE$161,32,ADMIN!$D$5*3-1),Stats!$L51)-SUM(O51:T51),0)</f>
        <v>8</v>
      </c>
      <c r="O51" s="450">
        <f ca="1">COUNTIF(ADMIN!$S$182:INDEX(ADMIN!$S$182:$JE$197,16,ADMIN!$D$5*3-1),Stats!$L51)-SUM(P51:T51)</f>
        <v>10</v>
      </c>
      <c r="P51" s="450">
        <f ca="1">COUNTIF(ADMIN!$S$210:INDEX(ADMIN!$S$210:$JE$217,8,ADMIN!$D$5*3-1),Stats!$L51)-SUM(Q51:T51)</f>
        <v>0</v>
      </c>
      <c r="Q51" s="450">
        <f ca="1">COUNTIF(ADMIN!$S$226:INDEX(ADMIN!$S$226:$JE$229,4,ADMIN!$D$5*3-1),Stats!$L51)-SUM(R51:T51)</f>
        <v>0</v>
      </c>
      <c r="R51" s="450">
        <f ca="1">IFERROR(COUNTIF(ADMIN!$S$252:INDEX(ADMIN!$S$252:$JE$252,1,ADMIN!$D$5*3-1),Stats!$L51),0)</f>
        <v>0</v>
      </c>
      <c r="S51" s="450">
        <f ca="1">IFERROR(COUNTIF(ADMIN!$S$251:INDEX(ADMIN!$S$251:$JE$251,1,ADMIN!$D$5*3-1),Stats!$L51),0)</f>
        <v>0</v>
      </c>
      <c r="T51" s="451">
        <f ca="1">IFERROR(COUNTIF(ADMIN!$S$250:INDEX(ADMIN!$S$250:$JE$250,1,ADMIN!$D$5*3-1),Stats!$L51),0)</f>
        <v>0</v>
      </c>
      <c r="U51" s="21"/>
      <c r="V51" s="11">
        <f t="shared" ca="1" si="0"/>
        <v>40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1"/>
      <c r="B52" s="21"/>
      <c r="C52" s="13"/>
      <c r="D52" s="13"/>
      <c r="E52" s="13"/>
      <c r="F52" s="13"/>
      <c r="G52" s="13"/>
      <c r="H52" s="13"/>
      <c r="I52" s="13"/>
      <c r="J52" s="21"/>
      <c r="K52" s="21"/>
      <c r="L52" s="123" t="str">
        <f ca="1">Horarios!Q47</f>
        <v>Túnez</v>
      </c>
      <c r="M52" s="448">
        <f ca="1">ADMIN!$D$5-SUM(N52:T52)</f>
        <v>40</v>
      </c>
      <c r="N52" s="448">
        <f ca="1">IFERROR(COUNTIF(ADMIN!$S$130:INDEX(ADMIN!$S$130:$JE$161,32,ADMIN!$D$5*3-1),Stats!$L52)-SUM(O52:T52),0)</f>
        <v>0</v>
      </c>
      <c r="O52" s="448">
        <f ca="1">COUNTIF(ADMIN!$S$182:INDEX(ADMIN!$S$182:$JE$197,16,ADMIN!$D$5*3-1),Stats!$L52)-SUM(P52:T52)</f>
        <v>0</v>
      </c>
      <c r="P52" s="448">
        <f ca="1">COUNTIF(ADMIN!$S$210:INDEX(ADMIN!$S$210:$JE$217,8,ADMIN!$D$5*3-1),Stats!$L52)-SUM(Q52:T52)</f>
        <v>0</v>
      </c>
      <c r="Q52" s="448">
        <f ca="1">COUNTIF(ADMIN!$S$226:INDEX(ADMIN!$S$226:$JE$229,4,ADMIN!$D$5*3-1),Stats!$L52)-SUM(R52:T52)</f>
        <v>0</v>
      </c>
      <c r="R52" s="448">
        <f ca="1">IFERROR(COUNTIF(ADMIN!$S$252:INDEX(ADMIN!$S$252:$JE$252,1,ADMIN!$D$5*3-1),Stats!$L52),0)</f>
        <v>0</v>
      </c>
      <c r="S52" s="448">
        <f ca="1">IFERROR(COUNTIF(ADMIN!$S$251:INDEX(ADMIN!$S$251:$JE$251,1,ADMIN!$D$5*3-1),Stats!$L52),0)</f>
        <v>0</v>
      </c>
      <c r="T52" s="449">
        <f ca="1">IFERROR(COUNTIF(ADMIN!$S$250:INDEX(ADMIN!$S$250:$JE$250,1,ADMIN!$D$5*3-1),Stats!$L52),0)</f>
        <v>0</v>
      </c>
      <c r="U52" s="21"/>
      <c r="V52" s="11">
        <f t="shared" ca="1" si="0"/>
        <v>40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1"/>
      <c r="B53" s="21"/>
      <c r="C53" s="13"/>
      <c r="D53" s="13"/>
      <c r="E53" s="13"/>
      <c r="F53" s="13"/>
      <c r="G53" s="13"/>
      <c r="H53" s="13"/>
      <c r="I53" s="13"/>
      <c r="J53" s="21"/>
      <c r="K53" s="21"/>
      <c r="L53" s="122" t="str">
        <f ca="1">Horarios!Q48</f>
        <v>Turquía</v>
      </c>
      <c r="M53" s="450">
        <f ca="1">ADMIN!$D$5-SUM(N53:T53)</f>
        <v>22</v>
      </c>
      <c r="N53" s="450">
        <f ca="1">IFERROR(COUNTIF(ADMIN!$S$130:INDEX(ADMIN!$S$130:$JE$161,32,ADMIN!$D$5*3-1),Stats!$L53)-SUM(O53:T53),0)</f>
        <v>1</v>
      </c>
      <c r="O53" s="450">
        <f ca="1">COUNTIF(ADMIN!$S$182:INDEX(ADMIN!$S$182:$JE$197,16,ADMIN!$D$5*3-1),Stats!$L53)-SUM(P53:T53)</f>
        <v>14</v>
      </c>
      <c r="P53" s="450">
        <f ca="1">COUNTIF(ADMIN!$S$210:INDEX(ADMIN!$S$210:$JE$217,8,ADMIN!$D$5*3-1),Stats!$L53)-SUM(Q53:T53)</f>
        <v>3</v>
      </c>
      <c r="Q53" s="450">
        <f ca="1">COUNTIF(ADMIN!$S$226:INDEX(ADMIN!$S$226:$JE$229,4,ADMIN!$D$5*3-1),Stats!$L53)-SUM(R53:T53)</f>
        <v>0</v>
      </c>
      <c r="R53" s="450">
        <f ca="1">IFERROR(COUNTIF(ADMIN!$S$252:INDEX(ADMIN!$S$252:$JE$252,1,ADMIN!$D$5*3-1),Stats!$L53),0)</f>
        <v>0</v>
      </c>
      <c r="S53" s="450">
        <f ca="1">IFERROR(COUNTIF(ADMIN!$S$251:INDEX(ADMIN!$S$251:$JE$251,1,ADMIN!$D$5*3-1),Stats!$L53),0)</f>
        <v>0</v>
      </c>
      <c r="T53" s="451">
        <f ca="1">IFERROR(COUNTIF(ADMIN!$S$250:INDEX(ADMIN!$S$250:$JE$250,1,ADMIN!$D$5*3-1),Stats!$L53),0)</f>
        <v>0</v>
      </c>
      <c r="U53" s="21"/>
      <c r="V53" s="11">
        <f t="shared" ca="1" si="0"/>
        <v>40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1"/>
      <c r="B54" s="21"/>
      <c r="C54" s="13"/>
      <c r="D54" s="13"/>
      <c r="E54" s="13"/>
      <c r="F54" s="13"/>
      <c r="G54" s="13"/>
      <c r="H54" s="13"/>
      <c r="I54" s="13"/>
      <c r="J54" s="21"/>
      <c r="K54" s="21"/>
      <c r="L54" s="123" t="str">
        <f ca="1">Horarios!Q49</f>
        <v>Uruguay</v>
      </c>
      <c r="M54" s="448">
        <f ca="1">ADMIN!$D$5-SUM(N54:T54)</f>
        <v>22</v>
      </c>
      <c r="N54" s="448">
        <f ca="1">IFERROR(COUNTIF(ADMIN!$S$130:INDEX(ADMIN!$S$130:$JE$161,32,ADMIN!$D$5*3-1),Stats!$L54)-SUM(O54:T54),0)</f>
        <v>14</v>
      </c>
      <c r="O54" s="448">
        <f ca="1">COUNTIF(ADMIN!$S$182:INDEX(ADMIN!$S$182:$JE$197,16,ADMIN!$D$5*3-1),Stats!$L54)-SUM(P54:T54)</f>
        <v>3</v>
      </c>
      <c r="P54" s="448">
        <f ca="1">COUNTIF(ADMIN!$S$210:INDEX(ADMIN!$S$210:$JE$217,8,ADMIN!$D$5*3-1),Stats!$L54)-SUM(Q54:T54)</f>
        <v>1</v>
      </c>
      <c r="Q54" s="448">
        <f ca="1">COUNTIF(ADMIN!$S$226:INDEX(ADMIN!$S$226:$JE$229,4,ADMIN!$D$5*3-1),Stats!$L54)-SUM(R54:T54)</f>
        <v>0</v>
      </c>
      <c r="R54" s="448">
        <f ca="1">IFERROR(COUNTIF(ADMIN!$S$252:INDEX(ADMIN!$S$252:$JE$252,1,ADMIN!$D$5*3-1),Stats!$L54),0)</f>
        <v>0</v>
      </c>
      <c r="S54" s="448">
        <f ca="1">IFERROR(COUNTIF(ADMIN!$S$251:INDEX(ADMIN!$S$251:$JE$251,1,ADMIN!$D$5*3-1),Stats!$L54),0)</f>
        <v>0</v>
      </c>
      <c r="T54" s="449">
        <f ca="1">IFERROR(COUNTIF(ADMIN!$S$250:INDEX(ADMIN!$S$250:$JE$250,1,ADMIN!$D$5*3-1),Stats!$L54),0)</f>
        <v>0</v>
      </c>
      <c r="U54" s="21"/>
      <c r="V54" s="11">
        <f t="shared" ca="1" si="0"/>
        <v>40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1"/>
      <c r="B55" s="21"/>
      <c r="C55" s="13"/>
      <c r="D55" s="13"/>
      <c r="E55" s="13"/>
      <c r="F55" s="13"/>
      <c r="G55" s="13"/>
      <c r="H55" s="13"/>
      <c r="I55" s="13"/>
      <c r="J55" s="21"/>
      <c r="K55" s="21"/>
      <c r="L55" s="125" t="str">
        <f ca="1">Horarios!Q50</f>
        <v>Uzbekistán</v>
      </c>
      <c r="M55" s="452">
        <f ca="1">ADMIN!$D$5-SUM(N55:T55)</f>
        <v>37</v>
      </c>
      <c r="N55" s="452">
        <f ca="1">IFERROR(COUNTIF(ADMIN!$S$130:INDEX(ADMIN!$S$130:$JE$161,32,ADMIN!$D$5*3-1),Stats!$L55)-SUM(O55:T55),0)</f>
        <v>3</v>
      </c>
      <c r="O55" s="452">
        <f ca="1">COUNTIF(ADMIN!$S$182:INDEX(ADMIN!$S$182:$JE$197,16,ADMIN!$D$5*3-1),Stats!$L55)-SUM(P55:T55)</f>
        <v>0</v>
      </c>
      <c r="P55" s="452">
        <f ca="1">COUNTIF(ADMIN!$S$210:INDEX(ADMIN!$S$210:$JE$217,8,ADMIN!$D$5*3-1),Stats!$L55)-SUM(Q55:T55)</f>
        <v>0</v>
      </c>
      <c r="Q55" s="452">
        <f ca="1">COUNTIF(ADMIN!$S$226:INDEX(ADMIN!$S$226:$JE$229,4,ADMIN!$D$5*3-1),Stats!$L55)-SUM(R55:T55)</f>
        <v>0</v>
      </c>
      <c r="R55" s="452">
        <f ca="1">IFERROR(COUNTIF(ADMIN!$S$252:INDEX(ADMIN!$S$252:$JE$252,1,ADMIN!$D$5*3-1),Stats!$L55),0)</f>
        <v>0</v>
      </c>
      <c r="S55" s="452">
        <f ca="1">IFERROR(COUNTIF(ADMIN!$S$251:INDEX(ADMIN!$S$251:$JE$251,1,ADMIN!$D$5*3-1),Stats!$L55),0)</f>
        <v>0</v>
      </c>
      <c r="T55" s="453">
        <f ca="1">IFERROR(COUNTIF(ADMIN!$S$250:INDEX(ADMIN!$S$250:$JE$250,1,ADMIN!$D$5*3-1),Stats!$L55),0)</f>
        <v>0</v>
      </c>
      <c r="U55" s="21"/>
      <c r="V55" s="11">
        <f t="shared" ca="1" si="0"/>
        <v>40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1"/>
      <c r="B56" s="21"/>
      <c r="C56" s="13"/>
      <c r="D56" s="13"/>
      <c r="E56" s="13"/>
      <c r="F56" s="13"/>
      <c r="G56" s="13"/>
      <c r="H56" s="13"/>
      <c r="I56" s="13"/>
      <c r="J56" s="21"/>
      <c r="K56" s="21"/>
      <c r="L56" s="13"/>
      <c r="M56" s="13"/>
      <c r="N56" s="13"/>
      <c r="O56" s="13"/>
      <c r="P56" s="13"/>
      <c r="Q56" s="13"/>
      <c r="R56" s="13"/>
      <c r="S56" s="13"/>
      <c r="T56" s="13"/>
      <c r="U56" s="21"/>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1"/>
      <c r="B57" s="21"/>
      <c r="C57" s="13"/>
      <c r="D57" s="13"/>
      <c r="E57" s="13"/>
      <c r="F57" s="13"/>
      <c r="G57" s="13"/>
      <c r="H57" s="13"/>
      <c r="I57" s="13"/>
      <c r="J57" s="21"/>
      <c r="K57" s="21"/>
      <c r="L57" s="13"/>
      <c r="M57" s="13"/>
      <c r="N57" s="13"/>
      <c r="O57" s="13"/>
      <c r="P57" s="13"/>
      <c r="Q57" s="13"/>
      <c r="R57" s="13"/>
      <c r="S57" s="13"/>
      <c r="T57" s="13"/>
      <c r="U57" s="21"/>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1"/>
      <c r="B58" s="21"/>
      <c r="C58" s="13"/>
      <c r="D58" s="13"/>
      <c r="E58" s="13"/>
      <c r="F58" s="13"/>
      <c r="G58" s="13"/>
      <c r="H58" s="13"/>
      <c r="I58" s="13"/>
      <c r="J58" s="21"/>
      <c r="K58" s="21"/>
      <c r="L58" s="13"/>
      <c r="M58" s="13"/>
      <c r="N58" s="13"/>
      <c r="O58" s="13"/>
      <c r="P58" s="13"/>
      <c r="Q58" s="13"/>
      <c r="R58" s="13"/>
      <c r="S58" s="13"/>
      <c r="T58" s="13"/>
      <c r="U58" s="21"/>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1"/>
      <c r="B59" s="21"/>
      <c r="C59" s="13"/>
      <c r="D59" s="13"/>
      <c r="E59" s="13"/>
      <c r="F59" s="13"/>
      <c r="G59" s="13"/>
      <c r="H59" s="13"/>
      <c r="I59" s="13"/>
      <c r="J59" s="21"/>
      <c r="K59" s="21"/>
      <c r="L59" s="13"/>
      <c r="M59" s="13"/>
      <c r="N59" s="13"/>
      <c r="O59" s="13"/>
      <c r="P59" s="13"/>
      <c r="Q59" s="13"/>
      <c r="R59" s="13"/>
      <c r="S59" s="13"/>
      <c r="T59" s="13"/>
      <c r="U59" s="21"/>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1"/>
      <c r="B60" s="21"/>
      <c r="C60" s="13"/>
      <c r="D60" s="13"/>
      <c r="E60" s="13"/>
      <c r="F60" s="13"/>
      <c r="G60" s="13"/>
      <c r="H60" s="13"/>
      <c r="I60" s="13"/>
      <c r="J60" s="21"/>
      <c r="K60" s="21"/>
      <c r="L60" s="13"/>
      <c r="M60" s="13"/>
      <c r="N60" s="13"/>
      <c r="O60" s="13"/>
      <c r="P60" s="13"/>
      <c r="Q60" s="13"/>
      <c r="R60" s="13"/>
      <c r="S60" s="13"/>
      <c r="T60" s="13"/>
      <c r="U60" s="21"/>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1"/>
      <c r="B61" s="21"/>
      <c r="C61" s="13"/>
      <c r="D61" s="13"/>
      <c r="E61" s="13"/>
      <c r="F61" s="13"/>
      <c r="G61" s="13"/>
      <c r="H61" s="13"/>
      <c r="I61" s="13"/>
      <c r="J61" s="21"/>
      <c r="K61" s="21"/>
      <c r="L61" s="13"/>
      <c r="M61" s="13"/>
      <c r="N61" s="13"/>
      <c r="O61" s="13"/>
      <c r="P61" s="13"/>
      <c r="Q61" s="13"/>
      <c r="R61" s="13"/>
      <c r="S61" s="13"/>
      <c r="T61" s="13"/>
      <c r="U61" s="21"/>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1"/>
      <c r="B62" s="21"/>
      <c r="C62" s="13"/>
      <c r="D62" s="13"/>
      <c r="E62" s="13"/>
      <c r="F62" s="13"/>
      <c r="G62" s="13"/>
      <c r="H62" s="13"/>
      <c r="I62" s="13"/>
      <c r="J62" s="21"/>
      <c r="K62" s="21"/>
      <c r="L62" s="13"/>
      <c r="M62" s="13"/>
      <c r="N62" s="13"/>
      <c r="O62" s="13"/>
      <c r="P62" s="13"/>
      <c r="Q62" s="13"/>
      <c r="R62" s="13"/>
      <c r="S62" s="13"/>
      <c r="T62" s="13"/>
      <c r="U62" s="21"/>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1"/>
      <c r="B63" s="21"/>
      <c r="C63" s="13"/>
      <c r="D63" s="13"/>
      <c r="E63" s="13"/>
      <c r="F63" s="13"/>
      <c r="G63" s="13"/>
      <c r="H63" s="13"/>
      <c r="I63" s="13"/>
      <c r="J63" s="21"/>
      <c r="K63" s="21"/>
      <c r="L63" s="13"/>
      <c r="M63" s="13"/>
      <c r="N63" s="13"/>
      <c r="O63" s="13"/>
      <c r="P63" s="13"/>
      <c r="Q63" s="13"/>
      <c r="R63" s="13"/>
      <c r="S63" s="13"/>
      <c r="T63" s="13"/>
      <c r="U63" s="21"/>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1"/>
      <c r="B64" s="21"/>
      <c r="C64" s="13"/>
      <c r="D64" s="13"/>
      <c r="E64" s="13"/>
      <c r="F64" s="13"/>
      <c r="G64" s="13"/>
      <c r="H64" s="13"/>
      <c r="I64" s="13"/>
      <c r="J64" s="21"/>
      <c r="K64" s="21"/>
      <c r="L64" s="13"/>
      <c r="M64" s="13"/>
      <c r="N64" s="13"/>
      <c r="O64" s="13"/>
      <c r="P64" s="13"/>
      <c r="Q64" s="13"/>
      <c r="R64" s="13"/>
      <c r="S64" s="13"/>
      <c r="T64" s="13"/>
      <c r="U64" s="21"/>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1"/>
      <c r="B65" s="21"/>
      <c r="C65" s="13"/>
      <c r="D65" s="13"/>
      <c r="E65" s="13"/>
      <c r="F65" s="13"/>
      <c r="G65" s="13"/>
      <c r="H65" s="13"/>
      <c r="I65" s="13"/>
      <c r="J65" s="21"/>
      <c r="K65" s="21"/>
      <c r="L65" s="13"/>
      <c r="M65" s="13"/>
      <c r="N65" s="13"/>
      <c r="O65" s="13"/>
      <c r="P65" s="13"/>
      <c r="Q65" s="13"/>
      <c r="R65" s="13"/>
      <c r="S65" s="13"/>
      <c r="T65" s="13"/>
      <c r="U65" s="21"/>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1"/>
      <c r="B66" s="21"/>
      <c r="C66" s="13"/>
      <c r="D66" s="13"/>
      <c r="E66" s="13"/>
      <c r="F66" s="13"/>
      <c r="G66" s="13"/>
      <c r="H66" s="13"/>
      <c r="I66" s="13"/>
      <c r="J66" s="21"/>
      <c r="K66" s="21"/>
      <c r="L66" s="13"/>
      <c r="M66" s="13"/>
      <c r="N66" s="13"/>
      <c r="O66" s="13"/>
      <c r="P66" s="13"/>
      <c r="Q66" s="13"/>
      <c r="R66" s="13"/>
      <c r="S66" s="13"/>
      <c r="T66" s="13"/>
      <c r="U66" s="21"/>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mergeCells count="1">
    <mergeCell ref="L5:T5"/>
  </mergeCells>
  <conditionalFormatting sqref="H8:I30">
    <cfRule type="expression" dxfId="21" priority="4">
      <formula>IF(AND($I8=$J8,$I8&lt;&gt;""),1,0)</formula>
    </cfRule>
  </conditionalFormatting>
  <conditionalFormatting sqref="H8:I31">
    <cfRule type="expression" dxfId="20" priority="1">
      <formula>IF(AND($I8=$K8,$I8&lt;&gt;""),1,0)</formula>
    </cfRule>
  </conditionalFormatting>
  <conditionalFormatting sqref="H31:I31">
    <cfRule type="expression" dxfId="19"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pageSetUpPr fitToPage="1"/>
  </sheetPr>
  <dimension ref="A1:BP57"/>
  <sheetViews>
    <sheetView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16"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16"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16"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5"/>
      <c r="B1" s="237"/>
      <c r="C1" s="287"/>
      <c r="D1" s="287"/>
      <c r="E1" s="287"/>
      <c r="F1" s="287"/>
      <c r="G1" s="287"/>
      <c r="H1" s="287"/>
      <c r="I1" s="287"/>
      <c r="J1" s="287"/>
      <c r="K1" s="287"/>
      <c r="L1" s="287"/>
      <c r="M1" s="15"/>
      <c r="N1" s="237"/>
      <c r="O1" s="287"/>
      <c r="P1" s="287"/>
      <c r="Q1" s="287"/>
      <c r="R1" s="287"/>
      <c r="S1" s="287"/>
      <c r="T1" s="287"/>
      <c r="U1" s="287"/>
      <c r="V1" s="287"/>
      <c r="W1" s="287"/>
      <c r="X1" s="15"/>
      <c r="Y1" s="237"/>
      <c r="Z1" s="237"/>
      <c r="AA1" s="287"/>
      <c r="AB1" s="287"/>
      <c r="AC1" s="287"/>
      <c r="AD1" s="15"/>
      <c r="AE1" s="287"/>
      <c r="AF1" s="287"/>
      <c r="AG1" s="287"/>
      <c r="AH1" s="237"/>
      <c r="AI1" s="287"/>
      <c r="AJ1" s="287"/>
      <c r="AK1" s="287"/>
      <c r="AL1" s="15"/>
      <c r="AM1" s="287"/>
      <c r="AN1" s="287"/>
      <c r="AO1" s="287"/>
      <c r="AP1" s="237"/>
      <c r="AQ1" s="287"/>
      <c r="AR1" s="287"/>
      <c r="AS1" s="287"/>
      <c r="AT1" s="15"/>
      <c r="AU1" s="287"/>
      <c r="AV1" s="287"/>
      <c r="AW1" s="287"/>
      <c r="AX1" s="287"/>
      <c r="AY1" s="287"/>
      <c r="AZ1" s="287"/>
      <c r="BA1" s="287"/>
      <c r="BB1" s="287"/>
      <c r="BC1" s="287"/>
      <c r="BD1" s="287"/>
      <c r="BE1" s="287"/>
    </row>
    <row r="2" spans="1:67" ht="9.9499999999999993" customHeight="1" thickBot="1">
      <c r="A2" s="15"/>
      <c r="B2" s="237"/>
      <c r="C2" s="165"/>
      <c r="D2" s="165"/>
      <c r="E2" s="165"/>
      <c r="F2" s="165"/>
      <c r="G2" s="165"/>
      <c r="H2" s="165"/>
      <c r="I2" s="165"/>
      <c r="J2" s="165"/>
      <c r="K2" s="165"/>
      <c r="L2" s="165"/>
      <c r="M2" s="14"/>
      <c r="N2" s="476"/>
      <c r="O2" s="477"/>
      <c r="P2" s="165"/>
      <c r="Q2" s="287"/>
      <c r="R2" s="287"/>
      <c r="S2" s="478"/>
      <c r="T2" s="287"/>
      <c r="U2" s="165"/>
      <c r="V2" s="165"/>
      <c r="W2" s="165"/>
      <c r="X2" s="14"/>
      <c r="Y2" s="476"/>
      <c r="Z2" s="476"/>
      <c r="AA2" s="287"/>
      <c r="AB2" s="287"/>
      <c r="AC2" s="287"/>
      <c r="AD2" s="14"/>
      <c r="AE2" s="287"/>
      <c r="AF2" s="287"/>
      <c r="AG2" s="287"/>
      <c r="AH2" s="237"/>
      <c r="AI2" s="479"/>
      <c r="AJ2" s="479"/>
      <c r="AK2" s="479"/>
      <c r="AL2" s="84"/>
      <c r="AM2" s="479"/>
      <c r="AN2" s="479"/>
      <c r="AO2" s="479"/>
      <c r="AP2" s="15"/>
      <c r="AQ2" s="479"/>
      <c r="AR2" s="479"/>
      <c r="AS2" s="479"/>
      <c r="AT2" s="15"/>
      <c r="AU2" s="479"/>
      <c r="AV2" s="479"/>
      <c r="AW2" s="479"/>
      <c r="AX2" s="287"/>
      <c r="AY2" s="287"/>
      <c r="AZ2" s="287"/>
      <c r="BA2" s="287"/>
      <c r="BB2" s="287"/>
      <c r="BC2" s="287"/>
      <c r="BD2" s="287"/>
      <c r="BE2" s="287"/>
    </row>
    <row r="3" spans="1:67" ht="15.75" thickBot="1">
      <c r="A3" s="15">
        <v>1</v>
      </c>
      <c r="B3" s="480" t="s">
        <v>0</v>
      </c>
      <c r="C3" s="481" t="str">
        <f ca="1">+MID(INDEX(WORLDCUP!$AA$4:$AA$147,MATCH(A3,WORLDCUP!$AH$4:$AH$147,0)),1,3)</f>
        <v>Méx</v>
      </c>
      <c r="D3" s="482">
        <f>IF(ISBLANK(INDEX(WORLDCUP!$AC$4:$AC$147,MATCH(A3,WORLDCUP!$AH$4:$AH$147,0))),"",INDEX(WORLDCUP!$AC$4:$AC$147,MATCH(A3,WORLDCUP!$AH$4:$AH$147,0)))</f>
        <v>2</v>
      </c>
      <c r="E3" s="482">
        <f>IF(ISBLANK(INDEX(WORLDCUP!$AD$4:$AD$147,MATCH(A3,WORLDCUP!$AH$4:$AH$147,0))),"",INDEX(WORLDCUP!$AD$4:$AD$147,MATCH(A3,WORLDCUP!$AH$4:$AH$147,0)))</f>
        <v>0</v>
      </c>
      <c r="F3" s="483" t="str">
        <f ca="1">+MID(INDEX(WORLDCUP!$AF$4:$AF$147,MATCH(A3,WORLDCUP!$AH$4:$AH$147,0)),1,3)</f>
        <v>Sud</v>
      </c>
      <c r="G3" s="484"/>
      <c r="H3" s="485" t="str">
        <f>MID(WORLDCUP!AL5,1,3)</f>
        <v>Sel</v>
      </c>
      <c r="I3" s="486" t="s">
        <v>32</v>
      </c>
      <c r="J3" s="486" t="str">
        <f>WORLDCUP!AT5</f>
        <v>DG</v>
      </c>
      <c r="K3" s="487" t="str">
        <f>WORLDCUP!AR5&amp;"-"&amp;WORLDCUP!AS5</f>
        <v>GF-GC</v>
      </c>
      <c r="L3" s="15"/>
      <c r="M3" s="15">
        <v>16</v>
      </c>
      <c r="N3" s="488" t="s">
        <v>6</v>
      </c>
      <c r="O3" s="481" t="str">
        <f ca="1">+MID(INDEX(WORLDCUP!$AA$4:$AA$147,MATCH(M3,WORLDCUP!$AH$4:$AH$147,0)),1,3)</f>
        <v>Bél</v>
      </c>
      <c r="P3" s="482" t="str">
        <f>IF(ISBLANK(INDEX(WORLDCUP!$AC$4:$AC$147,MATCH(M3,WORLDCUP!$AH$4:$AH$147,0))),"",INDEX(WORLDCUP!$AC$4:$AC$147,MATCH(M3,WORLDCUP!$AH$4:$AH$147,0)))</f>
        <v/>
      </c>
      <c r="Q3" s="482" t="str">
        <f>IF(ISBLANK(INDEX(WORLDCUP!$AD$4:$AD$147,MATCH(M3,WORLDCUP!$AH$4:$AH$147,0))),"",INDEX(WORLDCUP!$AD$4:$AD$147,MATCH(M3,WORLDCUP!$AH$4:$AH$147,0)))</f>
        <v/>
      </c>
      <c r="R3" s="483" t="str">
        <f ca="1">+MID(INDEX(WORLDCUP!$AF$4:$AF$147,MATCH(M3,WORLDCUP!$AH$4:$AH$147,0)),1,3)</f>
        <v>Egi</v>
      </c>
      <c r="S3" s="484"/>
      <c r="T3" s="485" t="str">
        <f>+H43</f>
        <v>Sel</v>
      </c>
      <c r="U3" s="486" t="str">
        <f>+I43</f>
        <v>Pts</v>
      </c>
      <c r="V3" s="486" t="str">
        <f>+J43</f>
        <v>DG</v>
      </c>
      <c r="W3" s="487" t="str">
        <f>+K43</f>
        <v>GF-GC</v>
      </c>
      <c r="X3" s="15"/>
      <c r="Y3" s="15">
        <v>74</v>
      </c>
      <c r="Z3" s="489" t="s">
        <v>661</v>
      </c>
      <c r="AA3" s="490" t="str">
        <f ca="1">+MID(INDEX(WORLDCUP!$AA$101:$AA$147,MATCH(Y3,WORLDCUP!$Z$101:$Z$147,0)),1,3)</f>
        <v>1E</v>
      </c>
      <c r="AB3" s="491" t="str">
        <f>+IF(ISBLANK(INDEX(WORLDCUP!$AC$101:$AC$147,MATCH(Y3,WORLDCUP!$Z$101:$Z$147,0))),"",INDEX(WORLDCUP!$AC$101:$AC$147,MATCH(Y3,WORLDCUP!$Z$101:$Z$147,0)))</f>
        <v/>
      </c>
      <c r="AC3" s="492" t="str">
        <f>+IF(ISBLANK(INDEX(WORLDCUP!$AB$101:$AB$147,MATCH(Y3,WORLDCUP!$Z$101:$Z$147,0))),"","( "&amp;INDEX(WORLDCUP!$AB$101:$AB$147,MATCH(Y3,WORLDCUP!$Z$101:$Z$147,0))&amp;" )")</f>
        <v/>
      </c>
      <c r="AD3" s="14"/>
      <c r="AE3" s="493"/>
      <c r="AF3" s="493"/>
      <c r="AG3" s="493"/>
      <c r="AH3" s="15"/>
      <c r="AI3" s="494"/>
      <c r="AJ3" s="494"/>
      <c r="AK3" s="494"/>
      <c r="AL3" s="84"/>
      <c r="AM3" s="495"/>
      <c r="AN3" s="495"/>
      <c r="AO3" s="495"/>
      <c r="AP3" s="15"/>
      <c r="AQ3" s="496"/>
      <c r="AR3" s="496"/>
      <c r="AS3" s="496"/>
      <c r="AT3" s="15"/>
      <c r="AU3" s="497"/>
      <c r="AV3" s="497"/>
      <c r="AW3" s="497"/>
      <c r="AX3" s="15"/>
      <c r="AY3" s="287"/>
      <c r="AZ3" s="287"/>
      <c r="BA3" s="287"/>
      <c r="BB3" s="287"/>
      <c r="BC3" s="287"/>
      <c r="BD3" s="287"/>
      <c r="BE3" s="287"/>
      <c r="BG3" s="498"/>
      <c r="BH3" s="499" t="s">
        <v>1334</v>
      </c>
      <c r="BI3" s="500" t="s">
        <v>483</v>
      </c>
      <c r="BJ3" s="501" t="s">
        <v>88</v>
      </c>
      <c r="BK3" s="502" t="s">
        <v>34</v>
      </c>
      <c r="BL3" s="503" t="s">
        <v>35</v>
      </c>
      <c r="BM3" s="504" t="s">
        <v>1335</v>
      </c>
      <c r="BN3" s="505" t="s">
        <v>1336</v>
      </c>
      <c r="BO3" s="506" t="s">
        <v>1337</v>
      </c>
    </row>
    <row r="4" spans="1:67" ht="15.75" thickBot="1">
      <c r="A4" s="15">
        <v>2</v>
      </c>
      <c r="B4" s="507"/>
      <c r="C4" s="508" t="str">
        <f ca="1">+MID(INDEX(WORLDCUP!$AA$4:$AA$147,MATCH(A4,WORLDCUP!$AH$4:$AH$147,0)),1,3)</f>
        <v>Cor</v>
      </c>
      <c r="D4" s="509">
        <f>IF(ISBLANK(INDEX(WORLDCUP!$AC$4:$AC$147,MATCH(A4,WORLDCUP!$AH$4:$AH$147,0))),"",INDEX(WORLDCUP!$AC$4:$AC$147,MATCH(A4,WORLDCUP!$AH$4:$AH$147,0)))</f>
        <v>2</v>
      </c>
      <c r="E4" s="509">
        <f>IF(ISBLANK(INDEX(WORLDCUP!$AD$4:$AD$147,MATCH(A4,WORLDCUP!$AH$4:$AH$147,0))),"",INDEX(WORLDCUP!$AD$4:$AD$147,MATCH(A4,WORLDCUP!$AH$4:$AH$147,0)))</f>
        <v>1</v>
      </c>
      <c r="F4" s="510" t="str">
        <f ca="1">+MID(INDEX(WORLDCUP!$AF$4:$AF$147,MATCH(A4,WORLDCUP!$AH$4:$AH$147,0)),1,3)</f>
        <v>Rep</v>
      </c>
      <c r="G4" s="511">
        <v>1</v>
      </c>
      <c r="H4" s="512" t="str">
        <f ca="1">+MID(INDEX(WORLDCUP!$AL$6:$AL$97,MATCH(L4,WORLDCUP!$AI$6:$AI$97,0)),1,3)</f>
        <v>Méx</v>
      </c>
      <c r="I4" s="513">
        <f ca="1">+INDEX(WORLDCUP!$AM$6:$AM$97,MATCH(L4,WORLDCUP!$AI$6:$AI$97,0))</f>
        <v>3</v>
      </c>
      <c r="J4" s="514">
        <f ca="1">+INDEX(WORLDCUP!$AT$6:$AT$97,MATCH(L4,WORLDCUP!$AI$6:$AI$97,0))</f>
        <v>2</v>
      </c>
      <c r="K4" s="515" t="str">
        <f ca="1">+INDEX(WORLDCUP!$AR$6:$AR$97,MATCH(L4,WORLDCUP!$AI$6:$AI$97,0))&amp;"-"&amp;INDEX(WORLDCUP!$AS$6:$AS$97,MATCH(L4,WORLDCUP!$AI$6:$AI$97,0))</f>
        <v>2-0</v>
      </c>
      <c r="L4" s="15" t="s">
        <v>645</v>
      </c>
      <c r="M4" s="15">
        <v>15</v>
      </c>
      <c r="N4" s="516"/>
      <c r="O4" s="508" t="str">
        <f ca="1">+MID(INDEX(WORLDCUP!$AA$4:$AA$147,MATCH(M4,WORLDCUP!$AH$4:$AH$147,0)),1,3)</f>
        <v>Irá</v>
      </c>
      <c r="P4" s="509" t="str">
        <f>IF(ISBLANK(INDEX(WORLDCUP!$AC$4:$AC$147,MATCH(M4,WORLDCUP!$AH$4:$AH$147,0))),"",INDEX(WORLDCUP!$AC$4:$AC$147,MATCH(M4,WORLDCUP!$AH$4:$AH$147,0)))</f>
        <v/>
      </c>
      <c r="Q4" s="509" t="str">
        <f>IF(ISBLANK(INDEX(WORLDCUP!$AD$4:$AD$147,MATCH(M4,WORLDCUP!$AH$4:$AH$147,0))),"",INDEX(WORLDCUP!$AD$4:$AD$147,MATCH(M4,WORLDCUP!$AH$4:$AH$147,0)))</f>
        <v/>
      </c>
      <c r="R4" s="510" t="str">
        <f ca="1">+MID(INDEX(WORLDCUP!$AF$4:$AF$147,MATCH(M4,WORLDCUP!$AH$4:$AH$147,0)),1,3)</f>
        <v>Nue</v>
      </c>
      <c r="S4" s="511">
        <v>1</v>
      </c>
      <c r="T4" s="512" t="str">
        <f ca="1">+MID(INDEX(WORLDCUP!$AL$6:$AL$97,MATCH(X4,WORLDCUP!$AI$6:$AI$97,0)),1,3)</f>
        <v>Bél</v>
      </c>
      <c r="U4" s="513">
        <f ca="1">+INDEX(WORLDCUP!$AM$6:$AM$97,MATCH(X4,WORLDCUP!$AI$6:$AI$97,0))</f>
        <v>0</v>
      </c>
      <c r="V4" s="514">
        <f ca="1">+INDEX(WORLDCUP!$AT$6:$AT$97,MATCH(X4,WORLDCUP!$AI$6:$AI$97,0))</f>
        <v>0</v>
      </c>
      <c r="W4" s="515" t="str">
        <f ca="1">+INDEX(WORLDCUP!$AR$6:$AR$97,MATCH(X4,WORLDCUP!$AI$6:$AI$97,0))&amp;"-"&amp;INDEX(WORLDCUP!$AS$6:$AS$97,MATCH(X4,WORLDCUP!$AI$6:$AI$97,0))</f>
        <v>0-0</v>
      </c>
      <c r="X4" s="15" t="s">
        <v>667</v>
      </c>
      <c r="Y4" s="15">
        <v>74</v>
      </c>
      <c r="Z4" s="489" t="s">
        <v>722</v>
      </c>
      <c r="AA4" s="490" t="str">
        <f ca="1">+MID(INDEX(WORLDCUP!$AF$101:$AF$147,MATCH(Y4,WORLDCUP!$Z$101:$Z$147,0)),1,IF(WORLDCUP!$H$113&lt;144,6,3))</f>
        <v>3ABCDF</v>
      </c>
      <c r="AB4" s="517" t="str">
        <f>+IF(ISBLANK(INDEX(WORLDCUP!$AD$101:$AD$147,MATCH(Y4,WORLDCUP!$Z$101:$Z$147,0))),"",INDEX(WORLDCUP!$AD$101:$AD$147,MATCH(Y4,WORLDCUP!$Z$101:$Z$147,0)))</f>
        <v/>
      </c>
      <c r="AC4" s="518" t="str">
        <f>+IF(ISBLANK(INDEX(WORLDCUP!$AE$101:$AE$147,MATCH(Y4,WORLDCUP!$Z$101:$Z$147,0))),"","( "&amp;INDEX(WORLDCUP!$AE$101:$AE$147,MATCH(Y4,WORLDCUP!$Z$101:$Z$147,0))&amp;" )")</f>
        <v/>
      </c>
      <c r="AD4" s="519">
        <v>89</v>
      </c>
      <c r="AE4" s="520" t="str">
        <f>+MID(INDEX(WORLDCUP!$AA$101:$AA$147,MATCH(AD4,WORLDCUP!$Z$101:$Z$147,0)),1,3)</f>
        <v>W74</v>
      </c>
      <c r="AF4" s="521" t="str">
        <f>+IF(ISBLANK(INDEX(WORLDCUP!$AC$101:$AC$147,MATCH(AD4,WORLDCUP!$Z$101:$Z$147,0))),"",INDEX(WORLDCUP!$AC$101:$AC$147,MATCH(AD4,WORLDCUP!$Z$101:$Z$147,0)))</f>
        <v/>
      </c>
      <c r="AG4" s="522" t="str">
        <f>+IF(ISBLANK(INDEX(WORLDCUP!$AB$101:$AB$147,MATCH(AD4,WORLDCUP!$Z$101:$Z$147,0))),"","( "&amp;INDEX(WORLDCUP!$AB$101:$AB$147,MATCH(AD4,WORLDCUP!$Z$101:$Z$147,0))&amp;" )")</f>
        <v/>
      </c>
      <c r="AH4" s="15"/>
      <c r="AI4" s="523"/>
      <c r="AJ4" s="523"/>
      <c r="AK4" s="523"/>
      <c r="AL4" s="84"/>
      <c r="AM4" s="495"/>
      <c r="AN4" s="495"/>
      <c r="AO4" s="495"/>
      <c r="AP4" s="15"/>
      <c r="AQ4" s="524"/>
      <c r="AR4" s="524"/>
      <c r="AS4" s="524"/>
      <c r="AT4" s="15"/>
      <c r="AU4" s="497"/>
      <c r="AV4" s="497"/>
      <c r="AW4" s="497"/>
      <c r="AX4" s="15"/>
      <c r="AY4" s="525"/>
      <c r="AZ4" s="287"/>
      <c r="BA4" s="287"/>
      <c r="BB4" s="287"/>
      <c r="BC4" s="287"/>
      <c r="BD4" s="287"/>
      <c r="BE4" s="287"/>
      <c r="BG4" s="526" t="str">
        <f ca="1">Horarios!Q3</f>
        <v>Alemania</v>
      </c>
      <c r="BH4" s="527">
        <f ca="1">1-SUM(BI4:BO4)</f>
        <v>1</v>
      </c>
      <c r="BI4" s="527">
        <f ca="1">COUNTIF(ADMIN!$M$130:$M$161,Fixture!BG4)-BJ4-BK4-BL4-BM4-BN4-BO4</f>
        <v>0</v>
      </c>
      <c r="BJ4" s="528">
        <f ca="1">COUNTIF(ADMIN!$M$182:$M$197,Fixture!BG4)-BK4-BL4-BM4-BN4-BO4</f>
        <v>0</v>
      </c>
      <c r="BK4" s="529">
        <f ca="1">COUNTIF(ADMIN!$M$210:$M$217,Fixture!BG4)-BL4-BM4-BN4-BO4</f>
        <v>0</v>
      </c>
      <c r="BL4" s="529">
        <f ca="1">COUNTIF(ADMIN!$M$226:$M$229,BG4)-BM4-BN4-BO4</f>
        <v>0</v>
      </c>
      <c r="BM4" s="527">
        <f ca="1">COUNTIF(ADMIN!$M$252,Fixture!BG4)</f>
        <v>0</v>
      </c>
      <c r="BN4" s="527">
        <f ca="1">COUNTIF(ADMIN!$M$251,Fixture!BG4)</f>
        <v>0</v>
      </c>
      <c r="BO4" s="530">
        <f ca="1">COUNTIF(ADMIN!$M$250,Fixture!BG4)</f>
        <v>0</v>
      </c>
    </row>
    <row r="5" spans="1:67">
      <c r="A5" s="15">
        <v>25</v>
      </c>
      <c r="B5" s="507"/>
      <c r="C5" s="508" t="str">
        <f ca="1">+MID(INDEX(WORLDCUP!$AA$4:$AA$147,MATCH(A5,WORLDCUP!$AH$4:$AH$147,0)),1,3)</f>
        <v>Rep</v>
      </c>
      <c r="D5" s="509" t="str">
        <f>IF(ISBLANK(INDEX(WORLDCUP!$AC$4:$AC$147,MATCH(A5,WORLDCUP!$AH$4:$AH$147,0))),"",INDEX(WORLDCUP!$AC$4:$AC$147,MATCH(A5,WORLDCUP!$AH$4:$AH$147,0)))</f>
        <v/>
      </c>
      <c r="E5" s="509" t="str">
        <f>IF(ISBLANK(INDEX(WORLDCUP!$AD$4:$AD$147,MATCH(A5,WORLDCUP!$AH$4:$AH$147,0))),"",INDEX(WORLDCUP!$AD$4:$AD$147,MATCH(A5,WORLDCUP!$AH$4:$AH$147,0)))</f>
        <v/>
      </c>
      <c r="F5" s="510" t="str">
        <f ca="1">+MID(INDEX(WORLDCUP!$AF$4:$AF$147,MATCH(A5,WORLDCUP!$AH$4:$AH$147,0)),1,3)</f>
        <v>Sud</v>
      </c>
      <c r="G5" s="531">
        <v>2</v>
      </c>
      <c r="H5" s="532" t="str">
        <f ca="1">+MID(INDEX(WORLDCUP!$AL$6:$AL$97,MATCH(L5,WORLDCUP!$AI$6:$AI$97,0)),1,3)</f>
        <v>Cor</v>
      </c>
      <c r="I5" s="213">
        <f ca="1">+INDEX(WORLDCUP!$AM$6:$AM$97,MATCH(L5,WORLDCUP!$AI$6:$AI$97,0))</f>
        <v>3</v>
      </c>
      <c r="J5" s="214">
        <f ca="1">+INDEX(WORLDCUP!$AT$6:$AT$97,MATCH(L5,WORLDCUP!$AI$6:$AI$97,0))</f>
        <v>1</v>
      </c>
      <c r="K5" s="215" t="str">
        <f ca="1">+INDEX(WORLDCUP!$AR$6:$AR$97,MATCH(L5,WORLDCUP!$AI$6:$AI$97,0))&amp;"-"&amp;INDEX(WORLDCUP!$AS$6:$AS$97,MATCH(L5,WORLDCUP!$AI$6:$AI$97,0))</f>
        <v>2-1</v>
      </c>
      <c r="L5" s="15" t="s">
        <v>646</v>
      </c>
      <c r="M5" s="15">
        <v>39</v>
      </c>
      <c r="N5" s="516"/>
      <c r="O5" s="508" t="str">
        <f ca="1">+MID(INDEX(WORLDCUP!$AA$4:$AA$147,MATCH(M5,WORLDCUP!$AH$4:$AH$147,0)),1,3)</f>
        <v>Bél</v>
      </c>
      <c r="P5" s="509" t="str">
        <f>IF(ISBLANK(INDEX(WORLDCUP!$AC$4:$AC$147,MATCH(M5,WORLDCUP!$AH$4:$AH$147,0))),"",INDEX(WORLDCUP!$AC$4:$AC$147,MATCH(M5,WORLDCUP!$AH$4:$AH$147,0)))</f>
        <v/>
      </c>
      <c r="Q5" s="509" t="str">
        <f>IF(ISBLANK(INDEX(WORLDCUP!$AD$4:$AD$147,MATCH(M5,WORLDCUP!$AH$4:$AH$147,0))),"",INDEX(WORLDCUP!$AD$4:$AD$147,MATCH(M5,WORLDCUP!$AH$4:$AH$147,0)))</f>
        <v/>
      </c>
      <c r="R5" s="510" t="str">
        <f ca="1">+MID(INDEX(WORLDCUP!$AF$4:$AF$147,MATCH(M5,WORLDCUP!$AH$4:$AH$147,0)),1,3)</f>
        <v>Irá</v>
      </c>
      <c r="S5" s="531">
        <v>2</v>
      </c>
      <c r="T5" s="532" t="str">
        <f ca="1">+MID(INDEX(WORLDCUP!$AL$6:$AL$97,MATCH(X5,WORLDCUP!$AI$6:$AI$97,0)),1,3)</f>
        <v>Egi</v>
      </c>
      <c r="U5" s="213">
        <f ca="1">+INDEX(WORLDCUP!$AM$6:$AM$97,MATCH(X5,WORLDCUP!$AI$6:$AI$97,0))</f>
        <v>0</v>
      </c>
      <c r="V5" s="214">
        <f ca="1">+INDEX(WORLDCUP!$AT$6:$AT$97,MATCH(X5,WORLDCUP!$AI$6:$AI$97,0))</f>
        <v>0</v>
      </c>
      <c r="W5" s="215" t="str">
        <f ca="1">+INDEX(WORLDCUP!$AR$6:$AR$97,MATCH(X5,WORLDCUP!$AI$6:$AI$97,0))&amp;"-"&amp;INDEX(WORLDCUP!$AS$6:$AS$97,MATCH(X5,WORLDCUP!$AI$6:$AI$97,0))</f>
        <v>0-0</v>
      </c>
      <c r="X5" s="15" t="s">
        <v>668</v>
      </c>
      <c r="Y5" s="15"/>
      <c r="Z5" s="489"/>
      <c r="AA5" s="533"/>
      <c r="AB5" s="533"/>
      <c r="AC5" s="534"/>
      <c r="AD5" s="15">
        <v>89</v>
      </c>
      <c r="AE5" s="520" t="str">
        <f>+MID(INDEX(WORLDCUP!$AF$101:$AF$147,MATCH(AD5,WORLDCUP!$Z$101:$Z$147,0)),1,3)</f>
        <v>W77</v>
      </c>
      <c r="AF5" s="521" t="str">
        <f>+IF(ISBLANK(INDEX(WORLDCUP!$AD$101:$AD$147,MATCH(AD5,WORLDCUP!$Z$101:$Z$147,0))),"",INDEX(WORLDCUP!$AD$101:$AD$147,MATCH(AD5,WORLDCUP!$Z$101:$Z$147,0)))</f>
        <v/>
      </c>
      <c r="AG5" s="535" t="str">
        <f>+IF(ISBLANK(INDEX(WORLDCUP!$AE$101:$AE$147,MATCH(AD5,WORLDCUP!$Z$101:$Z$147,0))),"","( "&amp;INDEX(WORLDCUP!$AE$101:$AE$147,MATCH(AD5,WORLDCUP!$Z$101:$Z$147,0))&amp;" )")</f>
        <v/>
      </c>
      <c r="AH5" s="15"/>
      <c r="AI5" s="523"/>
      <c r="AJ5" s="523"/>
      <c r="AK5" s="523"/>
      <c r="AL5" s="84"/>
      <c r="AM5" s="495"/>
      <c r="AN5" s="495"/>
      <c r="AO5" s="495"/>
      <c r="AP5" s="15"/>
      <c r="AQ5" s="524"/>
      <c r="AR5" s="524"/>
      <c r="AS5" s="524"/>
      <c r="AT5" s="15"/>
      <c r="AU5" s="497"/>
      <c r="AV5" s="497"/>
      <c r="AW5" s="497"/>
      <c r="AX5" s="15"/>
      <c r="AY5" s="287"/>
      <c r="AZ5" s="287"/>
      <c r="BA5" s="287"/>
      <c r="BB5" s="287"/>
      <c r="BC5" s="287"/>
      <c r="BD5" s="287"/>
      <c r="BE5" s="287"/>
      <c r="BG5" s="526" t="str">
        <f ca="1">Horarios!Q4</f>
        <v>Arabia Saudita</v>
      </c>
      <c r="BH5" s="527">
        <f t="shared" ref="BH5:BH51" ca="1" si="0">1-SUM(BI5:BO5)</f>
        <v>1</v>
      </c>
      <c r="BI5" s="527">
        <f ca="1">COUNTIF(ADMIN!$M$130:$M$161,Fixture!BG5)-BJ5-BK5-BL5-BM5-BN5-BO5</f>
        <v>0</v>
      </c>
      <c r="BJ5" s="528">
        <f ca="1">COUNTIF(ADMIN!$M$182:$M$197,Fixture!BG5)-BK5-BL5-BM5-BN5-BO5</f>
        <v>0</v>
      </c>
      <c r="BK5" s="529">
        <f ca="1">COUNTIF(ADMIN!$M$210:$M$217,Fixture!BG5)-BL5-BM5-BN5-BO5</f>
        <v>0</v>
      </c>
      <c r="BL5" s="529">
        <f ca="1">COUNTIF(ADMIN!$M$226:$M$229,BG5)-BM5-BN5-BO5</f>
        <v>0</v>
      </c>
      <c r="BM5" s="527">
        <f ca="1">COUNTIF(ADMIN!$M$252,Fixture!BG5)</f>
        <v>0</v>
      </c>
      <c r="BN5" s="527">
        <f ca="1">COUNTIF(ADMIN!$M$251,Fixture!BG5)</f>
        <v>0</v>
      </c>
      <c r="BO5" s="530">
        <f ca="1">COUNTIF(ADMIN!$M$250,Fixture!BG5)</f>
        <v>0</v>
      </c>
    </row>
    <row r="6" spans="1:67" ht="15.75" thickBot="1">
      <c r="A6" s="15">
        <v>28</v>
      </c>
      <c r="B6" s="507"/>
      <c r="C6" s="508" t="str">
        <f ca="1">+MID(INDEX(WORLDCUP!$AA$4:$AA$147,MATCH(A6,WORLDCUP!$AH$4:$AH$147,0)),1,3)</f>
        <v>Méx</v>
      </c>
      <c r="D6" s="509" t="str">
        <f>IF(ISBLANK(INDEX(WORLDCUP!$AC$4:$AC$147,MATCH(A6,WORLDCUP!$AH$4:$AH$147,0))),"",INDEX(WORLDCUP!$AC$4:$AC$147,MATCH(A6,WORLDCUP!$AH$4:$AH$147,0)))</f>
        <v/>
      </c>
      <c r="E6" s="509" t="str">
        <f>IF(ISBLANK(INDEX(WORLDCUP!$AD$4:$AD$147,MATCH(A6,WORLDCUP!$AH$4:$AH$147,0))),"",INDEX(WORLDCUP!$AD$4:$AD$147,MATCH(A6,WORLDCUP!$AH$4:$AH$147,0)))</f>
        <v/>
      </c>
      <c r="F6" s="510" t="str">
        <f ca="1">+MID(INDEX(WORLDCUP!$AF$4:$AF$147,MATCH(A6,WORLDCUP!$AH$4:$AH$147,0)),1,3)</f>
        <v>Cor</v>
      </c>
      <c r="G6" s="531">
        <v>3</v>
      </c>
      <c r="H6" s="532" t="str">
        <f ca="1">+MID(INDEX(WORLDCUP!$AL$6:$AL$97,MATCH(L6,WORLDCUP!$AI$6:$AI$97,0)),1,3)</f>
        <v>Rep</v>
      </c>
      <c r="I6" s="213">
        <f ca="1">+INDEX(WORLDCUP!$AM$6:$AM$97,MATCH(L6,WORLDCUP!$AI$6:$AI$97,0))</f>
        <v>0</v>
      </c>
      <c r="J6" s="214">
        <f ca="1">+INDEX(WORLDCUP!$AT$6:$AT$97,MATCH(L6,WORLDCUP!$AI$6:$AI$97,0))</f>
        <v>-1</v>
      </c>
      <c r="K6" s="215" t="str">
        <f ca="1">+INDEX(WORLDCUP!$AR$6:$AR$97,MATCH(L6,WORLDCUP!$AI$6:$AI$97,0))&amp;"-"&amp;INDEX(WORLDCUP!$AS$6:$AS$97,MATCH(L6,WORLDCUP!$AI$6:$AI$97,0))</f>
        <v>1-2</v>
      </c>
      <c r="L6" s="15" t="s">
        <v>89</v>
      </c>
      <c r="M6" s="15">
        <v>40</v>
      </c>
      <c r="N6" s="516"/>
      <c r="O6" s="508" t="str">
        <f ca="1">+MID(INDEX(WORLDCUP!$AA$4:$AA$147,MATCH(M6,WORLDCUP!$AH$4:$AH$147,0)),1,3)</f>
        <v>Nue</v>
      </c>
      <c r="P6" s="509" t="str">
        <f>IF(ISBLANK(INDEX(WORLDCUP!$AC$4:$AC$147,MATCH(M6,WORLDCUP!$AH$4:$AH$147,0))),"",INDEX(WORLDCUP!$AC$4:$AC$147,MATCH(M6,WORLDCUP!$AH$4:$AH$147,0)))</f>
        <v/>
      </c>
      <c r="Q6" s="509" t="str">
        <f>IF(ISBLANK(INDEX(WORLDCUP!$AD$4:$AD$147,MATCH(M6,WORLDCUP!$AH$4:$AH$147,0))),"",INDEX(WORLDCUP!$AD$4:$AD$147,MATCH(M6,WORLDCUP!$AH$4:$AH$147,0)))</f>
        <v/>
      </c>
      <c r="R6" s="510" t="str">
        <f ca="1">+MID(INDEX(WORLDCUP!$AF$4:$AF$147,MATCH(M6,WORLDCUP!$AH$4:$AH$147,0)),1,3)</f>
        <v>Egi</v>
      </c>
      <c r="S6" s="531">
        <v>3</v>
      </c>
      <c r="T6" s="532" t="str">
        <f ca="1">+MID(INDEX(WORLDCUP!$AL$6:$AL$97,MATCH(X6,WORLDCUP!$AI$6:$AI$97,0)),1,3)</f>
        <v>Irá</v>
      </c>
      <c r="U6" s="213">
        <f ca="1">+INDEX(WORLDCUP!$AM$6:$AM$97,MATCH(X6,WORLDCUP!$AI$6:$AI$97,0))</f>
        <v>0</v>
      </c>
      <c r="V6" s="214">
        <f ca="1">+INDEX(WORLDCUP!$AT$6:$AT$97,MATCH(X6,WORLDCUP!$AI$6:$AI$97,0))</f>
        <v>0</v>
      </c>
      <c r="W6" s="215" t="str">
        <f ca="1">+INDEX(WORLDCUP!$AR$6:$AR$97,MATCH(X6,WORLDCUP!$AI$6:$AI$97,0))&amp;"-"&amp;INDEX(WORLDCUP!$AS$6:$AS$97,MATCH(X6,WORLDCUP!$AI$6:$AI$97,0))</f>
        <v>0-0</v>
      </c>
      <c r="X6" s="15" t="s">
        <v>435</v>
      </c>
      <c r="Y6" s="15">
        <v>77</v>
      </c>
      <c r="Z6" s="489" t="s">
        <v>673</v>
      </c>
      <c r="AA6" s="490" t="str">
        <f ca="1">+MID(INDEX(WORLDCUP!$AA$101:$AA$147,MATCH(Y6,WORLDCUP!$Z$101:$Z$147,0)),1,3)</f>
        <v>1I</v>
      </c>
      <c r="AB6" s="536" t="str">
        <f>+IF(ISBLANK(INDEX(WORLDCUP!$AC$101:$AC$147,MATCH(Y6,WORLDCUP!$Z$101:$Z$147,0))),"",INDEX(WORLDCUP!$AC$101:$AC$147,MATCH(Y6,WORLDCUP!$Z$101:$Z$147,0)))</f>
        <v/>
      </c>
      <c r="AC6" s="537" t="str">
        <f>+IF(ISBLANK(INDEX(WORLDCUP!$AB$101:$AB$147,MATCH(Y6,WORLDCUP!$Z$101:$Z$147,0))),"","( "&amp;INDEX(WORLDCUP!$AB$101:$AB$147,MATCH(Y6,WORLDCUP!$Z$101:$Z$147,0))&amp;" )")</f>
        <v/>
      </c>
      <c r="AD6" s="15"/>
      <c r="AE6" s="538"/>
      <c r="AF6" s="538"/>
      <c r="AG6" s="539"/>
      <c r="AH6" s="15"/>
      <c r="AI6" s="523"/>
      <c r="AJ6" s="523"/>
      <c r="AK6" s="523"/>
      <c r="AL6" s="84"/>
      <c r="AM6" s="495"/>
      <c r="AN6" s="495"/>
      <c r="AO6" s="495"/>
      <c r="AP6" s="15"/>
      <c r="AQ6" s="524"/>
      <c r="AR6" s="524"/>
      <c r="AS6" s="524"/>
      <c r="AT6" s="15"/>
      <c r="AU6" s="497"/>
      <c r="AV6" s="497"/>
      <c r="AW6" s="497"/>
      <c r="AX6" s="15"/>
      <c r="AY6" s="287"/>
      <c r="AZ6" s="287"/>
      <c r="BA6" s="287"/>
      <c r="BB6" s="287"/>
      <c r="BC6" s="287"/>
      <c r="BD6" s="287"/>
      <c r="BE6" s="287"/>
      <c r="BG6" s="526" t="str">
        <f ca="1">Horarios!Q5</f>
        <v>Argelia</v>
      </c>
      <c r="BH6" s="527">
        <f t="shared" ca="1" si="0"/>
        <v>1</v>
      </c>
      <c r="BI6" s="527">
        <f ca="1">COUNTIF(ADMIN!$M$130:$M$161,Fixture!BG6)-BJ6-BK6-BL6-BM6-BN6-BO6</f>
        <v>0</v>
      </c>
      <c r="BJ6" s="528">
        <f ca="1">COUNTIF(ADMIN!$M$182:$M$197,Fixture!BG6)-BK6-BL6-BM6-BN6-BO6</f>
        <v>0</v>
      </c>
      <c r="BK6" s="529">
        <f ca="1">COUNTIF(ADMIN!$M$210:$M$217,Fixture!BG6)-BL6-BM6-BN6-BO6</f>
        <v>0</v>
      </c>
      <c r="BL6" s="529">
        <f ca="1">COUNTIF(ADMIN!$M$226:$M$229,BG6)-BM6-BN6-BO6</f>
        <v>0</v>
      </c>
      <c r="BM6" s="527">
        <f ca="1">COUNTIF(ADMIN!$M$252,Fixture!BG6)</f>
        <v>0</v>
      </c>
      <c r="BN6" s="527">
        <f ca="1">COUNTIF(ADMIN!$M$251,Fixture!BG6)</f>
        <v>0</v>
      </c>
      <c r="BO6" s="530">
        <f ca="1">COUNTIF(ADMIN!$M$250,Fixture!BG6)</f>
        <v>0</v>
      </c>
    </row>
    <row r="7" spans="1:67" ht="15.75" thickBot="1">
      <c r="A7" s="15">
        <v>53</v>
      </c>
      <c r="B7" s="507"/>
      <c r="C7" s="508" t="str">
        <f ca="1">+MID(INDEX(WORLDCUP!$AA$4:$AA$147,MATCH(A7,WORLDCUP!$AH$4:$AH$147,0)),1,3)</f>
        <v>Rep</v>
      </c>
      <c r="D7" s="509" t="str">
        <f>IF(ISBLANK(INDEX(WORLDCUP!$AC$4:$AC$147,MATCH(A7,WORLDCUP!$AH$4:$AH$147,0))),"",INDEX(WORLDCUP!$AC$4:$AC$147,MATCH(A7,WORLDCUP!$AH$4:$AH$147,0)))</f>
        <v/>
      </c>
      <c r="E7" s="509" t="str">
        <f>IF(ISBLANK(INDEX(WORLDCUP!$AD$4:$AD$147,MATCH(A7,WORLDCUP!$AH$4:$AH$147,0))),"",INDEX(WORLDCUP!$AD$4:$AD$147,MATCH(A7,WORLDCUP!$AH$4:$AH$147,0)))</f>
        <v/>
      </c>
      <c r="F7" s="510" t="str">
        <f ca="1">+MID(INDEX(WORLDCUP!$AF$4:$AF$147,MATCH(A7,WORLDCUP!$AH$4:$AH$147,0)),1,3)</f>
        <v>Méx</v>
      </c>
      <c r="G7" s="531">
        <v>4</v>
      </c>
      <c r="H7" s="540" t="str">
        <f ca="1">+MID(INDEX(WORLDCUP!$AL$6:$AL$97,MATCH(L7,WORLDCUP!$AI$6:$AI$97,0)),1,3)</f>
        <v>Sud</v>
      </c>
      <c r="I7" s="541">
        <f ca="1">+INDEX(WORLDCUP!$AM$6:$AM$97,MATCH(L7,WORLDCUP!$AI$6:$AI$97,0))</f>
        <v>0</v>
      </c>
      <c r="J7" s="542">
        <f ca="1">+INDEX(WORLDCUP!$AT$6:$AT$97,MATCH(L7,WORLDCUP!$AI$6:$AI$97,0))</f>
        <v>-2</v>
      </c>
      <c r="K7" s="543" t="str">
        <f ca="1">+INDEX(WORLDCUP!$AR$6:$AR$97,MATCH(L7,WORLDCUP!$AI$6:$AI$97,0))&amp;"-"&amp;INDEX(WORLDCUP!$AS$6:$AS$97,MATCH(L7,WORLDCUP!$AI$6:$AI$97,0))</f>
        <v>0-2</v>
      </c>
      <c r="L7" s="15" t="s">
        <v>647</v>
      </c>
      <c r="M7" s="15">
        <v>63</v>
      </c>
      <c r="N7" s="516"/>
      <c r="O7" s="508" t="str">
        <f ca="1">+MID(INDEX(WORLDCUP!$AA$4:$AA$147,MATCH(M7,WORLDCUP!$AH$4:$AH$147,0)),1,3)</f>
        <v>Egi</v>
      </c>
      <c r="P7" s="509" t="str">
        <f>IF(ISBLANK(INDEX(WORLDCUP!$AC$4:$AC$147,MATCH(M7,WORLDCUP!$AH$4:$AH$147,0))),"",INDEX(WORLDCUP!$AC$4:$AC$147,MATCH(M7,WORLDCUP!$AH$4:$AH$147,0)))</f>
        <v/>
      </c>
      <c r="Q7" s="509" t="str">
        <f>IF(ISBLANK(INDEX(WORLDCUP!$AD$4:$AD$147,MATCH(M7,WORLDCUP!$AH$4:$AH$147,0))),"",INDEX(WORLDCUP!$AD$4:$AD$147,MATCH(M7,WORLDCUP!$AH$4:$AH$147,0)))</f>
        <v/>
      </c>
      <c r="R7" s="510" t="str">
        <f ca="1">+MID(INDEX(WORLDCUP!$AF$4:$AF$147,MATCH(M7,WORLDCUP!$AH$4:$AH$147,0)),1,3)</f>
        <v>Irá</v>
      </c>
      <c r="S7" s="531">
        <v>4</v>
      </c>
      <c r="T7" s="540" t="str">
        <f ca="1">+MID(INDEX(WORLDCUP!$AL$6:$AL$97,MATCH(X7,WORLDCUP!$AI$6:$AI$97,0)),1,3)</f>
        <v>Nue</v>
      </c>
      <c r="U7" s="541">
        <f ca="1">+INDEX(WORLDCUP!$AM$6:$AM$97,MATCH(X7,WORLDCUP!$AI$6:$AI$97,0))</f>
        <v>0</v>
      </c>
      <c r="V7" s="542">
        <f ca="1">+INDEX(WORLDCUP!$AT$6:$AT$97,MATCH(X7,WORLDCUP!$AI$6:$AI$97,0))</f>
        <v>0</v>
      </c>
      <c r="W7" s="543" t="str">
        <f ca="1">+INDEX(WORLDCUP!$AR$6:$AR$97,MATCH(X7,WORLDCUP!$AI$6:$AI$97,0))&amp;"-"&amp;INDEX(WORLDCUP!$AS$6:$AS$97,MATCH(X7,WORLDCUP!$AI$6:$AI$97,0))</f>
        <v>0-0</v>
      </c>
      <c r="X7" s="15" t="s">
        <v>669</v>
      </c>
      <c r="Y7" s="15">
        <v>77</v>
      </c>
      <c r="Z7" s="489" t="s">
        <v>723</v>
      </c>
      <c r="AA7" s="544" t="str">
        <f ca="1">+MID(INDEX(WORLDCUP!$AF$101:$AF$147,MATCH(Y7,WORLDCUP!$Z$101:$Z$147,0)),1,IF(WORLDCUP!$H$113&lt;144,6,3))</f>
        <v>3CDFGH</v>
      </c>
      <c r="AB7" s="545" t="str">
        <f>+IF(ISBLANK(INDEX(WORLDCUP!$AD$101:$AD$147,MATCH(Y7,WORLDCUP!$Z$101:$Z$147,0))),"",INDEX(WORLDCUP!$AD$101:$AD$147,MATCH(Y7,WORLDCUP!$Z$101:$Z$147,0)))</f>
        <v/>
      </c>
      <c r="AC7" s="546" t="str">
        <f>+IF(ISBLANK(INDEX(WORLDCUP!$AE$101:$AE$147,MATCH(Y7,WORLDCUP!$Z$101:$Z$147,0))),"","( "&amp;INDEX(WORLDCUP!$AE$101:$AE$147,MATCH(Y7,WORLDCUP!$Z$101:$Z$147,0))&amp;" )")</f>
        <v/>
      </c>
      <c r="AD7" s="15"/>
      <c r="AE7" s="538"/>
      <c r="AF7" s="538"/>
      <c r="AG7" s="539"/>
      <c r="AH7" s="519">
        <v>97</v>
      </c>
      <c r="AI7" s="547" t="str">
        <f>+MID(INDEX(WORLDCUP!$AA$101:$AA$147,MATCH(AH7,WORLDCUP!$Z$101:$Z$147,0)),1,3)</f>
        <v>W89</v>
      </c>
      <c r="AJ7" s="548" t="str">
        <f>+IF(ISBLANK(INDEX(WORLDCUP!$AC$101:$AC$147,MATCH(AH7,WORLDCUP!$Z$101:$Z$147,0))),"",INDEX(WORLDCUP!$AC$101:$AC$147,MATCH(AH7,WORLDCUP!$Z$101:$Z$147,0)))</f>
        <v/>
      </c>
      <c r="AK7" s="549" t="str">
        <f>+IF(ISBLANK(INDEX(WORLDCUP!$AB$101:$AB$147,MATCH(AH7,WORLDCUP!$Z$101:$Z$147,0))),"","( "&amp;INDEX(WORLDCUP!$AB$101:$AB$147,MATCH(AH7,WORLDCUP!$Z$101:$Z$147,0))&amp;" )")</f>
        <v/>
      </c>
      <c r="AL7" s="84"/>
      <c r="AM7" s="495"/>
      <c r="AN7" s="495"/>
      <c r="AO7" s="495"/>
      <c r="AP7" s="15"/>
      <c r="AQ7" s="524"/>
      <c r="AR7" s="524"/>
      <c r="AS7" s="524"/>
      <c r="AT7" s="15"/>
      <c r="AU7" s="497"/>
      <c r="AV7" s="497"/>
      <c r="AW7" s="497"/>
      <c r="AX7" s="15"/>
      <c r="AY7" s="287"/>
      <c r="AZ7" s="287"/>
      <c r="BA7" s="287"/>
      <c r="BB7" s="287"/>
      <c r="BC7" s="287"/>
      <c r="BD7" s="287"/>
      <c r="BE7" s="287"/>
      <c r="BG7" s="526" t="str">
        <f ca="1">Horarios!Q6</f>
        <v>Argentina</v>
      </c>
      <c r="BH7" s="527">
        <f t="shared" ca="1" si="0"/>
        <v>1</v>
      </c>
      <c r="BI7" s="527">
        <f ca="1">COUNTIF(ADMIN!$M$130:$M$161,Fixture!BG7)-BJ7-BK7-BL7-BM7-BN7-BO7</f>
        <v>0</v>
      </c>
      <c r="BJ7" s="528">
        <f ca="1">COUNTIF(ADMIN!$M$182:$M$197,Fixture!BG7)-BK7-BL7-BM7-BN7-BO7</f>
        <v>0</v>
      </c>
      <c r="BK7" s="529">
        <f ca="1">COUNTIF(ADMIN!$M$210:$M$217,Fixture!BG7)-BL7-BM7-BN7-BO7</f>
        <v>0</v>
      </c>
      <c r="BL7" s="529">
        <f ca="1">COUNTIF(ADMIN!$M$226:$M$229,BG7)-BM7-BN7-BO7</f>
        <v>0</v>
      </c>
      <c r="BM7" s="527">
        <f ca="1">COUNTIF(ADMIN!$M$252,Fixture!BG7)</f>
        <v>0</v>
      </c>
      <c r="BN7" s="527">
        <f ca="1">COUNTIF(ADMIN!$M$251,Fixture!BG7)</f>
        <v>0</v>
      </c>
      <c r="BO7" s="530">
        <f ca="1">COUNTIF(ADMIN!$M$250,Fixture!BG7)</f>
        <v>0</v>
      </c>
    </row>
    <row r="8" spans="1:67" ht="15.75" thickBot="1">
      <c r="A8" s="15">
        <v>54</v>
      </c>
      <c r="B8" s="550"/>
      <c r="C8" s="551" t="str">
        <f ca="1">+MID(INDEX(WORLDCUP!$AA$4:$AA$147,MATCH(A8,WORLDCUP!$AH$4:$AH$147,0)),1,3)</f>
        <v>Sud</v>
      </c>
      <c r="D8" s="552" t="str">
        <f>IF(ISBLANK(INDEX(WORLDCUP!$AC$4:$AC$147,MATCH(A8,WORLDCUP!$AH$4:$AH$147,0))),"",INDEX(WORLDCUP!$AC$4:$AC$147,MATCH(A8,WORLDCUP!$AH$4:$AH$147,0)))</f>
        <v/>
      </c>
      <c r="E8" s="552" t="str">
        <f>IF(ISBLANK(INDEX(WORLDCUP!$AD$4:$AD$147,MATCH(A8,WORLDCUP!$AH$4:$AH$147,0))),"",INDEX(WORLDCUP!$AD$4:$AD$147,MATCH(A8,WORLDCUP!$AH$4:$AH$147,0)))</f>
        <v/>
      </c>
      <c r="F8" s="553" t="str">
        <f ca="1">+MID(INDEX(WORLDCUP!$AF$4:$AF$147,MATCH(A8,WORLDCUP!$AH$4:$AH$147,0)),1,3)</f>
        <v>Cor</v>
      </c>
      <c r="G8" s="554"/>
      <c r="H8" s="554"/>
      <c r="I8" s="555"/>
      <c r="J8" s="555"/>
      <c r="K8" s="556"/>
      <c r="L8" s="15"/>
      <c r="M8" s="15">
        <v>64</v>
      </c>
      <c r="N8" s="557"/>
      <c r="O8" s="551" t="str">
        <f ca="1">+MID(INDEX(WORLDCUP!$AA$4:$AA$147,MATCH(M8,WORLDCUP!$AH$4:$AH$147,0)),1,3)</f>
        <v>Nue</v>
      </c>
      <c r="P8" s="552" t="str">
        <f>IF(ISBLANK(INDEX(WORLDCUP!$AC$4:$AC$147,MATCH(M8,WORLDCUP!$AH$4:$AH$147,0))),"",INDEX(WORLDCUP!$AC$4:$AC$147,MATCH(M8,WORLDCUP!$AH$4:$AH$147,0)))</f>
        <v/>
      </c>
      <c r="Q8" s="552" t="str">
        <f>IF(ISBLANK(INDEX(WORLDCUP!$AD$4:$AD$147,MATCH(M8,WORLDCUP!$AH$4:$AH$147,0))),"",INDEX(WORLDCUP!$AD$4:$AD$147,MATCH(M8,WORLDCUP!$AH$4:$AH$147,0)))</f>
        <v/>
      </c>
      <c r="R8" s="553" t="str">
        <f ca="1">+MID(INDEX(WORLDCUP!$AF$4:$AF$147,MATCH(M8,WORLDCUP!$AH$4:$AH$147,0)),1,3)</f>
        <v>Bél</v>
      </c>
      <c r="S8" s="554"/>
      <c r="T8" s="554"/>
      <c r="U8" s="555"/>
      <c r="V8" s="555"/>
      <c r="W8" s="556"/>
      <c r="X8" s="15"/>
      <c r="Y8" s="15"/>
      <c r="Z8" s="489"/>
      <c r="AA8" s="558"/>
      <c r="AB8" s="558"/>
      <c r="AC8" s="558"/>
      <c r="AD8" s="15"/>
      <c r="AE8" s="493"/>
      <c r="AF8" s="493"/>
      <c r="AG8" s="539"/>
      <c r="AH8" s="15">
        <v>97</v>
      </c>
      <c r="AI8" s="547" t="str">
        <f>+MID(INDEX(WORLDCUP!$AF$101:$AF$147,MATCH(AH8,WORLDCUP!$Z$101:$Z$147,0)),1,3)</f>
        <v>W90</v>
      </c>
      <c r="AJ8" s="548" t="str">
        <f>+IF(ISBLANK(INDEX(WORLDCUP!$AD$101:$AD$147,MATCH(AH8,WORLDCUP!$Z$101:$Z$147,0))),"",INDEX(WORLDCUP!$AD$101:$AD$147,MATCH(AH8,WORLDCUP!$Z$101:$Z$147,0)))</f>
        <v/>
      </c>
      <c r="AK8" s="559" t="str">
        <f>+IF(ISBLANK(INDEX(WORLDCUP!$AE$101:$AE$147,MATCH(AH8,WORLDCUP!$Z$101:$Z$147,0))),"","( "&amp;INDEX(WORLDCUP!$AE$101:$AE$147,MATCH(AH8,WORLDCUP!$Z$101:$Z$147,0))&amp;" )")</f>
        <v/>
      </c>
      <c r="AL8" s="84"/>
      <c r="AM8" s="495"/>
      <c r="AN8" s="495"/>
      <c r="AO8" s="495"/>
      <c r="AP8" s="15"/>
      <c r="AQ8" s="524"/>
      <c r="AR8" s="524"/>
      <c r="AS8" s="524"/>
      <c r="AT8" s="15"/>
      <c r="AU8" s="497"/>
      <c r="AV8" s="497"/>
      <c r="AW8" s="497"/>
      <c r="AX8" s="15"/>
      <c r="AY8" s="287"/>
      <c r="AZ8" s="287"/>
      <c r="BA8" s="287"/>
      <c r="BB8" s="287"/>
      <c r="BC8" s="287"/>
      <c r="BD8" s="287"/>
      <c r="BE8" s="287"/>
      <c r="BG8" s="526" t="str">
        <f ca="1">Horarios!Q7</f>
        <v>Australia</v>
      </c>
      <c r="BH8" s="527">
        <f t="shared" ca="1" si="0"/>
        <v>1</v>
      </c>
      <c r="BI8" s="527">
        <f ca="1">COUNTIF(ADMIN!$M$130:$M$161,Fixture!BG8)-BJ8-BK8-BL8-BM8-BN8-BO8</f>
        <v>0</v>
      </c>
      <c r="BJ8" s="528">
        <f ca="1">COUNTIF(ADMIN!$M$182:$M$197,Fixture!BG8)-BK8-BL8-BM8-BN8-BO8</f>
        <v>0</v>
      </c>
      <c r="BK8" s="529">
        <f ca="1">COUNTIF(ADMIN!$M$210:$M$217,Fixture!BG8)-BL8-BM8-BN8-BO8</f>
        <v>0</v>
      </c>
      <c r="BL8" s="529">
        <f ca="1">COUNTIF(ADMIN!$M$226:$M$229,BG8)-BM8-BN8-BO8</f>
        <v>0</v>
      </c>
      <c r="BM8" s="527">
        <f ca="1">COUNTIF(ADMIN!$M$252,Fixture!BG8)</f>
        <v>0</v>
      </c>
      <c r="BN8" s="527">
        <f ca="1">COUNTIF(ADMIN!$M$251,Fixture!BG8)</f>
        <v>0</v>
      </c>
      <c r="BO8" s="530">
        <f ca="1">COUNTIF(ADMIN!$M$250,Fixture!BG8)</f>
        <v>0</v>
      </c>
    </row>
    <row r="9" spans="1:67" ht="15.75" thickBot="1">
      <c r="A9" s="15"/>
      <c r="B9" s="476"/>
      <c r="C9" s="560"/>
      <c r="D9" s="423"/>
      <c r="E9" s="423"/>
      <c r="F9" s="287"/>
      <c r="G9" s="287"/>
      <c r="H9" s="560"/>
      <c r="I9" s="287"/>
      <c r="J9" s="287"/>
      <c r="K9" s="287"/>
      <c r="L9" s="15"/>
      <c r="M9" s="15"/>
      <c r="N9" s="237"/>
      <c r="O9" s="560"/>
      <c r="P9" s="423"/>
      <c r="Q9" s="423"/>
      <c r="R9" s="287"/>
      <c r="S9" s="287"/>
      <c r="T9" s="560"/>
      <c r="U9" s="287"/>
      <c r="V9" s="287"/>
      <c r="W9" s="287"/>
      <c r="X9" s="15"/>
      <c r="Y9" s="15">
        <v>73</v>
      </c>
      <c r="Z9" s="489" t="s">
        <v>646</v>
      </c>
      <c r="AA9" s="490" t="str">
        <f ca="1">+MID(INDEX(WORLDCUP!$AA$101:$AA$147,MATCH(Y9,WORLDCUP!$Z$101:$Z$147,0)),1,3)</f>
        <v>2A</v>
      </c>
      <c r="AB9" s="491" t="str">
        <f>+IF(ISBLANK(INDEX(WORLDCUP!$AC$101:$AC$147,MATCH(Y9,WORLDCUP!$Z$101:$Z$147,0))),"",INDEX(WORLDCUP!$AC$101:$AC$147,MATCH(Y9,WORLDCUP!$Z$101:$Z$147,0)))</f>
        <v/>
      </c>
      <c r="AC9" s="561" t="str">
        <f>+IF(ISBLANK(INDEX(WORLDCUP!$AB$101:$AB$147,MATCH(Y9,WORLDCUP!$Z$101:$Z$147,0))),"","( "&amp;INDEX(WORLDCUP!$AB$101:$AB$147,MATCH(Y9,WORLDCUP!$Z$101:$Z$147,0))&amp;" )")</f>
        <v/>
      </c>
      <c r="AD9" s="14"/>
      <c r="AE9" s="493"/>
      <c r="AF9" s="493"/>
      <c r="AG9" s="539"/>
      <c r="AH9" s="15"/>
      <c r="AI9" s="523"/>
      <c r="AJ9" s="523"/>
      <c r="AK9" s="562"/>
      <c r="AL9" s="84"/>
      <c r="AM9" s="495"/>
      <c r="AN9" s="495"/>
      <c r="AO9" s="495"/>
      <c r="AP9" s="15"/>
      <c r="AQ9" s="524"/>
      <c r="AR9" s="524"/>
      <c r="AS9" s="524"/>
      <c r="AT9" s="15"/>
      <c r="AU9" s="497"/>
      <c r="AV9" s="497"/>
      <c r="AW9" s="497"/>
      <c r="AX9" s="15"/>
      <c r="AY9" s="287"/>
      <c r="AZ9" s="287"/>
      <c r="BA9" s="287"/>
      <c r="BB9" s="287"/>
      <c r="BC9" s="287"/>
      <c r="BD9" s="287"/>
      <c r="BE9" s="287"/>
      <c r="BG9" s="526" t="str">
        <f ca="1">Horarios!Q8</f>
        <v>Austria</v>
      </c>
      <c r="BH9" s="527">
        <f t="shared" ca="1" si="0"/>
        <v>1</v>
      </c>
      <c r="BI9" s="527">
        <f ca="1">COUNTIF(ADMIN!$M$130:$M$161,Fixture!BG9)-BJ9-BK9-BL9-BM9-BN9-BO9</f>
        <v>0</v>
      </c>
      <c r="BJ9" s="528">
        <f ca="1">COUNTIF(ADMIN!$M$182:$M$197,Fixture!BG9)-BK9-BL9-BM9-BN9-BO9</f>
        <v>0</v>
      </c>
      <c r="BK9" s="529">
        <f ca="1">COUNTIF(ADMIN!$M$210:$M$217,Fixture!BG9)-BL9-BM9-BN9-BO9</f>
        <v>0</v>
      </c>
      <c r="BL9" s="529">
        <f ca="1">COUNTIF(ADMIN!$M$226:$M$229,BG9)-BM9-BN9-BO9</f>
        <v>0</v>
      </c>
      <c r="BM9" s="527">
        <f ca="1">COUNTIF(ADMIN!$M$252,Fixture!BG9)</f>
        <v>0</v>
      </c>
      <c r="BN9" s="527">
        <f ca="1">COUNTIF(ADMIN!$M$251,Fixture!BG9)</f>
        <v>0</v>
      </c>
      <c r="BO9" s="530">
        <f ca="1">COUNTIF(ADMIN!$M$250,Fixture!BG9)</f>
        <v>0</v>
      </c>
    </row>
    <row r="10" spans="1:67" ht="15.75" thickBot="1">
      <c r="A10" s="15"/>
      <c r="B10" s="476"/>
      <c r="C10" s="560"/>
      <c r="D10" s="423"/>
      <c r="E10" s="423"/>
      <c r="F10" s="287"/>
      <c r="G10" s="287"/>
      <c r="H10" s="560"/>
      <c r="I10" s="287"/>
      <c r="J10" s="287"/>
      <c r="K10" s="287"/>
      <c r="L10" s="15"/>
      <c r="M10" s="15"/>
      <c r="N10" s="237"/>
      <c r="O10" s="560"/>
      <c r="P10" s="423"/>
      <c r="Q10" s="423"/>
      <c r="R10" s="287"/>
      <c r="S10" s="287"/>
      <c r="T10" s="560"/>
      <c r="U10" s="287"/>
      <c r="V10" s="287"/>
      <c r="W10" s="287"/>
      <c r="X10" s="15"/>
      <c r="Y10" s="15">
        <v>73</v>
      </c>
      <c r="Z10" s="489" t="s">
        <v>649</v>
      </c>
      <c r="AA10" s="490" t="str">
        <f ca="1">+MID(INDEX(WORLDCUP!$AF$101:$AF$147,MATCH(Y10,WORLDCUP!$Z$101:$Z$147,0)),1,3)</f>
        <v>2B</v>
      </c>
      <c r="AB10" s="517" t="str">
        <f>+IF(ISBLANK(INDEX(WORLDCUP!$AD$101:$AD$147,MATCH(Y10,WORLDCUP!$Z$101:$Z$147,0))),"",INDEX(WORLDCUP!$AD$101:$AD$147,MATCH(Y10,WORLDCUP!$Z$101:$Z$147,0)))</f>
        <v/>
      </c>
      <c r="AC10" s="518" t="str">
        <f>+IF(ISBLANK(INDEX(WORLDCUP!$AE$101:$AE$147,MATCH(Y10,WORLDCUP!$Z$101:$Z$147,0))),"","( "&amp;INDEX(WORLDCUP!$AE$101:$AE$147,MATCH(Y10,WORLDCUP!$Z$101:$Z$147,0))&amp;" )")</f>
        <v/>
      </c>
      <c r="AD10" s="563">
        <v>90</v>
      </c>
      <c r="AE10" s="520" t="str">
        <f>+MID(INDEX(WORLDCUP!$AA$101:$AA$147,MATCH(AD10,WORLDCUP!$Z$101:$Z$147,0)),1,3)</f>
        <v>W73</v>
      </c>
      <c r="AF10" s="521" t="str">
        <f>+IF(ISBLANK(INDEX(WORLDCUP!$AC$101:$AC$147,MATCH(AD10,WORLDCUP!$Z$101:$Z$147,0))),"",INDEX(WORLDCUP!$AC$101:$AC$147,MATCH(AD10,WORLDCUP!$Z$101:$Z$147,0)))</f>
        <v/>
      </c>
      <c r="AG10" s="564" t="str">
        <f>+IF(ISBLANK(INDEX(WORLDCUP!$AB$101:$AB$147,MATCH(AD10,WORLDCUP!$Z$101:$Z$147,0))),"","( "&amp;INDEX(WORLDCUP!$AB$101:$AB$147,MATCH(AD10,WORLDCUP!$Z$101:$Z$147,0))&amp;" )")</f>
        <v/>
      </c>
      <c r="AH10" s="15"/>
      <c r="AI10" s="523"/>
      <c r="AJ10" s="523"/>
      <c r="AK10" s="562"/>
      <c r="AL10" s="84"/>
      <c r="AM10" s="495"/>
      <c r="AN10" s="495"/>
      <c r="AO10" s="495"/>
      <c r="AP10" s="15"/>
      <c r="AQ10" s="524"/>
      <c r="AR10" s="524"/>
      <c r="AS10" s="524"/>
      <c r="AT10" s="15"/>
      <c r="AU10" s="497"/>
      <c r="AV10" s="497"/>
      <c r="AW10" s="497"/>
      <c r="AX10" s="15"/>
      <c r="AY10" s="287"/>
      <c r="AZ10" s="237"/>
      <c r="BA10" s="237"/>
      <c r="BB10" s="165"/>
      <c r="BC10" s="560"/>
      <c r="BD10" s="423"/>
      <c r="BE10" s="423"/>
      <c r="BF10" s="565"/>
      <c r="BG10" s="526" t="str">
        <f ca="1">Horarios!Q9</f>
        <v>Bélgica</v>
      </c>
      <c r="BH10" s="527">
        <f t="shared" ca="1" si="0"/>
        <v>1</v>
      </c>
      <c r="BI10" s="527">
        <f ca="1">COUNTIF(ADMIN!$M$130:$M$161,Fixture!BG10)-BJ10-BK10-BL10-BM10-BN10-BO10</f>
        <v>0</v>
      </c>
      <c r="BJ10" s="528">
        <f ca="1">COUNTIF(ADMIN!$M$182:$M$197,Fixture!BG10)-BK10-BL10-BM10-BN10-BO10</f>
        <v>0</v>
      </c>
      <c r="BK10" s="529">
        <f ca="1">COUNTIF(ADMIN!$M$210:$M$217,Fixture!BG10)-BL10-BM10-BN10-BO10</f>
        <v>0</v>
      </c>
      <c r="BL10" s="529">
        <f ca="1">COUNTIF(ADMIN!$M$226:$M$229,BG10)-BM10-BN10-BO10</f>
        <v>0</v>
      </c>
      <c r="BM10" s="527">
        <f ca="1">COUNTIF(ADMIN!$M$252,Fixture!BG10)</f>
        <v>0</v>
      </c>
      <c r="BN10" s="527">
        <f ca="1">COUNTIF(ADMIN!$M$251,Fixture!BG10)</f>
        <v>0</v>
      </c>
      <c r="BO10" s="530">
        <f ca="1">COUNTIF(ADMIN!$M$250,Fixture!BG10)</f>
        <v>0</v>
      </c>
    </row>
    <row r="11" spans="1:67">
      <c r="A11" s="15">
        <v>3</v>
      </c>
      <c r="B11" s="566" t="s">
        <v>1</v>
      </c>
      <c r="C11" s="481" t="str">
        <f ca="1">+MID(INDEX(WORLDCUP!$AA$4:$AA$147,MATCH(A11,WORLDCUP!$AH$4:$AH$147,0)),1,3)</f>
        <v>Can</v>
      </c>
      <c r="D11" s="482" t="str">
        <f>IF(ISBLANK(INDEX(WORLDCUP!$AC$4:$AC$147,MATCH(A11,WORLDCUP!$AH$4:$AH$147,0))),"",INDEX(WORLDCUP!$AC$4:$AC$147,MATCH(A11,WORLDCUP!$AH$4:$AH$147,0)))</f>
        <v/>
      </c>
      <c r="E11" s="482" t="str">
        <f>IF(ISBLANK(INDEX(WORLDCUP!$AD$4:$AD$147,MATCH(A11,WORLDCUP!$AH$4:$AH$147,0))),"",INDEX(WORLDCUP!$AD$4:$AD$147,MATCH(A11,WORLDCUP!$AH$4:$AH$147,0)))</f>
        <v/>
      </c>
      <c r="F11" s="483" t="str">
        <f ca="1">+MID(INDEX(WORLDCUP!$AF$4:$AF$147,MATCH(A11,WORLDCUP!$AH$4:$AH$147,0)),1,3)</f>
        <v>Bos</v>
      </c>
      <c r="G11" s="484"/>
      <c r="H11" s="485" t="str">
        <f>+H3</f>
        <v>Sel</v>
      </c>
      <c r="I11" s="486" t="str">
        <f>+I3</f>
        <v>Pts</v>
      </c>
      <c r="J11" s="486" t="str">
        <f>+J3</f>
        <v>DG</v>
      </c>
      <c r="K11" s="487" t="str">
        <f>+K3</f>
        <v>GF-GC</v>
      </c>
      <c r="L11" s="15"/>
      <c r="M11" s="15">
        <v>14</v>
      </c>
      <c r="N11" s="567" t="s">
        <v>437</v>
      </c>
      <c r="O11" s="481" t="str">
        <f ca="1">+MID(INDEX(WORLDCUP!$AA$4:$AA$147,MATCH(M11,WORLDCUP!$AH$4:$AH$147,0)),1,3)</f>
        <v>Esp</v>
      </c>
      <c r="P11" s="482" t="str">
        <f>IF(ISBLANK(INDEX(WORLDCUP!$AC$4:$AC$147,MATCH(M11,WORLDCUP!$AH$4:$AH$147,0))),"",INDEX(WORLDCUP!$AC$4:$AC$147,MATCH(M11,WORLDCUP!$AH$4:$AH$147,0)))</f>
        <v/>
      </c>
      <c r="Q11" s="482" t="str">
        <f>IF(ISBLANK(INDEX(WORLDCUP!$AD$4:$AD$147,MATCH(M11,WORLDCUP!$AH$4:$AH$147,0))),"",INDEX(WORLDCUP!$AD$4:$AD$147,MATCH(M11,WORLDCUP!$AH$4:$AH$147,0)))</f>
        <v/>
      </c>
      <c r="R11" s="483" t="str">
        <f ca="1">+MID(INDEX(WORLDCUP!$AF$4:$AF$147,MATCH(M11,WORLDCUP!$AH$4:$AH$147,0)),1,3)</f>
        <v>Cab</v>
      </c>
      <c r="S11" s="484"/>
      <c r="T11" s="485" t="str">
        <f>+T3</f>
        <v>Sel</v>
      </c>
      <c r="U11" s="486" t="str">
        <f t="shared" ref="U11:W11" si="1">+U3</f>
        <v>Pts</v>
      </c>
      <c r="V11" s="486" t="str">
        <f t="shared" si="1"/>
        <v>DG</v>
      </c>
      <c r="W11" s="487" t="str">
        <f t="shared" si="1"/>
        <v>GF-GC</v>
      </c>
      <c r="X11" s="15"/>
      <c r="Y11" s="15"/>
      <c r="Z11" s="489"/>
      <c r="AA11" s="533"/>
      <c r="AB11" s="533"/>
      <c r="AC11" s="534"/>
      <c r="AD11" s="15">
        <v>90</v>
      </c>
      <c r="AE11" s="520" t="str">
        <f>+MID(INDEX(WORLDCUP!$AF$101:$AF$147,MATCH(AD11,WORLDCUP!$Z$101:$Z$147,0)),1,3)</f>
        <v>W75</v>
      </c>
      <c r="AF11" s="521" t="str">
        <f>+IF(ISBLANK(INDEX(WORLDCUP!$AD$101:$AD$147,MATCH(AD11,WORLDCUP!$Z$101:$Z$147,0))),"",INDEX(WORLDCUP!$AD$101:$AD$147,MATCH(AD11,WORLDCUP!$Z$101:$Z$147,0)))</f>
        <v/>
      </c>
      <c r="AG11" s="538" t="str">
        <f>+IF(ISBLANK(INDEX(WORLDCUP!$AE$101:$AE$147,MATCH(AD11,WORLDCUP!$Z$101:$Z$147,0))),"","( "&amp;INDEX(WORLDCUP!$AE$101:$AE$147,MATCH(AD11,WORLDCUP!$Z$101:$Z$147,0))&amp;" )")</f>
        <v/>
      </c>
      <c r="AH11" s="15"/>
      <c r="AI11" s="523"/>
      <c r="AJ11" s="523"/>
      <c r="AK11" s="562"/>
      <c r="AL11" s="84"/>
      <c r="AM11" s="495"/>
      <c r="AN11" s="495"/>
      <c r="AO11" s="495"/>
      <c r="AP11" s="15"/>
      <c r="AQ11" s="524"/>
      <c r="AR11" s="524"/>
      <c r="AS11" s="524"/>
      <c r="AT11" s="15"/>
      <c r="AU11" s="497"/>
      <c r="AV11" s="497"/>
      <c r="AW11" s="497"/>
      <c r="AX11" s="15"/>
      <c r="AY11" s="287"/>
      <c r="AZ11" s="287"/>
      <c r="BA11" s="287"/>
      <c r="BB11" s="287"/>
      <c r="BC11" s="287"/>
      <c r="BD11" s="287"/>
      <c r="BE11" s="287"/>
      <c r="BG11" s="526" t="str">
        <f ca="1">Horarios!Q10</f>
        <v>Bosnia y Herzegovina</v>
      </c>
      <c r="BH11" s="527">
        <f t="shared" ca="1" si="0"/>
        <v>1</v>
      </c>
      <c r="BI11" s="527">
        <f ca="1">COUNTIF(ADMIN!$M$130:$M$161,Fixture!BG11)-BJ11-BK11-BL11-BM11-BN11-BO11</f>
        <v>0</v>
      </c>
      <c r="BJ11" s="528">
        <f ca="1">COUNTIF(ADMIN!$M$182:$M$197,Fixture!BG11)-BK11-BL11-BM11-BN11-BO11</f>
        <v>0</v>
      </c>
      <c r="BK11" s="529">
        <f ca="1">COUNTIF(ADMIN!$M$210:$M$217,Fixture!BG11)-BL11-BM11-BN11-BO11</f>
        <v>0</v>
      </c>
      <c r="BL11" s="529">
        <f ca="1">COUNTIF(ADMIN!$M$226:$M$229,BG11)-BM11-BN11-BO11</f>
        <v>0</v>
      </c>
      <c r="BM11" s="527">
        <f ca="1">COUNTIF(ADMIN!$M$252,Fixture!BG11)</f>
        <v>0</v>
      </c>
      <c r="BN11" s="527">
        <f ca="1">COUNTIF(ADMIN!$M$251,Fixture!BG11)</f>
        <v>0</v>
      </c>
      <c r="BO11" s="530">
        <f ca="1">COUNTIF(ADMIN!$M$250,Fixture!BG11)</f>
        <v>0</v>
      </c>
    </row>
    <row r="12" spans="1:67" ht="15.75" thickBot="1">
      <c r="A12" s="15">
        <v>8</v>
      </c>
      <c r="B12" s="568"/>
      <c r="C12" s="508" t="str">
        <f ca="1">+MID(INDEX(WORLDCUP!$AA$4:$AA$147,MATCH(A12,WORLDCUP!$AH$4:$AH$147,0)),1,3)</f>
        <v>Cat</v>
      </c>
      <c r="D12" s="509" t="str">
        <f>IF(ISBLANK(INDEX(WORLDCUP!$AC$4:$AC$147,MATCH(A12,WORLDCUP!$AH$4:$AH$147,0))),"",INDEX(WORLDCUP!$AC$4:$AC$147,MATCH(A12,WORLDCUP!$AH$4:$AH$147,0)))</f>
        <v/>
      </c>
      <c r="E12" s="509" t="str">
        <f>IF(ISBLANK(INDEX(WORLDCUP!$AD$4:$AD$147,MATCH(A12,WORLDCUP!$AH$4:$AH$147,0))),"",INDEX(WORLDCUP!$AD$4:$AD$147,MATCH(A12,WORLDCUP!$AH$4:$AH$147,0)))</f>
        <v/>
      </c>
      <c r="F12" s="510" t="str">
        <f ca="1">+MID(INDEX(WORLDCUP!$AF$4:$AF$147,MATCH(A12,WORLDCUP!$AH$4:$AH$147,0)),1,3)</f>
        <v>Sui</v>
      </c>
      <c r="G12" s="511">
        <v>1</v>
      </c>
      <c r="H12" s="512" t="str">
        <f ca="1">+MID(INDEX(WORLDCUP!$AL$6:$AL$97,MATCH(L12,WORLDCUP!$AI$6:$AI$97,0)),1,3)</f>
        <v>Can</v>
      </c>
      <c r="I12" s="513">
        <f ca="1">+INDEX(WORLDCUP!$AM$6:$AM$97,MATCH(L12,WORLDCUP!$AI$6:$AI$97,0))</f>
        <v>0</v>
      </c>
      <c r="J12" s="514">
        <f ca="1">+INDEX(WORLDCUP!$AT$6:$AT$97,MATCH(L12,WORLDCUP!$AI$6:$AI$97,0))</f>
        <v>0</v>
      </c>
      <c r="K12" s="515" t="str">
        <f ca="1">+INDEX(WORLDCUP!$AR$6:$AR$97,MATCH(L12,WORLDCUP!$AI$6:$AI$97,0))&amp;"-"&amp;INDEX(WORLDCUP!$AS$6:$AS$97,MATCH(L12,WORLDCUP!$AI$6:$AI$97,0))</f>
        <v>0-0</v>
      </c>
      <c r="L12" s="15" t="s">
        <v>648</v>
      </c>
      <c r="M12" s="15">
        <v>13</v>
      </c>
      <c r="N12" s="569"/>
      <c r="O12" s="508" t="str">
        <f ca="1">+MID(INDEX(WORLDCUP!$AA$4:$AA$147,MATCH(M12,WORLDCUP!$AH$4:$AH$147,0)),1,3)</f>
        <v>Ara</v>
      </c>
      <c r="P12" s="509" t="str">
        <f>IF(ISBLANK(INDEX(WORLDCUP!$AC$4:$AC$147,MATCH(M12,WORLDCUP!$AH$4:$AH$147,0))),"",INDEX(WORLDCUP!$AC$4:$AC$147,MATCH(M12,WORLDCUP!$AH$4:$AH$147,0)))</f>
        <v/>
      </c>
      <c r="Q12" s="509" t="str">
        <f>IF(ISBLANK(INDEX(WORLDCUP!$AD$4:$AD$147,MATCH(M12,WORLDCUP!$AH$4:$AH$147,0))),"",INDEX(WORLDCUP!$AD$4:$AD$147,MATCH(M12,WORLDCUP!$AH$4:$AH$147,0)))</f>
        <v/>
      </c>
      <c r="R12" s="510" t="str">
        <f ca="1">+MID(INDEX(WORLDCUP!$AF$4:$AF$147,MATCH(M12,WORLDCUP!$AH$4:$AH$147,0)),1,3)</f>
        <v>Uru</v>
      </c>
      <c r="S12" s="511">
        <v>1</v>
      </c>
      <c r="T12" s="512" t="str">
        <f ca="1">+MID(INDEX(WORLDCUP!$AL$6:$AL$97,MATCH(X12,WORLDCUP!$AI$6:$AI$97,0)),1,3)</f>
        <v>Esp</v>
      </c>
      <c r="U12" s="513">
        <f ca="1">+INDEX(WORLDCUP!$AM$6:$AM$97,MATCH(X12,WORLDCUP!$AI$6:$AI$97,0))</f>
        <v>0</v>
      </c>
      <c r="V12" s="514">
        <f ca="1">+INDEX(WORLDCUP!$AT$6:$AT$97,MATCH(X12,WORLDCUP!$AI$6:$AI$97,0))</f>
        <v>0</v>
      </c>
      <c r="W12" s="515" t="str">
        <f ca="1">+INDEX(WORLDCUP!$AR$6:$AR$97,MATCH(X12,WORLDCUP!$AI$6:$AI$97,0))&amp;"-"&amp;INDEX(WORLDCUP!$AS$6:$AS$97,MATCH(X12,WORLDCUP!$AI$6:$AI$97,0))</f>
        <v>0-0</v>
      </c>
      <c r="X12" s="15" t="s">
        <v>670</v>
      </c>
      <c r="Y12" s="15">
        <v>75</v>
      </c>
      <c r="Z12" s="489" t="s">
        <v>664</v>
      </c>
      <c r="AA12" s="490" t="str">
        <f ca="1">+MID(INDEX(WORLDCUP!$AA$101:$AA$147,MATCH(Y12,WORLDCUP!$Z$101:$Z$147,0)),1,3)</f>
        <v>1F</v>
      </c>
      <c r="AB12" s="536" t="str">
        <f>+IF(ISBLANK(INDEX(WORLDCUP!$AC$101:$AC$147,MATCH(Y12,WORLDCUP!$Z$101:$Z$147,0))),"",INDEX(WORLDCUP!$AC$101:$AC$147,MATCH(Y12,WORLDCUP!$Z$101:$Z$147,0)))</f>
        <v/>
      </c>
      <c r="AC12" s="570" t="str">
        <f>+IF(ISBLANK(INDEX(WORLDCUP!$AB$101:$AB$147,MATCH(Y12,WORLDCUP!$Z$101:$Z$147,0))),"","( "&amp;INDEX(WORLDCUP!$AB$101:$AB$147,MATCH(Y12,WORLDCUP!$Z$101:$Z$147,0))&amp;" )")</f>
        <v/>
      </c>
      <c r="AD12" s="15"/>
      <c r="AE12" s="493"/>
      <c r="AF12" s="493"/>
      <c r="AG12" s="493"/>
      <c r="AH12" s="15"/>
      <c r="AI12" s="523"/>
      <c r="AJ12" s="523"/>
      <c r="AK12" s="562"/>
      <c r="AL12" s="84"/>
      <c r="AM12" s="495"/>
      <c r="AN12" s="495"/>
      <c r="AO12" s="495"/>
      <c r="AP12" s="15"/>
      <c r="AQ12" s="524"/>
      <c r="AR12" s="524"/>
      <c r="AS12" s="524"/>
      <c r="AT12" s="15"/>
      <c r="AU12" s="497"/>
      <c r="AV12" s="497"/>
      <c r="AW12" s="497"/>
      <c r="AX12" s="15"/>
      <c r="AY12" s="287"/>
      <c r="AZ12" s="287"/>
      <c r="BA12" s="287"/>
      <c r="BB12" s="287"/>
      <c r="BC12" s="287"/>
      <c r="BD12" s="287"/>
      <c r="BE12" s="287"/>
      <c r="BG12" s="526" t="str">
        <f ca="1">Horarios!Q11</f>
        <v>Brasil</v>
      </c>
      <c r="BH12" s="527">
        <f t="shared" ca="1" si="0"/>
        <v>1</v>
      </c>
      <c r="BI12" s="527">
        <f ca="1">COUNTIF(ADMIN!$M$130:$M$161,Fixture!BG12)-BJ12-BK12-BL12-BM12-BN12-BO12</f>
        <v>0</v>
      </c>
      <c r="BJ12" s="528">
        <f ca="1">COUNTIF(ADMIN!$M$182:$M$197,Fixture!BG12)-BK12-BL12-BM12-BN12-BO12</f>
        <v>0</v>
      </c>
      <c r="BK12" s="529">
        <f ca="1">COUNTIF(ADMIN!$M$210:$M$217,Fixture!BG12)-BL12-BM12-BN12-BO12</f>
        <v>0</v>
      </c>
      <c r="BL12" s="529">
        <f ca="1">COUNTIF(ADMIN!$M$226:$M$229,BG12)-BM12-BN12-BO12</f>
        <v>0</v>
      </c>
      <c r="BM12" s="527">
        <f ca="1">COUNTIF(ADMIN!$M$252,Fixture!BG12)</f>
        <v>0</v>
      </c>
      <c r="BN12" s="527">
        <f ca="1">COUNTIF(ADMIN!$M$251,Fixture!BG12)</f>
        <v>0</v>
      </c>
      <c r="BO12" s="530">
        <f ca="1">COUNTIF(ADMIN!$M$250,Fixture!BG12)</f>
        <v>0</v>
      </c>
    </row>
    <row r="13" spans="1:67" ht="15.75" thickBot="1">
      <c r="A13" s="15">
        <v>26</v>
      </c>
      <c r="B13" s="568"/>
      <c r="C13" s="508" t="str">
        <f ca="1">+MID(INDEX(WORLDCUP!$AA$4:$AA$147,MATCH(A13,WORLDCUP!$AH$4:$AH$147,0)),1,3)</f>
        <v>Sui</v>
      </c>
      <c r="D13" s="509" t="str">
        <f>IF(ISBLANK(INDEX(WORLDCUP!$AC$4:$AC$147,MATCH(A13,WORLDCUP!$AH$4:$AH$147,0))),"",INDEX(WORLDCUP!$AC$4:$AC$147,MATCH(A13,WORLDCUP!$AH$4:$AH$147,0)))</f>
        <v/>
      </c>
      <c r="E13" s="509" t="str">
        <f>IF(ISBLANK(INDEX(WORLDCUP!$AD$4:$AD$147,MATCH(A13,WORLDCUP!$AH$4:$AH$147,0))),"",INDEX(WORLDCUP!$AD$4:$AD$147,MATCH(A13,WORLDCUP!$AH$4:$AH$147,0)))</f>
        <v/>
      </c>
      <c r="F13" s="510" t="str">
        <f ca="1">+MID(INDEX(WORLDCUP!$AF$4:$AF$147,MATCH(A13,WORLDCUP!$AH$4:$AH$147,0)),1,3)</f>
        <v>Bos</v>
      </c>
      <c r="G13" s="531">
        <v>2</v>
      </c>
      <c r="H13" s="532" t="str">
        <f ca="1">+MID(INDEX(WORLDCUP!$AL$6:$AL$97,MATCH(L13,WORLDCUP!$AI$6:$AI$97,0)),1,3)</f>
        <v>Bos</v>
      </c>
      <c r="I13" s="213">
        <f ca="1">+INDEX(WORLDCUP!$AM$6:$AM$97,MATCH(L13,WORLDCUP!$AI$6:$AI$97,0))</f>
        <v>0</v>
      </c>
      <c r="J13" s="214">
        <f ca="1">+INDEX(WORLDCUP!$AT$6:$AT$97,MATCH(L13,WORLDCUP!$AI$6:$AI$97,0))</f>
        <v>0</v>
      </c>
      <c r="K13" s="215" t="str">
        <f ca="1">+INDEX(WORLDCUP!$AR$6:$AR$97,MATCH(L13,WORLDCUP!$AI$6:$AI$97,0))&amp;"-"&amp;INDEX(WORLDCUP!$AS$6:$AS$97,MATCH(L13,WORLDCUP!$AI$6:$AI$97,0))</f>
        <v>0-0</v>
      </c>
      <c r="L13" s="15" t="s">
        <v>649</v>
      </c>
      <c r="M13" s="15">
        <v>38</v>
      </c>
      <c r="N13" s="569"/>
      <c r="O13" s="508" t="str">
        <f ca="1">+MID(INDEX(WORLDCUP!$AA$4:$AA$147,MATCH(M13,WORLDCUP!$AH$4:$AH$147,0)),1,3)</f>
        <v>Esp</v>
      </c>
      <c r="P13" s="509" t="str">
        <f>IF(ISBLANK(INDEX(WORLDCUP!$AC$4:$AC$147,MATCH(M13,WORLDCUP!$AH$4:$AH$147,0))),"",INDEX(WORLDCUP!$AC$4:$AC$147,MATCH(M13,WORLDCUP!$AH$4:$AH$147,0)))</f>
        <v/>
      </c>
      <c r="Q13" s="509" t="str">
        <f>IF(ISBLANK(INDEX(WORLDCUP!$AD$4:$AD$147,MATCH(M13,WORLDCUP!$AH$4:$AH$147,0))),"",INDEX(WORLDCUP!$AD$4:$AD$147,MATCH(M13,WORLDCUP!$AH$4:$AH$147,0)))</f>
        <v/>
      </c>
      <c r="R13" s="510" t="str">
        <f ca="1">+MID(INDEX(WORLDCUP!$AF$4:$AF$147,MATCH(M13,WORLDCUP!$AH$4:$AH$147,0)),1,3)</f>
        <v>Ara</v>
      </c>
      <c r="S13" s="531">
        <v>2</v>
      </c>
      <c r="T13" s="532" t="str">
        <f ca="1">+MID(INDEX(WORLDCUP!$AL$6:$AL$97,MATCH(X13,WORLDCUP!$AI$6:$AI$97,0)),1,3)</f>
        <v>Cab</v>
      </c>
      <c r="U13" s="213">
        <f ca="1">+INDEX(WORLDCUP!$AM$6:$AM$97,MATCH(X13,WORLDCUP!$AI$6:$AI$97,0))</f>
        <v>0</v>
      </c>
      <c r="V13" s="214">
        <f ca="1">+INDEX(WORLDCUP!$AT$6:$AT$97,MATCH(X13,WORLDCUP!$AI$6:$AI$97,0))</f>
        <v>0</v>
      </c>
      <c r="W13" s="215" t="str">
        <f ca="1">+INDEX(WORLDCUP!$AR$6:$AR$97,MATCH(X13,WORLDCUP!$AI$6:$AI$97,0))&amp;"-"&amp;INDEX(WORLDCUP!$AS$6:$AS$97,MATCH(X13,WORLDCUP!$AI$6:$AI$97,0))</f>
        <v>0-0</v>
      </c>
      <c r="X13" s="15" t="s">
        <v>671</v>
      </c>
      <c r="Y13" s="15">
        <v>75</v>
      </c>
      <c r="Z13" s="489" t="s">
        <v>656</v>
      </c>
      <c r="AA13" s="544" t="str">
        <f ca="1">+MID(INDEX(WORLDCUP!$AF$101:$AF$147,MATCH(Y13,WORLDCUP!$Z$101:$Z$147,0)),1,3)</f>
        <v>2C</v>
      </c>
      <c r="AB13" s="545" t="str">
        <f>+IF(ISBLANK(INDEX(WORLDCUP!$AD$101:$AD$147,MATCH(Y13,WORLDCUP!$Z$101:$Z$147,0))),"",INDEX(WORLDCUP!$AD$101:$AD$147,MATCH(Y13,WORLDCUP!$Z$101:$Z$147,0)))</f>
        <v/>
      </c>
      <c r="AC13" s="571" t="str">
        <f>+IF(ISBLANK(INDEX(WORLDCUP!$AE$101:$AE$147,MATCH(Y13,WORLDCUP!$Z$101:$Z$147,0))),"","( "&amp;INDEX(WORLDCUP!$AE$101:$AE$147,MATCH(Y13,WORLDCUP!$Z$101:$Z$147,0))&amp;" )")</f>
        <v/>
      </c>
      <c r="AD13" s="15"/>
      <c r="AE13" s="493"/>
      <c r="AF13" s="493"/>
      <c r="AG13" s="493"/>
      <c r="AH13" s="15"/>
      <c r="AI13" s="523"/>
      <c r="AJ13" s="523"/>
      <c r="AK13" s="562"/>
      <c r="AL13" s="563">
        <v>101</v>
      </c>
      <c r="AM13" s="572" t="str">
        <f>+MID(INDEX(WORLDCUP!$AA$101:$AA$147,MATCH(AL13,WORLDCUP!$Z$101:$Z$147,0)),1,3)</f>
        <v>W97</v>
      </c>
      <c r="AN13" s="573" t="str">
        <f>+IF(ISBLANK(INDEX(WORLDCUP!$AC$101:$AC$147,MATCH(AL13,WORLDCUP!$Z$101:$Z$147,0))),"",INDEX(WORLDCUP!$AC$101:$AC$147,MATCH(AL13,WORLDCUP!$Z$101:$Z$147,0)))</f>
        <v/>
      </c>
      <c r="AO13" s="574" t="str">
        <f>+IF(ISBLANK(INDEX(WORLDCUP!$AB$101:$AB$147,MATCH(AL13,WORLDCUP!$Z$101:$Z$147,0))),"","( "&amp;INDEX(WORLDCUP!$AB$101:$AB$147,MATCH(AL13,WORLDCUP!$Z$101:$Z$147,0))&amp;" )")</f>
        <v/>
      </c>
      <c r="AP13" s="15"/>
      <c r="AQ13" s="524"/>
      <c r="AR13" s="524"/>
      <c r="AS13" s="524"/>
      <c r="AT13" s="15"/>
      <c r="AU13" s="497"/>
      <c r="AV13" s="497"/>
      <c r="AW13" s="497"/>
      <c r="AX13" s="15"/>
      <c r="AY13" s="287"/>
      <c r="AZ13" s="287"/>
      <c r="BA13" s="287"/>
      <c r="BB13" s="287"/>
      <c r="BC13" s="287"/>
      <c r="BD13" s="287"/>
      <c r="BE13" s="287"/>
      <c r="BG13" s="526" t="str">
        <f ca="1">Horarios!Q12</f>
        <v>Cabo Verde</v>
      </c>
      <c r="BH13" s="527">
        <f t="shared" ca="1" si="0"/>
        <v>1</v>
      </c>
      <c r="BI13" s="527">
        <f ca="1">COUNTIF(ADMIN!$M$130:$M$161,Fixture!BG13)-BJ13-BK13-BL13-BM13-BN13-BO13</f>
        <v>0</v>
      </c>
      <c r="BJ13" s="528">
        <f ca="1">COUNTIF(ADMIN!$M$182:$M$197,Fixture!BG13)-BK13-BL13-BM13-BN13-BO13</f>
        <v>0</v>
      </c>
      <c r="BK13" s="529">
        <f ca="1">COUNTIF(ADMIN!$M$210:$M$217,Fixture!BG13)-BL13-BM13-BN13-BO13</f>
        <v>0</v>
      </c>
      <c r="BL13" s="529">
        <f ca="1">COUNTIF(ADMIN!$M$226:$M$229,BG13)-BM13-BN13-BO13</f>
        <v>0</v>
      </c>
      <c r="BM13" s="527">
        <f ca="1">COUNTIF(ADMIN!$M$252,Fixture!BG13)</f>
        <v>0</v>
      </c>
      <c r="BN13" s="527">
        <f ca="1">COUNTIF(ADMIN!$M$251,Fixture!BG13)</f>
        <v>0</v>
      </c>
      <c r="BO13" s="530">
        <f ca="1">COUNTIF(ADMIN!$M$250,Fixture!BG13)</f>
        <v>0</v>
      </c>
    </row>
    <row r="14" spans="1:67">
      <c r="A14" s="15">
        <v>27</v>
      </c>
      <c r="B14" s="568"/>
      <c r="C14" s="508" t="str">
        <f ca="1">+MID(INDEX(WORLDCUP!$AA$4:$AA$147,MATCH(A14,WORLDCUP!$AH$4:$AH$147,0)),1,3)</f>
        <v>Can</v>
      </c>
      <c r="D14" s="509" t="str">
        <f>IF(ISBLANK(INDEX(WORLDCUP!$AC$4:$AC$147,MATCH(A14,WORLDCUP!$AH$4:$AH$147,0))),"",INDEX(WORLDCUP!$AC$4:$AC$147,MATCH(A14,WORLDCUP!$AH$4:$AH$147,0)))</f>
        <v/>
      </c>
      <c r="E14" s="509" t="str">
        <f>IF(ISBLANK(INDEX(WORLDCUP!$AD$4:$AD$147,MATCH(A14,WORLDCUP!$AH$4:$AH$147,0))),"",INDEX(WORLDCUP!$AD$4:$AD$147,MATCH(A14,WORLDCUP!$AH$4:$AH$147,0)))</f>
        <v/>
      </c>
      <c r="F14" s="510" t="str">
        <f ca="1">+MID(INDEX(WORLDCUP!$AF$4:$AF$147,MATCH(A14,WORLDCUP!$AH$4:$AH$147,0)),1,3)</f>
        <v>Cat</v>
      </c>
      <c r="G14" s="531">
        <v>3</v>
      </c>
      <c r="H14" s="532" t="str">
        <f ca="1">+MID(INDEX(WORLDCUP!$AL$6:$AL$97,MATCH(L14,WORLDCUP!$AI$6:$AI$97,0)),1,3)</f>
        <v>Cat</v>
      </c>
      <c r="I14" s="213">
        <f ca="1">+INDEX(WORLDCUP!$AM$6:$AM$97,MATCH(L14,WORLDCUP!$AI$6:$AI$97,0))</f>
        <v>0</v>
      </c>
      <c r="J14" s="214">
        <f ca="1">+INDEX(WORLDCUP!$AT$6:$AT$97,MATCH(L14,WORLDCUP!$AI$6:$AI$97,0))</f>
        <v>0</v>
      </c>
      <c r="K14" s="215" t="str">
        <f ca="1">+INDEX(WORLDCUP!$AR$6:$AR$97,MATCH(L14,WORLDCUP!$AI$6:$AI$97,0))&amp;"-"&amp;INDEX(WORLDCUP!$AS$6:$AS$97,MATCH(L14,WORLDCUP!$AI$6:$AI$97,0))</f>
        <v>0-0</v>
      </c>
      <c r="L14" s="15" t="s">
        <v>90</v>
      </c>
      <c r="M14" s="15">
        <v>37</v>
      </c>
      <c r="N14" s="569"/>
      <c r="O14" s="508" t="str">
        <f ca="1">+MID(INDEX(WORLDCUP!$AA$4:$AA$147,MATCH(M14,WORLDCUP!$AH$4:$AH$147,0)),1,3)</f>
        <v>Uru</v>
      </c>
      <c r="P14" s="509" t="str">
        <f>IF(ISBLANK(INDEX(WORLDCUP!$AC$4:$AC$147,MATCH(M14,WORLDCUP!$AH$4:$AH$147,0))),"",INDEX(WORLDCUP!$AC$4:$AC$147,MATCH(M14,WORLDCUP!$AH$4:$AH$147,0)))</f>
        <v/>
      </c>
      <c r="Q14" s="509" t="str">
        <f>IF(ISBLANK(INDEX(WORLDCUP!$AD$4:$AD$147,MATCH(M14,WORLDCUP!$AH$4:$AH$147,0))),"",INDEX(WORLDCUP!$AD$4:$AD$147,MATCH(M14,WORLDCUP!$AH$4:$AH$147,0)))</f>
        <v/>
      </c>
      <c r="R14" s="510" t="str">
        <f ca="1">+MID(INDEX(WORLDCUP!$AF$4:$AF$147,MATCH(M14,WORLDCUP!$AH$4:$AH$147,0)),1,3)</f>
        <v>Cab</v>
      </c>
      <c r="S14" s="531">
        <v>3</v>
      </c>
      <c r="T14" s="532" t="str">
        <f ca="1">+MID(INDEX(WORLDCUP!$AL$6:$AL$97,MATCH(X14,WORLDCUP!$AI$6:$AI$97,0)),1,3)</f>
        <v>Ara</v>
      </c>
      <c r="U14" s="213">
        <f ca="1">+INDEX(WORLDCUP!$AM$6:$AM$97,MATCH(X14,WORLDCUP!$AI$6:$AI$97,0))</f>
        <v>0</v>
      </c>
      <c r="V14" s="214">
        <f ca="1">+INDEX(WORLDCUP!$AT$6:$AT$97,MATCH(X14,WORLDCUP!$AI$6:$AI$97,0))</f>
        <v>0</v>
      </c>
      <c r="W14" s="215" t="str">
        <f ca="1">+INDEX(WORLDCUP!$AR$6:$AR$97,MATCH(X14,WORLDCUP!$AI$6:$AI$97,0))&amp;"-"&amp;INDEX(WORLDCUP!$AS$6:$AS$97,MATCH(X14,WORLDCUP!$AI$6:$AI$97,0))</f>
        <v>0-0</v>
      </c>
      <c r="X14" s="15" t="s">
        <v>436</v>
      </c>
      <c r="Y14" s="15"/>
      <c r="Z14" s="489"/>
      <c r="AA14" s="558"/>
      <c r="AB14" s="558"/>
      <c r="AC14" s="558"/>
      <c r="AD14" s="15"/>
      <c r="AE14" s="493"/>
      <c r="AF14" s="493"/>
      <c r="AG14" s="493"/>
      <c r="AH14" s="15"/>
      <c r="AI14" s="523"/>
      <c r="AJ14" s="523"/>
      <c r="AK14" s="562"/>
      <c r="AL14" s="15">
        <v>101</v>
      </c>
      <c r="AM14" s="572" t="str">
        <f>+MID(INDEX(WORLDCUP!$AF$101:$AF$147,MATCH(AL14,WORLDCUP!$Z$101:$Z$147,0)),1,3)</f>
        <v>W98</v>
      </c>
      <c r="AN14" s="573" t="str">
        <f>+IF(ISBLANK(INDEX(WORLDCUP!$AD$101:$AD$147,MATCH(AL14,WORLDCUP!$Z$101:$Z$147,0))),"",INDEX(WORLDCUP!$AD$101:$AD$147,MATCH(AL14,WORLDCUP!$Z$101:$Z$147,0)))</f>
        <v/>
      </c>
      <c r="AO14" s="575" t="str">
        <f>+IF(ISBLANK(INDEX(WORLDCUP!$AE$101:$AE$147,MATCH(AL14,WORLDCUP!$Z$101:$Z$147,0))),"","( "&amp;INDEX(WORLDCUP!$AE$101:$AE$147,MATCH(AL14,WORLDCUP!$Z$101:$Z$147,0))&amp;" )")</f>
        <v/>
      </c>
      <c r="AP14" s="15"/>
      <c r="AQ14" s="524"/>
      <c r="AR14" s="524"/>
      <c r="AS14" s="524"/>
      <c r="AT14" s="15"/>
      <c r="AU14" s="497"/>
      <c r="AV14" s="497"/>
      <c r="AW14" s="497"/>
      <c r="AX14" s="15"/>
      <c r="AY14" s="287"/>
      <c r="AZ14" s="287"/>
      <c r="BA14" s="287"/>
      <c r="BB14" s="287"/>
      <c r="BC14" s="287"/>
      <c r="BD14" s="287"/>
      <c r="BE14" s="287"/>
      <c r="BG14" s="526" t="str">
        <f ca="1">Horarios!Q13</f>
        <v>Canadá</v>
      </c>
      <c r="BH14" s="527">
        <f t="shared" ca="1" si="0"/>
        <v>1</v>
      </c>
      <c r="BI14" s="527">
        <f ca="1">COUNTIF(ADMIN!$M$130:$M$161,Fixture!BG14)-BJ14-BK14-BL14-BM14-BN14-BO14</f>
        <v>0</v>
      </c>
      <c r="BJ14" s="528">
        <f ca="1">COUNTIF(ADMIN!$M$182:$M$197,Fixture!BG14)-BK14-BL14-BM14-BN14-BO14</f>
        <v>0</v>
      </c>
      <c r="BK14" s="529">
        <f ca="1">COUNTIF(ADMIN!$M$210:$M$217,Fixture!BG14)-BL14-BM14-BN14-BO14</f>
        <v>0</v>
      </c>
      <c r="BL14" s="529">
        <f ca="1">COUNTIF(ADMIN!$M$226:$M$229,BG14)-BM14-BN14-BO14</f>
        <v>0</v>
      </c>
      <c r="BM14" s="527">
        <f ca="1">COUNTIF(ADMIN!$M$252,Fixture!BG14)</f>
        <v>0</v>
      </c>
      <c r="BN14" s="527">
        <f ca="1">COUNTIF(ADMIN!$M$251,Fixture!BG14)</f>
        <v>0</v>
      </c>
      <c r="BO14" s="530">
        <f ca="1">COUNTIF(ADMIN!$M$250,Fixture!BG14)</f>
        <v>0</v>
      </c>
    </row>
    <row r="15" spans="1:67" ht="15.75" thickBot="1">
      <c r="A15" s="15">
        <v>51</v>
      </c>
      <c r="B15" s="568"/>
      <c r="C15" s="508" t="str">
        <f ca="1">+MID(INDEX(WORLDCUP!$AA$4:$AA$147,MATCH(A15,WORLDCUP!$AH$4:$AH$147,0)),1,3)</f>
        <v>Sui</v>
      </c>
      <c r="D15" s="509" t="str">
        <f>IF(ISBLANK(INDEX(WORLDCUP!$AC$4:$AC$147,MATCH(A15,WORLDCUP!$AH$4:$AH$147,0))),"",INDEX(WORLDCUP!$AC$4:$AC$147,MATCH(A15,WORLDCUP!$AH$4:$AH$147,0)))</f>
        <v/>
      </c>
      <c r="E15" s="509" t="str">
        <f>IF(ISBLANK(INDEX(WORLDCUP!$AD$4:$AD$147,MATCH(A15,WORLDCUP!$AH$4:$AH$147,0))),"",INDEX(WORLDCUP!$AD$4:$AD$147,MATCH(A15,WORLDCUP!$AH$4:$AH$147,0)))</f>
        <v/>
      </c>
      <c r="F15" s="510" t="str">
        <f ca="1">+MID(INDEX(WORLDCUP!$AF$4:$AF$147,MATCH(A15,WORLDCUP!$AH$4:$AH$147,0)),1,3)</f>
        <v>Can</v>
      </c>
      <c r="G15" s="531">
        <v>4</v>
      </c>
      <c r="H15" s="540" t="str">
        <f ca="1">+MID(INDEX(WORLDCUP!$AL$6:$AL$97,MATCH(L15,WORLDCUP!$AI$6:$AI$97,0)),1,3)</f>
        <v>Sui</v>
      </c>
      <c r="I15" s="541">
        <f ca="1">+INDEX(WORLDCUP!$AM$6:$AM$97,MATCH(L15,WORLDCUP!$AI$6:$AI$97,0))</f>
        <v>0</v>
      </c>
      <c r="J15" s="542">
        <f ca="1">+INDEX(WORLDCUP!$AT$6:$AT$97,MATCH(L15,WORLDCUP!$AI$6:$AI$97,0))</f>
        <v>0</v>
      </c>
      <c r="K15" s="543" t="str">
        <f ca="1">+INDEX(WORLDCUP!$AR$6:$AR$97,MATCH(L15,WORLDCUP!$AI$6:$AI$97,0))&amp;"-"&amp;INDEX(WORLDCUP!$AS$6:$AS$97,MATCH(L15,WORLDCUP!$AI$6:$AI$97,0))</f>
        <v>0-0</v>
      </c>
      <c r="L15" s="15" t="s">
        <v>650</v>
      </c>
      <c r="M15" s="15">
        <v>65</v>
      </c>
      <c r="N15" s="569"/>
      <c r="O15" s="508" t="str">
        <f ca="1">+MID(INDEX(WORLDCUP!$AA$4:$AA$147,MATCH(M15,WORLDCUP!$AH$4:$AH$147,0)),1,3)</f>
        <v>Cab</v>
      </c>
      <c r="P15" s="509" t="str">
        <f>IF(ISBLANK(INDEX(WORLDCUP!$AC$4:$AC$147,MATCH(M15,WORLDCUP!$AH$4:$AH$147,0))),"",INDEX(WORLDCUP!$AC$4:$AC$147,MATCH(M15,WORLDCUP!$AH$4:$AH$147,0)))</f>
        <v/>
      </c>
      <c r="Q15" s="509" t="str">
        <f>IF(ISBLANK(INDEX(WORLDCUP!$AD$4:$AD$147,MATCH(M15,WORLDCUP!$AH$4:$AH$147,0))),"",INDEX(WORLDCUP!$AD$4:$AD$147,MATCH(M15,WORLDCUP!$AH$4:$AH$147,0)))</f>
        <v/>
      </c>
      <c r="R15" s="510" t="str">
        <f ca="1">+MID(INDEX(WORLDCUP!$AF$4:$AF$147,MATCH(M15,WORLDCUP!$AH$4:$AH$147,0)),1,3)</f>
        <v>Ara</v>
      </c>
      <c r="S15" s="531">
        <v>4</v>
      </c>
      <c r="T15" s="540" t="str">
        <f ca="1">+MID(INDEX(WORLDCUP!$AL$6:$AL$97,MATCH(X15,WORLDCUP!$AI$6:$AI$97,0)),1,3)</f>
        <v>Uru</v>
      </c>
      <c r="U15" s="541">
        <f ca="1">+INDEX(WORLDCUP!$AM$6:$AM$97,MATCH(X15,WORLDCUP!$AI$6:$AI$97,0))</f>
        <v>0</v>
      </c>
      <c r="V15" s="542">
        <f ca="1">+INDEX(WORLDCUP!$AT$6:$AT$97,MATCH(X15,WORLDCUP!$AI$6:$AI$97,0))</f>
        <v>0</v>
      </c>
      <c r="W15" s="543" t="str">
        <f ca="1">+INDEX(WORLDCUP!$AR$6:$AR$97,MATCH(X15,WORLDCUP!$AI$6:$AI$97,0))&amp;"-"&amp;INDEX(WORLDCUP!$AS$6:$AS$97,MATCH(X15,WORLDCUP!$AI$6:$AI$97,0))</f>
        <v>0-0</v>
      </c>
      <c r="X15" s="15" t="s">
        <v>672</v>
      </c>
      <c r="Y15" s="15">
        <v>83</v>
      </c>
      <c r="Z15" s="489" t="s">
        <v>680</v>
      </c>
      <c r="AA15" s="490" t="str">
        <f ca="1">+MID(INDEX(WORLDCUP!$AA$101:$AA$147,MATCH(Y15,WORLDCUP!$Z$101:$Z$147,0)),1,3)</f>
        <v>2K</v>
      </c>
      <c r="AB15" s="491" t="str">
        <f>+IF(ISBLANK(INDEX(WORLDCUP!$AC$101:$AC$147,MATCH(Y15,WORLDCUP!$Z$101:$Z$147,0))),"",INDEX(WORLDCUP!$AC$101:$AC$147,MATCH(Y15,WORLDCUP!$Z$101:$Z$147,0)))</f>
        <v/>
      </c>
      <c r="AC15" s="561" t="str">
        <f>+IF(ISBLANK(INDEX(WORLDCUP!$AB$101:$AB$147,MATCH(Y15,WORLDCUP!$Z$101:$Z$147,0))),"","( "&amp;INDEX(WORLDCUP!$AB$101:$AB$147,MATCH(Y15,WORLDCUP!$Z$101:$Z$147,0))&amp;" )")</f>
        <v/>
      </c>
      <c r="AD15" s="14"/>
      <c r="AE15" s="493"/>
      <c r="AF15" s="493"/>
      <c r="AG15" s="493"/>
      <c r="AH15" s="15"/>
      <c r="AI15" s="523"/>
      <c r="AJ15" s="523"/>
      <c r="AK15" s="562"/>
      <c r="AL15" s="84"/>
      <c r="AM15" s="495"/>
      <c r="AN15" s="495"/>
      <c r="AO15" s="576"/>
      <c r="AP15" s="84"/>
      <c r="AQ15" s="524"/>
      <c r="AR15" s="524"/>
      <c r="AS15" s="524"/>
      <c r="AT15" s="15"/>
      <c r="AU15" s="497"/>
      <c r="AV15" s="497"/>
      <c r="AW15" s="497"/>
      <c r="AX15" s="15"/>
      <c r="AY15" s="287"/>
      <c r="AZ15" s="287"/>
      <c r="BA15" s="287"/>
      <c r="BB15" s="287"/>
      <c r="BC15" s="287"/>
      <c r="BD15" s="287"/>
      <c r="BE15" s="287"/>
      <c r="BG15" s="526" t="str">
        <f ca="1">Horarios!Q14</f>
        <v>Catar</v>
      </c>
      <c r="BH15" s="527">
        <f t="shared" ca="1" si="0"/>
        <v>1</v>
      </c>
      <c r="BI15" s="527">
        <f ca="1">COUNTIF(ADMIN!$M$130:$M$161,Fixture!BG15)-BJ15-BK15-BL15-BM15-BN15-BO15</f>
        <v>0</v>
      </c>
      <c r="BJ15" s="528">
        <f ca="1">COUNTIF(ADMIN!$M$182:$M$197,Fixture!BG15)-BK15-BL15-BM15-BN15-BO15</f>
        <v>0</v>
      </c>
      <c r="BK15" s="529">
        <f ca="1">COUNTIF(ADMIN!$M$210:$M$217,Fixture!BG15)-BL15-BM15-BN15-BO15</f>
        <v>0</v>
      </c>
      <c r="BL15" s="529">
        <f ca="1">COUNTIF(ADMIN!$M$226:$M$229,BG15)-BM15-BN15-BO15</f>
        <v>0</v>
      </c>
      <c r="BM15" s="527">
        <f ca="1">COUNTIF(ADMIN!$M$252,Fixture!BG15)</f>
        <v>0</v>
      </c>
      <c r="BN15" s="527">
        <f ca="1">COUNTIF(ADMIN!$M$251,Fixture!BG15)</f>
        <v>0</v>
      </c>
      <c r="BO15" s="530">
        <f ca="1">COUNTIF(ADMIN!$M$250,Fixture!BG15)</f>
        <v>0</v>
      </c>
    </row>
    <row r="16" spans="1:67" ht="15.75" thickBot="1">
      <c r="A16" s="15">
        <v>52</v>
      </c>
      <c r="B16" s="577"/>
      <c r="C16" s="551" t="str">
        <f ca="1">+MID(INDEX(WORLDCUP!$AA$4:$AA$147,MATCH(A16,WORLDCUP!$AH$4:$AH$147,0)),1,3)</f>
        <v>Bos</v>
      </c>
      <c r="D16" s="552" t="str">
        <f>IF(ISBLANK(INDEX(WORLDCUP!$AC$4:$AC$147,MATCH(A16,WORLDCUP!$AH$4:$AH$147,0))),"",INDEX(WORLDCUP!$AC$4:$AC$147,MATCH(A16,WORLDCUP!$AH$4:$AH$147,0)))</f>
        <v/>
      </c>
      <c r="E16" s="552" t="str">
        <f>IF(ISBLANK(INDEX(WORLDCUP!$AD$4:$AD$147,MATCH(A16,WORLDCUP!$AH$4:$AH$147,0))),"",INDEX(WORLDCUP!$AD$4:$AD$147,MATCH(A16,WORLDCUP!$AH$4:$AH$147,0)))</f>
        <v/>
      </c>
      <c r="F16" s="553" t="str">
        <f ca="1">+MID(INDEX(WORLDCUP!$AF$4:$AF$147,MATCH(A16,WORLDCUP!$AH$4:$AH$147,0)),1,3)</f>
        <v>Cat</v>
      </c>
      <c r="G16" s="554"/>
      <c r="H16" s="554"/>
      <c r="I16" s="555"/>
      <c r="J16" s="555"/>
      <c r="K16" s="556"/>
      <c r="L16" s="15"/>
      <c r="M16" s="15">
        <v>66</v>
      </c>
      <c r="N16" s="578"/>
      <c r="O16" s="551" t="str">
        <f ca="1">+MID(INDEX(WORLDCUP!$AA$4:$AA$147,MATCH(M16,WORLDCUP!$AH$4:$AH$147,0)),1,3)</f>
        <v>Uru</v>
      </c>
      <c r="P16" s="552" t="str">
        <f>IF(ISBLANK(INDEX(WORLDCUP!$AC$4:$AC$147,MATCH(M16,WORLDCUP!$AH$4:$AH$147,0))),"",INDEX(WORLDCUP!$AC$4:$AC$147,MATCH(M16,WORLDCUP!$AH$4:$AH$147,0)))</f>
        <v/>
      </c>
      <c r="Q16" s="552" t="str">
        <f>IF(ISBLANK(INDEX(WORLDCUP!$AD$4:$AD$147,MATCH(M16,WORLDCUP!$AH$4:$AH$147,0))),"",INDEX(WORLDCUP!$AD$4:$AD$147,MATCH(M16,WORLDCUP!$AH$4:$AH$147,0)))</f>
        <v/>
      </c>
      <c r="R16" s="553" t="str">
        <f ca="1">+MID(INDEX(WORLDCUP!$AF$4:$AF$147,MATCH(M16,WORLDCUP!$AH$4:$AH$147,0)),1,3)</f>
        <v>Esp</v>
      </c>
      <c r="S16" s="554"/>
      <c r="T16" s="554"/>
      <c r="U16" s="555"/>
      <c r="V16" s="555"/>
      <c r="W16" s="556"/>
      <c r="X16" s="15"/>
      <c r="Y16" s="15">
        <v>83</v>
      </c>
      <c r="Z16" s="489" t="s">
        <v>683</v>
      </c>
      <c r="AA16" s="490" t="str">
        <f ca="1">+MID(INDEX(WORLDCUP!$AF$101:$AF$147,MATCH(Y16,WORLDCUP!$Z$101:$Z$147,0)),1,3)</f>
        <v>2L</v>
      </c>
      <c r="AB16" s="517" t="str">
        <f>+IF(ISBLANK(INDEX(WORLDCUP!$AD$101:$AD$147,MATCH(Y16,WORLDCUP!$Z$101:$Z$147,0))),"",INDEX(WORLDCUP!$AD$101:$AD$147,MATCH(Y16,WORLDCUP!$Z$101:$Z$147,0)))</f>
        <v/>
      </c>
      <c r="AC16" s="518" t="str">
        <f>+IF(ISBLANK(INDEX(WORLDCUP!$AE$101:$AE$147,MATCH(Y16,WORLDCUP!$Z$101:$Z$147,0))),"","( "&amp;INDEX(WORLDCUP!$AE$101:$AE$147,MATCH(Y16,WORLDCUP!$Z$101:$Z$147,0))&amp;" )")</f>
        <v/>
      </c>
      <c r="AD16" s="519">
        <v>93</v>
      </c>
      <c r="AE16" s="520" t="str">
        <f>+MID(INDEX(WORLDCUP!$AA$101:$AA$147,MATCH(AD16,WORLDCUP!$Z$101:$Z$147,0)),1,3)</f>
        <v>W83</v>
      </c>
      <c r="AF16" s="521" t="str">
        <f>+IF(ISBLANK(INDEX(WORLDCUP!$AC$101:$AC$147,MATCH(AD16,WORLDCUP!$Z$101:$Z$147,0))),"",INDEX(WORLDCUP!$AC$101:$AC$147,MATCH(AD16,WORLDCUP!$Z$101:$Z$147,0)))</f>
        <v/>
      </c>
      <c r="AG16" s="522" t="str">
        <f>+IF(ISBLANK(INDEX(WORLDCUP!$AB$101:$AB$147,MATCH(AD16,WORLDCUP!$Z$101:$Z$147,0))),"","( "&amp;INDEX(WORLDCUP!$AB$101:$AB$147,MATCH(AD16,WORLDCUP!$Z$101:$Z$147,0))&amp;" )")</f>
        <v/>
      </c>
      <c r="AH16" s="15"/>
      <c r="AI16" s="523"/>
      <c r="AJ16" s="523"/>
      <c r="AK16" s="562"/>
      <c r="AL16" s="15"/>
      <c r="AM16" s="495"/>
      <c r="AN16" s="495"/>
      <c r="AO16" s="576"/>
      <c r="AP16" s="84"/>
      <c r="AQ16" s="524"/>
      <c r="AR16" s="524"/>
      <c r="AS16" s="524"/>
      <c r="AT16" s="15"/>
      <c r="AU16" s="497"/>
      <c r="AV16" s="497"/>
      <c r="AW16" s="497"/>
      <c r="AX16" s="15"/>
      <c r="AY16" s="287"/>
      <c r="AZ16" s="287"/>
      <c r="BA16" s="287"/>
      <c r="BB16" s="287"/>
      <c r="BC16" s="287"/>
      <c r="BD16" s="287"/>
      <c r="BE16" s="287"/>
      <c r="BG16" s="526" t="str">
        <f ca="1">Horarios!Q15</f>
        <v>Colombia</v>
      </c>
      <c r="BH16" s="527">
        <f t="shared" ca="1" si="0"/>
        <v>1</v>
      </c>
      <c r="BI16" s="527">
        <f ca="1">COUNTIF(ADMIN!$M$130:$M$161,Fixture!BG16)-BJ16-BK16-BL16-BM16-BN16-BO16</f>
        <v>0</v>
      </c>
      <c r="BJ16" s="528">
        <f ca="1">COUNTIF(ADMIN!$M$182:$M$197,Fixture!BG16)-BK16-BL16-BM16-BN16-BO16</f>
        <v>0</v>
      </c>
      <c r="BK16" s="529">
        <f ca="1">COUNTIF(ADMIN!$M$210:$M$217,Fixture!BG16)-BL16-BM16-BN16-BO16</f>
        <v>0</v>
      </c>
      <c r="BL16" s="529">
        <f ca="1">COUNTIF(ADMIN!$M$226:$M$229,BG16)-BM16-BN16-BO16</f>
        <v>0</v>
      </c>
      <c r="BM16" s="527">
        <f ca="1">COUNTIF(ADMIN!$M$252,Fixture!BG16)</f>
        <v>0</v>
      </c>
      <c r="BN16" s="527">
        <f ca="1">COUNTIF(ADMIN!$M$251,Fixture!BG16)</f>
        <v>0</v>
      </c>
      <c r="BO16" s="530">
        <f ca="1">COUNTIF(ADMIN!$M$250,Fixture!BG16)</f>
        <v>0</v>
      </c>
    </row>
    <row r="17" spans="1:67">
      <c r="A17" s="15"/>
      <c r="B17" s="476"/>
      <c r="C17" s="560"/>
      <c r="D17" s="423"/>
      <c r="E17" s="423"/>
      <c r="F17" s="287"/>
      <c r="G17" s="287"/>
      <c r="H17" s="560"/>
      <c r="I17" s="287"/>
      <c r="J17" s="287"/>
      <c r="K17" s="287"/>
      <c r="L17" s="15"/>
      <c r="M17" s="15"/>
      <c r="N17" s="237"/>
      <c r="O17" s="560"/>
      <c r="P17" s="423"/>
      <c r="Q17" s="423"/>
      <c r="R17" s="287"/>
      <c r="S17" s="287"/>
      <c r="T17" s="560"/>
      <c r="U17" s="287"/>
      <c r="V17" s="287"/>
      <c r="W17" s="287"/>
      <c r="X17" s="15"/>
      <c r="Y17" s="15"/>
      <c r="Z17" s="489"/>
      <c r="AA17" s="533"/>
      <c r="AB17" s="533"/>
      <c r="AC17" s="534"/>
      <c r="AD17" s="15">
        <v>93</v>
      </c>
      <c r="AE17" s="520" t="str">
        <f>+MID(INDEX(WORLDCUP!$AF$101:$AF$147,MATCH(AD17,WORLDCUP!$Z$101:$Z$147,0)),1,3)</f>
        <v>W84</v>
      </c>
      <c r="AF17" s="521" t="str">
        <f>+IF(ISBLANK(INDEX(WORLDCUP!$AD$101:$AD$147,MATCH(AD17,WORLDCUP!$Z$101:$Z$147,0))),"",INDEX(WORLDCUP!$AD$101:$AD$147,MATCH(AD17,WORLDCUP!$Z$101:$Z$147,0)))</f>
        <v/>
      </c>
      <c r="AG17" s="579" t="str">
        <f>+IF(ISBLANK(INDEX(WORLDCUP!$AE$101:$AE$147,MATCH(AD17,WORLDCUP!$Z$101:$Z$147,0))),"","( "&amp;INDEX(WORLDCUP!$AE$101:$AE$147,MATCH(AD17,WORLDCUP!$Z$101:$Z$147,0))&amp;" )")</f>
        <v/>
      </c>
      <c r="AH17" s="15"/>
      <c r="AI17" s="523"/>
      <c r="AJ17" s="523"/>
      <c r="AK17" s="562"/>
      <c r="AL17" s="15"/>
      <c r="AM17" s="495"/>
      <c r="AN17" s="495"/>
      <c r="AO17" s="576"/>
      <c r="AP17" s="84"/>
      <c r="AQ17" s="524"/>
      <c r="AR17" s="524"/>
      <c r="AS17" s="524"/>
      <c r="AT17" s="15"/>
      <c r="AU17" s="497"/>
      <c r="AV17" s="497"/>
      <c r="AW17" s="497"/>
      <c r="AX17" s="15"/>
      <c r="AY17" s="287"/>
      <c r="AZ17" s="287"/>
      <c r="BA17" s="287"/>
      <c r="BB17" s="287"/>
      <c r="BC17" s="287"/>
      <c r="BD17" s="287"/>
      <c r="BE17" s="287"/>
      <c r="BG17" s="526" t="str">
        <f ca="1">Horarios!Q16</f>
        <v>Corea del Sur</v>
      </c>
      <c r="BH17" s="527">
        <f t="shared" ca="1" si="0"/>
        <v>1</v>
      </c>
      <c r="BI17" s="527">
        <f ca="1">COUNTIF(ADMIN!$M$130:$M$161,Fixture!BG17)-BJ17-BK17-BL17-BM17-BN17-BO17</f>
        <v>0</v>
      </c>
      <c r="BJ17" s="528">
        <f ca="1">COUNTIF(ADMIN!$M$182:$M$197,Fixture!BG17)-BK17-BL17-BM17-BN17-BO17</f>
        <v>0</v>
      </c>
      <c r="BK17" s="529">
        <f ca="1">COUNTIF(ADMIN!$M$210:$M$217,Fixture!BG17)-BL17-BM17-BN17-BO17</f>
        <v>0</v>
      </c>
      <c r="BL17" s="529">
        <f ca="1">COUNTIF(ADMIN!$M$226:$M$229,BG17)-BM17-BN17-BO17</f>
        <v>0</v>
      </c>
      <c r="BM17" s="527">
        <f ca="1">COUNTIF(ADMIN!$M$252,Fixture!BG17)</f>
        <v>0</v>
      </c>
      <c r="BN17" s="527">
        <f ca="1">COUNTIF(ADMIN!$M$251,Fixture!BG17)</f>
        <v>0</v>
      </c>
      <c r="BO17" s="530">
        <f ca="1">COUNTIF(ADMIN!$M$250,Fixture!BG17)</f>
        <v>0</v>
      </c>
    </row>
    <row r="18" spans="1:67" ht="15.75" thickBot="1">
      <c r="A18" s="15"/>
      <c r="B18" s="476"/>
      <c r="C18" s="560"/>
      <c r="D18" s="423"/>
      <c r="E18" s="423"/>
      <c r="F18" s="287"/>
      <c r="G18" s="287"/>
      <c r="H18" s="560"/>
      <c r="I18" s="287"/>
      <c r="J18" s="287"/>
      <c r="K18" s="287"/>
      <c r="L18" s="15"/>
      <c r="M18" s="15"/>
      <c r="N18" s="237"/>
      <c r="O18" s="560"/>
      <c r="P18" s="423"/>
      <c r="Q18" s="423"/>
      <c r="R18" s="287"/>
      <c r="S18" s="287"/>
      <c r="T18" s="560"/>
      <c r="U18" s="287"/>
      <c r="V18" s="287"/>
      <c r="W18" s="287"/>
      <c r="X18" s="15"/>
      <c r="Y18" s="15">
        <v>84</v>
      </c>
      <c r="Z18" s="489" t="s">
        <v>670</v>
      </c>
      <c r="AA18" s="490" t="str">
        <f ca="1">+MID(INDEX(WORLDCUP!$AA$101:$AA$147,MATCH(Y18,WORLDCUP!$Z$101:$Z$147,0)),1,3)</f>
        <v>1H</v>
      </c>
      <c r="AB18" s="536" t="str">
        <f>+IF(ISBLANK(INDEX(WORLDCUP!$AC$101:$AC$147,MATCH(Y18,WORLDCUP!$Z$101:$Z$147,0))),"",INDEX(WORLDCUP!$AC$101:$AC$147,MATCH(Y18,WORLDCUP!$Z$101:$Z$147,0)))</f>
        <v/>
      </c>
      <c r="AC18" s="570" t="str">
        <f>+IF(ISBLANK(INDEX(WORLDCUP!$AB$101:$AB$147,MATCH(Y18,WORLDCUP!$Z$101:$Z$147,0))),"","( "&amp;INDEX(WORLDCUP!$AB$101:$AB$147,MATCH(Y18,WORLDCUP!$Z$101:$Z$147,0))&amp;" )")</f>
        <v/>
      </c>
      <c r="AD18" s="15"/>
      <c r="AE18" s="538"/>
      <c r="AF18" s="538"/>
      <c r="AG18" s="539"/>
      <c r="AH18" s="15"/>
      <c r="AI18" s="523"/>
      <c r="AJ18" s="523"/>
      <c r="AK18" s="562"/>
      <c r="AL18" s="15"/>
      <c r="AM18" s="495"/>
      <c r="AN18" s="495"/>
      <c r="AO18" s="576"/>
      <c r="AP18" s="84"/>
      <c r="AQ18" s="524"/>
      <c r="AR18" s="524"/>
      <c r="AS18" s="524"/>
      <c r="AT18" s="15"/>
      <c r="AU18" s="497"/>
      <c r="AV18" s="497"/>
      <c r="AW18" s="497"/>
      <c r="AX18" s="580" t="str">
        <f>Idiomas!D8</f>
        <v>XXIII Mundial USA/MEX/CAN 2026</v>
      </c>
      <c r="AY18" s="580"/>
      <c r="AZ18" s="581"/>
      <c r="BA18" s="581"/>
      <c r="BB18" s="581"/>
      <c r="BC18" s="581"/>
      <c r="BD18" s="581"/>
      <c r="BE18" s="581"/>
      <c r="BG18" s="526" t="str">
        <f ca="1">Horarios!Q17</f>
        <v>Costa de Marfil</v>
      </c>
      <c r="BH18" s="527">
        <f t="shared" ca="1" si="0"/>
        <v>1</v>
      </c>
      <c r="BI18" s="527">
        <f ca="1">COUNTIF(ADMIN!$M$130:$M$161,Fixture!BG18)-BJ18-BK18-BL18-BM18-BN18-BO18</f>
        <v>0</v>
      </c>
      <c r="BJ18" s="528">
        <f ca="1">COUNTIF(ADMIN!$M$182:$M$197,Fixture!BG18)-BK18-BL18-BM18-BN18-BO18</f>
        <v>0</v>
      </c>
      <c r="BK18" s="529">
        <f ca="1">COUNTIF(ADMIN!$M$210:$M$217,Fixture!BG18)-BL18-BM18-BN18-BO18</f>
        <v>0</v>
      </c>
      <c r="BL18" s="529">
        <f ca="1">COUNTIF(ADMIN!$M$226:$M$229,BG18)-BM18-BN18-BO18</f>
        <v>0</v>
      </c>
      <c r="BM18" s="527">
        <f ca="1">COUNTIF(ADMIN!$M$252,Fixture!BG18)</f>
        <v>0</v>
      </c>
      <c r="BN18" s="527">
        <f ca="1">COUNTIF(ADMIN!$M$251,Fixture!BG18)</f>
        <v>0</v>
      </c>
      <c r="BO18" s="530">
        <f ca="1">COUNTIF(ADMIN!$M$250,Fixture!BG18)</f>
        <v>0</v>
      </c>
    </row>
    <row r="19" spans="1:67" ht="15.75" thickBot="1">
      <c r="A19" s="15">
        <v>7</v>
      </c>
      <c r="B19" s="582" t="s">
        <v>2</v>
      </c>
      <c r="C19" s="481" t="str">
        <f ca="1">+MID(INDEX(WORLDCUP!$AA$4:$AA$147,MATCH(A19,WORLDCUP!$AH$4:$AH$147,0)),1,3)</f>
        <v>Bra</v>
      </c>
      <c r="D19" s="482" t="str">
        <f>IF(ISBLANK(INDEX(WORLDCUP!$AC$4:$AC$147,MATCH(A19,WORLDCUP!$AH$4:$AH$147,0))),"",INDEX(WORLDCUP!$AC$4:$AC$147,MATCH(A19,WORLDCUP!$AH$4:$AH$147,0)))</f>
        <v/>
      </c>
      <c r="E19" s="482" t="str">
        <f>IF(ISBLANK(INDEX(WORLDCUP!$AD$4:$AD$147,MATCH(A19,WORLDCUP!$AH$4:$AH$147,0))),"",INDEX(WORLDCUP!$AD$4:$AD$147,MATCH(A19,WORLDCUP!$AH$4:$AH$147,0)))</f>
        <v/>
      </c>
      <c r="F19" s="483" t="str">
        <f ca="1">+MID(INDEX(WORLDCUP!$AF$4:$AF$147,MATCH(A19,WORLDCUP!$AH$4:$AH$147,0)),1,3)</f>
        <v>Mar</v>
      </c>
      <c r="G19" s="484"/>
      <c r="H19" s="485" t="str">
        <f>+H11</f>
        <v>Sel</v>
      </c>
      <c r="I19" s="486" t="str">
        <f>+I11</f>
        <v>Pts</v>
      </c>
      <c r="J19" s="486" t="str">
        <f>+J11</f>
        <v>DG</v>
      </c>
      <c r="K19" s="487" t="str">
        <f>+K11</f>
        <v>GF-GC</v>
      </c>
      <c r="L19" s="15"/>
      <c r="M19" s="15">
        <v>17</v>
      </c>
      <c r="N19" s="583" t="s">
        <v>438</v>
      </c>
      <c r="O19" s="481" t="str">
        <f ca="1">+MID(INDEX(WORLDCUP!$AA$4:$AA$147,MATCH(M19,WORLDCUP!$AH$4:$AH$147,0)),1,3)</f>
        <v>Fra</v>
      </c>
      <c r="P19" s="482" t="str">
        <f>IF(ISBLANK(INDEX(WORLDCUP!$AC$4:$AC$147,MATCH(M19,WORLDCUP!$AH$4:$AH$147,0))),"",INDEX(WORLDCUP!$AC$4:$AC$147,MATCH(M19,WORLDCUP!$AH$4:$AH$147,0)))</f>
        <v/>
      </c>
      <c r="Q19" s="482" t="str">
        <f>IF(ISBLANK(INDEX(WORLDCUP!$AD$4:$AD$147,MATCH(M19,WORLDCUP!$AH$4:$AH$147,0))),"",INDEX(WORLDCUP!$AD$4:$AD$147,MATCH(M19,WORLDCUP!$AH$4:$AH$147,0)))</f>
        <v/>
      </c>
      <c r="R19" s="483" t="str">
        <f ca="1">+MID(INDEX(WORLDCUP!$AF$4:$AF$147,MATCH(M19,WORLDCUP!$AH$4:$AH$147,0)),1,3)</f>
        <v>Sen</v>
      </c>
      <c r="S19" s="484"/>
      <c r="T19" s="485" t="str">
        <f>+T11</f>
        <v>Sel</v>
      </c>
      <c r="U19" s="486" t="str">
        <f>+U11</f>
        <v>Pts</v>
      </c>
      <c r="V19" s="486" t="str">
        <f>+V11</f>
        <v>DG</v>
      </c>
      <c r="W19" s="487" t="str">
        <f>+W11</f>
        <v>GF-GC</v>
      </c>
      <c r="X19" s="15"/>
      <c r="Y19" s="15">
        <v>84</v>
      </c>
      <c r="Z19" s="489" t="s">
        <v>677</v>
      </c>
      <c r="AA19" s="544" t="str">
        <f ca="1">+MID(INDEX(WORLDCUP!$AF$101:$AF$147,MATCH(Y19,WORLDCUP!$Z$101:$Z$147,0)),1,3)</f>
        <v>2J</v>
      </c>
      <c r="AB19" s="545" t="str">
        <f>+IF(ISBLANK(INDEX(WORLDCUP!$AD$101:$AD$147,MATCH(Y19,WORLDCUP!$Z$101:$Z$147,0))),"",INDEX(WORLDCUP!$AD$101:$AD$147,MATCH(Y19,WORLDCUP!$Z$101:$Z$147,0)))</f>
        <v/>
      </c>
      <c r="AC19" s="571" t="str">
        <f>+IF(ISBLANK(INDEX(WORLDCUP!$AE$101:$AE$147,MATCH(Y19,WORLDCUP!$Z$101:$Z$147,0))),"","( "&amp;INDEX(WORLDCUP!$AE$101:$AE$147,MATCH(Y19,WORLDCUP!$Z$101:$Z$147,0))&amp;" )")</f>
        <v/>
      </c>
      <c r="AD19" s="15"/>
      <c r="AE19" s="538"/>
      <c r="AF19" s="538"/>
      <c r="AG19" s="539"/>
      <c r="AH19" s="563">
        <v>98</v>
      </c>
      <c r="AI19" s="547" t="str">
        <f>+MID(INDEX(WORLDCUP!$AA$101:$AA$147,MATCH(AH19,WORLDCUP!$Z$101:$Z$147,0)),1,3)</f>
        <v>W93</v>
      </c>
      <c r="AJ19" s="548" t="str">
        <f>+IF(ISBLANK(INDEX(WORLDCUP!$AC$101:$AC$147,MATCH(AH19,WORLDCUP!$Z$101:$Z$147,0))),"",INDEX(WORLDCUP!$AC$101:$AC$147,MATCH(AH19,WORLDCUP!$Z$101:$Z$147,0)))</f>
        <v/>
      </c>
      <c r="AK19" s="584" t="str">
        <f>+IF(ISBLANK(INDEX(WORLDCUP!$AB$101:$AB$147,MATCH(AH19,WORLDCUP!$Z$101:$Z$147,0))),"","( "&amp;INDEX(WORLDCUP!$AB$101:$AB$147,MATCH(AH19,WORLDCUP!$Z$101:$Z$147,0))&amp;" )")</f>
        <v/>
      </c>
      <c r="AL19" s="15"/>
      <c r="AM19" s="495"/>
      <c r="AN19" s="495"/>
      <c r="AO19" s="576"/>
      <c r="AP19" s="84"/>
      <c r="AQ19" s="524"/>
      <c r="AR19" s="524"/>
      <c r="AS19" s="524"/>
      <c r="AT19" s="15"/>
      <c r="AU19" s="497"/>
      <c r="AV19" s="497"/>
      <c r="AW19" s="497"/>
      <c r="AX19" s="15"/>
      <c r="AY19" s="287"/>
      <c r="AZ19" s="287"/>
      <c r="BA19" s="287"/>
      <c r="BB19" s="287"/>
      <c r="BC19" s="287"/>
      <c r="BD19" s="287"/>
      <c r="BE19" s="287"/>
      <c r="BG19" s="526" t="str">
        <f ca="1">Horarios!Q18</f>
        <v>Croacia</v>
      </c>
      <c r="BH19" s="527">
        <f t="shared" ca="1" si="0"/>
        <v>1</v>
      </c>
      <c r="BI19" s="527">
        <f ca="1">COUNTIF(ADMIN!$M$130:$M$161,Fixture!BG19)-BJ19-BK19-BL19-BM19-BN19-BO19</f>
        <v>0</v>
      </c>
      <c r="BJ19" s="528">
        <f ca="1">COUNTIF(ADMIN!$M$182:$M$197,Fixture!BG19)-BK19-BL19-BM19-BN19-BO19</f>
        <v>0</v>
      </c>
      <c r="BK19" s="529">
        <f ca="1">COUNTIF(ADMIN!$M$210:$M$217,Fixture!BG19)-BL19-BM19-BN19-BO19</f>
        <v>0</v>
      </c>
      <c r="BL19" s="529">
        <f ca="1">COUNTIF(ADMIN!$M$226:$M$229,BG19)-BM19-BN19-BO19</f>
        <v>0</v>
      </c>
      <c r="BM19" s="527">
        <f ca="1">COUNTIF(ADMIN!$M$252,Fixture!BG19)</f>
        <v>0</v>
      </c>
      <c r="BN19" s="527">
        <f ca="1">COUNTIF(ADMIN!$M$251,Fixture!BG19)</f>
        <v>0</v>
      </c>
      <c r="BO19" s="530">
        <f ca="1">COUNTIF(ADMIN!$M$250,Fixture!BG19)</f>
        <v>0</v>
      </c>
    </row>
    <row r="20" spans="1:67">
      <c r="A20" s="15">
        <v>5</v>
      </c>
      <c r="B20" s="585"/>
      <c r="C20" s="508" t="str">
        <f ca="1">+MID(INDEX(WORLDCUP!$AA$4:$AA$147,MATCH(A20,WORLDCUP!$AH$4:$AH$147,0)),1,3)</f>
        <v>Hai</v>
      </c>
      <c r="D20" s="509" t="str">
        <f>IF(ISBLANK(INDEX(WORLDCUP!$AC$4:$AC$147,MATCH(A20,WORLDCUP!$AH$4:$AH$147,0))),"",INDEX(WORLDCUP!$AC$4:$AC$147,MATCH(A20,WORLDCUP!$AH$4:$AH$147,0)))</f>
        <v/>
      </c>
      <c r="E20" s="509" t="str">
        <f>IF(ISBLANK(INDEX(WORLDCUP!$AD$4:$AD$147,MATCH(A20,WORLDCUP!$AH$4:$AH$147,0))),"",INDEX(WORLDCUP!$AD$4:$AD$147,MATCH(A20,WORLDCUP!$AH$4:$AH$147,0)))</f>
        <v/>
      </c>
      <c r="F20" s="510" t="str">
        <f ca="1">+MID(INDEX(WORLDCUP!$AF$4:$AF$147,MATCH(A20,WORLDCUP!$AH$4:$AH$147,0)),1,3)</f>
        <v>Esc</v>
      </c>
      <c r="G20" s="511">
        <v>1</v>
      </c>
      <c r="H20" s="512" t="str">
        <f ca="1">+MID(INDEX(WORLDCUP!$AL$6:$AL$97,MATCH(L20,WORLDCUP!$AI$6:$AI$97,0)),1,3)</f>
        <v>Bra</v>
      </c>
      <c r="I20" s="513">
        <f ca="1">+INDEX(WORLDCUP!$AM$6:$AM$97,MATCH(L20,WORLDCUP!$AI$6:$AI$97,0))</f>
        <v>0</v>
      </c>
      <c r="J20" s="514">
        <f ca="1">+INDEX(WORLDCUP!$AT$6:$AT$97,MATCH(L20,WORLDCUP!$AI$6:$AI$97,0))</f>
        <v>0</v>
      </c>
      <c r="K20" s="515" t="str">
        <f ca="1">+INDEX(WORLDCUP!$AR$6:$AR$97,MATCH(L20,WORLDCUP!$AI$6:$AI$97,0))&amp;"-"&amp;INDEX(WORLDCUP!$AS$6:$AS$97,MATCH(L20,WORLDCUP!$AI$6:$AI$97,0))</f>
        <v>0-0</v>
      </c>
      <c r="L20" s="15" t="s">
        <v>651</v>
      </c>
      <c r="M20" s="15">
        <v>18</v>
      </c>
      <c r="N20" s="586"/>
      <c r="O20" s="508" t="str">
        <f ca="1">+MID(INDEX(WORLDCUP!$AA$4:$AA$147,MATCH(M20,WORLDCUP!$AH$4:$AH$147,0)),1,3)</f>
        <v>Ira</v>
      </c>
      <c r="P20" s="509" t="str">
        <f>IF(ISBLANK(INDEX(WORLDCUP!$AC$4:$AC$147,MATCH(M20,WORLDCUP!$AH$4:$AH$147,0))),"",INDEX(WORLDCUP!$AC$4:$AC$147,MATCH(M20,WORLDCUP!$AH$4:$AH$147,0)))</f>
        <v/>
      </c>
      <c r="Q20" s="509" t="str">
        <f>IF(ISBLANK(INDEX(WORLDCUP!$AD$4:$AD$147,MATCH(M20,WORLDCUP!$AH$4:$AH$147,0))),"",INDEX(WORLDCUP!$AD$4:$AD$147,MATCH(M20,WORLDCUP!$AH$4:$AH$147,0)))</f>
        <v/>
      </c>
      <c r="R20" s="510" t="str">
        <f ca="1">+MID(INDEX(WORLDCUP!$AF$4:$AF$147,MATCH(M20,WORLDCUP!$AH$4:$AH$147,0)),1,3)</f>
        <v>Nor</v>
      </c>
      <c r="S20" s="511">
        <v>1</v>
      </c>
      <c r="T20" s="512" t="str">
        <f ca="1">+MID(INDEX(WORLDCUP!$AL$6:$AL$97,MATCH(X20,WORLDCUP!$AI$6:$AI$97,0)),1,3)</f>
        <v>Fra</v>
      </c>
      <c r="U20" s="513">
        <f ca="1">+INDEX(WORLDCUP!$AM$6:$AM$97,MATCH(X20,WORLDCUP!$AI$6:$AI$97,0))</f>
        <v>0</v>
      </c>
      <c r="V20" s="514">
        <f ca="1">+INDEX(WORLDCUP!$AT$6:$AT$97,MATCH(X20,WORLDCUP!$AI$6:$AI$97,0))</f>
        <v>0</v>
      </c>
      <c r="W20" s="515" t="str">
        <f ca="1">+INDEX(WORLDCUP!$AR$6:$AR$97,MATCH(X20,WORLDCUP!$AI$6:$AI$97,0))&amp;"-"&amp;INDEX(WORLDCUP!$AS$6:$AS$97,MATCH(X20,WORLDCUP!$AI$6:$AI$97,0))</f>
        <v>0-0</v>
      </c>
      <c r="X20" s="15" t="s">
        <v>673</v>
      </c>
      <c r="Y20" s="15"/>
      <c r="Z20" s="489"/>
      <c r="AA20" s="558"/>
      <c r="AB20" s="558"/>
      <c r="AC20" s="558"/>
      <c r="AD20" s="15"/>
      <c r="AE20" s="493"/>
      <c r="AF20" s="493"/>
      <c r="AG20" s="539"/>
      <c r="AH20" s="15">
        <v>98</v>
      </c>
      <c r="AI20" s="547" t="str">
        <f>+MID(INDEX(WORLDCUP!$AF$101:$AF$147,MATCH(AH20,WORLDCUP!$Z$101:$Z$147,0)),1,3)</f>
        <v>W94</v>
      </c>
      <c r="AJ20" s="548" t="str">
        <f>+IF(ISBLANK(INDEX(WORLDCUP!$AD$101:$AD$147,MATCH(AH20,WORLDCUP!$Z$101:$Z$147,0))),"",INDEX(WORLDCUP!$AD$101:$AD$147,MATCH(AH20,WORLDCUP!$Z$101:$Z$147,0)))</f>
        <v/>
      </c>
      <c r="AK20" s="523" t="str">
        <f>+IF(ISBLANK(INDEX(WORLDCUP!$AE$101:$AE$147,MATCH(AH20,WORLDCUP!$Z$101:$Z$147,0))),"","( "&amp;INDEX(WORLDCUP!$AE$101:$AE$147,MATCH(AH20,WORLDCUP!$Z$101:$Z$147,0))&amp;" )")</f>
        <v/>
      </c>
      <c r="AL20" s="15"/>
      <c r="AM20" s="495"/>
      <c r="AN20" s="495"/>
      <c r="AO20" s="576"/>
      <c r="AP20" s="15"/>
      <c r="AQ20" s="524"/>
      <c r="AR20" s="524"/>
      <c r="AS20" s="524"/>
      <c r="AT20" s="15"/>
      <c r="AU20" s="587"/>
      <c r="AV20" s="588"/>
      <c r="AW20" s="497"/>
      <c r="AX20" s="15"/>
      <c r="AY20" s="589"/>
      <c r="AZ20" s="590"/>
      <c r="BA20" s="590"/>
      <c r="BB20" s="590"/>
      <c r="BC20" s="591"/>
      <c r="BD20" s="287"/>
      <c r="BE20" s="287"/>
      <c r="BG20" s="526" t="str">
        <f ca="1">Horarios!Q19</f>
        <v>Curazao</v>
      </c>
      <c r="BH20" s="527">
        <f t="shared" ca="1" si="0"/>
        <v>1</v>
      </c>
      <c r="BI20" s="527">
        <f ca="1">COUNTIF(ADMIN!$M$130:$M$161,Fixture!BG20)-BJ20-BK20-BL20-BM20-BN20-BO20</f>
        <v>0</v>
      </c>
      <c r="BJ20" s="528">
        <f ca="1">COUNTIF(ADMIN!$M$182:$M$197,Fixture!BG20)-BK20-BL20-BM20-BN20-BO20</f>
        <v>0</v>
      </c>
      <c r="BK20" s="529">
        <f ca="1">COUNTIF(ADMIN!$M$210:$M$217,Fixture!BG20)-BL20-BM20-BN20-BO20</f>
        <v>0</v>
      </c>
      <c r="BL20" s="529">
        <f ca="1">COUNTIF(ADMIN!$M$226:$M$229,BG20)-BM20-BN20-BO20</f>
        <v>0</v>
      </c>
      <c r="BM20" s="527">
        <f ca="1">COUNTIF(ADMIN!$M$252,Fixture!BG20)</f>
        <v>0</v>
      </c>
      <c r="BN20" s="527">
        <f ca="1">COUNTIF(ADMIN!$M$251,Fixture!BG20)</f>
        <v>0</v>
      </c>
      <c r="BO20" s="530">
        <f ca="1">COUNTIF(ADMIN!$M$250,Fixture!BG20)</f>
        <v>0</v>
      </c>
    </row>
    <row r="21" spans="1:67" ht="15.75" thickBot="1">
      <c r="A21" s="15">
        <v>30</v>
      </c>
      <c r="B21" s="585"/>
      <c r="C21" s="508" t="str">
        <f ca="1">+MID(INDEX(WORLDCUP!$AA$4:$AA$147,MATCH(A21,WORLDCUP!$AH$4:$AH$147,0)),1,3)</f>
        <v>Esc</v>
      </c>
      <c r="D21" s="509" t="str">
        <f>IF(ISBLANK(INDEX(WORLDCUP!$AC$4:$AC$147,MATCH(A21,WORLDCUP!$AH$4:$AH$147,0))),"",INDEX(WORLDCUP!$AC$4:$AC$147,MATCH(A21,WORLDCUP!$AH$4:$AH$147,0)))</f>
        <v/>
      </c>
      <c r="E21" s="509" t="str">
        <f>IF(ISBLANK(INDEX(WORLDCUP!$AD$4:$AD$147,MATCH(A21,WORLDCUP!$AH$4:$AH$147,0))),"",INDEX(WORLDCUP!$AD$4:$AD$147,MATCH(A21,WORLDCUP!$AH$4:$AH$147,0)))</f>
        <v/>
      </c>
      <c r="F21" s="510" t="str">
        <f ca="1">+MID(INDEX(WORLDCUP!$AF$4:$AF$147,MATCH(A21,WORLDCUP!$AH$4:$AH$147,0)),1,3)</f>
        <v>Mar</v>
      </c>
      <c r="G21" s="531">
        <v>2</v>
      </c>
      <c r="H21" s="532" t="str">
        <f ca="1">+MID(INDEX(WORLDCUP!$AL$6:$AL$97,MATCH(L21,WORLDCUP!$AI$6:$AI$97,0)),1,3)</f>
        <v>Mar</v>
      </c>
      <c r="I21" s="213">
        <f ca="1">+INDEX(WORLDCUP!$AM$6:$AM$97,MATCH(L21,WORLDCUP!$AI$6:$AI$97,0))</f>
        <v>0</v>
      </c>
      <c r="J21" s="214">
        <f ca="1">+INDEX(WORLDCUP!$AT$6:$AT$97,MATCH(L21,WORLDCUP!$AI$6:$AI$97,0))</f>
        <v>0</v>
      </c>
      <c r="K21" s="215" t="str">
        <f ca="1">+INDEX(WORLDCUP!$AR$6:$AR$97,MATCH(L21,WORLDCUP!$AI$6:$AI$97,0))&amp;"-"&amp;INDEX(WORLDCUP!$AS$6:$AS$97,MATCH(L21,WORLDCUP!$AI$6:$AI$97,0))</f>
        <v>0-0</v>
      </c>
      <c r="L21" s="15" t="s">
        <v>656</v>
      </c>
      <c r="M21" s="15">
        <v>42</v>
      </c>
      <c r="N21" s="586"/>
      <c r="O21" s="508" t="str">
        <f ca="1">+MID(INDEX(WORLDCUP!$AA$4:$AA$147,MATCH(M21,WORLDCUP!$AH$4:$AH$147,0)),1,3)</f>
        <v>Fra</v>
      </c>
      <c r="P21" s="509" t="str">
        <f>IF(ISBLANK(INDEX(WORLDCUP!$AC$4:$AC$147,MATCH(M21,WORLDCUP!$AH$4:$AH$147,0))),"",INDEX(WORLDCUP!$AC$4:$AC$147,MATCH(M21,WORLDCUP!$AH$4:$AH$147,0)))</f>
        <v/>
      </c>
      <c r="Q21" s="509" t="str">
        <f>IF(ISBLANK(INDEX(WORLDCUP!$AD$4:$AD$147,MATCH(M21,WORLDCUP!$AH$4:$AH$147,0))),"",INDEX(WORLDCUP!$AD$4:$AD$147,MATCH(M21,WORLDCUP!$AH$4:$AH$147,0)))</f>
        <v/>
      </c>
      <c r="R21" s="510" t="str">
        <f ca="1">+MID(INDEX(WORLDCUP!$AF$4:$AF$147,MATCH(M21,WORLDCUP!$AH$4:$AH$147,0)),1,3)</f>
        <v>Ira</v>
      </c>
      <c r="S21" s="531">
        <v>2</v>
      </c>
      <c r="T21" s="532" t="str">
        <f ca="1">+MID(INDEX(WORLDCUP!$AL$6:$AL$97,MATCH(X21,WORLDCUP!$AI$6:$AI$97,0)),1,3)</f>
        <v>Sen</v>
      </c>
      <c r="U21" s="213">
        <f ca="1">+INDEX(WORLDCUP!$AM$6:$AM$97,MATCH(X21,WORLDCUP!$AI$6:$AI$97,0))</f>
        <v>0</v>
      </c>
      <c r="V21" s="214">
        <f ca="1">+INDEX(WORLDCUP!$AT$6:$AT$97,MATCH(X21,WORLDCUP!$AI$6:$AI$97,0))</f>
        <v>0</v>
      </c>
      <c r="W21" s="215" t="str">
        <f ca="1">+INDEX(WORLDCUP!$AR$6:$AR$97,MATCH(X21,WORLDCUP!$AI$6:$AI$97,0))&amp;"-"&amp;INDEX(WORLDCUP!$AS$6:$AS$97,MATCH(X21,WORLDCUP!$AI$6:$AI$97,0))</f>
        <v>0-0</v>
      </c>
      <c r="X21" s="15" t="s">
        <v>674</v>
      </c>
      <c r="Y21" s="15">
        <v>81</v>
      </c>
      <c r="Z21" s="489" t="s">
        <v>658</v>
      </c>
      <c r="AA21" s="490" t="str">
        <f ca="1">+MID(INDEX(WORLDCUP!$AA$101:$AA$147,MATCH(Y21,WORLDCUP!$Z$101:$Z$147,0)),1,3)</f>
        <v>1D</v>
      </c>
      <c r="AB21" s="491" t="str">
        <f>+IF(ISBLANK(INDEX(WORLDCUP!$AC$101:$AC$147,MATCH(Y21,WORLDCUP!$Z$101:$Z$147,0))),"",INDEX(WORLDCUP!$AC$101:$AC$147,MATCH(Y21,WORLDCUP!$Z$101:$Z$147,0)))</f>
        <v/>
      </c>
      <c r="AC21" s="561" t="str">
        <f>+IF(ISBLANK(INDEX(WORLDCUP!$AB$101:$AB$147,MATCH(Y21,WORLDCUP!$Z$101:$Z$147,0))),"","( "&amp;INDEX(WORLDCUP!$AB$101:$AB$147,MATCH(Y21,WORLDCUP!$Z$101:$Z$147,0))&amp;" )")</f>
        <v/>
      </c>
      <c r="AD21" s="14"/>
      <c r="AE21" s="493"/>
      <c r="AF21" s="493"/>
      <c r="AG21" s="539"/>
      <c r="AH21" s="15"/>
      <c r="AI21" s="523"/>
      <c r="AJ21" s="523"/>
      <c r="AK21" s="523"/>
      <c r="AL21" s="15"/>
      <c r="AM21" s="495"/>
      <c r="AN21" s="495"/>
      <c r="AO21" s="576"/>
      <c r="AP21" s="15"/>
      <c r="AQ21" s="524"/>
      <c r="AR21" s="524"/>
      <c r="AS21" s="524"/>
      <c r="AT21" s="15"/>
      <c r="AU21" s="587"/>
      <c r="AV21" s="588"/>
      <c r="AW21" s="497"/>
      <c r="AX21" s="15"/>
      <c r="AY21" s="592"/>
      <c r="AZ21" s="593"/>
      <c r="BA21" s="593" t="str">
        <f>WORLDCUP!AA150</f>
        <v>WF</v>
      </c>
      <c r="BB21" s="593"/>
      <c r="BC21" s="594"/>
      <c r="BD21" s="287"/>
      <c r="BE21" s="287"/>
      <c r="BG21" s="526" t="str">
        <f ca="1">Horarios!Q20</f>
        <v>Ecuador</v>
      </c>
      <c r="BH21" s="527">
        <f t="shared" ca="1" si="0"/>
        <v>1</v>
      </c>
      <c r="BI21" s="527">
        <f ca="1">COUNTIF(ADMIN!$M$130:$M$161,Fixture!BG21)-BJ21-BK21-BL21-BM21-BN21-BO21</f>
        <v>0</v>
      </c>
      <c r="BJ21" s="528">
        <f ca="1">COUNTIF(ADMIN!$M$182:$M$197,Fixture!BG21)-BK21-BL21-BM21-BN21-BO21</f>
        <v>0</v>
      </c>
      <c r="BK21" s="529">
        <f ca="1">COUNTIF(ADMIN!$M$210:$M$217,Fixture!BG21)-BL21-BM21-BN21-BO21</f>
        <v>0</v>
      </c>
      <c r="BL21" s="529">
        <f ca="1">COUNTIF(ADMIN!$M$226:$M$229,BG21)-BM21-BN21-BO21</f>
        <v>0</v>
      </c>
      <c r="BM21" s="527">
        <f ca="1">COUNTIF(ADMIN!$M$252,Fixture!BG21)</f>
        <v>0</v>
      </c>
      <c r="BN21" s="527">
        <f ca="1">COUNTIF(ADMIN!$M$251,Fixture!BG21)</f>
        <v>0</v>
      </c>
      <c r="BO21" s="530">
        <f ca="1">COUNTIF(ADMIN!$M$250,Fixture!BG21)</f>
        <v>0</v>
      </c>
    </row>
    <row r="22" spans="1:67" ht="15.75" thickBot="1">
      <c r="A22" s="15">
        <v>29</v>
      </c>
      <c r="B22" s="585"/>
      <c r="C22" s="508" t="str">
        <f ca="1">+MID(INDEX(WORLDCUP!$AA$4:$AA$147,MATCH(A22,WORLDCUP!$AH$4:$AH$147,0)),1,3)</f>
        <v>Bra</v>
      </c>
      <c r="D22" s="509" t="str">
        <f>IF(ISBLANK(INDEX(WORLDCUP!$AC$4:$AC$147,MATCH(A22,WORLDCUP!$AH$4:$AH$147,0))),"",INDEX(WORLDCUP!$AC$4:$AC$147,MATCH(A22,WORLDCUP!$AH$4:$AH$147,0)))</f>
        <v/>
      </c>
      <c r="E22" s="509" t="str">
        <f>IF(ISBLANK(INDEX(WORLDCUP!$AD$4:$AD$147,MATCH(A22,WORLDCUP!$AH$4:$AH$147,0))),"",INDEX(WORLDCUP!$AD$4:$AD$147,MATCH(A22,WORLDCUP!$AH$4:$AH$147,0)))</f>
        <v/>
      </c>
      <c r="F22" s="510" t="str">
        <f ca="1">+MID(INDEX(WORLDCUP!$AF$4:$AF$147,MATCH(A22,WORLDCUP!$AH$4:$AH$147,0)),1,3)</f>
        <v>Hai</v>
      </c>
      <c r="G22" s="531">
        <v>3</v>
      </c>
      <c r="H22" s="532" t="str">
        <f ca="1">+MID(INDEX(WORLDCUP!$AL$6:$AL$97,MATCH(L22,WORLDCUP!$AI$6:$AI$97,0)),1,3)</f>
        <v>Hai</v>
      </c>
      <c r="I22" s="213">
        <f ca="1">+INDEX(WORLDCUP!$AM$6:$AM$97,MATCH(L22,WORLDCUP!$AI$6:$AI$97,0))</f>
        <v>0</v>
      </c>
      <c r="J22" s="214">
        <f ca="1">+INDEX(WORLDCUP!$AT$6:$AT$97,MATCH(L22,WORLDCUP!$AI$6:$AI$97,0))</f>
        <v>0</v>
      </c>
      <c r="K22" s="215" t="str">
        <f ca="1">+INDEX(WORLDCUP!$AR$6:$AR$97,MATCH(L22,WORLDCUP!$AI$6:$AI$97,0))&amp;"-"&amp;INDEX(WORLDCUP!$AS$6:$AS$97,MATCH(L22,WORLDCUP!$AI$6:$AI$97,0))</f>
        <v>0-0</v>
      </c>
      <c r="L22" s="15" t="s">
        <v>91</v>
      </c>
      <c r="M22" s="15">
        <v>41</v>
      </c>
      <c r="N22" s="586"/>
      <c r="O22" s="508" t="str">
        <f ca="1">+MID(INDEX(WORLDCUP!$AA$4:$AA$147,MATCH(M22,WORLDCUP!$AH$4:$AH$147,0)),1,3)</f>
        <v>Nor</v>
      </c>
      <c r="P22" s="509" t="str">
        <f>IF(ISBLANK(INDEX(WORLDCUP!$AC$4:$AC$147,MATCH(M22,WORLDCUP!$AH$4:$AH$147,0))),"",INDEX(WORLDCUP!$AC$4:$AC$147,MATCH(M22,WORLDCUP!$AH$4:$AH$147,0)))</f>
        <v/>
      </c>
      <c r="Q22" s="509" t="str">
        <f>IF(ISBLANK(INDEX(WORLDCUP!$AD$4:$AD$147,MATCH(M22,WORLDCUP!$AH$4:$AH$147,0))),"",INDEX(WORLDCUP!$AD$4:$AD$147,MATCH(M22,WORLDCUP!$AH$4:$AH$147,0)))</f>
        <v/>
      </c>
      <c r="R22" s="510" t="str">
        <f ca="1">+MID(INDEX(WORLDCUP!$AF$4:$AF$147,MATCH(M22,WORLDCUP!$AH$4:$AH$147,0)),1,3)</f>
        <v>Sen</v>
      </c>
      <c r="S22" s="531">
        <v>3</v>
      </c>
      <c r="T22" s="532" t="str">
        <f ca="1">+MID(INDEX(WORLDCUP!$AL$6:$AL$97,MATCH(X22,WORLDCUP!$AI$6:$AI$97,0)),1,3)</f>
        <v>Ira</v>
      </c>
      <c r="U22" s="213">
        <f ca="1">+INDEX(WORLDCUP!$AM$6:$AM$97,MATCH(X22,WORLDCUP!$AI$6:$AI$97,0))</f>
        <v>0</v>
      </c>
      <c r="V22" s="214">
        <f ca="1">+INDEX(WORLDCUP!$AT$6:$AT$97,MATCH(X22,WORLDCUP!$AI$6:$AI$97,0))</f>
        <v>0</v>
      </c>
      <c r="W22" s="215" t="str">
        <f ca="1">+INDEX(WORLDCUP!$AR$6:$AR$97,MATCH(X22,WORLDCUP!$AI$6:$AI$97,0))&amp;"-"&amp;INDEX(WORLDCUP!$AS$6:$AS$97,MATCH(X22,WORLDCUP!$AI$6:$AI$97,0))</f>
        <v>0-0</v>
      </c>
      <c r="X22" s="15" t="s">
        <v>440</v>
      </c>
      <c r="Y22" s="15">
        <v>81</v>
      </c>
      <c r="Z22" s="489" t="s">
        <v>726</v>
      </c>
      <c r="AA22" s="490" t="str">
        <f ca="1">+MID(INDEX(WORLDCUP!$AF$101:$AF$147,MATCH(Y22,WORLDCUP!$Z$101:$Z$147,0)),1,IF(WORLDCUP!$H$113&lt;144,6,3))</f>
        <v>3BEFIJ</v>
      </c>
      <c r="AB22" s="517" t="str">
        <f>+IF(ISBLANK(INDEX(WORLDCUP!$AD$101:$AD$147,MATCH(Y22,WORLDCUP!$Z$101:$Z$147,0))),"",INDEX(WORLDCUP!$AD$101:$AD$147,MATCH(Y22,WORLDCUP!$Z$101:$Z$147,0)))</f>
        <v/>
      </c>
      <c r="AC22" s="518" t="str">
        <f>+IF(ISBLANK(INDEX(WORLDCUP!$AE$101:$AE$147,MATCH(Y22,WORLDCUP!$Z$101:$Z$147,0))),"","( "&amp;INDEX(WORLDCUP!$AE$101:$AE$147,MATCH(Y22,WORLDCUP!$Z$101:$Z$147,0))&amp;" )")</f>
        <v/>
      </c>
      <c r="AD22" s="519">
        <v>94</v>
      </c>
      <c r="AE22" s="520" t="str">
        <f>+MID(INDEX(WORLDCUP!$AA$101:$AA$147,MATCH(AD22,WORLDCUP!$Z$101:$Z$147,0)),1,3)</f>
        <v>W81</v>
      </c>
      <c r="AF22" s="521" t="str">
        <f>+IF(ISBLANK(INDEX(WORLDCUP!$AC$101:$AC$147,MATCH(AD22,WORLDCUP!$Z$101:$Z$147,0))),"",INDEX(WORLDCUP!$AC$101:$AC$147,MATCH(AD22,WORLDCUP!$Z$101:$Z$147,0)))</f>
        <v/>
      </c>
      <c r="AG22" s="564" t="str">
        <f>+IF(ISBLANK(INDEX(WORLDCUP!$AB$101:$AB$147,MATCH(AD22,WORLDCUP!$Z$101:$Z$147,0))),"","( "&amp;INDEX(WORLDCUP!$AB$101:$AB$147,MATCH(AD22,WORLDCUP!$Z$101:$Z$147,0))&amp;" )")</f>
        <v/>
      </c>
      <c r="AH22" s="15"/>
      <c r="AI22" s="523"/>
      <c r="AJ22" s="523"/>
      <c r="AK22" s="523"/>
      <c r="AL22" s="15"/>
      <c r="AM22" s="495"/>
      <c r="AN22" s="495"/>
      <c r="AO22" s="576"/>
      <c r="AP22" s="15"/>
      <c r="AQ22" s="524"/>
      <c r="AR22" s="524"/>
      <c r="AS22" s="524"/>
      <c r="AT22" s="15"/>
      <c r="AU22" s="587"/>
      <c r="AV22" s="588"/>
      <c r="AW22" s="497"/>
      <c r="AX22" s="15"/>
      <c r="AY22" s="592"/>
      <c r="AZ22" s="593"/>
      <c r="BA22" s="595"/>
      <c r="BB22" s="593"/>
      <c r="BC22" s="594"/>
      <c r="BD22" s="287"/>
      <c r="BE22" s="287"/>
      <c r="BG22" s="526" t="str">
        <f ca="1">Horarios!Q21</f>
        <v>Egipto</v>
      </c>
      <c r="BH22" s="527">
        <f t="shared" ca="1" si="0"/>
        <v>1</v>
      </c>
      <c r="BI22" s="527">
        <f ca="1">COUNTIF(ADMIN!$M$130:$M$161,Fixture!BG22)-BJ22-BK22-BL22-BM22-BN22-BO22</f>
        <v>0</v>
      </c>
      <c r="BJ22" s="528">
        <f ca="1">COUNTIF(ADMIN!$M$182:$M$197,Fixture!BG22)-BK22-BL22-BM22-BN22-BO22</f>
        <v>0</v>
      </c>
      <c r="BK22" s="529">
        <f ca="1">COUNTIF(ADMIN!$M$210:$M$217,Fixture!BG22)-BL22-BM22-BN22-BO22</f>
        <v>0</v>
      </c>
      <c r="BL22" s="529">
        <f ca="1">COUNTIF(ADMIN!$M$226:$M$229,BG22)-BM22-BN22-BO22</f>
        <v>0</v>
      </c>
      <c r="BM22" s="527">
        <f ca="1">COUNTIF(ADMIN!$M$252,Fixture!BG22)</f>
        <v>0</v>
      </c>
      <c r="BN22" s="527">
        <f ca="1">COUNTIF(ADMIN!$M$251,Fixture!BG22)</f>
        <v>0</v>
      </c>
      <c r="BO22" s="530">
        <f ca="1">COUNTIF(ADMIN!$M$250,Fixture!BG22)</f>
        <v>0</v>
      </c>
    </row>
    <row r="23" spans="1:67">
      <c r="A23" s="15">
        <v>49</v>
      </c>
      <c r="B23" s="585"/>
      <c r="C23" s="508" t="str">
        <f ca="1">+MID(INDEX(WORLDCUP!$AA$4:$AA$147,MATCH(A23,WORLDCUP!$AH$4:$AH$147,0)),1,3)</f>
        <v>Esc</v>
      </c>
      <c r="D23" s="509" t="str">
        <f>IF(ISBLANK(INDEX(WORLDCUP!$AC$4:$AC$147,MATCH(A23,WORLDCUP!$AH$4:$AH$147,0))),"",INDEX(WORLDCUP!$AC$4:$AC$147,MATCH(A23,WORLDCUP!$AH$4:$AH$147,0)))</f>
        <v/>
      </c>
      <c r="E23" s="509" t="str">
        <f>IF(ISBLANK(INDEX(WORLDCUP!$AD$4:$AD$147,MATCH(A23,WORLDCUP!$AH$4:$AH$147,0))),"",INDEX(WORLDCUP!$AD$4:$AD$147,MATCH(A23,WORLDCUP!$AH$4:$AH$147,0)))</f>
        <v/>
      </c>
      <c r="F23" s="510" t="str">
        <f ca="1">+MID(INDEX(WORLDCUP!$AF$4:$AF$147,MATCH(A23,WORLDCUP!$AH$4:$AH$147,0)),1,3)</f>
        <v>Bra</v>
      </c>
      <c r="G23" s="531">
        <v>4</v>
      </c>
      <c r="H23" s="540" t="str">
        <f ca="1">+MID(INDEX(WORLDCUP!$AL$6:$AL$97,MATCH(L23,WORLDCUP!$AI$6:$AI$97,0)),1,3)</f>
        <v>Esc</v>
      </c>
      <c r="I23" s="541">
        <f ca="1">+INDEX(WORLDCUP!$AM$6:$AM$97,MATCH(L23,WORLDCUP!$AI$6:$AI$97,0))</f>
        <v>0</v>
      </c>
      <c r="J23" s="542">
        <f ca="1">+INDEX(WORLDCUP!$AT$6:$AT$97,MATCH(L23,WORLDCUP!$AI$6:$AI$97,0))</f>
        <v>0</v>
      </c>
      <c r="K23" s="543" t="str">
        <f ca="1">+INDEX(WORLDCUP!$AR$6:$AR$97,MATCH(L23,WORLDCUP!$AI$6:$AI$97,0))&amp;"-"&amp;INDEX(WORLDCUP!$AS$6:$AS$97,MATCH(L23,WORLDCUP!$AI$6:$AI$97,0))</f>
        <v>0-0</v>
      </c>
      <c r="L23" s="15" t="s">
        <v>657</v>
      </c>
      <c r="M23" s="15">
        <v>61</v>
      </c>
      <c r="N23" s="586"/>
      <c r="O23" s="508" t="str">
        <f ca="1">+MID(INDEX(WORLDCUP!$AA$4:$AA$147,MATCH(M23,WORLDCUP!$AH$4:$AH$147,0)),1,3)</f>
        <v>Nor</v>
      </c>
      <c r="P23" s="509" t="str">
        <f>IF(ISBLANK(INDEX(WORLDCUP!$AC$4:$AC$147,MATCH(M23,WORLDCUP!$AH$4:$AH$147,0))),"",INDEX(WORLDCUP!$AC$4:$AC$147,MATCH(M23,WORLDCUP!$AH$4:$AH$147,0)))</f>
        <v/>
      </c>
      <c r="Q23" s="509" t="str">
        <f>IF(ISBLANK(INDEX(WORLDCUP!$AD$4:$AD$147,MATCH(M23,WORLDCUP!$AH$4:$AH$147,0))),"",INDEX(WORLDCUP!$AD$4:$AD$147,MATCH(M23,WORLDCUP!$AH$4:$AH$147,0)))</f>
        <v/>
      </c>
      <c r="R23" s="510" t="str">
        <f ca="1">+MID(INDEX(WORLDCUP!$AF$4:$AF$147,MATCH(M23,WORLDCUP!$AH$4:$AH$147,0)),1,3)</f>
        <v>Fra</v>
      </c>
      <c r="S23" s="531">
        <v>4</v>
      </c>
      <c r="T23" s="540" t="str">
        <f ca="1">+MID(INDEX(WORLDCUP!$AL$6:$AL$97,MATCH(X23,WORLDCUP!$AI$6:$AI$97,0)),1,3)</f>
        <v>Nor</v>
      </c>
      <c r="U23" s="541">
        <f ca="1">+INDEX(WORLDCUP!$AM$6:$AM$97,MATCH(X23,WORLDCUP!$AI$6:$AI$97,0))</f>
        <v>0</v>
      </c>
      <c r="V23" s="542">
        <f ca="1">+INDEX(WORLDCUP!$AT$6:$AT$97,MATCH(X23,WORLDCUP!$AI$6:$AI$97,0))</f>
        <v>0</v>
      </c>
      <c r="W23" s="543" t="str">
        <f ca="1">+INDEX(WORLDCUP!$AR$6:$AR$97,MATCH(X23,WORLDCUP!$AI$6:$AI$97,0))&amp;"-"&amp;INDEX(WORLDCUP!$AS$6:$AS$97,MATCH(X23,WORLDCUP!$AI$6:$AI$97,0))</f>
        <v>0-0</v>
      </c>
      <c r="X23" s="15" t="s">
        <v>675</v>
      </c>
      <c r="Y23" s="15"/>
      <c r="Z23" s="489"/>
      <c r="AA23" s="533"/>
      <c r="AB23" s="533"/>
      <c r="AC23" s="534"/>
      <c r="AD23" s="15">
        <v>94</v>
      </c>
      <c r="AE23" s="520" t="str">
        <f>+MID(INDEX(WORLDCUP!$AF$101:$AF$147,MATCH(AD23,WORLDCUP!$Z$101:$Z$147,0)),1,3)</f>
        <v>W82</v>
      </c>
      <c r="AF23" s="521" t="str">
        <f>+IF(ISBLANK(INDEX(WORLDCUP!$AD$101:$AD$147,MATCH(AD23,WORLDCUP!$Z$101:$Z$147,0))),"",INDEX(WORLDCUP!$AD$101:$AD$147,MATCH(AD23,WORLDCUP!$Z$101:$Z$147,0)))</f>
        <v/>
      </c>
      <c r="AG23" s="538" t="str">
        <f>+IF(ISBLANK(INDEX(WORLDCUP!$AE$101:$AE$147,MATCH(AD23,WORLDCUP!$Z$101:$Z$147,0))),"","( "&amp;INDEX(WORLDCUP!$AE$101:$AE$147,MATCH(AD23,WORLDCUP!$Z$101:$Z$147,0))&amp;" )")</f>
        <v/>
      </c>
      <c r="AH23" s="15"/>
      <c r="AI23" s="523"/>
      <c r="AJ23" s="523"/>
      <c r="AK23" s="523"/>
      <c r="AL23" s="15"/>
      <c r="AM23" s="495"/>
      <c r="AN23" s="495"/>
      <c r="AO23" s="576"/>
      <c r="AP23" s="84"/>
      <c r="AQ23" s="524"/>
      <c r="AR23" s="524"/>
      <c r="AS23" s="524"/>
      <c r="AT23" s="15"/>
      <c r="AU23" s="497"/>
      <c r="AV23" s="497"/>
      <c r="AW23" s="497"/>
      <c r="AX23" s="15"/>
      <c r="AY23" s="592"/>
      <c r="AZ23" s="593"/>
      <c r="BA23" s="595"/>
      <c r="BB23" s="593" t="str">
        <f>+WORLDCUP!AA151</f>
        <v>LF</v>
      </c>
      <c r="BC23" s="594"/>
      <c r="BD23" s="287"/>
      <c r="BE23" s="287"/>
      <c r="BG23" s="526" t="str">
        <f ca="1">Horarios!Q22</f>
        <v>Escocia</v>
      </c>
      <c r="BH23" s="527">
        <f t="shared" ca="1" si="0"/>
        <v>1</v>
      </c>
      <c r="BI23" s="527">
        <f ca="1">COUNTIF(ADMIN!$M$130:$M$161,Fixture!BG23)-BJ23-BK23-BL23-BM23-BN23-BO23</f>
        <v>0</v>
      </c>
      <c r="BJ23" s="528">
        <f ca="1">COUNTIF(ADMIN!$M$182:$M$197,Fixture!BG23)-BK23-BL23-BM23-BN23-BO23</f>
        <v>0</v>
      </c>
      <c r="BK23" s="529">
        <f ca="1">COUNTIF(ADMIN!$M$210:$M$217,Fixture!BG23)-BL23-BM23-BN23-BO23</f>
        <v>0</v>
      </c>
      <c r="BL23" s="529">
        <f ca="1">COUNTIF(ADMIN!$M$226:$M$229,BG23)-BM23-BN23-BO23</f>
        <v>0</v>
      </c>
      <c r="BM23" s="527">
        <f ca="1">COUNTIF(ADMIN!$M$252,Fixture!BG23)</f>
        <v>0</v>
      </c>
      <c r="BN23" s="527">
        <f ca="1">COUNTIF(ADMIN!$M$251,Fixture!BG23)</f>
        <v>0</v>
      </c>
      <c r="BO23" s="530">
        <f ca="1">COUNTIF(ADMIN!$M$250,Fixture!BG23)</f>
        <v>0</v>
      </c>
    </row>
    <row r="24" spans="1:67" ht="15.75" thickBot="1">
      <c r="A24" s="15">
        <v>50</v>
      </c>
      <c r="B24" s="596"/>
      <c r="C24" s="551" t="str">
        <f ca="1">+MID(INDEX(WORLDCUP!$AA$4:$AA$147,MATCH(A24,WORLDCUP!$AH$4:$AH$147,0)),1,3)</f>
        <v>Mar</v>
      </c>
      <c r="D24" s="552" t="str">
        <f>IF(ISBLANK(INDEX(WORLDCUP!$AC$4:$AC$147,MATCH(A24,WORLDCUP!$AH$4:$AH$147,0))),"",INDEX(WORLDCUP!$AC$4:$AC$147,MATCH(A24,WORLDCUP!$AH$4:$AH$147,0)))</f>
        <v/>
      </c>
      <c r="E24" s="552" t="str">
        <f>IF(ISBLANK(INDEX(WORLDCUP!$AD$4:$AD$147,MATCH(A24,WORLDCUP!$AH$4:$AH$147,0))),"",INDEX(WORLDCUP!$AD$4:$AD$147,MATCH(A24,WORLDCUP!$AH$4:$AH$147,0)))</f>
        <v/>
      </c>
      <c r="F24" s="553" t="str">
        <f ca="1">+MID(INDEX(WORLDCUP!$AF$4:$AF$147,MATCH(A24,WORLDCUP!$AH$4:$AH$147,0)),1,3)</f>
        <v>Hai</v>
      </c>
      <c r="G24" s="554"/>
      <c r="H24" s="554"/>
      <c r="I24" s="555"/>
      <c r="J24" s="555"/>
      <c r="K24" s="556"/>
      <c r="L24" s="15"/>
      <c r="M24" s="15">
        <v>62</v>
      </c>
      <c r="N24" s="597"/>
      <c r="O24" s="551" t="str">
        <f ca="1">+MID(INDEX(WORLDCUP!$AA$4:$AA$147,MATCH(M24,WORLDCUP!$AH$4:$AH$147,0)),1,3)</f>
        <v>Sen</v>
      </c>
      <c r="P24" s="552" t="str">
        <f>IF(ISBLANK(INDEX(WORLDCUP!$AC$4:$AC$147,MATCH(M24,WORLDCUP!$AH$4:$AH$147,0))),"",INDEX(WORLDCUP!$AC$4:$AC$147,MATCH(M24,WORLDCUP!$AH$4:$AH$147,0)))</f>
        <v/>
      </c>
      <c r="Q24" s="552" t="str">
        <f>IF(ISBLANK(INDEX(WORLDCUP!$AD$4:$AD$147,MATCH(M24,WORLDCUP!$AH$4:$AH$147,0))),"",INDEX(WORLDCUP!$AD$4:$AD$147,MATCH(M24,WORLDCUP!$AH$4:$AH$147,0)))</f>
        <v/>
      </c>
      <c r="R24" s="553" t="str">
        <f ca="1">+MID(INDEX(WORLDCUP!$AF$4:$AF$147,MATCH(M24,WORLDCUP!$AH$4:$AH$147,0)),1,3)</f>
        <v>Ira</v>
      </c>
      <c r="S24" s="554"/>
      <c r="T24" s="554"/>
      <c r="U24" s="555"/>
      <c r="V24" s="555"/>
      <c r="W24" s="556"/>
      <c r="X24" s="15"/>
      <c r="Y24" s="15">
        <v>82</v>
      </c>
      <c r="Z24" s="489" t="s">
        <v>667</v>
      </c>
      <c r="AA24" s="490" t="str">
        <f ca="1">+MID(INDEX(WORLDCUP!$AA$101:$AA$147,MATCH(Y24,WORLDCUP!$Z$101:$Z$147,0)),1,3)</f>
        <v>1G</v>
      </c>
      <c r="AB24" s="536" t="str">
        <f>+IF(ISBLANK(INDEX(WORLDCUP!$AC$101:$AC$147,MATCH(Y24,WORLDCUP!$Z$101:$Z$147,0))),"",INDEX(WORLDCUP!$AC$101:$AC$147,MATCH(Y24,WORLDCUP!$Z$101:$Z$147,0)))</f>
        <v/>
      </c>
      <c r="AC24" s="570" t="str">
        <f>+IF(ISBLANK(INDEX(WORLDCUP!$AB$101:$AB$147,MATCH(Y24,WORLDCUP!$Z$101:$Z$147,0))),"","( "&amp;INDEX(WORLDCUP!$AB$101:$AB$147,MATCH(Y24,WORLDCUP!$Z$101:$Z$147,0))&amp;" )")</f>
        <v/>
      </c>
      <c r="AD24" s="15"/>
      <c r="AE24" s="493"/>
      <c r="AF24" s="493"/>
      <c r="AG24" s="493"/>
      <c r="AH24" s="15"/>
      <c r="AI24" s="523"/>
      <c r="AJ24" s="523"/>
      <c r="AK24" s="523"/>
      <c r="AL24" s="15"/>
      <c r="AM24" s="495"/>
      <c r="AN24" s="495"/>
      <c r="AO24" s="576"/>
      <c r="AP24" s="84"/>
      <c r="AQ24" s="524"/>
      <c r="AR24" s="524"/>
      <c r="AS24" s="524"/>
      <c r="AT24" s="15"/>
      <c r="AU24" s="497"/>
      <c r="AV24" s="497"/>
      <c r="AW24" s="497"/>
      <c r="AX24" s="15"/>
      <c r="AY24" s="592"/>
      <c r="AZ24" s="593"/>
      <c r="BA24" s="595"/>
      <c r="BB24" s="598"/>
      <c r="BC24" s="594"/>
      <c r="BD24" s="287"/>
      <c r="BE24" s="287"/>
      <c r="BG24" s="526" t="str">
        <f ca="1">Horarios!Q23</f>
        <v>España</v>
      </c>
      <c r="BH24" s="527">
        <f t="shared" ca="1" si="0"/>
        <v>1</v>
      </c>
      <c r="BI24" s="527">
        <f ca="1">COUNTIF(ADMIN!$M$130:$M$161,Fixture!BG24)-BJ24-BK24-BL24-BM24-BN24-BO24</f>
        <v>0</v>
      </c>
      <c r="BJ24" s="528">
        <f ca="1">COUNTIF(ADMIN!$M$182:$M$197,Fixture!BG24)-BK24-BL24-BM24-BN24-BO24</f>
        <v>0</v>
      </c>
      <c r="BK24" s="529">
        <f ca="1">COUNTIF(ADMIN!$M$210:$M$217,Fixture!BG24)-BL24-BM24-BN24-BO24</f>
        <v>0</v>
      </c>
      <c r="BL24" s="529">
        <f ca="1">COUNTIF(ADMIN!$M$226:$M$229,BG24)-BM24-BN24-BO24</f>
        <v>0</v>
      </c>
      <c r="BM24" s="527">
        <f ca="1">COUNTIF(ADMIN!$M$252,Fixture!BG24)</f>
        <v>0</v>
      </c>
      <c r="BN24" s="527">
        <f ca="1">COUNTIF(ADMIN!$M$251,Fixture!BG24)</f>
        <v>0</v>
      </c>
      <c r="BO24" s="530">
        <f ca="1">COUNTIF(ADMIN!$M$250,Fixture!BG24)</f>
        <v>0</v>
      </c>
    </row>
    <row r="25" spans="1:67" ht="15.75" thickBot="1">
      <c r="A25" s="15"/>
      <c r="B25" s="476"/>
      <c r="C25" s="560"/>
      <c r="D25" s="423"/>
      <c r="E25" s="423"/>
      <c r="F25" s="287"/>
      <c r="G25" s="287"/>
      <c r="H25" s="560"/>
      <c r="I25" s="287"/>
      <c r="J25" s="287"/>
      <c r="K25" s="287"/>
      <c r="L25" s="15"/>
      <c r="M25" s="15"/>
      <c r="N25" s="237"/>
      <c r="O25" s="287"/>
      <c r="P25" s="287"/>
      <c r="Q25" s="287"/>
      <c r="R25" s="287"/>
      <c r="S25" s="287"/>
      <c r="T25" s="287"/>
      <c r="U25" s="287"/>
      <c r="V25" s="287"/>
      <c r="W25" s="287"/>
      <c r="X25" s="15"/>
      <c r="Y25" s="15">
        <v>82</v>
      </c>
      <c r="Z25" s="489" t="s">
        <v>727</v>
      </c>
      <c r="AA25" s="544" t="str">
        <f ca="1">+MID(INDEX(WORLDCUP!$AF$101:$AF$147,MATCH(Y25,WORLDCUP!$Z$101:$Z$147,0)),1,IF(WORLDCUP!$H$113&lt;144,6,3))</f>
        <v>3AEHIJ</v>
      </c>
      <c r="AB25" s="545" t="str">
        <f>+IF(ISBLANK(INDEX(WORLDCUP!$AD$101:$AD$147,MATCH(Y25,WORLDCUP!$Z$101:$Z$147,0))),"",INDEX(WORLDCUP!$AD$101:$AD$147,MATCH(Y25,WORLDCUP!$Z$101:$Z$147,0)))</f>
        <v/>
      </c>
      <c r="AC25" s="571" t="str">
        <f>+IF(ISBLANK(INDEX(WORLDCUP!$AE$101:$AE$147,MATCH(Y25,WORLDCUP!$Z$101:$Z$147,0))),"","( "&amp;INDEX(WORLDCUP!$AE$101:$AE$147,MATCH(Y25,WORLDCUP!$Z$101:$Z$147,0))&amp;" )")</f>
        <v/>
      </c>
      <c r="AD25" s="15"/>
      <c r="AE25" s="493"/>
      <c r="AF25" s="493"/>
      <c r="AG25" s="493"/>
      <c r="AH25" s="15"/>
      <c r="AI25" s="523"/>
      <c r="AJ25" s="523"/>
      <c r="AK25" s="523"/>
      <c r="AL25" s="15"/>
      <c r="AM25" s="495"/>
      <c r="AN25" s="495"/>
      <c r="AO25" s="576"/>
      <c r="AP25" s="599"/>
      <c r="AQ25" s="600"/>
      <c r="AR25" s="600"/>
      <c r="AS25" s="600"/>
      <c r="AT25" s="601">
        <v>104</v>
      </c>
      <c r="AU25" s="602" t="str">
        <f>+MID(INDEX(WORLDCUP!$AA$101:$AA$147,MATCH(AT25,WORLDCUP!$Z$101:$Z$147,0)),1,4)</f>
        <v>W101</v>
      </c>
      <c r="AV25" s="603" t="str">
        <f>+IF(ISBLANK(INDEX(WORLDCUP!$AC$101:$AC$147,MATCH(AT25,WORLDCUP!$Z$101:$Z$147,0))),"",INDEX(WORLDCUP!$AC$101:$AC$147,MATCH(AT25,WORLDCUP!$Z$101:$Z$147,0)))</f>
        <v/>
      </c>
      <c r="AW25" s="604" t="str">
        <f>+IF(ISBLANK(INDEX(WORLDCUP!$AB$101:$AB$147,MATCH(AT25,WORLDCUP!$Z$101:$Z$147,0))),"","( "&amp;INDEX(WORLDCUP!$AB$101:$AB$147,MATCH(AT25,WORLDCUP!$Z$101:$Z$147,0))&amp;" )")</f>
        <v/>
      </c>
      <c r="AX25" s="605"/>
      <c r="AY25" s="592"/>
      <c r="AZ25" s="593" t="str">
        <f>+WORLDCUP!AA152</f>
        <v>W34</v>
      </c>
      <c r="BA25" s="595"/>
      <c r="BB25" s="598"/>
      <c r="BC25" s="594"/>
      <c r="BD25" s="287"/>
      <c r="BE25" s="287"/>
      <c r="BG25" s="526" t="str">
        <f ca="1">Horarios!Q24</f>
        <v>Estados Unidos</v>
      </c>
      <c r="BH25" s="527">
        <f t="shared" ca="1" si="0"/>
        <v>1</v>
      </c>
      <c r="BI25" s="527">
        <f ca="1">COUNTIF(ADMIN!$M$130:$M$161,Fixture!BG25)-BJ25-BK25-BL25-BM25-BN25-BO25</f>
        <v>0</v>
      </c>
      <c r="BJ25" s="528">
        <f ca="1">COUNTIF(ADMIN!$M$182:$M$197,Fixture!BG25)-BK25-BL25-BM25-BN25-BO25</f>
        <v>0</v>
      </c>
      <c r="BK25" s="529">
        <f ca="1">COUNTIF(ADMIN!$M$210:$M$217,Fixture!BG25)-BL25-BM25-BN25-BO25</f>
        <v>0</v>
      </c>
      <c r="BL25" s="529">
        <f ca="1">COUNTIF(ADMIN!$M$226:$M$229,BG25)-BM25-BN25-BO25</f>
        <v>0</v>
      </c>
      <c r="BM25" s="527">
        <f ca="1">COUNTIF(ADMIN!$M$252,Fixture!BG25)</f>
        <v>0</v>
      </c>
      <c r="BN25" s="527">
        <f ca="1">COUNTIF(ADMIN!$M$251,Fixture!BG25)</f>
        <v>0</v>
      </c>
      <c r="BO25" s="530">
        <f ca="1">COUNTIF(ADMIN!$M$250,Fixture!BG25)</f>
        <v>0</v>
      </c>
    </row>
    <row r="26" spans="1:67" ht="15.75" thickBot="1">
      <c r="A26" s="15"/>
      <c r="B26" s="476"/>
      <c r="C26" s="560"/>
      <c r="D26" s="423"/>
      <c r="E26" s="423"/>
      <c r="F26" s="287"/>
      <c r="G26" s="287"/>
      <c r="H26" s="560"/>
      <c r="I26" s="287"/>
      <c r="J26" s="287"/>
      <c r="K26" s="287"/>
      <c r="L26" s="15"/>
      <c r="M26" s="15"/>
      <c r="N26" s="237"/>
      <c r="O26" s="287"/>
      <c r="P26" s="287"/>
      <c r="Q26" s="287"/>
      <c r="R26" s="287"/>
      <c r="S26" s="287"/>
      <c r="T26" s="287"/>
      <c r="U26" s="287"/>
      <c r="V26" s="287"/>
      <c r="W26" s="287"/>
      <c r="X26" s="15"/>
      <c r="Y26" s="15"/>
      <c r="Z26" s="489"/>
      <c r="AA26" s="558"/>
      <c r="AB26" s="558"/>
      <c r="AC26" s="558"/>
      <c r="AD26" s="15"/>
      <c r="AE26" s="493"/>
      <c r="AF26" s="493"/>
      <c r="AG26" s="538"/>
      <c r="AH26" s="15"/>
      <c r="AI26" s="523"/>
      <c r="AJ26" s="523"/>
      <c r="AK26" s="523"/>
      <c r="AL26" s="15"/>
      <c r="AM26" s="495"/>
      <c r="AN26" s="495"/>
      <c r="AO26" s="576"/>
      <c r="AP26" s="15"/>
      <c r="AQ26" s="524"/>
      <c r="AR26" s="524"/>
      <c r="AS26" s="524"/>
      <c r="AT26" s="15">
        <v>104</v>
      </c>
      <c r="AU26" s="602" t="str">
        <f>+MID(INDEX(WORLDCUP!$AF$101:$AF$147,MATCH(AT26,WORLDCUP!$Z$101:$Z$147,0)),1,4)</f>
        <v>W102</v>
      </c>
      <c r="AV26" s="603" t="str">
        <f>+IF(ISBLANK(INDEX(WORLDCUP!$AD$101:$AD$147,MATCH(AT26,WORLDCUP!$Z$101:$Z$147,0))),"",INDEX(WORLDCUP!$AD$101:$AD$147,MATCH(AT26,WORLDCUP!$Z$101:$Z$147,0)))</f>
        <v/>
      </c>
      <c r="AW26" s="497" t="str">
        <f>+IF(ISBLANK(INDEX(WORLDCUP!$AE$101:$AE$147,MATCH(AT26,WORLDCUP!$Z$101:$Z$147,0))),"","( "&amp;INDEX(WORLDCUP!$AE$101:$AE$147,MATCH(AT26,WORLDCUP!$Z$101:$Z$147,0))&amp;" )")</f>
        <v/>
      </c>
      <c r="AX26" s="15"/>
      <c r="AY26" s="592"/>
      <c r="AZ26" s="606"/>
      <c r="BA26" s="595"/>
      <c r="BB26" s="598"/>
      <c r="BC26" s="594"/>
      <c r="BD26" s="287"/>
      <c r="BE26" s="287"/>
      <c r="BG26" s="526" t="str">
        <f ca="1">Horarios!Q25</f>
        <v>Francia</v>
      </c>
      <c r="BH26" s="527">
        <f t="shared" ca="1" si="0"/>
        <v>1</v>
      </c>
      <c r="BI26" s="527">
        <f ca="1">COUNTIF(ADMIN!$M$130:$M$161,Fixture!BG26)-BJ26-BK26-BL26-BM26-BN26-BO26</f>
        <v>0</v>
      </c>
      <c r="BJ26" s="528">
        <f ca="1">COUNTIF(ADMIN!$M$182:$M$197,Fixture!BG26)-BK26-BL26-BM26-BN26-BO26</f>
        <v>0</v>
      </c>
      <c r="BK26" s="529">
        <f ca="1">COUNTIF(ADMIN!$M$210:$M$217,Fixture!BG26)-BL26-BM26-BN26-BO26</f>
        <v>0</v>
      </c>
      <c r="BL26" s="529">
        <f ca="1">COUNTIF(ADMIN!$M$226:$M$229,BG26)-BM26-BN26-BO26</f>
        <v>0</v>
      </c>
      <c r="BM26" s="527">
        <f ca="1">COUNTIF(ADMIN!$M$252,Fixture!BG26)</f>
        <v>0</v>
      </c>
      <c r="BN26" s="527">
        <f ca="1">COUNTIF(ADMIN!$M$251,Fixture!BG26)</f>
        <v>0</v>
      </c>
      <c r="BO26" s="530">
        <f ca="1">COUNTIF(ADMIN!$M$250,Fixture!BG26)</f>
        <v>0</v>
      </c>
    </row>
    <row r="27" spans="1:67" ht="15.75" thickBot="1">
      <c r="A27" s="15">
        <v>4</v>
      </c>
      <c r="B27" s="607" t="s">
        <v>73</v>
      </c>
      <c r="C27" s="481" t="str">
        <f ca="1">+MID(INDEX(WORLDCUP!$AA$4:$AA$147,MATCH(A27,WORLDCUP!$AH$4:$AH$147,0)),1,3)</f>
        <v>Est</v>
      </c>
      <c r="D27" s="482" t="str">
        <f>IF(ISBLANK(INDEX(WORLDCUP!$AC$4:$AC$147,MATCH(A27,WORLDCUP!$AH$4:$AH$147,0))),"",INDEX(WORLDCUP!$AC$4:$AC$147,MATCH(A27,WORLDCUP!$AH$4:$AH$147,0)))</f>
        <v/>
      </c>
      <c r="E27" s="482" t="str">
        <f>IF(ISBLANK(INDEX(WORLDCUP!$AD$4:$AD$147,MATCH(A27,WORLDCUP!$AH$4:$AH$147,0))),"",INDEX(WORLDCUP!$AD$4:$AD$147,MATCH(A27,WORLDCUP!$AH$4:$AH$147,0)))</f>
        <v/>
      </c>
      <c r="F27" s="483" t="str">
        <f ca="1">+MID(INDEX(WORLDCUP!$AF$4:$AF$147,MATCH(A27,WORLDCUP!$AH$4:$AH$147,0)),1,3)</f>
        <v>Par</v>
      </c>
      <c r="G27" s="484"/>
      <c r="H27" s="485" t="str">
        <f>+H19</f>
        <v>Sel</v>
      </c>
      <c r="I27" s="486" t="str">
        <f>+I19</f>
        <v>Pts</v>
      </c>
      <c r="J27" s="486" t="str">
        <f>+J19</f>
        <v>DG</v>
      </c>
      <c r="K27" s="487" t="str">
        <f>+K19</f>
        <v>GF-GC</v>
      </c>
      <c r="L27" s="15"/>
      <c r="M27" s="15">
        <v>19</v>
      </c>
      <c r="N27" s="608" t="s">
        <v>5</v>
      </c>
      <c r="O27" s="481" t="str">
        <f ca="1">+MID(INDEX(WORLDCUP!$AA$4:$AA$147,MATCH(M27,WORLDCUP!$AH$4:$AH$147,0)),1,3)</f>
        <v>Arg</v>
      </c>
      <c r="P27" s="482" t="str">
        <f>IF(ISBLANK(INDEX(WORLDCUP!$AC$4:$AC$147,MATCH(M27,WORLDCUP!$AH$4:$AH$147,0))),"",INDEX(WORLDCUP!$AC$4:$AC$147,MATCH(M27,WORLDCUP!$AH$4:$AH$147,0)))</f>
        <v/>
      </c>
      <c r="Q27" s="482" t="str">
        <f>IF(ISBLANK(INDEX(WORLDCUP!$AD$4:$AD$147,MATCH(M27,WORLDCUP!$AH$4:$AH$147,0))),"",INDEX(WORLDCUP!$AD$4:$AD$147,MATCH(M27,WORLDCUP!$AH$4:$AH$147,0)))</f>
        <v/>
      </c>
      <c r="R27" s="483" t="str">
        <f ca="1">+MID(INDEX(WORLDCUP!$AF$4:$AF$147,MATCH(M27,WORLDCUP!$AH$4:$AH$147,0)),1,3)</f>
        <v>Arg</v>
      </c>
      <c r="S27" s="484"/>
      <c r="T27" s="485" t="str">
        <f>+T19</f>
        <v>Sel</v>
      </c>
      <c r="U27" s="486" t="str">
        <f>+U19</f>
        <v>Pts</v>
      </c>
      <c r="V27" s="486" t="str">
        <f>+V19</f>
        <v>DG</v>
      </c>
      <c r="W27" s="487" t="str">
        <f>+W19</f>
        <v>GF-GC</v>
      </c>
      <c r="X27" s="15"/>
      <c r="Y27" s="15">
        <v>76</v>
      </c>
      <c r="Z27" s="489" t="s">
        <v>651</v>
      </c>
      <c r="AA27" s="490" t="str">
        <f ca="1">+MID(INDEX(WORLDCUP!$AA$101:$AA$147,MATCH(Y27,WORLDCUP!$Z$101:$Z$147,0)),1,3)</f>
        <v>1C</v>
      </c>
      <c r="AB27" s="491" t="str">
        <f>+IF(ISBLANK(INDEX(WORLDCUP!$AC$101:$AC$147,MATCH(Y27,WORLDCUP!$Z$101:$Z$147,0))),"",INDEX(WORLDCUP!$AC$101:$AC$147,MATCH(Y27,WORLDCUP!$Z$101:$Z$147,0)))</f>
        <v/>
      </c>
      <c r="AC27" s="561" t="str">
        <f>+IF(ISBLANK(INDEX(WORLDCUP!$AB$101:$AB$147,MATCH(Y27,WORLDCUP!$Z$101:$Z$147,0))),"","( "&amp;INDEX(WORLDCUP!$AB$101:$AB$147,MATCH(Y27,WORLDCUP!$Z$101:$Z$147,0))&amp;" )")</f>
        <v/>
      </c>
      <c r="AD27" s="14"/>
      <c r="AE27" s="493"/>
      <c r="AF27" s="493"/>
      <c r="AG27" s="493"/>
      <c r="AH27" s="15"/>
      <c r="AI27" s="523"/>
      <c r="AJ27" s="523"/>
      <c r="AK27" s="523"/>
      <c r="AL27" s="15"/>
      <c r="AM27" s="495"/>
      <c r="AN27" s="495"/>
      <c r="AO27" s="576"/>
      <c r="AP27" s="84"/>
      <c r="AQ27" s="524"/>
      <c r="AR27" s="524"/>
      <c r="AS27" s="524"/>
      <c r="AT27" s="15"/>
      <c r="AU27" s="497"/>
      <c r="AV27" s="497"/>
      <c r="AW27" s="497"/>
      <c r="AX27" s="15"/>
      <c r="AY27" s="592"/>
      <c r="AZ27" s="606"/>
      <c r="BA27" s="595"/>
      <c r="BB27" s="598"/>
      <c r="BC27" s="594"/>
      <c r="BD27" s="287"/>
      <c r="BE27" s="287"/>
      <c r="BG27" s="526" t="str">
        <f ca="1">Horarios!Q26</f>
        <v>Ghana</v>
      </c>
      <c r="BH27" s="527">
        <f t="shared" ca="1" si="0"/>
        <v>1</v>
      </c>
      <c r="BI27" s="527">
        <f ca="1">COUNTIF(ADMIN!$M$130:$M$161,Fixture!BG27)-BJ27-BK27-BL27-BM27-BN27-BO27</f>
        <v>0</v>
      </c>
      <c r="BJ27" s="528">
        <f ca="1">COUNTIF(ADMIN!$M$182:$M$197,Fixture!BG27)-BK27-BL27-BM27-BN27-BO27</f>
        <v>0</v>
      </c>
      <c r="BK27" s="529">
        <f ca="1">COUNTIF(ADMIN!$M$210:$M$217,Fixture!BG27)-BL27-BM27-BN27-BO27</f>
        <v>0</v>
      </c>
      <c r="BL27" s="529">
        <f ca="1">COUNTIF(ADMIN!$M$226:$M$229,BG27)-BM27-BN27-BO27</f>
        <v>0</v>
      </c>
      <c r="BM27" s="527">
        <f ca="1">COUNTIF(ADMIN!$M$252,Fixture!BG27)</f>
        <v>0</v>
      </c>
      <c r="BN27" s="527">
        <f ca="1">COUNTIF(ADMIN!$M$251,Fixture!BG27)</f>
        <v>0</v>
      </c>
      <c r="BO27" s="530">
        <f ca="1">COUNTIF(ADMIN!$M$250,Fixture!BG27)</f>
        <v>0</v>
      </c>
    </row>
    <row r="28" spans="1:67" ht="15.75" thickBot="1">
      <c r="A28" s="15">
        <v>6</v>
      </c>
      <c r="B28" s="609"/>
      <c r="C28" s="508" t="str">
        <f ca="1">+MID(INDEX(WORLDCUP!$AA$4:$AA$147,MATCH(A28,WORLDCUP!$AH$4:$AH$147,0)),1,3)</f>
        <v>Aus</v>
      </c>
      <c r="D28" s="509" t="str">
        <f>IF(ISBLANK(INDEX(WORLDCUP!$AC$4:$AC$147,MATCH(A28,WORLDCUP!$AH$4:$AH$147,0))),"",INDEX(WORLDCUP!$AC$4:$AC$147,MATCH(A28,WORLDCUP!$AH$4:$AH$147,0)))</f>
        <v/>
      </c>
      <c r="E28" s="509" t="str">
        <f>IF(ISBLANK(INDEX(WORLDCUP!$AD$4:$AD$147,MATCH(A28,WORLDCUP!$AH$4:$AH$147,0))),"",INDEX(WORLDCUP!$AD$4:$AD$147,MATCH(A28,WORLDCUP!$AH$4:$AH$147,0)))</f>
        <v/>
      </c>
      <c r="F28" s="510" t="str">
        <f ca="1">+MID(INDEX(WORLDCUP!$AF$4:$AF$147,MATCH(A28,WORLDCUP!$AH$4:$AH$147,0)),1,3)</f>
        <v>Tur</v>
      </c>
      <c r="G28" s="511">
        <v>1</v>
      </c>
      <c r="H28" s="512" t="str">
        <f ca="1">+MID(INDEX(WORLDCUP!$AL$6:$AL$97,MATCH(L28,WORLDCUP!$AI$6:$AI$97,0)),1,3)</f>
        <v>Est</v>
      </c>
      <c r="I28" s="513">
        <f ca="1">+INDEX(WORLDCUP!$AM$6:$AM$97,MATCH(L28,WORLDCUP!$AI$6:$AI$97,0))</f>
        <v>0</v>
      </c>
      <c r="J28" s="514">
        <f ca="1">+INDEX(WORLDCUP!$AT$6:$AT$97,MATCH(L28,WORLDCUP!$AI$6:$AI$97,0))</f>
        <v>0</v>
      </c>
      <c r="K28" s="515" t="str">
        <f ca="1">+INDEX(WORLDCUP!$AR$6:$AR$97,MATCH(L28,WORLDCUP!$AI$6:$AI$97,0))&amp;"-"&amp;INDEX(WORLDCUP!$AS$6:$AS$97,MATCH(L28,WORLDCUP!$AI$6:$AI$97,0))</f>
        <v>0-0</v>
      </c>
      <c r="L28" s="15" t="s">
        <v>658</v>
      </c>
      <c r="M28" s="15">
        <v>20</v>
      </c>
      <c r="N28" s="610"/>
      <c r="O28" s="508" t="str">
        <f ca="1">+MID(INDEX(WORLDCUP!$AA$4:$AA$147,MATCH(M28,WORLDCUP!$AH$4:$AH$147,0)),1,3)</f>
        <v>Aus</v>
      </c>
      <c r="P28" s="509" t="str">
        <f>IF(ISBLANK(INDEX(WORLDCUP!$AC$4:$AC$147,MATCH(M28,WORLDCUP!$AH$4:$AH$147,0))),"",INDEX(WORLDCUP!$AC$4:$AC$147,MATCH(M28,WORLDCUP!$AH$4:$AH$147,0)))</f>
        <v/>
      </c>
      <c r="Q28" s="509" t="str">
        <f>IF(ISBLANK(INDEX(WORLDCUP!$AD$4:$AD$147,MATCH(M28,WORLDCUP!$AH$4:$AH$147,0))),"",INDEX(WORLDCUP!$AD$4:$AD$147,MATCH(M28,WORLDCUP!$AH$4:$AH$147,0)))</f>
        <v/>
      </c>
      <c r="R28" s="510" t="str">
        <f ca="1">+MID(INDEX(WORLDCUP!$AF$4:$AF$147,MATCH(M28,WORLDCUP!$AH$4:$AH$147,0)),1,3)</f>
        <v>Jor</v>
      </c>
      <c r="S28" s="511">
        <v>1</v>
      </c>
      <c r="T28" s="512" t="str">
        <f ca="1">+MID(INDEX(WORLDCUP!$AL$6:$AL$97,MATCH(X28,WORLDCUP!$AI$6:$AI$97,0)),1,3)</f>
        <v>Arg</v>
      </c>
      <c r="U28" s="513">
        <f ca="1">+INDEX(WORLDCUP!$AM$6:$AM$97,MATCH(X28,WORLDCUP!$AI$6:$AI$97,0))</f>
        <v>0</v>
      </c>
      <c r="V28" s="514">
        <f ca="1">+INDEX(WORLDCUP!$AT$6:$AT$97,MATCH(X28,WORLDCUP!$AI$6:$AI$97,0))</f>
        <v>0</v>
      </c>
      <c r="W28" s="515" t="str">
        <f ca="1">+INDEX(WORLDCUP!$AR$6:$AR$97,MATCH(X28,WORLDCUP!$AI$6:$AI$97,0))&amp;"-"&amp;INDEX(WORLDCUP!$AS$6:$AS$97,MATCH(X28,WORLDCUP!$AI$6:$AI$97,0))</f>
        <v>0-0</v>
      </c>
      <c r="X28" s="15" t="s">
        <v>676</v>
      </c>
      <c r="Y28" s="15">
        <v>76</v>
      </c>
      <c r="Z28" s="489" t="s">
        <v>665</v>
      </c>
      <c r="AA28" s="490" t="str">
        <f ca="1">+MID(INDEX(WORLDCUP!$AF$101:$AF$147,MATCH(Y28,WORLDCUP!$Z$101:$Z$147,0)),1,3)</f>
        <v>2F</v>
      </c>
      <c r="AB28" s="517" t="str">
        <f>+IF(ISBLANK(INDEX(WORLDCUP!$AD$101:$AD$147,MATCH(Y28,WORLDCUP!$Z$101:$Z$147,0))),"",INDEX(WORLDCUP!$AD$101:$AD$147,MATCH(Y28,WORLDCUP!$Z$101:$Z$147,0)))</f>
        <v/>
      </c>
      <c r="AC28" s="518" t="str">
        <f>+IF(ISBLANK(INDEX(WORLDCUP!$AE$101:$AE$147,MATCH(Y28,WORLDCUP!$Z$101:$Z$147,0))),"","( "&amp;INDEX(WORLDCUP!$AE$101:$AE$147,MATCH(Y28,WORLDCUP!$Z$101:$Z$147,0))&amp;" )")</f>
        <v/>
      </c>
      <c r="AD28" s="519">
        <v>91</v>
      </c>
      <c r="AE28" s="520" t="str">
        <f>+MID(INDEX(WORLDCUP!$AA$101:$AA$147,MATCH(AD28,WORLDCUP!$Z$101:$Z$147,0)),1,3)</f>
        <v>W76</v>
      </c>
      <c r="AF28" s="521" t="str">
        <f>+IF(ISBLANK(INDEX(WORLDCUP!$AC$101:$AC$147,MATCH(AD28,WORLDCUP!$Z$101:$Z$147,0))),"",INDEX(WORLDCUP!$AC$101:$AC$147,MATCH(AD28,WORLDCUP!$Z$101:$Z$147,0)))</f>
        <v/>
      </c>
      <c r="AG28" s="522" t="str">
        <f>+IF(ISBLANK(INDEX(WORLDCUP!$AB$101:$AB$147,MATCH(AD28,WORLDCUP!$Z$101:$Z$147,0))),"","( "&amp;INDEX(WORLDCUP!$AB$101:$AB$147,MATCH(AD28,WORLDCUP!$Z$101:$Z$147,0))&amp;" )")</f>
        <v/>
      </c>
      <c r="AH28" s="15"/>
      <c r="AI28" s="523"/>
      <c r="AJ28" s="523"/>
      <c r="AK28" s="523"/>
      <c r="AL28" s="15"/>
      <c r="AM28" s="495"/>
      <c r="AN28" s="495"/>
      <c r="AO28" s="576"/>
      <c r="AP28" s="84"/>
      <c r="AQ28" s="524"/>
      <c r="AR28" s="524"/>
      <c r="AS28" s="524"/>
      <c r="AT28" s="15"/>
      <c r="AU28" s="497"/>
      <c r="AV28" s="497"/>
      <c r="AW28" s="497"/>
      <c r="AX28" s="15"/>
      <c r="AY28" s="592"/>
      <c r="AZ28" s="606"/>
      <c r="BA28" s="595"/>
      <c r="BB28" s="598"/>
      <c r="BC28" s="594"/>
      <c r="BD28" s="287"/>
      <c r="BE28" s="287"/>
      <c r="BG28" s="526" t="str">
        <f ca="1">Horarios!Q27</f>
        <v>Haití</v>
      </c>
      <c r="BH28" s="527">
        <f t="shared" ca="1" si="0"/>
        <v>1</v>
      </c>
      <c r="BI28" s="527">
        <f ca="1">COUNTIF(ADMIN!$M$130:$M$161,Fixture!BG28)-BJ28-BK28-BL28-BM28-BN28-BO28</f>
        <v>0</v>
      </c>
      <c r="BJ28" s="528">
        <f ca="1">COUNTIF(ADMIN!$M$182:$M$197,Fixture!BG28)-BK28-BL28-BM28-BN28-BO28</f>
        <v>0</v>
      </c>
      <c r="BK28" s="529">
        <f ca="1">COUNTIF(ADMIN!$M$210:$M$217,Fixture!BG28)-BL28-BM28-BN28-BO28</f>
        <v>0</v>
      </c>
      <c r="BL28" s="529">
        <f ca="1">COUNTIF(ADMIN!$M$226:$M$229,BG28)-BM28-BN28-BO28</f>
        <v>0</v>
      </c>
      <c r="BM28" s="527">
        <f ca="1">COUNTIF(ADMIN!$M$252,Fixture!BG28)</f>
        <v>0</v>
      </c>
      <c r="BN28" s="527">
        <f ca="1">COUNTIF(ADMIN!$M$251,Fixture!BG28)</f>
        <v>0</v>
      </c>
      <c r="BO28" s="530">
        <f ca="1">COUNTIF(ADMIN!$M$250,Fixture!BG28)</f>
        <v>0</v>
      </c>
    </row>
    <row r="29" spans="1:67">
      <c r="A29" s="15">
        <v>32</v>
      </c>
      <c r="B29" s="609"/>
      <c r="C29" s="508" t="str">
        <f ca="1">+MID(INDEX(WORLDCUP!$AA$4:$AA$147,MATCH(A29,WORLDCUP!$AH$4:$AH$147,0)),1,3)</f>
        <v>Est</v>
      </c>
      <c r="D29" s="509" t="str">
        <f>IF(ISBLANK(INDEX(WORLDCUP!$AC$4:$AC$147,MATCH(A29,WORLDCUP!$AH$4:$AH$147,0))),"",INDEX(WORLDCUP!$AC$4:$AC$147,MATCH(A29,WORLDCUP!$AH$4:$AH$147,0)))</f>
        <v/>
      </c>
      <c r="E29" s="509" t="str">
        <f>IF(ISBLANK(INDEX(WORLDCUP!$AD$4:$AD$147,MATCH(A29,WORLDCUP!$AH$4:$AH$147,0))),"",INDEX(WORLDCUP!$AD$4:$AD$147,MATCH(A29,WORLDCUP!$AH$4:$AH$147,0)))</f>
        <v/>
      </c>
      <c r="F29" s="510" t="str">
        <f ca="1">+MID(INDEX(WORLDCUP!$AF$4:$AF$147,MATCH(A29,WORLDCUP!$AH$4:$AH$147,0)),1,3)</f>
        <v>Aus</v>
      </c>
      <c r="G29" s="531">
        <v>2</v>
      </c>
      <c r="H29" s="532" t="str">
        <f ca="1">+MID(INDEX(WORLDCUP!$AL$6:$AL$97,MATCH(L29,WORLDCUP!$AI$6:$AI$97,0)),1,3)</f>
        <v>Par</v>
      </c>
      <c r="I29" s="213">
        <f ca="1">+INDEX(WORLDCUP!$AM$6:$AM$97,MATCH(L29,WORLDCUP!$AI$6:$AI$97,0))</f>
        <v>0</v>
      </c>
      <c r="J29" s="214">
        <f ca="1">+INDEX(WORLDCUP!$AT$6:$AT$97,MATCH(L29,WORLDCUP!$AI$6:$AI$97,0))</f>
        <v>0</v>
      </c>
      <c r="K29" s="215" t="str">
        <f ca="1">+INDEX(WORLDCUP!$AR$6:$AR$97,MATCH(L29,WORLDCUP!$AI$6:$AI$97,0))&amp;"-"&amp;INDEX(WORLDCUP!$AS$6:$AS$97,MATCH(L29,WORLDCUP!$AI$6:$AI$97,0))</f>
        <v>0-0</v>
      </c>
      <c r="L29" s="15" t="s">
        <v>659</v>
      </c>
      <c r="M29" s="15">
        <v>43</v>
      </c>
      <c r="N29" s="610"/>
      <c r="O29" s="508" t="str">
        <f ca="1">+MID(INDEX(WORLDCUP!$AA$4:$AA$147,MATCH(M29,WORLDCUP!$AH$4:$AH$147,0)),1,3)</f>
        <v>Arg</v>
      </c>
      <c r="P29" s="509" t="str">
        <f>IF(ISBLANK(INDEX(WORLDCUP!$AC$4:$AC$147,MATCH(M29,WORLDCUP!$AH$4:$AH$147,0))),"",INDEX(WORLDCUP!$AC$4:$AC$147,MATCH(M29,WORLDCUP!$AH$4:$AH$147,0)))</f>
        <v/>
      </c>
      <c r="Q29" s="509" t="str">
        <f>IF(ISBLANK(INDEX(WORLDCUP!$AD$4:$AD$147,MATCH(M29,WORLDCUP!$AH$4:$AH$147,0))),"",INDEX(WORLDCUP!$AD$4:$AD$147,MATCH(M29,WORLDCUP!$AH$4:$AH$147,0)))</f>
        <v/>
      </c>
      <c r="R29" s="510" t="str">
        <f ca="1">+MID(INDEX(WORLDCUP!$AF$4:$AF$147,MATCH(M29,WORLDCUP!$AH$4:$AH$147,0)),1,3)</f>
        <v>Aus</v>
      </c>
      <c r="S29" s="531">
        <v>2</v>
      </c>
      <c r="T29" s="532" t="str">
        <f ca="1">+MID(INDEX(WORLDCUP!$AL$6:$AL$97,MATCH(X29,WORLDCUP!$AI$6:$AI$97,0)),1,3)</f>
        <v>Arg</v>
      </c>
      <c r="U29" s="213">
        <f ca="1">+INDEX(WORLDCUP!$AM$6:$AM$97,MATCH(X29,WORLDCUP!$AI$6:$AI$97,0))</f>
        <v>0</v>
      </c>
      <c r="V29" s="214">
        <f ca="1">+INDEX(WORLDCUP!$AT$6:$AT$97,MATCH(X29,WORLDCUP!$AI$6:$AI$97,0))</f>
        <v>0</v>
      </c>
      <c r="W29" s="215" t="str">
        <f ca="1">+INDEX(WORLDCUP!$AR$6:$AR$97,MATCH(X29,WORLDCUP!$AI$6:$AI$97,0))&amp;"-"&amp;INDEX(WORLDCUP!$AS$6:$AS$97,MATCH(X29,WORLDCUP!$AI$6:$AI$97,0))</f>
        <v>0-0</v>
      </c>
      <c r="X29" s="15" t="s">
        <v>677</v>
      </c>
      <c r="Y29" s="15"/>
      <c r="Z29" s="489"/>
      <c r="AA29" s="533"/>
      <c r="AB29" s="533"/>
      <c r="AC29" s="534"/>
      <c r="AD29" s="15">
        <v>91</v>
      </c>
      <c r="AE29" s="520" t="str">
        <f>+MID(INDEX(WORLDCUP!$AF$101:$AF$147,MATCH(AD29,WORLDCUP!$Z$101:$Z$147,0)),1,3)</f>
        <v>W78</v>
      </c>
      <c r="AF29" s="521" t="str">
        <f>+IF(ISBLANK(INDEX(WORLDCUP!$AD$101:$AD$147,MATCH(AD29,WORLDCUP!$Z$101:$Z$147,0))),"",INDEX(WORLDCUP!$AD$101:$AD$147,MATCH(AD29,WORLDCUP!$Z$101:$Z$147,0)))</f>
        <v/>
      </c>
      <c r="AG29" s="579" t="str">
        <f>+IF(ISBLANK(INDEX(WORLDCUP!$AE$101:$AE$147,MATCH(AD29,WORLDCUP!$Z$101:$Z$147,0))),"","( "&amp;INDEX(WORLDCUP!$AE$101:$AE$147,MATCH(AD29,WORLDCUP!$Z$101:$Z$147,0))&amp;" )")</f>
        <v/>
      </c>
      <c r="AH29" s="15"/>
      <c r="AI29" s="523"/>
      <c r="AJ29" s="523"/>
      <c r="AK29" s="523"/>
      <c r="AL29" s="15"/>
      <c r="AM29" s="495"/>
      <c r="AN29" s="495"/>
      <c r="AO29" s="576"/>
      <c r="AP29" s="84"/>
      <c r="AQ29" s="524"/>
      <c r="AR29" s="524"/>
      <c r="AS29" s="524"/>
      <c r="AT29" s="15"/>
      <c r="AU29" s="497"/>
      <c r="AV29" s="497"/>
      <c r="AW29" s="497"/>
      <c r="AX29" s="15"/>
      <c r="AY29" s="592"/>
      <c r="AZ29" s="606"/>
      <c r="BA29" s="595"/>
      <c r="BB29" s="598"/>
      <c r="BC29" s="594"/>
      <c r="BD29" s="287"/>
      <c r="BE29" s="287"/>
      <c r="BG29" s="526" t="str">
        <f ca="1">Horarios!Q28</f>
        <v>Inglaterra</v>
      </c>
      <c r="BH29" s="527">
        <f t="shared" ca="1" si="0"/>
        <v>1</v>
      </c>
      <c r="BI29" s="527">
        <f ca="1">COUNTIF(ADMIN!$M$130:$M$161,Fixture!BG29)-BJ29-BK29-BL29-BM29-BN29-BO29</f>
        <v>0</v>
      </c>
      <c r="BJ29" s="528">
        <f ca="1">COUNTIF(ADMIN!$M$182:$M$197,Fixture!BG29)-BK29-BL29-BM29-BN29-BO29</f>
        <v>0</v>
      </c>
      <c r="BK29" s="529">
        <f ca="1">COUNTIF(ADMIN!$M$210:$M$217,Fixture!BG29)-BL29-BM29-BN29-BO29</f>
        <v>0</v>
      </c>
      <c r="BL29" s="529">
        <f ca="1">COUNTIF(ADMIN!$M$226:$M$229,BG29)-BM29-BN29-BO29</f>
        <v>0</v>
      </c>
      <c r="BM29" s="527">
        <f ca="1">COUNTIF(ADMIN!$M$252,Fixture!BG29)</f>
        <v>0</v>
      </c>
      <c r="BN29" s="527">
        <f ca="1">COUNTIF(ADMIN!$M$251,Fixture!BG29)</f>
        <v>0</v>
      </c>
      <c r="BO29" s="530">
        <f ca="1">COUNTIF(ADMIN!$M$250,Fixture!BG29)</f>
        <v>0</v>
      </c>
    </row>
    <row r="30" spans="1:67" ht="15.75" thickBot="1">
      <c r="A30" s="15">
        <v>31</v>
      </c>
      <c r="B30" s="609"/>
      <c r="C30" s="508" t="str">
        <f ca="1">+MID(INDEX(WORLDCUP!$AA$4:$AA$147,MATCH(A30,WORLDCUP!$AH$4:$AH$147,0)),1,3)</f>
        <v>Tur</v>
      </c>
      <c r="D30" s="509" t="str">
        <f>IF(ISBLANK(INDEX(WORLDCUP!$AC$4:$AC$147,MATCH(A30,WORLDCUP!$AH$4:$AH$147,0))),"",INDEX(WORLDCUP!$AC$4:$AC$147,MATCH(A30,WORLDCUP!$AH$4:$AH$147,0)))</f>
        <v/>
      </c>
      <c r="E30" s="509" t="str">
        <f>IF(ISBLANK(INDEX(WORLDCUP!$AD$4:$AD$147,MATCH(A30,WORLDCUP!$AH$4:$AH$147,0))),"",INDEX(WORLDCUP!$AD$4:$AD$147,MATCH(A30,WORLDCUP!$AH$4:$AH$147,0)))</f>
        <v/>
      </c>
      <c r="F30" s="510" t="str">
        <f ca="1">+MID(INDEX(WORLDCUP!$AF$4:$AF$147,MATCH(A30,WORLDCUP!$AH$4:$AH$147,0)),1,3)</f>
        <v>Par</v>
      </c>
      <c r="G30" s="531">
        <v>3</v>
      </c>
      <c r="H30" s="532" t="str">
        <f ca="1">+MID(INDEX(WORLDCUP!$AL$6:$AL$97,MATCH(L30,WORLDCUP!$AI$6:$AI$97,0)),1,3)</f>
        <v>Aus</v>
      </c>
      <c r="I30" s="213">
        <f ca="1">+INDEX(WORLDCUP!$AM$6:$AM$97,MATCH(L30,WORLDCUP!$AI$6:$AI$97,0))</f>
        <v>0</v>
      </c>
      <c r="J30" s="214">
        <f ca="1">+INDEX(WORLDCUP!$AT$6:$AT$97,MATCH(L30,WORLDCUP!$AI$6:$AI$97,0))</f>
        <v>0</v>
      </c>
      <c r="K30" s="215" t="str">
        <f ca="1">+INDEX(WORLDCUP!$AR$6:$AR$97,MATCH(L30,WORLDCUP!$AI$6:$AI$97,0))&amp;"-"&amp;INDEX(WORLDCUP!$AS$6:$AS$97,MATCH(L30,WORLDCUP!$AI$6:$AI$97,0))</f>
        <v>0-0</v>
      </c>
      <c r="L30" s="15" t="s">
        <v>92</v>
      </c>
      <c r="M30" s="15">
        <v>44</v>
      </c>
      <c r="N30" s="610"/>
      <c r="O30" s="508" t="str">
        <f ca="1">+MID(INDEX(WORLDCUP!$AA$4:$AA$147,MATCH(M30,WORLDCUP!$AH$4:$AH$147,0)),1,3)</f>
        <v>Jor</v>
      </c>
      <c r="P30" s="509" t="str">
        <f>IF(ISBLANK(INDEX(WORLDCUP!$AC$4:$AC$147,MATCH(M30,WORLDCUP!$AH$4:$AH$147,0))),"",INDEX(WORLDCUP!$AC$4:$AC$147,MATCH(M30,WORLDCUP!$AH$4:$AH$147,0)))</f>
        <v/>
      </c>
      <c r="Q30" s="509" t="str">
        <f>IF(ISBLANK(INDEX(WORLDCUP!$AD$4:$AD$147,MATCH(M30,WORLDCUP!$AH$4:$AH$147,0))),"",INDEX(WORLDCUP!$AD$4:$AD$147,MATCH(M30,WORLDCUP!$AH$4:$AH$147,0)))</f>
        <v/>
      </c>
      <c r="R30" s="510" t="str">
        <f ca="1">+MID(INDEX(WORLDCUP!$AF$4:$AF$147,MATCH(M30,WORLDCUP!$AH$4:$AH$147,0)),1,3)</f>
        <v>Arg</v>
      </c>
      <c r="S30" s="531">
        <v>3</v>
      </c>
      <c r="T30" s="532" t="str">
        <f ca="1">+MID(INDEX(WORLDCUP!$AL$6:$AL$97,MATCH(X30,WORLDCUP!$AI$6:$AI$97,0)),1,3)</f>
        <v>Aus</v>
      </c>
      <c r="U30" s="213">
        <f ca="1">+INDEX(WORLDCUP!$AM$6:$AM$97,MATCH(X30,WORLDCUP!$AI$6:$AI$97,0))</f>
        <v>0</v>
      </c>
      <c r="V30" s="214">
        <f ca="1">+INDEX(WORLDCUP!$AT$6:$AT$97,MATCH(X30,WORLDCUP!$AI$6:$AI$97,0))</f>
        <v>0</v>
      </c>
      <c r="W30" s="215" t="str">
        <f ca="1">+INDEX(WORLDCUP!$AR$6:$AR$97,MATCH(X30,WORLDCUP!$AI$6:$AI$97,0))&amp;"-"&amp;INDEX(WORLDCUP!$AS$6:$AS$97,MATCH(X30,WORLDCUP!$AI$6:$AI$97,0))</f>
        <v>0-0</v>
      </c>
      <c r="X30" s="15" t="s">
        <v>441</v>
      </c>
      <c r="Y30" s="15">
        <v>78</v>
      </c>
      <c r="Z30" s="489" t="s">
        <v>662</v>
      </c>
      <c r="AA30" s="490" t="str">
        <f ca="1">+MID(INDEX(WORLDCUP!$AA$101:$AA$147,MATCH(Y30,WORLDCUP!$Z$101:$Z$147,0)),1,3)</f>
        <v>2E</v>
      </c>
      <c r="AB30" s="536" t="str">
        <f>+IF(ISBLANK(INDEX(WORLDCUP!$AC$101:$AC$147,MATCH(Y30,WORLDCUP!$Z$101:$Z$147,0))),"",INDEX(WORLDCUP!$AC$101:$AC$147,MATCH(Y30,WORLDCUP!$Z$101:$Z$147,0)))</f>
        <v/>
      </c>
      <c r="AC30" s="570" t="str">
        <f>+IF(ISBLANK(INDEX(WORLDCUP!$AB$101:$AB$147,MATCH(Y30,WORLDCUP!$Z$101:$Z$147,0))),"","( "&amp;INDEX(WORLDCUP!$AB$101:$AB$147,MATCH(Y30,WORLDCUP!$Z$101:$Z$147,0))&amp;" )")</f>
        <v/>
      </c>
      <c r="AD30" s="15"/>
      <c r="AE30" s="538"/>
      <c r="AF30" s="538"/>
      <c r="AG30" s="539"/>
      <c r="AH30" s="15"/>
      <c r="AI30" s="523"/>
      <c r="AJ30" s="523"/>
      <c r="AK30" s="523"/>
      <c r="AL30" s="15"/>
      <c r="AM30" s="495"/>
      <c r="AN30" s="495"/>
      <c r="AO30" s="576"/>
      <c r="AP30" s="15"/>
      <c r="AQ30" s="524"/>
      <c r="AR30" s="524"/>
      <c r="AS30" s="524"/>
      <c r="AT30" s="15"/>
      <c r="AU30" s="497"/>
      <c r="AV30" s="497"/>
      <c r="AW30" s="497"/>
      <c r="AX30" s="15"/>
      <c r="AY30" s="592"/>
      <c r="AZ30" s="606"/>
      <c r="BA30" s="595"/>
      <c r="BB30" s="598"/>
      <c r="BC30" s="594"/>
      <c r="BD30" s="287"/>
      <c r="BE30" s="287"/>
      <c r="BG30" s="526" t="str">
        <f ca="1">Horarios!Q29</f>
        <v>Irak</v>
      </c>
      <c r="BH30" s="527">
        <f t="shared" ca="1" si="0"/>
        <v>1</v>
      </c>
      <c r="BI30" s="527">
        <f ca="1">COUNTIF(ADMIN!$M$130:$M$161,Fixture!BG30)-BJ30-BK30-BL30-BM30-BN30-BO30</f>
        <v>0</v>
      </c>
      <c r="BJ30" s="528">
        <f ca="1">COUNTIF(ADMIN!$M$182:$M$197,Fixture!BG30)-BK30-BL30-BM30-BN30-BO30</f>
        <v>0</v>
      </c>
      <c r="BK30" s="529">
        <f ca="1">COUNTIF(ADMIN!$M$210:$M$217,Fixture!BG30)-BL30-BM30-BN30-BO30</f>
        <v>0</v>
      </c>
      <c r="BL30" s="529">
        <f ca="1">COUNTIF(ADMIN!$M$226:$M$229,BG30)-BM30-BN30-BO30</f>
        <v>0</v>
      </c>
      <c r="BM30" s="527">
        <f ca="1">COUNTIF(ADMIN!$M$252,Fixture!BG30)</f>
        <v>0</v>
      </c>
      <c r="BN30" s="527">
        <f ca="1">COUNTIF(ADMIN!$M$251,Fixture!BG30)</f>
        <v>0</v>
      </c>
      <c r="BO30" s="530">
        <f ca="1">COUNTIF(ADMIN!$M$250,Fixture!BG30)</f>
        <v>0</v>
      </c>
    </row>
    <row r="31" spans="1:67" ht="15.75" thickBot="1">
      <c r="A31" s="15">
        <v>59</v>
      </c>
      <c r="B31" s="609"/>
      <c r="C31" s="508" t="str">
        <f ca="1">+MID(INDEX(WORLDCUP!$AA$4:$AA$147,MATCH(A31,WORLDCUP!$AH$4:$AH$147,0)),1,3)</f>
        <v>Tur</v>
      </c>
      <c r="D31" s="509" t="str">
        <f>IF(ISBLANK(INDEX(WORLDCUP!$AC$4:$AC$147,MATCH(A31,WORLDCUP!$AH$4:$AH$147,0))),"",INDEX(WORLDCUP!$AC$4:$AC$147,MATCH(A31,WORLDCUP!$AH$4:$AH$147,0)))</f>
        <v/>
      </c>
      <c r="E31" s="509" t="str">
        <f>IF(ISBLANK(INDEX(WORLDCUP!$AD$4:$AD$147,MATCH(A31,WORLDCUP!$AH$4:$AH$147,0))),"",INDEX(WORLDCUP!$AD$4:$AD$147,MATCH(A31,WORLDCUP!$AH$4:$AH$147,0)))</f>
        <v/>
      </c>
      <c r="F31" s="510" t="str">
        <f ca="1">+MID(INDEX(WORLDCUP!$AF$4:$AF$147,MATCH(A31,WORLDCUP!$AH$4:$AH$147,0)),1,3)</f>
        <v>Est</v>
      </c>
      <c r="G31" s="531">
        <v>4</v>
      </c>
      <c r="H31" s="540" t="str">
        <f ca="1">+MID(INDEX(WORLDCUP!$AL$6:$AL$97,MATCH(L31,WORLDCUP!$AI$6:$AI$97,0)),1,3)</f>
        <v>Tur</v>
      </c>
      <c r="I31" s="541">
        <f ca="1">+INDEX(WORLDCUP!$AM$6:$AM$97,MATCH(L31,WORLDCUP!$AI$6:$AI$97,0))</f>
        <v>0</v>
      </c>
      <c r="J31" s="542">
        <f ca="1">+INDEX(WORLDCUP!$AT$6:$AT$97,MATCH(L31,WORLDCUP!$AI$6:$AI$97,0))</f>
        <v>0</v>
      </c>
      <c r="K31" s="543" t="str">
        <f ca="1">+INDEX(WORLDCUP!$AR$6:$AR$97,MATCH(L31,WORLDCUP!$AI$6:$AI$97,0))&amp;"-"&amp;INDEX(WORLDCUP!$AS$6:$AS$97,MATCH(L31,WORLDCUP!$AI$6:$AI$97,0))</f>
        <v>0-0</v>
      </c>
      <c r="L31" s="15" t="s">
        <v>660</v>
      </c>
      <c r="M31" s="15">
        <v>69</v>
      </c>
      <c r="N31" s="610"/>
      <c r="O31" s="508" t="str">
        <f ca="1">+MID(INDEX(WORLDCUP!$AA$4:$AA$147,MATCH(M31,WORLDCUP!$AH$4:$AH$147,0)),1,3)</f>
        <v>Arg</v>
      </c>
      <c r="P31" s="509" t="str">
        <f>IF(ISBLANK(INDEX(WORLDCUP!$AC$4:$AC$147,MATCH(M31,WORLDCUP!$AH$4:$AH$147,0))),"",INDEX(WORLDCUP!$AC$4:$AC$147,MATCH(M31,WORLDCUP!$AH$4:$AH$147,0)))</f>
        <v/>
      </c>
      <c r="Q31" s="509" t="str">
        <f>IF(ISBLANK(INDEX(WORLDCUP!$AD$4:$AD$147,MATCH(M31,WORLDCUP!$AH$4:$AH$147,0))),"",INDEX(WORLDCUP!$AD$4:$AD$147,MATCH(M31,WORLDCUP!$AH$4:$AH$147,0)))</f>
        <v/>
      </c>
      <c r="R31" s="510" t="str">
        <f ca="1">+MID(INDEX(WORLDCUP!$AF$4:$AF$147,MATCH(M31,WORLDCUP!$AH$4:$AH$147,0)),1,3)</f>
        <v>Aus</v>
      </c>
      <c r="S31" s="531">
        <v>4</v>
      </c>
      <c r="T31" s="540" t="str">
        <f ca="1">+MID(INDEX(WORLDCUP!$AL$6:$AL$97,MATCH(X31,WORLDCUP!$AI$6:$AI$97,0)),1,3)</f>
        <v>Jor</v>
      </c>
      <c r="U31" s="541">
        <f ca="1">+INDEX(WORLDCUP!$AM$6:$AM$97,MATCH(X31,WORLDCUP!$AI$6:$AI$97,0))</f>
        <v>0</v>
      </c>
      <c r="V31" s="542">
        <f ca="1">+INDEX(WORLDCUP!$AT$6:$AT$97,MATCH(X31,WORLDCUP!$AI$6:$AI$97,0))</f>
        <v>0</v>
      </c>
      <c r="W31" s="543" t="str">
        <f ca="1">+INDEX(WORLDCUP!$AR$6:$AR$97,MATCH(X31,WORLDCUP!$AI$6:$AI$97,0))&amp;"-"&amp;INDEX(WORLDCUP!$AS$6:$AS$97,MATCH(X31,WORLDCUP!$AI$6:$AI$97,0))</f>
        <v>0-0</v>
      </c>
      <c r="X31" s="15" t="s">
        <v>678</v>
      </c>
      <c r="Y31" s="15">
        <v>78</v>
      </c>
      <c r="Z31" s="489" t="s">
        <v>674</v>
      </c>
      <c r="AA31" s="544" t="str">
        <f ca="1">+MID(INDEX(WORLDCUP!$AF$101:$AF$147,MATCH(Y31,WORLDCUP!$Z$101:$Z$147,0)),1,3)</f>
        <v>2I</v>
      </c>
      <c r="AB31" s="545" t="str">
        <f>+IF(ISBLANK(INDEX(WORLDCUP!$AD$101:$AD$147,MATCH(Y31,WORLDCUP!$Z$101:$Z$147,0))),"",INDEX(WORLDCUP!$AD$101:$AD$147,MATCH(Y31,WORLDCUP!$Z$101:$Z$147,0)))</f>
        <v/>
      </c>
      <c r="AC31" s="571" t="str">
        <f>+IF(ISBLANK(INDEX(WORLDCUP!$AE$101:$AE$147,MATCH(Y31,WORLDCUP!$Z$101:$Z$147,0))),"","( "&amp;INDEX(WORLDCUP!$AE$101:$AE$147,MATCH(Y31,WORLDCUP!$Z$101:$Z$147,0))&amp;" )")</f>
        <v/>
      </c>
      <c r="AD31" s="15"/>
      <c r="AE31" s="538"/>
      <c r="AF31" s="538"/>
      <c r="AG31" s="539"/>
      <c r="AH31" s="563">
        <v>99</v>
      </c>
      <c r="AI31" s="547" t="str">
        <f>+MID(INDEX(WORLDCUP!$AA$101:$AA$147,MATCH(AH31,WORLDCUP!$Z$101:$Z$147,0)),1,3)</f>
        <v>W91</v>
      </c>
      <c r="AJ31" s="548" t="str">
        <f>+IF(ISBLANK(INDEX(WORLDCUP!$AC$101:$AC$147,MATCH(AH31,WORLDCUP!$Z$101:$Z$147,0))),"",INDEX(WORLDCUP!$AC$101:$AC$147,MATCH(AH31,WORLDCUP!$Z$101:$Z$147,0)))</f>
        <v/>
      </c>
      <c r="AK31" s="549" t="str">
        <f>+IF(ISBLANK(INDEX(WORLDCUP!$AB$101:$AB$147,MATCH(AH31,WORLDCUP!$Z$101:$Z$147,0))),"","( "&amp;INDEX(WORLDCUP!$AB$101:$AB$147,MATCH(AH31,WORLDCUP!$Z$101:$Z$147,0))&amp;" )")</f>
        <v/>
      </c>
      <c r="AL31" s="15"/>
      <c r="AM31" s="495"/>
      <c r="AN31" s="495"/>
      <c r="AO31" s="576"/>
      <c r="AP31" s="611">
        <v>103</v>
      </c>
      <c r="AQ31" s="612" t="str">
        <f>+MID(INDEX(WORLDCUP!$AA$101:$AA$147,MATCH(AP31,WORLDCUP!$Z$101:$Z$147,0)),1,4)</f>
        <v>L101</v>
      </c>
      <c r="AR31" s="613" t="str">
        <f>+IF(ISBLANK(INDEX(WORLDCUP!$AC$101:$AC$147,MATCH(AP31,WORLDCUP!$Z$101:$Z$147,0))),"",INDEX(WORLDCUP!$AC$101:$AC$147,MATCH(AP31,WORLDCUP!$Z$101:$Z$147,0)))</f>
        <v/>
      </c>
      <c r="AS31" s="614" t="str">
        <f>+IF(ISBLANK(INDEX(WORLDCUP!$AB$101:$AB$147,MATCH(AP31,WORLDCUP!$Z$101:$Z$147,0))),"","( "&amp;INDEX(WORLDCUP!$AB$101:$AB$147,MATCH(AP31,WORLDCUP!$Z$101:$Z$147,0))&amp;" )")</f>
        <v/>
      </c>
      <c r="AT31" s="615"/>
      <c r="AU31" s="616"/>
      <c r="AV31" s="616"/>
      <c r="AW31" s="616"/>
      <c r="AX31" s="615"/>
      <c r="AY31" s="617"/>
      <c r="AZ31" s="618"/>
      <c r="BA31" s="618"/>
      <c r="BB31" s="618"/>
      <c r="BC31" s="619"/>
      <c r="BD31" s="287"/>
      <c r="BE31" s="287"/>
      <c r="BG31" s="526" t="str">
        <f ca="1">Horarios!Q30</f>
        <v>Irán</v>
      </c>
      <c r="BH31" s="527">
        <f t="shared" ca="1" si="0"/>
        <v>1</v>
      </c>
      <c r="BI31" s="527">
        <f ca="1">COUNTIF(ADMIN!$M$130:$M$161,Fixture!BG31)-BJ31-BK31-BL31-BM31-BN31-BO31</f>
        <v>0</v>
      </c>
      <c r="BJ31" s="528">
        <f ca="1">COUNTIF(ADMIN!$M$182:$M$197,Fixture!BG31)-BK31-BL31-BM31-BN31-BO31</f>
        <v>0</v>
      </c>
      <c r="BK31" s="529">
        <f ca="1">COUNTIF(ADMIN!$M$210:$M$217,Fixture!BG31)-BL31-BM31-BN31-BO31</f>
        <v>0</v>
      </c>
      <c r="BL31" s="529">
        <f ca="1">COUNTIF(ADMIN!$M$226:$M$229,BG31)-BM31-BN31-BO31</f>
        <v>0</v>
      </c>
      <c r="BM31" s="527">
        <f ca="1">COUNTIF(ADMIN!$M$252,Fixture!BG31)</f>
        <v>0</v>
      </c>
      <c r="BN31" s="527">
        <f ca="1">COUNTIF(ADMIN!$M$251,Fixture!BG31)</f>
        <v>0</v>
      </c>
      <c r="BO31" s="530">
        <f ca="1">COUNTIF(ADMIN!$M$250,Fixture!BG31)</f>
        <v>0</v>
      </c>
    </row>
    <row r="32" spans="1:67" ht="15.75" thickBot="1">
      <c r="A32" s="15">
        <v>60</v>
      </c>
      <c r="B32" s="620"/>
      <c r="C32" s="551" t="str">
        <f ca="1">+MID(INDEX(WORLDCUP!$AA$4:$AA$147,MATCH(A32,WORLDCUP!$AH$4:$AH$147,0)),1,3)</f>
        <v>Par</v>
      </c>
      <c r="D32" s="552" t="str">
        <f>IF(ISBLANK(INDEX(WORLDCUP!$AC$4:$AC$147,MATCH(A32,WORLDCUP!$AH$4:$AH$147,0))),"",INDEX(WORLDCUP!$AC$4:$AC$147,MATCH(A32,WORLDCUP!$AH$4:$AH$147,0)))</f>
        <v/>
      </c>
      <c r="E32" s="552" t="str">
        <f>IF(ISBLANK(INDEX(WORLDCUP!$AD$4:$AD$147,MATCH(A32,WORLDCUP!$AH$4:$AH$147,0))),"",INDEX(WORLDCUP!$AD$4:$AD$147,MATCH(A32,WORLDCUP!$AH$4:$AH$147,0)))</f>
        <v/>
      </c>
      <c r="F32" s="553" t="str">
        <f ca="1">+MID(INDEX(WORLDCUP!$AF$4:$AF$147,MATCH(A32,WORLDCUP!$AH$4:$AH$147,0)),1,3)</f>
        <v>Aus</v>
      </c>
      <c r="G32" s="554"/>
      <c r="H32" s="554"/>
      <c r="I32" s="555"/>
      <c r="J32" s="555"/>
      <c r="K32" s="556"/>
      <c r="L32" s="15"/>
      <c r="M32" s="15">
        <v>70</v>
      </c>
      <c r="N32" s="621"/>
      <c r="O32" s="551" t="str">
        <f ca="1">+MID(INDEX(WORLDCUP!$AA$4:$AA$147,MATCH(M32,WORLDCUP!$AH$4:$AH$147,0)),1,3)</f>
        <v>Jor</v>
      </c>
      <c r="P32" s="552" t="str">
        <f>IF(ISBLANK(INDEX(WORLDCUP!$AC$4:$AC$147,MATCH(M32,WORLDCUP!$AH$4:$AH$147,0))),"",INDEX(WORLDCUP!$AC$4:$AC$147,MATCH(M32,WORLDCUP!$AH$4:$AH$147,0)))</f>
        <v/>
      </c>
      <c r="Q32" s="552" t="str">
        <f>IF(ISBLANK(INDEX(WORLDCUP!$AD$4:$AD$147,MATCH(M32,WORLDCUP!$AH$4:$AH$147,0))),"",INDEX(WORLDCUP!$AD$4:$AD$147,MATCH(M32,WORLDCUP!$AH$4:$AH$147,0)))</f>
        <v/>
      </c>
      <c r="R32" s="553" t="str">
        <f ca="1">+MID(INDEX(WORLDCUP!$AF$4:$AF$147,MATCH(M32,WORLDCUP!$AH$4:$AH$147,0)),1,3)</f>
        <v>Arg</v>
      </c>
      <c r="S32" s="554"/>
      <c r="T32" s="554"/>
      <c r="U32" s="555"/>
      <c r="V32" s="555"/>
      <c r="W32" s="556"/>
      <c r="X32" s="15"/>
      <c r="Y32" s="15"/>
      <c r="Z32" s="489"/>
      <c r="AA32" s="558"/>
      <c r="AB32" s="558"/>
      <c r="AC32" s="558"/>
      <c r="AD32" s="15"/>
      <c r="AE32" s="493"/>
      <c r="AF32" s="493"/>
      <c r="AG32" s="539"/>
      <c r="AH32" s="15">
        <v>99</v>
      </c>
      <c r="AI32" s="547" t="str">
        <f>+MID(INDEX(WORLDCUP!$AF$101:$AF$147,MATCH(AH32,WORLDCUP!$Z$101:$Z$147,0)),1,3)</f>
        <v>W92</v>
      </c>
      <c r="AJ32" s="548" t="str">
        <f>+IF(ISBLANK(INDEX(WORLDCUP!$AD$101:$AD$147,MATCH(AH32,WORLDCUP!$Z$101:$Z$147,0))),"",INDEX(WORLDCUP!$AD$101:$AD$147,MATCH(AH32,WORLDCUP!$Z$101:$Z$147,0)))</f>
        <v/>
      </c>
      <c r="AK32" s="559" t="str">
        <f>+IF(ISBLANK(INDEX(WORLDCUP!$AE$101:$AE$147,MATCH(AH32,WORLDCUP!$Z$101:$Z$147,0))),"","( "&amp;INDEX(WORLDCUP!$AE$101:$AE$147,MATCH(AH32,WORLDCUP!$Z$101:$Z$147,0))&amp;" )")</f>
        <v/>
      </c>
      <c r="AL32" s="15"/>
      <c r="AM32" s="495"/>
      <c r="AN32" s="495"/>
      <c r="AO32" s="576"/>
      <c r="AP32" s="84">
        <v>103</v>
      </c>
      <c r="AQ32" s="612" t="str">
        <f>+MID(INDEX(WORLDCUP!$AF$101:$AF$147,MATCH(AP32,WORLDCUP!$Z$101:$Z$147,0)),1,4)</f>
        <v>L102</v>
      </c>
      <c r="AR32" s="613" t="str">
        <f>+IF(ISBLANK(INDEX(WORLDCUP!$AD$101:$AD$147,MATCH(AP32,WORLDCUP!$Z$101:$Z$147,0))),"",INDEX(WORLDCUP!$AD$101:$AD$147,MATCH(AP32,WORLDCUP!$Z$101:$Z$147,0)))</f>
        <v/>
      </c>
      <c r="AS32" s="524" t="str">
        <f>+IF(ISBLANK(INDEX(WORLDCUP!$AE$101:$AE$147,MATCH(AP32,WORLDCUP!$Z$101:$Z$147,0))),"","( "&amp;INDEX(WORLDCUP!$AE$101:$AE$147,MATCH(AP32,WORLDCUP!$Z$101:$Z$147,0))&amp;" )")</f>
        <v/>
      </c>
      <c r="AT32" s="15"/>
      <c r="AU32" s="497"/>
      <c r="AV32" s="497"/>
      <c r="AW32" s="497"/>
      <c r="AX32" s="15"/>
      <c r="AY32" s="287"/>
      <c r="AZ32" s="287"/>
      <c r="BA32" s="287"/>
      <c r="BB32" s="287"/>
      <c r="BC32" s="287"/>
      <c r="BD32" s="287"/>
      <c r="BE32" s="287"/>
      <c r="BG32" s="526" t="str">
        <f ca="1">Horarios!Q31</f>
        <v>Japón</v>
      </c>
      <c r="BH32" s="527">
        <f t="shared" ca="1" si="0"/>
        <v>1</v>
      </c>
      <c r="BI32" s="527">
        <f ca="1">COUNTIF(ADMIN!$M$130:$M$161,Fixture!BG32)-BJ32-BK32-BL32-BM32-BN32-BO32</f>
        <v>0</v>
      </c>
      <c r="BJ32" s="528">
        <f ca="1">COUNTIF(ADMIN!$M$182:$M$197,Fixture!BG32)-BK32-BL32-BM32-BN32-BO32</f>
        <v>0</v>
      </c>
      <c r="BK32" s="529">
        <f ca="1">COUNTIF(ADMIN!$M$210:$M$217,Fixture!BG32)-BL32-BM32-BN32-BO32</f>
        <v>0</v>
      </c>
      <c r="BL32" s="529">
        <f ca="1">COUNTIF(ADMIN!$M$226:$M$229,BG32)-BM32-BN32-BO32</f>
        <v>0</v>
      </c>
      <c r="BM32" s="527">
        <f ca="1">COUNTIF(ADMIN!$M$252,Fixture!BG32)</f>
        <v>0</v>
      </c>
      <c r="BN32" s="527">
        <f ca="1">COUNTIF(ADMIN!$M$251,Fixture!BG32)</f>
        <v>0</v>
      </c>
      <c r="BO32" s="530">
        <f ca="1">COUNTIF(ADMIN!$M$250,Fixture!BG32)</f>
        <v>0</v>
      </c>
    </row>
    <row r="33" spans="1:67" ht="15.75" thickBot="1">
      <c r="A33" s="15"/>
      <c r="B33" s="476"/>
      <c r="C33" s="560"/>
      <c r="D33" s="423"/>
      <c r="E33" s="423"/>
      <c r="F33" s="287"/>
      <c r="G33" s="287"/>
      <c r="H33" s="560"/>
      <c r="I33" s="287"/>
      <c r="J33" s="287"/>
      <c r="K33" s="287"/>
      <c r="L33" s="15"/>
      <c r="M33" s="15"/>
      <c r="N33" s="237"/>
      <c r="O33" s="560"/>
      <c r="P33" s="423"/>
      <c r="Q33" s="423"/>
      <c r="R33" s="287"/>
      <c r="S33" s="287"/>
      <c r="T33" s="560"/>
      <c r="U33" s="287"/>
      <c r="V33" s="287"/>
      <c r="W33" s="287"/>
      <c r="X33" s="15"/>
      <c r="Y33" s="15">
        <v>79</v>
      </c>
      <c r="Z33" s="489" t="s">
        <v>645</v>
      </c>
      <c r="AA33" s="490" t="str">
        <f ca="1">+MID(INDEX(WORLDCUP!$AA$101:$AA$147,MATCH(Y33,WORLDCUP!$Z$101:$Z$147,0)),1,3)</f>
        <v>1A</v>
      </c>
      <c r="AB33" s="491" t="str">
        <f>+IF(ISBLANK(INDEX(WORLDCUP!$AC$101:$AC$147,MATCH(Y33,WORLDCUP!$Z$101:$Z$147,0))),"",INDEX(WORLDCUP!$AC$101:$AC$147,MATCH(Y33,WORLDCUP!$Z$101:$Z$147,0)))</f>
        <v/>
      </c>
      <c r="AC33" s="561" t="str">
        <f>+IF(ISBLANK(INDEX(WORLDCUP!$AB$101:$AB$147,MATCH(Y33,WORLDCUP!$Z$101:$Z$147,0))),"","( "&amp;INDEX(WORLDCUP!$AB$101:$AB$147,MATCH(Y33,WORLDCUP!$Z$101:$Z$147,0))&amp;" )")</f>
        <v/>
      </c>
      <c r="AD33" s="14"/>
      <c r="AE33" s="493"/>
      <c r="AF33" s="493"/>
      <c r="AG33" s="539"/>
      <c r="AH33" s="15"/>
      <c r="AI33" s="523"/>
      <c r="AJ33" s="523"/>
      <c r="AK33" s="562"/>
      <c r="AL33" s="84"/>
      <c r="AM33" s="495"/>
      <c r="AN33" s="495"/>
      <c r="AO33" s="576"/>
      <c r="AP33" s="15"/>
      <c r="AQ33" s="524"/>
      <c r="AR33" s="524"/>
      <c r="AS33" s="524"/>
      <c r="AT33" s="15"/>
      <c r="AU33" s="497"/>
      <c r="AV33" s="497"/>
      <c r="AW33" s="497"/>
      <c r="AX33" s="15"/>
      <c r="AY33" s="287"/>
      <c r="AZ33" s="287"/>
      <c r="BA33" s="287"/>
      <c r="BB33" s="287"/>
      <c r="BC33" s="287"/>
      <c r="BD33" s="287"/>
      <c r="BE33" s="287"/>
      <c r="BG33" s="526" t="str">
        <f ca="1">Horarios!Q32</f>
        <v>Jordania</v>
      </c>
      <c r="BH33" s="527">
        <f t="shared" ca="1" si="0"/>
        <v>1</v>
      </c>
      <c r="BI33" s="527">
        <f ca="1">COUNTIF(ADMIN!$M$130:$M$161,Fixture!BG33)-BJ33-BK33-BL33-BM33-BN33-BO33</f>
        <v>0</v>
      </c>
      <c r="BJ33" s="528">
        <f ca="1">COUNTIF(ADMIN!$M$182:$M$197,Fixture!BG33)-BK33-BL33-BM33-BN33-BO33</f>
        <v>0</v>
      </c>
      <c r="BK33" s="529">
        <f ca="1">COUNTIF(ADMIN!$M$210:$M$217,Fixture!BG33)-BL33-BM33-BN33-BO33</f>
        <v>0</v>
      </c>
      <c r="BL33" s="529">
        <f ca="1">COUNTIF(ADMIN!$M$226:$M$229,BG33)-BM33-BN33-BO33</f>
        <v>0</v>
      </c>
      <c r="BM33" s="527">
        <f ca="1">COUNTIF(ADMIN!$M$252,Fixture!BG33)</f>
        <v>0</v>
      </c>
      <c r="BN33" s="527">
        <f ca="1">COUNTIF(ADMIN!$M$251,Fixture!BG33)</f>
        <v>0</v>
      </c>
      <c r="BO33" s="530">
        <f ca="1">COUNTIF(ADMIN!$M$250,Fixture!BG33)</f>
        <v>0</v>
      </c>
    </row>
    <row r="34" spans="1:67" ht="15.75" thickBot="1">
      <c r="A34" s="15"/>
      <c r="B34" s="476"/>
      <c r="C34" s="560"/>
      <c r="D34" s="423"/>
      <c r="E34" s="423"/>
      <c r="F34" s="287"/>
      <c r="G34" s="287"/>
      <c r="H34" s="560"/>
      <c r="I34" s="287"/>
      <c r="J34" s="287"/>
      <c r="K34" s="287"/>
      <c r="L34" s="15"/>
      <c r="M34" s="15"/>
      <c r="N34" s="237"/>
      <c r="O34" s="560"/>
      <c r="P34" s="423"/>
      <c r="Q34" s="423"/>
      <c r="R34" s="287"/>
      <c r="S34" s="287"/>
      <c r="T34" s="560"/>
      <c r="U34" s="287"/>
      <c r="V34" s="287"/>
      <c r="W34" s="287"/>
      <c r="X34" s="15"/>
      <c r="Y34" s="15">
        <v>79</v>
      </c>
      <c r="Z34" s="489" t="s">
        <v>724</v>
      </c>
      <c r="AA34" s="490" t="str">
        <f ca="1">+MID(INDEX(WORLDCUP!$AF$101:$AF$147,MATCH(Y34,WORLDCUP!$Z$101:$Z$147,0)),1,IF(WORLDCUP!$H$113&lt;144,6,3))</f>
        <v>3CEFHI</v>
      </c>
      <c r="AB34" s="517" t="str">
        <f>+IF(ISBLANK(INDEX(WORLDCUP!$AD$101:$AD$147,MATCH(Y34,WORLDCUP!$Z$101:$Z$147,0))),"",INDEX(WORLDCUP!$AD$101:$AD$147,MATCH(Y34,WORLDCUP!$Z$101:$Z$147,0)))</f>
        <v/>
      </c>
      <c r="AC34" s="518" t="str">
        <f>+IF(ISBLANK(INDEX(WORLDCUP!$AE$101:$AE$147,MATCH(Y34,WORLDCUP!$Z$101:$Z$147,0))),"","( "&amp;INDEX(WORLDCUP!$AE$101:$AE$147,MATCH(Y34,WORLDCUP!$Z$101:$Z$147,0))&amp;" )")</f>
        <v/>
      </c>
      <c r="AD34" s="519">
        <v>92</v>
      </c>
      <c r="AE34" s="520" t="str">
        <f>+MID(INDEX(WORLDCUP!$AA$101:$AA$147,MATCH(AD34,WORLDCUP!$Z$101:$Z$147,0)),1,3)</f>
        <v>W79</v>
      </c>
      <c r="AF34" s="521" t="str">
        <f>+IF(ISBLANK(INDEX(WORLDCUP!$AC$101:$AC$147,MATCH(AD34,WORLDCUP!$Z$101:$Z$147,0))),"",INDEX(WORLDCUP!$AC$101:$AC$147,MATCH(AD34,WORLDCUP!$Z$101:$Z$147,0)))</f>
        <v/>
      </c>
      <c r="AG34" s="564" t="str">
        <f>+IF(ISBLANK(INDEX(WORLDCUP!$AB$101:$AB$147,MATCH(AD34,WORLDCUP!$Z$101:$Z$147,0))),"","( "&amp;INDEX(WORLDCUP!$AB$101:$AB$147,MATCH(AD34,WORLDCUP!$Z$101:$Z$147,0))&amp;" )")</f>
        <v/>
      </c>
      <c r="AH34" s="15"/>
      <c r="AI34" s="523"/>
      <c r="AJ34" s="523"/>
      <c r="AK34" s="562"/>
      <c r="AL34" s="84"/>
      <c r="AM34" s="495"/>
      <c r="AN34" s="495"/>
      <c r="AO34" s="576"/>
      <c r="AP34" s="15"/>
      <c r="AQ34" s="524"/>
      <c r="AR34" s="524"/>
      <c r="AS34" s="524"/>
      <c r="AT34" s="15"/>
      <c r="AU34" s="497"/>
      <c r="AV34" s="497"/>
      <c r="AW34" s="497"/>
      <c r="AX34" s="15"/>
      <c r="AY34" s="287"/>
      <c r="AZ34" s="287"/>
      <c r="BA34" s="287"/>
      <c r="BB34" s="287"/>
      <c r="BC34" s="287"/>
      <c r="BD34" s="287"/>
      <c r="BE34" s="287"/>
      <c r="BG34" s="526" t="str">
        <f ca="1">Horarios!Q33</f>
        <v>Marruecos</v>
      </c>
      <c r="BH34" s="527">
        <f t="shared" ca="1" si="0"/>
        <v>1</v>
      </c>
      <c r="BI34" s="527">
        <f ca="1">COUNTIF(ADMIN!$M$130:$M$161,Fixture!BG34)-BJ34-BK34-BL34-BM34-BN34-BO34</f>
        <v>0</v>
      </c>
      <c r="BJ34" s="528">
        <f ca="1">COUNTIF(ADMIN!$M$182:$M$197,Fixture!BG34)-BK34-BL34-BM34-BN34-BO34</f>
        <v>0</v>
      </c>
      <c r="BK34" s="529">
        <f ca="1">COUNTIF(ADMIN!$M$210:$M$217,Fixture!BG34)-BL34-BM34-BN34-BO34</f>
        <v>0</v>
      </c>
      <c r="BL34" s="529">
        <f ca="1">COUNTIF(ADMIN!$M$226:$M$229,BG34)-BM34-BN34-BO34</f>
        <v>0</v>
      </c>
      <c r="BM34" s="527">
        <f ca="1">COUNTIF(ADMIN!$M$252,Fixture!BG34)</f>
        <v>0</v>
      </c>
      <c r="BN34" s="527">
        <f ca="1">COUNTIF(ADMIN!$M$251,Fixture!BG34)</f>
        <v>0</v>
      </c>
      <c r="BO34" s="530">
        <f ca="1">COUNTIF(ADMIN!$M$250,Fixture!BG34)</f>
        <v>0</v>
      </c>
    </row>
    <row r="35" spans="1:67">
      <c r="A35" s="15">
        <v>10</v>
      </c>
      <c r="B35" s="622" t="s">
        <v>3</v>
      </c>
      <c r="C35" s="481" t="str">
        <f ca="1">+MID(INDEX(WORLDCUP!$AA$4:$AA$147,MATCH(A35,WORLDCUP!$AH$4:$AH$147,0)),1,3)</f>
        <v>Ale</v>
      </c>
      <c r="D35" s="482" t="str">
        <f>IF(ISBLANK(INDEX(WORLDCUP!$AC$4:$AC$147,MATCH(A35,WORLDCUP!$AH$4:$AH$147,0))),"",INDEX(WORLDCUP!$AC$4:$AC$147,MATCH(A35,WORLDCUP!$AH$4:$AH$147,0)))</f>
        <v/>
      </c>
      <c r="E35" s="482" t="str">
        <f>IF(ISBLANK(INDEX(WORLDCUP!$AD$4:$AD$147,MATCH(A35,WORLDCUP!$AH$4:$AH$147,0))),"",INDEX(WORLDCUP!$AD$4:$AD$147,MATCH(A35,WORLDCUP!$AH$4:$AH$147,0)))</f>
        <v/>
      </c>
      <c r="F35" s="483" t="str">
        <f ca="1">+MID(INDEX(WORLDCUP!$AF$4:$AF$147,MATCH(A35,WORLDCUP!$AH$4:$AH$147,0)),1,3)</f>
        <v>Cur</v>
      </c>
      <c r="G35" s="484"/>
      <c r="H35" s="485" t="str">
        <f>+H27</f>
        <v>Sel</v>
      </c>
      <c r="I35" s="486" t="str">
        <f>+I27</f>
        <v>Pts</v>
      </c>
      <c r="J35" s="486" t="str">
        <f>+J27</f>
        <v>DG</v>
      </c>
      <c r="K35" s="487" t="str">
        <f>+K27</f>
        <v>GF-GC</v>
      </c>
      <c r="L35" s="15"/>
      <c r="M35" s="15">
        <v>23</v>
      </c>
      <c r="N35" s="623" t="s">
        <v>439</v>
      </c>
      <c r="O35" s="481" t="str">
        <f ca="1">+MID(INDEX(WORLDCUP!$AA$4:$AA$147,MATCH(M35,WORLDCUP!$AH$4:$AH$147,0)),1,3)</f>
        <v>Por</v>
      </c>
      <c r="P35" s="482" t="str">
        <f>IF(ISBLANK(INDEX(WORLDCUP!$AC$4:$AC$147,MATCH(M35,WORLDCUP!$AH$4:$AH$147,0))),"",INDEX(WORLDCUP!$AC$4:$AC$147,MATCH(M35,WORLDCUP!$AH$4:$AH$147,0)))</f>
        <v/>
      </c>
      <c r="Q35" s="482" t="str">
        <f>IF(ISBLANK(INDEX(WORLDCUP!$AD$4:$AD$147,MATCH(M35,WORLDCUP!$AH$4:$AH$147,0))),"",INDEX(WORLDCUP!$AD$4:$AD$147,MATCH(M35,WORLDCUP!$AH$4:$AH$147,0)))</f>
        <v/>
      </c>
      <c r="R35" s="483" t="str">
        <f ca="1">+MID(INDEX(WORLDCUP!$AF$4:$AF$147,MATCH(M35,WORLDCUP!$AH$4:$AH$147,0)),1,3)</f>
        <v xml:space="preserve">RD </v>
      </c>
      <c r="S35" s="484"/>
      <c r="T35" s="485" t="str">
        <f>+T27</f>
        <v>Sel</v>
      </c>
      <c r="U35" s="486" t="str">
        <f>+U27</f>
        <v>Pts</v>
      </c>
      <c r="V35" s="486" t="str">
        <f>+V27</f>
        <v>DG</v>
      </c>
      <c r="W35" s="487" t="str">
        <f>+W27</f>
        <v>GF-GC</v>
      </c>
      <c r="X35" s="15"/>
      <c r="Y35" s="15"/>
      <c r="Z35" s="489"/>
      <c r="AA35" s="533"/>
      <c r="AB35" s="533"/>
      <c r="AC35" s="534"/>
      <c r="AD35" s="15">
        <v>92</v>
      </c>
      <c r="AE35" s="520" t="str">
        <f>+MID(INDEX(WORLDCUP!$AF$101:$AF$147,MATCH(AD35,WORLDCUP!$Z$101:$Z$147,0)),1,3)</f>
        <v>W80</v>
      </c>
      <c r="AF35" s="521" t="str">
        <f>+IF(ISBLANK(INDEX(WORLDCUP!$AD$101:$AD$147,MATCH(AD35,WORLDCUP!$Z$101:$Z$147,0))),"",INDEX(WORLDCUP!$AD$101:$AD$147,MATCH(AD35,WORLDCUP!$Z$101:$Z$147,0)))</f>
        <v/>
      </c>
      <c r="AG35" s="538" t="str">
        <f>+IF(ISBLANK(INDEX(WORLDCUP!$AE$101:$AE$147,MATCH(AD35,WORLDCUP!$Z$101:$Z$147,0))),"","( "&amp;INDEX(WORLDCUP!$AE$101:$AE$147,MATCH(AD35,WORLDCUP!$Z$101:$Z$147,0))&amp;" )")</f>
        <v/>
      </c>
      <c r="AH35" s="15"/>
      <c r="AI35" s="523"/>
      <c r="AJ35" s="523"/>
      <c r="AK35" s="562"/>
      <c r="AL35" s="84"/>
      <c r="AM35" s="495"/>
      <c r="AN35" s="624"/>
      <c r="AO35" s="576"/>
      <c r="AP35" s="84"/>
      <c r="AQ35" s="524"/>
      <c r="AR35" s="524"/>
      <c r="AS35" s="524"/>
      <c r="AT35" s="15"/>
      <c r="AU35" s="497"/>
      <c r="AV35" s="497"/>
      <c r="AW35" s="497"/>
      <c r="AX35" s="15"/>
      <c r="AY35" s="287"/>
      <c r="AZ35" s="287"/>
      <c r="BA35" s="287"/>
      <c r="BB35" s="287"/>
      <c r="BC35" s="287"/>
      <c r="BD35" s="287"/>
      <c r="BE35" s="287"/>
      <c r="BG35" s="526" t="str">
        <f ca="1">Horarios!Q34</f>
        <v>México</v>
      </c>
      <c r="BH35" s="527">
        <f t="shared" ca="1" si="0"/>
        <v>1</v>
      </c>
      <c r="BI35" s="527">
        <f ca="1">COUNTIF(ADMIN!$M$130:$M$161,Fixture!BG35)-BJ35-BK35-BL35-BM35-BN35-BO35</f>
        <v>0</v>
      </c>
      <c r="BJ35" s="528">
        <f ca="1">COUNTIF(ADMIN!$M$182:$M$197,Fixture!BG35)-BK35-BL35-BM35-BN35-BO35</f>
        <v>0</v>
      </c>
      <c r="BK35" s="529">
        <f ca="1">COUNTIF(ADMIN!$M$210:$M$217,Fixture!BG35)-BL35-BM35-BN35-BO35</f>
        <v>0</v>
      </c>
      <c r="BL35" s="529">
        <f ca="1">COUNTIF(ADMIN!$M$226:$M$229,BG35)-BM35-BN35-BO35</f>
        <v>0</v>
      </c>
      <c r="BM35" s="527">
        <f ca="1">COUNTIF(ADMIN!$M$252,Fixture!BG35)</f>
        <v>0</v>
      </c>
      <c r="BN35" s="527">
        <f ca="1">COUNTIF(ADMIN!$M$251,Fixture!BG35)</f>
        <v>0</v>
      </c>
      <c r="BO35" s="530">
        <f ca="1">COUNTIF(ADMIN!$M$250,Fixture!BG35)</f>
        <v>0</v>
      </c>
    </row>
    <row r="36" spans="1:67" ht="15.75" thickBot="1">
      <c r="A36" s="15">
        <v>9</v>
      </c>
      <c r="B36" s="625"/>
      <c r="C36" s="508" t="str">
        <f ca="1">+MID(INDEX(WORLDCUP!$AA$4:$AA$147,MATCH(A36,WORLDCUP!$AH$4:$AH$147,0)),1,3)</f>
        <v>Cos</v>
      </c>
      <c r="D36" s="509" t="str">
        <f>IF(ISBLANK(INDEX(WORLDCUP!$AC$4:$AC$147,MATCH(A36,WORLDCUP!$AH$4:$AH$147,0))),"",INDEX(WORLDCUP!$AC$4:$AC$147,MATCH(A36,WORLDCUP!$AH$4:$AH$147,0)))</f>
        <v/>
      </c>
      <c r="E36" s="509" t="str">
        <f>IF(ISBLANK(INDEX(WORLDCUP!$AD$4:$AD$147,MATCH(A36,WORLDCUP!$AH$4:$AH$147,0))),"",INDEX(WORLDCUP!$AD$4:$AD$147,MATCH(A36,WORLDCUP!$AH$4:$AH$147,0)))</f>
        <v/>
      </c>
      <c r="F36" s="510" t="str">
        <f ca="1">+MID(INDEX(WORLDCUP!$AF$4:$AF$147,MATCH(A36,WORLDCUP!$AH$4:$AH$147,0)),1,3)</f>
        <v>Ecu</v>
      </c>
      <c r="G36" s="511">
        <v>1</v>
      </c>
      <c r="H36" s="512" t="str">
        <f ca="1">+MID(INDEX(WORLDCUP!$AL$6:$AL$97,MATCH(L36,WORLDCUP!$AI$6:$AI$97,0)),1,3)</f>
        <v>Ale</v>
      </c>
      <c r="I36" s="513">
        <f ca="1">+INDEX(WORLDCUP!$AM$6:$AM$97,MATCH(L36,WORLDCUP!$AI$6:$AI$97,0))</f>
        <v>0</v>
      </c>
      <c r="J36" s="514">
        <f ca="1">+INDEX(WORLDCUP!$AT$6:$AT$97,MATCH(L36,WORLDCUP!$AI$6:$AI$97,0))</f>
        <v>0</v>
      </c>
      <c r="K36" s="515" t="str">
        <f ca="1">+INDEX(WORLDCUP!$AR$6:$AR$97,MATCH(L36,WORLDCUP!$AI$6:$AI$97,0))&amp;"-"&amp;INDEX(WORLDCUP!$AS$6:$AS$97,MATCH(L36,WORLDCUP!$AI$6:$AI$97,0))</f>
        <v>0-0</v>
      </c>
      <c r="L36" s="15" t="s">
        <v>661</v>
      </c>
      <c r="M36" s="15">
        <v>24</v>
      </c>
      <c r="N36" s="626"/>
      <c r="O36" s="508" t="str">
        <f ca="1">+MID(INDEX(WORLDCUP!$AA$4:$AA$147,MATCH(M36,WORLDCUP!$AH$4:$AH$147,0)),1,3)</f>
        <v>Uzb</v>
      </c>
      <c r="P36" s="509" t="str">
        <f>IF(ISBLANK(INDEX(WORLDCUP!$AC$4:$AC$147,MATCH(M36,WORLDCUP!$AH$4:$AH$147,0))),"",INDEX(WORLDCUP!$AC$4:$AC$147,MATCH(M36,WORLDCUP!$AH$4:$AH$147,0)))</f>
        <v/>
      </c>
      <c r="Q36" s="509" t="str">
        <f>IF(ISBLANK(INDEX(WORLDCUP!$AD$4:$AD$147,MATCH(M36,WORLDCUP!$AH$4:$AH$147,0))),"",INDEX(WORLDCUP!$AD$4:$AD$147,MATCH(M36,WORLDCUP!$AH$4:$AH$147,0)))</f>
        <v/>
      </c>
      <c r="R36" s="510" t="str">
        <f ca="1">+MID(INDEX(WORLDCUP!$AF$4:$AF$147,MATCH(M36,WORLDCUP!$AH$4:$AH$147,0)),1,3)</f>
        <v>Col</v>
      </c>
      <c r="S36" s="511">
        <v>1</v>
      </c>
      <c r="T36" s="512" t="str">
        <f ca="1">+MID(INDEX(WORLDCUP!$AL$6:$AL$97,MATCH(X36,WORLDCUP!$AI$6:$AI$97,0)),1,3)</f>
        <v>Por</v>
      </c>
      <c r="U36" s="513">
        <f ca="1">+INDEX(WORLDCUP!$AM$6:$AM$97,MATCH(X36,WORLDCUP!$AI$6:$AI$97,0))</f>
        <v>0</v>
      </c>
      <c r="V36" s="514">
        <f ca="1">+INDEX(WORLDCUP!$AT$6:$AT$97,MATCH(X36,WORLDCUP!$AI$6:$AI$97,0))</f>
        <v>0</v>
      </c>
      <c r="W36" s="515" t="str">
        <f ca="1">+INDEX(WORLDCUP!$AR$6:$AR$97,MATCH(X36,WORLDCUP!$AI$6:$AI$97,0))&amp;"-"&amp;INDEX(WORLDCUP!$AS$6:$AS$97,MATCH(X36,WORLDCUP!$AI$6:$AI$97,0))</f>
        <v>0-0</v>
      </c>
      <c r="X36" s="15" t="s">
        <v>679</v>
      </c>
      <c r="Y36" s="15">
        <v>80</v>
      </c>
      <c r="Z36" s="489" t="s">
        <v>682</v>
      </c>
      <c r="AA36" s="490" t="str">
        <f ca="1">+MID(INDEX(WORLDCUP!$AA$101:$AA$147,MATCH(Y36,WORLDCUP!$Z$101:$Z$147,0)),1,3)</f>
        <v>1L</v>
      </c>
      <c r="AB36" s="536" t="str">
        <f>+IF(ISBLANK(INDEX(WORLDCUP!$AC$101:$AC$147,MATCH(Y36,WORLDCUP!$Z$101:$Z$147,0))),"",INDEX(WORLDCUP!$AC$101:$AC$147,MATCH(Y36,WORLDCUP!$Z$101:$Z$147,0)))</f>
        <v/>
      </c>
      <c r="AC36" s="570" t="str">
        <f>+IF(ISBLANK(INDEX(WORLDCUP!$AB$101:$AB$147,MATCH(Y36,WORLDCUP!$Z$101:$Z$147,0))),"","( "&amp;INDEX(WORLDCUP!$AB$101:$AB$147,MATCH(Y36,WORLDCUP!$Z$101:$Z$147,0))&amp;" )")</f>
        <v/>
      </c>
      <c r="AD36" s="15"/>
      <c r="AE36" s="493"/>
      <c r="AF36" s="493"/>
      <c r="AG36" s="493"/>
      <c r="AH36" s="15"/>
      <c r="AI36" s="523"/>
      <c r="AJ36" s="523"/>
      <c r="AK36" s="562"/>
      <c r="AL36" s="84"/>
      <c r="AM36" s="495"/>
      <c r="AN36" s="495"/>
      <c r="AO36" s="576"/>
      <c r="AP36" s="84"/>
      <c r="AQ36" s="524"/>
      <c r="AR36" s="524"/>
      <c r="AS36" s="524"/>
      <c r="AT36" s="15"/>
      <c r="AU36" s="497"/>
      <c r="AV36" s="497"/>
      <c r="AW36" s="497"/>
      <c r="AX36" s="15"/>
      <c r="AY36" s="287"/>
      <c r="AZ36" s="287"/>
      <c r="BA36" s="287"/>
      <c r="BB36" s="287"/>
      <c r="BC36" s="287"/>
      <c r="BD36" s="287"/>
      <c r="BE36" s="287"/>
      <c r="BG36" s="526" t="str">
        <f ca="1">Horarios!Q35</f>
        <v>Noruega</v>
      </c>
      <c r="BH36" s="527">
        <f t="shared" ca="1" si="0"/>
        <v>1</v>
      </c>
      <c r="BI36" s="527">
        <f ca="1">COUNTIF(ADMIN!$M$130:$M$161,Fixture!BG36)-BJ36-BK36-BL36-BM36-BN36-BO36</f>
        <v>0</v>
      </c>
      <c r="BJ36" s="528">
        <f ca="1">COUNTIF(ADMIN!$M$182:$M$197,Fixture!BG36)-BK36-BL36-BM36-BN36-BO36</f>
        <v>0</v>
      </c>
      <c r="BK36" s="529">
        <f ca="1">COUNTIF(ADMIN!$M$210:$M$217,Fixture!BG36)-BL36-BM36-BN36-BO36</f>
        <v>0</v>
      </c>
      <c r="BL36" s="529">
        <f ca="1">COUNTIF(ADMIN!$M$226:$M$229,BG36)-BM36-BN36-BO36</f>
        <v>0</v>
      </c>
      <c r="BM36" s="527">
        <f ca="1">COUNTIF(ADMIN!$M$252,Fixture!BG36)</f>
        <v>0</v>
      </c>
      <c r="BN36" s="527">
        <f ca="1">COUNTIF(ADMIN!$M$251,Fixture!BG36)</f>
        <v>0</v>
      </c>
      <c r="BO36" s="530">
        <f ca="1">COUNTIF(ADMIN!$M$250,Fixture!BG36)</f>
        <v>0</v>
      </c>
    </row>
    <row r="37" spans="1:67" ht="15.75" thickBot="1">
      <c r="A37" s="15">
        <v>33</v>
      </c>
      <c r="B37" s="625"/>
      <c r="C37" s="508" t="str">
        <f ca="1">+MID(INDEX(WORLDCUP!$AA$4:$AA$147,MATCH(A37,WORLDCUP!$AH$4:$AH$147,0)),1,3)</f>
        <v>Ale</v>
      </c>
      <c r="D37" s="509" t="str">
        <f>IF(ISBLANK(INDEX(WORLDCUP!$AC$4:$AC$147,MATCH(A37,WORLDCUP!$AH$4:$AH$147,0))),"",INDEX(WORLDCUP!$AC$4:$AC$147,MATCH(A37,WORLDCUP!$AH$4:$AH$147,0)))</f>
        <v/>
      </c>
      <c r="E37" s="509" t="str">
        <f>IF(ISBLANK(INDEX(WORLDCUP!$AD$4:$AD$147,MATCH(A37,WORLDCUP!$AH$4:$AH$147,0))),"",INDEX(WORLDCUP!$AD$4:$AD$147,MATCH(A37,WORLDCUP!$AH$4:$AH$147,0)))</f>
        <v/>
      </c>
      <c r="F37" s="510" t="str">
        <f ca="1">+MID(INDEX(WORLDCUP!$AF$4:$AF$147,MATCH(A37,WORLDCUP!$AH$4:$AH$147,0)),1,3)</f>
        <v>Cos</v>
      </c>
      <c r="G37" s="531">
        <v>2</v>
      </c>
      <c r="H37" s="532" t="str">
        <f ca="1">+MID(INDEX(WORLDCUP!$AL$6:$AL$97,MATCH(L37,WORLDCUP!$AI$6:$AI$97,0)),1,3)</f>
        <v>Cur</v>
      </c>
      <c r="I37" s="213">
        <f ca="1">+INDEX(WORLDCUP!$AM$6:$AM$97,MATCH(L37,WORLDCUP!$AI$6:$AI$97,0))</f>
        <v>0</v>
      </c>
      <c r="J37" s="214">
        <f ca="1">+INDEX(WORLDCUP!$AT$6:$AT$97,MATCH(L37,WORLDCUP!$AI$6:$AI$97,0))</f>
        <v>0</v>
      </c>
      <c r="K37" s="215" t="str">
        <f ca="1">+INDEX(WORLDCUP!$AR$6:$AR$97,MATCH(L37,WORLDCUP!$AI$6:$AI$97,0))&amp;"-"&amp;INDEX(WORLDCUP!$AS$6:$AS$97,MATCH(L37,WORLDCUP!$AI$6:$AI$97,0))</f>
        <v>0-0</v>
      </c>
      <c r="L37" s="15" t="s">
        <v>662</v>
      </c>
      <c r="M37" s="15">
        <v>47</v>
      </c>
      <c r="N37" s="626"/>
      <c r="O37" s="508" t="str">
        <f ca="1">+MID(INDEX(WORLDCUP!$AA$4:$AA$147,MATCH(M37,WORLDCUP!$AH$4:$AH$147,0)),1,3)</f>
        <v>Por</v>
      </c>
      <c r="P37" s="509" t="str">
        <f>IF(ISBLANK(INDEX(WORLDCUP!$AC$4:$AC$147,MATCH(M37,WORLDCUP!$AH$4:$AH$147,0))),"",INDEX(WORLDCUP!$AC$4:$AC$147,MATCH(M37,WORLDCUP!$AH$4:$AH$147,0)))</f>
        <v/>
      </c>
      <c r="Q37" s="509" t="str">
        <f>IF(ISBLANK(INDEX(WORLDCUP!$AD$4:$AD$147,MATCH(M37,WORLDCUP!$AH$4:$AH$147,0))),"",INDEX(WORLDCUP!$AD$4:$AD$147,MATCH(M37,WORLDCUP!$AH$4:$AH$147,0)))</f>
        <v/>
      </c>
      <c r="R37" s="510" t="str">
        <f ca="1">+MID(INDEX(WORLDCUP!$AF$4:$AF$147,MATCH(M37,WORLDCUP!$AH$4:$AH$147,0)),1,3)</f>
        <v>Uzb</v>
      </c>
      <c r="S37" s="531">
        <v>2</v>
      </c>
      <c r="T37" s="532" t="str">
        <f ca="1">+MID(INDEX(WORLDCUP!$AL$6:$AL$97,MATCH(X37,WORLDCUP!$AI$6:$AI$97,0)),1,3)</f>
        <v xml:space="preserve">RD </v>
      </c>
      <c r="U37" s="213">
        <f ca="1">+INDEX(WORLDCUP!$AM$6:$AM$97,MATCH(X37,WORLDCUP!$AI$6:$AI$97,0))</f>
        <v>0</v>
      </c>
      <c r="V37" s="214">
        <f ca="1">+INDEX(WORLDCUP!$AT$6:$AT$97,MATCH(X37,WORLDCUP!$AI$6:$AI$97,0))</f>
        <v>0</v>
      </c>
      <c r="W37" s="215" t="str">
        <f ca="1">+INDEX(WORLDCUP!$AR$6:$AR$97,MATCH(X37,WORLDCUP!$AI$6:$AI$97,0))&amp;"-"&amp;INDEX(WORLDCUP!$AS$6:$AS$97,MATCH(X37,WORLDCUP!$AI$6:$AI$97,0))</f>
        <v>0-0</v>
      </c>
      <c r="X37" s="15" t="s">
        <v>680</v>
      </c>
      <c r="Y37" s="15">
        <v>80</v>
      </c>
      <c r="Z37" s="489" t="s">
        <v>725</v>
      </c>
      <c r="AA37" s="544" t="str">
        <f ca="1">+MID(INDEX(WORLDCUP!$AF$101:$AF$147,MATCH(Y37,WORLDCUP!$Z$101:$Z$147,0)),1,IF(WORLDCUP!$H$113&lt;144,6,3))</f>
        <v>3EHIJK</v>
      </c>
      <c r="AB37" s="545" t="str">
        <f>+IF(ISBLANK(INDEX(WORLDCUP!$AD$101:$AD$147,MATCH(Y37,WORLDCUP!$Z$101:$Z$147,0))),"",INDEX(WORLDCUP!$AD$101:$AD$147,MATCH(Y37,WORLDCUP!$Z$101:$Z$147,0)))</f>
        <v/>
      </c>
      <c r="AC37" s="571" t="str">
        <f>+IF(ISBLANK(INDEX(WORLDCUP!$AE$101:$AE$147,MATCH(Y37,WORLDCUP!$Z$101:$Z$147,0))),"","( "&amp;INDEX(WORLDCUP!$AE$101:$AE$147,MATCH(Y37,WORLDCUP!$Z$101:$Z$147,0))&amp;" )")</f>
        <v/>
      </c>
      <c r="AD37" s="15"/>
      <c r="AE37" s="493"/>
      <c r="AF37" s="493"/>
      <c r="AG37" s="493"/>
      <c r="AH37" s="15"/>
      <c r="AI37" s="523"/>
      <c r="AJ37" s="523"/>
      <c r="AK37" s="562"/>
      <c r="AL37" s="563">
        <v>102</v>
      </c>
      <c r="AM37" s="572" t="str">
        <f>+MID(INDEX(WORLDCUP!$AA$101:$AA$147,MATCH(AL37,WORLDCUP!$Z$101:$Z$147,0)),1,3)</f>
        <v>W99</v>
      </c>
      <c r="AN37" s="573" t="str">
        <f>+IF(ISBLANK(INDEX(WORLDCUP!$AC$101:$AC$147,MATCH(AL37,WORLDCUP!$Z$101:$Z$147,0))),"",INDEX(WORLDCUP!$AC$101:$AC$147,MATCH(AL37,WORLDCUP!$Z$101:$Z$147,0)))</f>
        <v/>
      </c>
      <c r="AO37" s="627" t="str">
        <f>+IF(ISBLANK(INDEX(WORLDCUP!$AB$101:$AB$147,MATCH(AL37,WORLDCUP!$Z$101:$Z$147,0))),"","( "&amp;INDEX(WORLDCUP!$AB$101:$AB$147,MATCH(AL37,WORLDCUP!$Z$101:$Z$147,0))&amp;" )")</f>
        <v/>
      </c>
      <c r="AP37" s="15"/>
      <c r="AQ37" s="524"/>
      <c r="AR37" s="524"/>
      <c r="AS37" s="524"/>
      <c r="AT37" s="15"/>
      <c r="AU37" s="497"/>
      <c r="AV37" s="497"/>
      <c r="AW37" s="497"/>
      <c r="AX37" s="15"/>
      <c r="AY37" s="287"/>
      <c r="AZ37" s="287"/>
      <c r="BA37" s="287"/>
      <c r="BB37" s="287"/>
      <c r="BC37" s="287"/>
      <c r="BD37" s="287"/>
      <c r="BE37" s="287"/>
      <c r="BG37" s="526" t="str">
        <f ca="1">Horarios!Q36</f>
        <v>Nueva Zelanda</v>
      </c>
      <c r="BH37" s="527">
        <f t="shared" ca="1" si="0"/>
        <v>1</v>
      </c>
      <c r="BI37" s="527">
        <f ca="1">COUNTIF(ADMIN!$M$130:$M$161,Fixture!BG37)-BJ37-BK37-BL37-BM37-BN37-BO37</f>
        <v>0</v>
      </c>
      <c r="BJ37" s="528">
        <f ca="1">COUNTIF(ADMIN!$M$182:$M$197,Fixture!BG37)-BK37-BL37-BM37-BN37-BO37</f>
        <v>0</v>
      </c>
      <c r="BK37" s="529">
        <f ca="1">COUNTIF(ADMIN!$M$210:$M$217,Fixture!BG37)-BL37-BM37-BN37-BO37</f>
        <v>0</v>
      </c>
      <c r="BL37" s="529">
        <f ca="1">COUNTIF(ADMIN!$M$226:$M$229,BG37)-BM37-BN37-BO37</f>
        <v>0</v>
      </c>
      <c r="BM37" s="527">
        <f ca="1">COUNTIF(ADMIN!$M$252,Fixture!BG37)</f>
        <v>0</v>
      </c>
      <c r="BN37" s="527">
        <f ca="1">COUNTIF(ADMIN!$M$251,Fixture!BG37)</f>
        <v>0</v>
      </c>
      <c r="BO37" s="530">
        <f ca="1">COUNTIF(ADMIN!$M$250,Fixture!BG37)</f>
        <v>0</v>
      </c>
    </row>
    <row r="38" spans="1:67">
      <c r="A38" s="15">
        <v>34</v>
      </c>
      <c r="B38" s="625"/>
      <c r="C38" s="508" t="str">
        <f ca="1">+MID(INDEX(WORLDCUP!$AA$4:$AA$147,MATCH(A38,WORLDCUP!$AH$4:$AH$147,0)),1,3)</f>
        <v>Ecu</v>
      </c>
      <c r="D38" s="509" t="str">
        <f>IF(ISBLANK(INDEX(WORLDCUP!$AC$4:$AC$147,MATCH(A38,WORLDCUP!$AH$4:$AH$147,0))),"",INDEX(WORLDCUP!$AC$4:$AC$147,MATCH(A38,WORLDCUP!$AH$4:$AH$147,0)))</f>
        <v/>
      </c>
      <c r="E38" s="509" t="str">
        <f>IF(ISBLANK(INDEX(WORLDCUP!$AD$4:$AD$147,MATCH(A38,WORLDCUP!$AH$4:$AH$147,0))),"",INDEX(WORLDCUP!$AD$4:$AD$147,MATCH(A38,WORLDCUP!$AH$4:$AH$147,0)))</f>
        <v/>
      </c>
      <c r="F38" s="510" t="str">
        <f ca="1">+MID(INDEX(WORLDCUP!$AF$4:$AF$147,MATCH(A38,WORLDCUP!$AH$4:$AH$147,0)),1,3)</f>
        <v>Cur</v>
      </c>
      <c r="G38" s="531">
        <v>3</v>
      </c>
      <c r="H38" s="532" t="str">
        <f ca="1">+MID(INDEX(WORLDCUP!$AL$6:$AL$97,MATCH(L38,WORLDCUP!$AI$6:$AI$97,0)),1,3)</f>
        <v>Cos</v>
      </c>
      <c r="I38" s="213">
        <f ca="1">+INDEX(WORLDCUP!$AM$6:$AM$97,MATCH(L38,WORLDCUP!$AI$6:$AI$97,0))</f>
        <v>0</v>
      </c>
      <c r="J38" s="214">
        <f ca="1">+INDEX(WORLDCUP!$AT$6:$AT$97,MATCH(L38,WORLDCUP!$AI$6:$AI$97,0))</f>
        <v>0</v>
      </c>
      <c r="K38" s="215" t="str">
        <f ca="1">+INDEX(WORLDCUP!$AR$6:$AR$97,MATCH(L38,WORLDCUP!$AI$6:$AI$97,0))&amp;"-"&amp;INDEX(WORLDCUP!$AS$6:$AS$97,MATCH(L38,WORLDCUP!$AI$6:$AI$97,0))</f>
        <v>0-0</v>
      </c>
      <c r="L38" s="15" t="s">
        <v>93</v>
      </c>
      <c r="M38" s="15">
        <v>48</v>
      </c>
      <c r="N38" s="626"/>
      <c r="O38" s="508" t="str">
        <f ca="1">+MID(INDEX(WORLDCUP!$AA$4:$AA$147,MATCH(M38,WORLDCUP!$AH$4:$AH$147,0)),1,3)</f>
        <v>Col</v>
      </c>
      <c r="P38" s="509" t="str">
        <f>IF(ISBLANK(INDEX(WORLDCUP!$AC$4:$AC$147,MATCH(M38,WORLDCUP!$AH$4:$AH$147,0))),"",INDEX(WORLDCUP!$AC$4:$AC$147,MATCH(M38,WORLDCUP!$AH$4:$AH$147,0)))</f>
        <v/>
      </c>
      <c r="Q38" s="509" t="str">
        <f>IF(ISBLANK(INDEX(WORLDCUP!$AD$4:$AD$147,MATCH(M38,WORLDCUP!$AH$4:$AH$147,0))),"",INDEX(WORLDCUP!$AD$4:$AD$147,MATCH(M38,WORLDCUP!$AH$4:$AH$147,0)))</f>
        <v/>
      </c>
      <c r="R38" s="510" t="str">
        <f ca="1">+MID(INDEX(WORLDCUP!$AF$4:$AF$147,MATCH(M38,WORLDCUP!$AH$4:$AH$147,0)),1,3)</f>
        <v xml:space="preserve">RD </v>
      </c>
      <c r="S38" s="531">
        <v>3</v>
      </c>
      <c r="T38" s="532" t="str">
        <f ca="1">+MID(INDEX(WORLDCUP!$AL$6:$AL$97,MATCH(X38,WORLDCUP!$AI$6:$AI$97,0)),1,3)</f>
        <v>Uzb</v>
      </c>
      <c r="U38" s="213">
        <f ca="1">+INDEX(WORLDCUP!$AM$6:$AM$97,MATCH(X38,WORLDCUP!$AI$6:$AI$97,0))</f>
        <v>0</v>
      </c>
      <c r="V38" s="214">
        <f ca="1">+INDEX(WORLDCUP!$AT$6:$AT$97,MATCH(X38,WORLDCUP!$AI$6:$AI$97,0))</f>
        <v>0</v>
      </c>
      <c r="W38" s="215" t="str">
        <f ca="1">+INDEX(WORLDCUP!$AR$6:$AR$97,MATCH(X38,WORLDCUP!$AI$6:$AI$97,0))&amp;"-"&amp;INDEX(WORLDCUP!$AS$6:$AS$97,MATCH(X38,WORLDCUP!$AI$6:$AI$97,0))</f>
        <v>0-0</v>
      </c>
      <c r="X38" s="15" t="s">
        <v>442</v>
      </c>
      <c r="Y38" s="15"/>
      <c r="Z38" s="489"/>
      <c r="AA38" s="558"/>
      <c r="AB38" s="558"/>
      <c r="AC38" s="558"/>
      <c r="AD38" s="15"/>
      <c r="AE38" s="493"/>
      <c r="AF38" s="493"/>
      <c r="AG38" s="493"/>
      <c r="AH38" s="15"/>
      <c r="AI38" s="523"/>
      <c r="AJ38" s="523"/>
      <c r="AK38" s="562"/>
      <c r="AL38" s="15">
        <v>102</v>
      </c>
      <c r="AM38" s="572" t="str" cm="1">
        <f t="array" ref="AM38">+MID(INDEX(WORLDCUP!$AF$101:$AF$147,MATCH(AL38,WORLDCUP!$Z$101:$Z$147,0)),1,IF(OR(ISBLANK(AC86:AD86)),4,3))</f>
        <v>W100</v>
      </c>
      <c r="AN38" s="573" t="str">
        <f>+IF(ISBLANK(INDEX(WORLDCUP!$AD$101:$AD$147,MATCH(AL38,WORLDCUP!$Z$101:$Z$147,0))),"",INDEX(WORLDCUP!$AD$101:$AD$147,MATCH(AL38,WORLDCUP!$Z$101:$Z$147,0)))</f>
        <v/>
      </c>
      <c r="AO38" s="495" t="str">
        <f>+IF(ISBLANK(INDEX(WORLDCUP!$AE$101:$AE$147,MATCH(AL38,WORLDCUP!$Z$101:$Z$147,0))),"","( "&amp;INDEX(WORLDCUP!$AE$101:$AE$147,MATCH(AL38,WORLDCUP!$Z$101:$Z$147,0))&amp;" )")</f>
        <v/>
      </c>
      <c r="AP38" s="15"/>
      <c r="AQ38" s="524"/>
      <c r="AR38" s="524"/>
      <c r="AS38" s="524"/>
      <c r="AT38" s="15"/>
      <c r="AU38" s="497"/>
      <c r="AV38" s="497"/>
      <c r="AW38" s="497"/>
      <c r="AX38" s="15"/>
      <c r="AY38" s="287"/>
      <c r="AZ38" s="287"/>
      <c r="BA38" s="287"/>
      <c r="BB38" s="287"/>
      <c r="BC38" s="287"/>
      <c r="BD38" s="287"/>
      <c r="BE38" s="287"/>
      <c r="BG38" s="526" t="str">
        <f ca="1">Horarios!Q37</f>
        <v>Países Bajos</v>
      </c>
      <c r="BH38" s="527">
        <f t="shared" ca="1" si="0"/>
        <v>1</v>
      </c>
      <c r="BI38" s="527">
        <f ca="1">COUNTIF(ADMIN!$M$130:$M$161,Fixture!BG38)-BJ38-BK38-BL38-BM38-BN38-BO38</f>
        <v>0</v>
      </c>
      <c r="BJ38" s="528">
        <f ca="1">COUNTIF(ADMIN!$M$182:$M$197,Fixture!BG38)-BK38-BL38-BM38-BN38-BO38</f>
        <v>0</v>
      </c>
      <c r="BK38" s="529">
        <f ca="1">COUNTIF(ADMIN!$M$210:$M$217,Fixture!BG38)-BL38-BM38-BN38-BO38</f>
        <v>0</v>
      </c>
      <c r="BL38" s="529">
        <f ca="1">COUNTIF(ADMIN!$M$226:$M$229,BG38)-BM38-BN38-BO38</f>
        <v>0</v>
      </c>
      <c r="BM38" s="527">
        <f ca="1">COUNTIF(ADMIN!$M$252,Fixture!BG38)</f>
        <v>0</v>
      </c>
      <c r="BN38" s="527">
        <f ca="1">COUNTIF(ADMIN!$M$251,Fixture!BG38)</f>
        <v>0</v>
      </c>
      <c r="BO38" s="530">
        <f ca="1">COUNTIF(ADMIN!$M$250,Fixture!BG38)</f>
        <v>0</v>
      </c>
    </row>
    <row r="39" spans="1:67" ht="15.75" thickBot="1">
      <c r="A39" s="15">
        <v>55</v>
      </c>
      <c r="B39" s="625"/>
      <c r="C39" s="508" t="str">
        <f ca="1">+MID(INDEX(WORLDCUP!$AA$4:$AA$147,MATCH(A39,WORLDCUP!$AH$4:$AH$147,0)),1,3)</f>
        <v>Cur</v>
      </c>
      <c r="D39" s="509" t="str">
        <f>IF(ISBLANK(INDEX(WORLDCUP!$AC$4:$AC$147,MATCH(A39,WORLDCUP!$AH$4:$AH$147,0))),"",INDEX(WORLDCUP!$AC$4:$AC$147,MATCH(A39,WORLDCUP!$AH$4:$AH$147,0)))</f>
        <v/>
      </c>
      <c r="E39" s="509" t="str">
        <f>IF(ISBLANK(INDEX(WORLDCUP!$AD$4:$AD$147,MATCH(A39,WORLDCUP!$AH$4:$AH$147,0))),"",INDEX(WORLDCUP!$AD$4:$AD$147,MATCH(A39,WORLDCUP!$AH$4:$AH$147,0)))</f>
        <v/>
      </c>
      <c r="F39" s="510" t="str">
        <f ca="1">+MID(INDEX(WORLDCUP!$AF$4:$AF$147,MATCH(A39,WORLDCUP!$AH$4:$AH$147,0)),1,3)</f>
        <v>Cos</v>
      </c>
      <c r="G39" s="531">
        <v>4</v>
      </c>
      <c r="H39" s="540" t="str">
        <f ca="1">+MID(INDEX(WORLDCUP!$AL$6:$AL$97,MATCH(L39,WORLDCUP!$AI$6:$AI$97,0)),1,3)</f>
        <v>Ecu</v>
      </c>
      <c r="I39" s="541">
        <f ca="1">+INDEX(WORLDCUP!$AM$6:$AM$97,MATCH(L39,WORLDCUP!$AI$6:$AI$97,0))</f>
        <v>0</v>
      </c>
      <c r="J39" s="542">
        <f ca="1">+INDEX(WORLDCUP!$AT$6:$AT$97,MATCH(L39,WORLDCUP!$AI$6:$AI$97,0))</f>
        <v>0</v>
      </c>
      <c r="K39" s="543" t="str">
        <f ca="1">+INDEX(WORLDCUP!$AR$6:$AR$97,MATCH(L39,WORLDCUP!$AI$6:$AI$97,0))&amp;"-"&amp;INDEX(WORLDCUP!$AS$6:$AS$97,MATCH(L39,WORLDCUP!$AI$6:$AI$97,0))</f>
        <v>0-0</v>
      </c>
      <c r="L39" s="15" t="s">
        <v>663</v>
      </c>
      <c r="M39" s="15">
        <v>71</v>
      </c>
      <c r="N39" s="626"/>
      <c r="O39" s="508" t="str">
        <f ca="1">+MID(INDEX(WORLDCUP!$AA$4:$AA$147,MATCH(M39,WORLDCUP!$AH$4:$AH$147,0)),1,3)</f>
        <v>Col</v>
      </c>
      <c r="P39" s="509" t="str">
        <f>IF(ISBLANK(INDEX(WORLDCUP!$AC$4:$AC$147,MATCH(M39,WORLDCUP!$AH$4:$AH$147,0))),"",INDEX(WORLDCUP!$AC$4:$AC$147,MATCH(M39,WORLDCUP!$AH$4:$AH$147,0)))</f>
        <v/>
      </c>
      <c r="Q39" s="509" t="str">
        <f>IF(ISBLANK(INDEX(WORLDCUP!$AD$4:$AD$147,MATCH(M39,WORLDCUP!$AH$4:$AH$147,0))),"",INDEX(WORLDCUP!$AD$4:$AD$147,MATCH(M39,WORLDCUP!$AH$4:$AH$147,0)))</f>
        <v/>
      </c>
      <c r="R39" s="510" t="str">
        <f ca="1">+MID(INDEX(WORLDCUP!$AF$4:$AF$147,MATCH(M39,WORLDCUP!$AH$4:$AH$147,0)),1,3)</f>
        <v>Por</v>
      </c>
      <c r="S39" s="531">
        <v>4</v>
      </c>
      <c r="T39" s="540" t="str">
        <f ca="1">+MID(INDEX(WORLDCUP!$AL$6:$AL$97,MATCH(X39,WORLDCUP!$AI$6:$AI$97,0)),1,3)</f>
        <v>Col</v>
      </c>
      <c r="U39" s="541">
        <f ca="1">+INDEX(WORLDCUP!$AM$6:$AM$97,MATCH(X39,WORLDCUP!$AI$6:$AI$97,0))</f>
        <v>0</v>
      </c>
      <c r="V39" s="542">
        <f ca="1">+INDEX(WORLDCUP!$AT$6:$AT$97,MATCH(X39,WORLDCUP!$AI$6:$AI$97,0))</f>
        <v>0</v>
      </c>
      <c r="W39" s="543" t="str">
        <f ca="1">+INDEX(WORLDCUP!$AR$6:$AR$97,MATCH(X39,WORLDCUP!$AI$6:$AI$97,0))&amp;"-"&amp;INDEX(WORLDCUP!$AS$6:$AS$97,MATCH(X39,WORLDCUP!$AI$6:$AI$97,0))</f>
        <v>0-0</v>
      </c>
      <c r="X39" s="15" t="s">
        <v>681</v>
      </c>
      <c r="Y39" s="15">
        <v>86</v>
      </c>
      <c r="Z39" s="489" t="s">
        <v>676</v>
      </c>
      <c r="AA39" s="490" t="str">
        <f ca="1">+MID(INDEX(WORLDCUP!$AA$101:$AA$147,MATCH(Y39,WORLDCUP!$Z$101:$Z$147,0)),1,3)</f>
        <v>1J</v>
      </c>
      <c r="AB39" s="491" t="str">
        <f>+IF(ISBLANK(INDEX(WORLDCUP!$AC$101:$AC$147,MATCH(Y39,WORLDCUP!$Z$101:$Z$147,0))),"",INDEX(WORLDCUP!$AC$101:$AC$147,MATCH(Y39,WORLDCUP!$Z$101:$Z$147,0)))</f>
        <v/>
      </c>
      <c r="AC39" s="561" t="str">
        <f>+IF(ISBLANK(INDEX(WORLDCUP!$AB$101:$AB$147,MATCH(Y39,WORLDCUP!$Z$101:$Z$147,0))),"","( "&amp;INDEX(WORLDCUP!$AB$101:$AB$147,MATCH(Y39,WORLDCUP!$Z$101:$Z$147,0))&amp;" )")</f>
        <v/>
      </c>
      <c r="AD39" s="14"/>
      <c r="AE39" s="493"/>
      <c r="AF39" s="493"/>
      <c r="AG39" s="493"/>
      <c r="AH39" s="15"/>
      <c r="AI39" s="523"/>
      <c r="AJ39" s="523"/>
      <c r="AK39" s="562"/>
      <c r="AL39" s="84"/>
      <c r="AM39" s="495"/>
      <c r="AN39" s="495"/>
      <c r="AO39" s="495"/>
      <c r="AP39" s="15"/>
      <c r="AQ39" s="524"/>
      <c r="AR39" s="524"/>
      <c r="AS39" s="524"/>
      <c r="AT39" s="15"/>
      <c r="AU39" s="497"/>
      <c r="AV39" s="497"/>
      <c r="AW39" s="497"/>
      <c r="AX39" s="15"/>
      <c r="AY39" s="287"/>
      <c r="AZ39" s="287"/>
      <c r="BA39" s="287"/>
      <c r="BB39" s="287"/>
      <c r="BC39" s="287"/>
      <c r="BD39" s="287"/>
      <c r="BE39" s="287"/>
      <c r="BG39" s="526" t="str">
        <f ca="1">Horarios!Q38</f>
        <v>Panamá</v>
      </c>
      <c r="BH39" s="527">
        <f t="shared" ca="1" si="0"/>
        <v>1</v>
      </c>
      <c r="BI39" s="527">
        <f ca="1">COUNTIF(ADMIN!$M$130:$M$161,Fixture!BG39)-BJ39-BK39-BL39-BM39-BN39-BO39</f>
        <v>0</v>
      </c>
      <c r="BJ39" s="528">
        <f ca="1">COUNTIF(ADMIN!$M$182:$M$197,Fixture!BG39)-BK39-BL39-BM39-BN39-BO39</f>
        <v>0</v>
      </c>
      <c r="BK39" s="529">
        <f ca="1">COUNTIF(ADMIN!$M$210:$M$217,Fixture!BG39)-BL39-BM39-BN39-BO39</f>
        <v>0</v>
      </c>
      <c r="BL39" s="529">
        <f ca="1">COUNTIF(ADMIN!$M$226:$M$229,BG39)-BM39-BN39-BO39</f>
        <v>0</v>
      </c>
      <c r="BM39" s="527">
        <f ca="1">COUNTIF(ADMIN!$M$252,Fixture!BG39)</f>
        <v>0</v>
      </c>
      <c r="BN39" s="527">
        <f ca="1">COUNTIF(ADMIN!$M$251,Fixture!BG39)</f>
        <v>0</v>
      </c>
      <c r="BO39" s="530">
        <f ca="1">COUNTIF(ADMIN!$M$250,Fixture!BG39)</f>
        <v>0</v>
      </c>
    </row>
    <row r="40" spans="1:67" ht="15.75" thickBot="1">
      <c r="A40" s="15">
        <v>56</v>
      </c>
      <c r="B40" s="628"/>
      <c r="C40" s="551" t="str">
        <f ca="1">+MID(INDEX(WORLDCUP!$AA$4:$AA$147,MATCH(A40,WORLDCUP!$AH$4:$AH$147,0)),1,3)</f>
        <v>Ecu</v>
      </c>
      <c r="D40" s="552" t="str">
        <f>IF(ISBLANK(INDEX(WORLDCUP!$AC$4:$AC$147,MATCH(A40,WORLDCUP!$AH$4:$AH$147,0))),"",INDEX(WORLDCUP!$AC$4:$AC$147,MATCH(A40,WORLDCUP!$AH$4:$AH$147,0)))</f>
        <v/>
      </c>
      <c r="E40" s="552" t="str">
        <f>IF(ISBLANK(INDEX(WORLDCUP!$AD$4:$AD$147,MATCH(A40,WORLDCUP!$AH$4:$AH$147,0))),"",INDEX(WORLDCUP!$AD$4:$AD$147,MATCH(A40,WORLDCUP!$AH$4:$AH$147,0)))</f>
        <v/>
      </c>
      <c r="F40" s="553" t="str">
        <f ca="1">+MID(INDEX(WORLDCUP!$AF$4:$AF$147,MATCH(A40,WORLDCUP!$AH$4:$AH$147,0)),1,3)</f>
        <v>Ale</v>
      </c>
      <c r="G40" s="554"/>
      <c r="H40" s="554"/>
      <c r="I40" s="555"/>
      <c r="J40" s="555"/>
      <c r="K40" s="556"/>
      <c r="L40" s="15"/>
      <c r="M40" s="15">
        <v>72</v>
      </c>
      <c r="N40" s="629"/>
      <c r="O40" s="551" t="str">
        <f ca="1">+MID(INDEX(WORLDCUP!$AA$4:$AA$147,MATCH(M40,WORLDCUP!$AH$4:$AH$147,0)),1,3)</f>
        <v xml:space="preserve">RD </v>
      </c>
      <c r="P40" s="552" t="str">
        <f>IF(ISBLANK(INDEX(WORLDCUP!$AC$4:$AC$147,MATCH(M40,WORLDCUP!$AH$4:$AH$147,0))),"",INDEX(WORLDCUP!$AC$4:$AC$147,MATCH(M40,WORLDCUP!$AH$4:$AH$147,0)))</f>
        <v/>
      </c>
      <c r="Q40" s="552" t="str">
        <f>IF(ISBLANK(INDEX(WORLDCUP!$AD$4:$AD$147,MATCH(M40,WORLDCUP!$AH$4:$AH$147,0))),"",INDEX(WORLDCUP!$AD$4:$AD$147,MATCH(M40,WORLDCUP!$AH$4:$AH$147,0)))</f>
        <v/>
      </c>
      <c r="R40" s="553" t="str">
        <f ca="1">+MID(INDEX(WORLDCUP!$AF$4:$AF$147,MATCH(M40,WORLDCUP!$AH$4:$AH$147,0)),1,3)</f>
        <v>Uzb</v>
      </c>
      <c r="S40" s="554"/>
      <c r="T40" s="554"/>
      <c r="U40" s="555"/>
      <c r="V40" s="555"/>
      <c r="W40" s="556"/>
      <c r="X40" s="15"/>
      <c r="Y40" s="15">
        <v>86</v>
      </c>
      <c r="Z40" s="489" t="s">
        <v>671</v>
      </c>
      <c r="AA40" s="490" t="str">
        <f ca="1">+MID(INDEX(WORLDCUP!$AF$101:$AF$147,MATCH(Y40,WORLDCUP!$Z$101:$Z$147,0)),1,3)</f>
        <v>2H</v>
      </c>
      <c r="AB40" s="517" t="str">
        <f>+IF(ISBLANK(INDEX(WORLDCUP!$AD$101:$AD$147,MATCH(Y40,WORLDCUP!$Z$101:$Z$147,0))),"",INDEX(WORLDCUP!$AD$101:$AD$147,MATCH(Y40,WORLDCUP!$Z$101:$Z$147,0)))</f>
        <v/>
      </c>
      <c r="AC40" s="518" t="str">
        <f>+IF(ISBLANK(INDEX(WORLDCUP!$AE$101:$AE$147,MATCH(Y40,WORLDCUP!$Z$101:$Z$147,0))),"","( "&amp;INDEX(WORLDCUP!$AE$101:$AE$147,MATCH(Y40,WORLDCUP!$Z$101:$Z$147,0))&amp;" )")</f>
        <v/>
      </c>
      <c r="AD40" s="519">
        <v>95</v>
      </c>
      <c r="AE40" s="520" t="str">
        <f>+MID(INDEX(WORLDCUP!$AA$101:$AA$147,MATCH(AD40,WORLDCUP!$Z$101:$Z$147,0)),1,3)</f>
        <v>W86</v>
      </c>
      <c r="AF40" s="521" t="str">
        <f>+IF(ISBLANK(INDEX(WORLDCUP!$AC$101:$AC$147,MATCH(AD40,WORLDCUP!$Z$101:$Z$147,0))),"",INDEX(WORLDCUP!$AC$101:$AC$147,MATCH(AD40,WORLDCUP!$Z$101:$Z$147,0)))</f>
        <v/>
      </c>
      <c r="AG40" s="522" t="str">
        <f>+IF(ISBLANK(INDEX(WORLDCUP!$AB$101:$AB$147,MATCH(AD40,WORLDCUP!$Z$101:$Z$147,0))),"","( "&amp;INDEX(WORLDCUP!$AB$101:$AB$147,MATCH(AD40,WORLDCUP!$Z$101:$Z$147,0))&amp;" )")</f>
        <v/>
      </c>
      <c r="AH40" s="15"/>
      <c r="AI40" s="523"/>
      <c r="AJ40" s="523"/>
      <c r="AK40" s="562"/>
      <c r="AL40" s="84"/>
      <c r="AM40" s="495"/>
      <c r="AN40" s="495"/>
      <c r="AO40" s="495"/>
      <c r="AP40" s="15"/>
      <c r="AQ40" s="524"/>
      <c r="AR40" s="524"/>
      <c r="AS40" s="524"/>
      <c r="AT40" s="15"/>
      <c r="AU40" s="497"/>
      <c r="AV40" s="497"/>
      <c r="AW40" s="497"/>
      <c r="AX40" s="15"/>
      <c r="AY40" s="287"/>
      <c r="AZ40" s="287"/>
      <c r="BA40" s="287"/>
      <c r="BB40" s="287"/>
      <c r="BC40" s="287"/>
      <c r="BD40" s="287"/>
      <c r="BE40" s="287"/>
      <c r="BG40" s="526" t="str">
        <f ca="1">Horarios!Q39</f>
        <v>Paraguay</v>
      </c>
      <c r="BH40" s="527">
        <f t="shared" ca="1" si="0"/>
        <v>1</v>
      </c>
      <c r="BI40" s="527">
        <f ca="1">COUNTIF(ADMIN!$M$130:$M$161,Fixture!BG40)-BJ40-BK40-BL40-BM40-BN40-BO40</f>
        <v>0</v>
      </c>
      <c r="BJ40" s="528">
        <f ca="1">COUNTIF(ADMIN!$M$182:$M$197,Fixture!BG40)-BK40-BL40-BM40-BN40-BO40</f>
        <v>0</v>
      </c>
      <c r="BK40" s="529">
        <f ca="1">COUNTIF(ADMIN!$M$210:$M$217,Fixture!BG40)-BL40-BM40-BN40-BO40</f>
        <v>0</v>
      </c>
      <c r="BL40" s="529">
        <f ca="1">COUNTIF(ADMIN!$M$226:$M$229,BG40)-BM40-BN40-BO40</f>
        <v>0</v>
      </c>
      <c r="BM40" s="527">
        <f ca="1">COUNTIF(ADMIN!$M$252,Fixture!BG40)</f>
        <v>0</v>
      </c>
      <c r="BN40" s="527">
        <f ca="1">COUNTIF(ADMIN!$M$251,Fixture!BG40)</f>
        <v>0</v>
      </c>
      <c r="BO40" s="530">
        <f ca="1">COUNTIF(ADMIN!$M$250,Fixture!BG40)</f>
        <v>0</v>
      </c>
    </row>
    <row r="41" spans="1:67">
      <c r="A41" s="15"/>
      <c r="B41" s="476"/>
      <c r="C41" s="560"/>
      <c r="D41" s="423"/>
      <c r="E41" s="423"/>
      <c r="F41" s="287"/>
      <c r="G41" s="287"/>
      <c r="H41" s="560"/>
      <c r="I41" s="287"/>
      <c r="J41" s="287"/>
      <c r="K41" s="287"/>
      <c r="L41" s="15"/>
      <c r="M41" s="15"/>
      <c r="N41" s="237"/>
      <c r="O41" s="560"/>
      <c r="P41" s="423"/>
      <c r="Q41" s="423"/>
      <c r="R41" s="287"/>
      <c r="S41" s="287"/>
      <c r="T41" s="560"/>
      <c r="U41" s="287"/>
      <c r="V41" s="287"/>
      <c r="W41" s="287"/>
      <c r="X41" s="15"/>
      <c r="Y41" s="15"/>
      <c r="Z41" s="489"/>
      <c r="AA41" s="533"/>
      <c r="AB41" s="533"/>
      <c r="AC41" s="534"/>
      <c r="AD41" s="15">
        <v>95</v>
      </c>
      <c r="AE41" s="520" t="str">
        <f>+MID(INDEX(WORLDCUP!$AF$101:$AF$147,MATCH(AD41,WORLDCUP!$Z$101:$Z$147,0)),1,3)</f>
        <v>W88</v>
      </c>
      <c r="AF41" s="521" t="str">
        <f>+IF(ISBLANK(INDEX(WORLDCUP!$AD$101:$AD$147,MATCH(AD41,WORLDCUP!$Z$101:$Z$147,0))),"",INDEX(WORLDCUP!$AD$101:$AD$147,MATCH(AD41,WORLDCUP!$Z$101:$Z$147,0)))</f>
        <v/>
      </c>
      <c r="AG41" s="579" t="str">
        <f>+IF(ISBLANK(INDEX(WORLDCUP!$AE$101:$AE$147,MATCH(AD41,WORLDCUP!$Z$101:$Z$147,0))),"","( "&amp;INDEX(WORLDCUP!$AE$101:$AE$147,MATCH(AD41,WORLDCUP!$Z$101:$Z$147,0))&amp;" )")</f>
        <v/>
      </c>
      <c r="AH41" s="15"/>
      <c r="AI41" s="523"/>
      <c r="AJ41" s="523"/>
      <c r="AK41" s="562"/>
      <c r="AL41" s="84"/>
      <c r="AM41" s="495"/>
      <c r="AN41" s="495"/>
      <c r="AO41" s="495"/>
      <c r="AP41" s="15"/>
      <c r="AQ41" s="524"/>
      <c r="AR41" s="524"/>
      <c r="AS41" s="524"/>
      <c r="AT41" s="15"/>
      <c r="AU41" s="497"/>
      <c r="AV41" s="497"/>
      <c r="AW41" s="497"/>
      <c r="AX41" s="15"/>
      <c r="AY41" s="287"/>
      <c r="AZ41" s="287"/>
      <c r="BA41" s="287"/>
      <c r="BB41" s="287"/>
      <c r="BC41" s="287"/>
      <c r="BD41" s="287"/>
      <c r="BE41" s="287"/>
      <c r="BG41" s="526" t="str">
        <f ca="1">Horarios!Q40</f>
        <v>Portugal</v>
      </c>
      <c r="BH41" s="527">
        <f t="shared" ca="1" si="0"/>
        <v>1</v>
      </c>
      <c r="BI41" s="527">
        <f ca="1">COUNTIF(ADMIN!$M$130:$M$161,Fixture!BG41)-BJ41-BK41-BL41-BM41-BN41-BO41</f>
        <v>0</v>
      </c>
      <c r="BJ41" s="528">
        <f ca="1">COUNTIF(ADMIN!$M$182:$M$197,Fixture!BG41)-BK41-BL41-BM41-BN41-BO41</f>
        <v>0</v>
      </c>
      <c r="BK41" s="529">
        <f ca="1">COUNTIF(ADMIN!$M$210:$M$217,Fixture!BG41)-BL41-BM41-BN41-BO41</f>
        <v>0</v>
      </c>
      <c r="BL41" s="529">
        <f ca="1">COUNTIF(ADMIN!$M$226:$M$229,BG41)-BM41-BN41-BO41</f>
        <v>0</v>
      </c>
      <c r="BM41" s="527">
        <f ca="1">COUNTIF(ADMIN!$M$252,Fixture!BG41)</f>
        <v>0</v>
      </c>
      <c r="BN41" s="527">
        <f ca="1">COUNTIF(ADMIN!$M$251,Fixture!BG41)</f>
        <v>0</v>
      </c>
      <c r="BO41" s="530">
        <f ca="1">COUNTIF(ADMIN!$M$250,Fixture!BG41)</f>
        <v>0</v>
      </c>
    </row>
    <row r="42" spans="1:67" ht="15.75" thickBot="1">
      <c r="A42" s="15"/>
      <c r="B42" s="476"/>
      <c r="C42" s="560"/>
      <c r="D42" s="423"/>
      <c r="E42" s="423"/>
      <c r="F42" s="287"/>
      <c r="G42" s="287"/>
      <c r="H42" s="560"/>
      <c r="I42" s="287"/>
      <c r="J42" s="287"/>
      <c r="K42" s="287"/>
      <c r="L42" s="15"/>
      <c r="M42" s="15"/>
      <c r="N42" s="237"/>
      <c r="O42" s="560"/>
      <c r="P42" s="423"/>
      <c r="Q42" s="423"/>
      <c r="R42" s="287"/>
      <c r="S42" s="287"/>
      <c r="T42" s="560"/>
      <c r="U42" s="287"/>
      <c r="V42" s="287"/>
      <c r="W42" s="287"/>
      <c r="X42" s="15"/>
      <c r="Y42" s="15">
        <v>88</v>
      </c>
      <c r="Z42" s="489" t="s">
        <v>659</v>
      </c>
      <c r="AA42" s="490" t="str">
        <f ca="1">+MID(INDEX(WORLDCUP!$AA$101:$AA$147,MATCH(Y42,WORLDCUP!$Z$101:$Z$147,0)),1,3)</f>
        <v>2D</v>
      </c>
      <c r="AB42" s="536" t="str">
        <f>+IF(ISBLANK(INDEX(WORLDCUP!$AC$101:$AC$147,MATCH(Y42,WORLDCUP!$Z$101:$Z$147,0))),"",INDEX(WORLDCUP!$AC$101:$AC$147,MATCH(Y42,WORLDCUP!$Z$101:$Z$147,0)))</f>
        <v/>
      </c>
      <c r="AC42" s="570" t="str">
        <f>+IF(ISBLANK(INDEX(WORLDCUP!$AB$101:$AB$147,MATCH(Y42,WORLDCUP!$Z$101:$Z$147,0))),"","( "&amp;INDEX(WORLDCUP!$AB$101:$AB$147,MATCH(Y42,WORLDCUP!$Z$101:$Z$147,0))&amp;" )")</f>
        <v/>
      </c>
      <c r="AD42" s="15"/>
      <c r="AE42" s="538"/>
      <c r="AF42" s="538"/>
      <c r="AG42" s="539"/>
      <c r="AH42" s="15"/>
      <c r="AI42" s="523"/>
      <c r="AJ42" s="523"/>
      <c r="AK42" s="562"/>
      <c r="AL42" s="84"/>
      <c r="AM42" s="495"/>
      <c r="AN42" s="495"/>
      <c r="AO42" s="495"/>
      <c r="AP42" s="15"/>
      <c r="AQ42" s="524"/>
      <c r="AR42" s="524"/>
      <c r="AS42" s="524"/>
      <c r="AT42" s="15"/>
      <c r="AU42" s="497"/>
      <c r="AV42" s="497"/>
      <c r="AW42" s="497"/>
      <c r="AX42" s="15"/>
      <c r="AY42" s="287"/>
      <c r="AZ42" s="287"/>
      <c r="BA42" s="287"/>
      <c r="BB42" s="287"/>
      <c r="BC42" s="287"/>
      <c r="BD42" s="287"/>
      <c r="BE42" s="287"/>
      <c r="BG42" s="526" t="str">
        <f ca="1">Horarios!Q41</f>
        <v>RD Congo</v>
      </c>
      <c r="BH42" s="527">
        <f t="shared" ca="1" si="0"/>
        <v>1</v>
      </c>
      <c r="BI42" s="527">
        <f ca="1">COUNTIF(ADMIN!$M$130:$M$161,Fixture!BG42)-BJ42-BK42-BL42-BM42-BN42-BO42</f>
        <v>0</v>
      </c>
      <c r="BJ42" s="528">
        <f ca="1">COUNTIF(ADMIN!$M$182:$M$197,Fixture!BG42)-BK42-BL42-BM42-BN42-BO42</f>
        <v>0</v>
      </c>
      <c r="BK42" s="529">
        <f ca="1">COUNTIF(ADMIN!$M$210:$M$217,Fixture!BG42)-BL42-BM42-BN42-BO42</f>
        <v>0</v>
      </c>
      <c r="BL42" s="529">
        <f ca="1">COUNTIF(ADMIN!$M$226:$M$229,BG42)-BM42-BN42-BO42</f>
        <v>0</v>
      </c>
      <c r="BM42" s="527">
        <f ca="1">COUNTIF(ADMIN!$M$252,Fixture!BG42)</f>
        <v>0</v>
      </c>
      <c r="BN42" s="527">
        <f ca="1">COUNTIF(ADMIN!$M$251,Fixture!BG42)</f>
        <v>0</v>
      </c>
      <c r="BO42" s="530">
        <f ca="1">COUNTIF(ADMIN!$M$250,Fixture!BG42)</f>
        <v>0</v>
      </c>
    </row>
    <row r="43" spans="1:67" ht="15.75" thickBot="1">
      <c r="A43" s="15">
        <v>11</v>
      </c>
      <c r="B43" s="630" t="s">
        <v>4</v>
      </c>
      <c r="C43" s="481" t="str">
        <f ca="1">+MID(INDEX(WORLDCUP!$AA$4:$AA$147,MATCH(A43,WORLDCUP!$AH$4:$AH$147,0)),1,3)</f>
        <v>Paí</v>
      </c>
      <c r="D43" s="482" t="str">
        <f>IF(ISBLANK(INDEX(WORLDCUP!$AC$4:$AC$147,MATCH(A43,WORLDCUP!$AH$4:$AH$147,0))),"",INDEX(WORLDCUP!$AC$4:$AC$147,MATCH(A43,WORLDCUP!$AH$4:$AH$147,0)))</f>
        <v/>
      </c>
      <c r="E43" s="482" t="str">
        <f>IF(ISBLANK(INDEX(WORLDCUP!$AD$4:$AD$147,MATCH(A43,WORLDCUP!$AH$4:$AH$147,0))),"",INDEX(WORLDCUP!$AD$4:$AD$147,MATCH(A43,WORLDCUP!$AH$4:$AH$147,0)))</f>
        <v/>
      </c>
      <c r="F43" s="483" t="str">
        <f ca="1">+MID(INDEX(WORLDCUP!$AF$4:$AF$147,MATCH(A43,WORLDCUP!$AH$4:$AH$147,0)),1,3)</f>
        <v>Jap</v>
      </c>
      <c r="G43" s="484"/>
      <c r="H43" s="485" t="str">
        <f>+H35</f>
        <v>Sel</v>
      </c>
      <c r="I43" s="486" t="str">
        <f>+I35</f>
        <v>Pts</v>
      </c>
      <c r="J43" s="486" t="str">
        <f>+J35</f>
        <v>DG</v>
      </c>
      <c r="K43" s="487" t="str">
        <f>+K35</f>
        <v>GF-GC</v>
      </c>
      <c r="L43" s="15"/>
      <c r="M43" s="15">
        <v>22</v>
      </c>
      <c r="N43" s="631" t="s">
        <v>238</v>
      </c>
      <c r="O43" s="481" t="str">
        <f ca="1">+MID(INDEX(WORLDCUP!$AA$4:$AA$147,MATCH(M43,WORLDCUP!$AH$4:$AH$147,0)),1,3)</f>
        <v>Ing</v>
      </c>
      <c r="P43" s="482" t="str">
        <f>IF(ISBLANK(INDEX(WORLDCUP!$AC$4:$AC$147,MATCH(M43,WORLDCUP!$AH$4:$AH$147,0))),"",INDEX(WORLDCUP!$AC$4:$AC$147,MATCH(M43,WORLDCUP!$AH$4:$AH$147,0)))</f>
        <v/>
      </c>
      <c r="Q43" s="482" t="str">
        <f>IF(ISBLANK(INDEX(WORLDCUP!$AD$4:$AD$147,MATCH(M43,WORLDCUP!$AH$4:$AH$147,0))),"",INDEX(WORLDCUP!$AD$4:$AD$147,MATCH(M43,WORLDCUP!$AH$4:$AH$147,0)))</f>
        <v/>
      </c>
      <c r="R43" s="483" t="str">
        <f ca="1">+MID(INDEX(WORLDCUP!$AF$4:$AF$147,MATCH(M43,WORLDCUP!$AH$4:$AH$147,0)),1,3)</f>
        <v>Cro</v>
      </c>
      <c r="S43" s="484"/>
      <c r="T43" s="485" t="str">
        <f>+T35</f>
        <v>Sel</v>
      </c>
      <c r="U43" s="486" t="str">
        <f>+U35</f>
        <v>Pts</v>
      </c>
      <c r="V43" s="486" t="str">
        <f>+V35</f>
        <v>DG</v>
      </c>
      <c r="W43" s="487" t="str">
        <f>+W35</f>
        <v>GF-GC</v>
      </c>
      <c r="X43" s="15"/>
      <c r="Y43" s="15">
        <v>88</v>
      </c>
      <c r="Z43" s="489" t="s">
        <v>668</v>
      </c>
      <c r="AA43" s="544" t="str">
        <f ca="1">+MID(INDEX(WORLDCUP!$AF$101:$AF$147,MATCH(Y43,WORLDCUP!$Z$101:$Z$147,0)),1,3)</f>
        <v>2G</v>
      </c>
      <c r="AB43" s="545" t="str">
        <f>+IF(ISBLANK(INDEX(WORLDCUP!$AD$101:$AD$147,MATCH(Y43,WORLDCUP!$Z$101:$Z$147,0))),"",INDEX(WORLDCUP!$AD$101:$AD$147,MATCH(Y43,WORLDCUP!$Z$101:$Z$147,0)))</f>
        <v/>
      </c>
      <c r="AC43" s="571" t="str">
        <f>+IF(ISBLANK(INDEX(WORLDCUP!$AE$101:$AE$147,MATCH(Y43,WORLDCUP!$Z$101:$Z$147,0))),"","( "&amp;INDEX(WORLDCUP!$AE$101:$AE$147,MATCH(Y43,WORLDCUP!$Z$101:$Z$147,0))&amp;" )")</f>
        <v/>
      </c>
      <c r="AD43" s="15"/>
      <c r="AE43" s="538"/>
      <c r="AF43" s="538"/>
      <c r="AG43" s="539"/>
      <c r="AH43" s="563">
        <v>100</v>
      </c>
      <c r="AI43" s="547" t="str">
        <f>+MID(INDEX(WORLDCUP!$AA$101:$AA$147,MATCH(AH43,WORLDCUP!$Z$101:$Z$147,0)),1,3)</f>
        <v>W95</v>
      </c>
      <c r="AJ43" s="548" t="str">
        <f>+IF(ISBLANK(INDEX(WORLDCUP!$AC$101:$AC$147,MATCH(AH43,WORLDCUP!$Z$101:$Z$147,0))),"",INDEX(WORLDCUP!$AC$101:$AC$147,MATCH(AH43,WORLDCUP!$Z$101:$Z$147,0)))</f>
        <v/>
      </c>
      <c r="AK43" s="584" t="str">
        <f>+IF(ISBLANK(INDEX(WORLDCUP!$AB$101:$AB$147,MATCH(AH43,WORLDCUP!$Z$101:$Z$147,0))),"","( "&amp;INDEX(WORLDCUP!$AB$101:$AB$147,MATCH(AH43,WORLDCUP!$Z$101:$Z$147,0))&amp;" )")</f>
        <v/>
      </c>
      <c r="AL43" s="84"/>
      <c r="AM43" s="495"/>
      <c r="AN43" s="495"/>
      <c r="AO43" s="495"/>
      <c r="AP43" s="15"/>
      <c r="AQ43" s="524"/>
      <c r="AR43" s="524"/>
      <c r="AS43" s="524"/>
      <c r="AT43" s="15"/>
      <c r="AU43" s="497"/>
      <c r="AV43" s="497"/>
      <c r="AW43" s="497"/>
      <c r="AX43" s="15"/>
      <c r="AY43" s="287"/>
      <c r="AZ43" s="287"/>
      <c r="BA43" s="287"/>
      <c r="BB43" s="287"/>
      <c r="BC43" s="287"/>
      <c r="BD43" s="287"/>
      <c r="BE43" s="287"/>
      <c r="BG43" s="526" t="str">
        <f ca="1">Horarios!Q42</f>
        <v>República Checa</v>
      </c>
      <c r="BH43" s="527">
        <f t="shared" ca="1" si="0"/>
        <v>1</v>
      </c>
      <c r="BI43" s="527">
        <f ca="1">COUNTIF(ADMIN!$M$130:$M$161,Fixture!BG43)-BJ43-BK43-BL43-BM43-BN43-BO43</f>
        <v>0</v>
      </c>
      <c r="BJ43" s="528">
        <f ca="1">COUNTIF(ADMIN!$M$182:$M$197,Fixture!BG43)-BK43-BL43-BM43-BN43-BO43</f>
        <v>0</v>
      </c>
      <c r="BK43" s="529">
        <f ca="1">COUNTIF(ADMIN!$M$210:$M$217,Fixture!BG43)-BL43-BM43-BN43-BO43</f>
        <v>0</v>
      </c>
      <c r="BL43" s="529">
        <f ca="1">COUNTIF(ADMIN!$M$226:$M$229,BG43)-BM43-BN43-BO43</f>
        <v>0</v>
      </c>
      <c r="BM43" s="527">
        <f ca="1">COUNTIF(ADMIN!$M$252,Fixture!BG43)</f>
        <v>0</v>
      </c>
      <c r="BN43" s="527">
        <f ca="1">COUNTIF(ADMIN!$M$251,Fixture!BG43)</f>
        <v>0</v>
      </c>
      <c r="BO43" s="530">
        <f ca="1">COUNTIF(ADMIN!$M$250,Fixture!BG43)</f>
        <v>0</v>
      </c>
    </row>
    <row r="44" spans="1:67">
      <c r="A44" s="15">
        <v>12</v>
      </c>
      <c r="B44" s="632"/>
      <c r="C44" s="508" t="str">
        <f ca="1">+MID(INDEX(WORLDCUP!$AA$4:$AA$147,MATCH(A44,WORLDCUP!$AH$4:$AH$147,0)),1,3)</f>
        <v>Sue</v>
      </c>
      <c r="D44" s="509" t="str">
        <f>IF(ISBLANK(INDEX(WORLDCUP!$AC$4:$AC$147,MATCH(A44,WORLDCUP!$AH$4:$AH$147,0))),"",INDEX(WORLDCUP!$AC$4:$AC$147,MATCH(A44,WORLDCUP!$AH$4:$AH$147,0)))</f>
        <v/>
      </c>
      <c r="E44" s="509" t="str">
        <f>IF(ISBLANK(INDEX(WORLDCUP!$AD$4:$AD$147,MATCH(A44,WORLDCUP!$AH$4:$AH$147,0))),"",INDEX(WORLDCUP!$AD$4:$AD$147,MATCH(A44,WORLDCUP!$AH$4:$AH$147,0)))</f>
        <v/>
      </c>
      <c r="F44" s="510" t="str">
        <f ca="1">+MID(INDEX(WORLDCUP!$AF$4:$AF$147,MATCH(A44,WORLDCUP!$AH$4:$AH$147,0)),1,3)</f>
        <v>Tún</v>
      </c>
      <c r="G44" s="511">
        <v>1</v>
      </c>
      <c r="H44" s="512" t="str">
        <f ca="1">+MID(INDEX(WORLDCUP!$AL$6:$AL$97,MATCH(L44,WORLDCUP!$AI$6:$AI$97,0)),1,3)</f>
        <v>Paí</v>
      </c>
      <c r="I44" s="513">
        <f ca="1">+INDEX(WORLDCUP!$AM$6:$AM$97,MATCH(L44,WORLDCUP!$AI$6:$AI$97,0))</f>
        <v>0</v>
      </c>
      <c r="J44" s="514">
        <f ca="1">+INDEX(WORLDCUP!$AT$6:$AT$97,MATCH(L44,WORLDCUP!$AI$6:$AI$97,0))</f>
        <v>0</v>
      </c>
      <c r="K44" s="515" t="str">
        <f ca="1">+INDEX(WORLDCUP!$AR$6:$AR$97,MATCH(L44,WORLDCUP!$AI$6:$AI$97,0))&amp;"-"&amp;INDEX(WORLDCUP!$AS$6:$AS$97,MATCH(L44,WORLDCUP!$AI$6:$AI$97,0))</f>
        <v>0-0</v>
      </c>
      <c r="L44" s="15" t="s">
        <v>664</v>
      </c>
      <c r="M44" s="15">
        <v>21</v>
      </c>
      <c r="N44" s="633"/>
      <c r="O44" s="508" t="str">
        <f ca="1">+MID(INDEX(WORLDCUP!$AA$4:$AA$147,MATCH(M44,WORLDCUP!$AH$4:$AH$147,0)),1,3)</f>
        <v>Gha</v>
      </c>
      <c r="P44" s="509" t="str">
        <f>IF(ISBLANK(INDEX(WORLDCUP!$AC$4:$AC$147,MATCH(M44,WORLDCUP!$AH$4:$AH$147,0))),"",INDEX(WORLDCUP!$AC$4:$AC$147,MATCH(M44,WORLDCUP!$AH$4:$AH$147,0)))</f>
        <v/>
      </c>
      <c r="Q44" s="509" t="str">
        <f>IF(ISBLANK(INDEX(WORLDCUP!$AD$4:$AD$147,MATCH(M44,WORLDCUP!$AH$4:$AH$147,0))),"",INDEX(WORLDCUP!$AD$4:$AD$147,MATCH(M44,WORLDCUP!$AH$4:$AH$147,0)))</f>
        <v/>
      </c>
      <c r="R44" s="510" t="str">
        <f ca="1">+MID(INDEX(WORLDCUP!$AF$4:$AF$147,MATCH(M44,WORLDCUP!$AH$4:$AH$147,0)),1,3)</f>
        <v>Pan</v>
      </c>
      <c r="S44" s="511">
        <v>1</v>
      </c>
      <c r="T44" s="512" t="str">
        <f ca="1">+MID(INDEX(WORLDCUP!$AL$6:$AL$97,MATCH(X44,WORLDCUP!$AI$6:$AI$97,0)),1,3)</f>
        <v>Ing</v>
      </c>
      <c r="U44" s="513">
        <f ca="1">+INDEX(WORLDCUP!$AM$6:$AM$97,MATCH(X44,WORLDCUP!$AI$6:$AI$97,0))</f>
        <v>0</v>
      </c>
      <c r="V44" s="514">
        <f ca="1">+INDEX(WORLDCUP!$AT$6:$AT$97,MATCH(X44,WORLDCUP!$AI$6:$AI$97,0))</f>
        <v>0</v>
      </c>
      <c r="W44" s="515" t="str">
        <f ca="1">+INDEX(WORLDCUP!$AR$6:$AR$97,MATCH(X44,WORLDCUP!$AI$6:$AI$97,0))&amp;"-"&amp;INDEX(WORLDCUP!$AS$6:$AS$97,MATCH(X44,WORLDCUP!$AI$6:$AI$97,0))</f>
        <v>0-0</v>
      </c>
      <c r="X44" s="15" t="s">
        <v>682</v>
      </c>
      <c r="Y44" s="15"/>
      <c r="Z44" s="489"/>
      <c r="AA44" s="558"/>
      <c r="AB44" s="558"/>
      <c r="AC44" s="558"/>
      <c r="AD44" s="15"/>
      <c r="AE44" s="493"/>
      <c r="AF44" s="493"/>
      <c r="AG44" s="539"/>
      <c r="AH44" s="15">
        <v>100</v>
      </c>
      <c r="AI44" s="547" t="str">
        <f>+MID(INDEX(WORLDCUP!$AF$101:$AF$147,MATCH(AH44,WORLDCUP!$Z$101:$Z$147,0)),1,3)</f>
        <v>W96</v>
      </c>
      <c r="AJ44" s="548" t="str">
        <f>+IF(ISBLANK(INDEX(WORLDCUP!$AD$101:$AD$147,MATCH(AH44,WORLDCUP!$Z$101:$Z$147,0))),"",INDEX(WORLDCUP!$AD$101:$AD$147,MATCH(AH44,WORLDCUP!$Z$101:$Z$147,0)))</f>
        <v/>
      </c>
      <c r="AK44" s="523" t="str">
        <f>+IF(ISBLANK(INDEX(WORLDCUP!$AE$101:$AE$147,MATCH(AH44,WORLDCUP!$Z$101:$Z$147,0))),"","( "&amp;INDEX(WORLDCUP!$AE$101:$AE$147,MATCH(AH44,WORLDCUP!$Z$101:$Z$147,0))&amp;" )")</f>
        <v/>
      </c>
      <c r="AL44" s="84"/>
      <c r="AM44" s="495"/>
      <c r="AN44" s="495"/>
      <c r="AO44" s="495"/>
      <c r="AP44" s="15"/>
      <c r="AQ44" s="524"/>
      <c r="AR44" s="524"/>
      <c r="AS44" s="524"/>
      <c r="AT44" s="15"/>
      <c r="AU44" s="497"/>
      <c r="AV44" s="497"/>
      <c r="AW44" s="497"/>
      <c r="AX44" s="15"/>
      <c r="AY44" s="287"/>
      <c r="AZ44" s="287"/>
      <c r="BA44" s="287"/>
      <c r="BB44" s="287"/>
      <c r="BC44" s="287"/>
      <c r="BD44" s="287"/>
      <c r="BE44" s="287"/>
      <c r="BG44" s="526" t="str">
        <f ca="1">Horarios!Q43</f>
        <v>Senegal</v>
      </c>
      <c r="BH44" s="527">
        <f t="shared" ca="1" si="0"/>
        <v>1</v>
      </c>
      <c r="BI44" s="527">
        <f ca="1">COUNTIF(ADMIN!$M$130:$M$161,Fixture!BG44)-BJ44-BK44-BL44-BM44-BN44-BO44</f>
        <v>0</v>
      </c>
      <c r="BJ44" s="528">
        <f ca="1">COUNTIF(ADMIN!$M$182:$M$197,Fixture!BG44)-BK44-BL44-BM44-BN44-BO44</f>
        <v>0</v>
      </c>
      <c r="BK44" s="529">
        <f ca="1">COUNTIF(ADMIN!$M$210:$M$217,Fixture!BG44)-BL44-BM44-BN44-BO44</f>
        <v>0</v>
      </c>
      <c r="BL44" s="529">
        <f ca="1">COUNTIF(ADMIN!$M$226:$M$229,BG44)-BM44-BN44-BO44</f>
        <v>0</v>
      </c>
      <c r="BM44" s="527">
        <f ca="1">COUNTIF(ADMIN!$M$252,Fixture!BG44)</f>
        <v>0</v>
      </c>
      <c r="BN44" s="527">
        <f ca="1">COUNTIF(ADMIN!$M$251,Fixture!BG44)</f>
        <v>0</v>
      </c>
      <c r="BO44" s="530">
        <f ca="1">COUNTIF(ADMIN!$M$250,Fixture!BG44)</f>
        <v>0</v>
      </c>
    </row>
    <row r="45" spans="1:67" ht="15.75" thickBot="1">
      <c r="A45" s="15">
        <v>35</v>
      </c>
      <c r="B45" s="632"/>
      <c r="C45" s="508" t="str">
        <f ca="1">+MID(INDEX(WORLDCUP!$AA$4:$AA$147,MATCH(A45,WORLDCUP!$AH$4:$AH$147,0)),1,3)</f>
        <v>Paí</v>
      </c>
      <c r="D45" s="509" t="str">
        <f>IF(ISBLANK(INDEX(WORLDCUP!$AC$4:$AC$147,MATCH(A45,WORLDCUP!$AH$4:$AH$147,0))),"",INDEX(WORLDCUP!$AC$4:$AC$147,MATCH(A45,WORLDCUP!$AH$4:$AH$147,0)))</f>
        <v/>
      </c>
      <c r="E45" s="509" t="str">
        <f>IF(ISBLANK(INDEX(WORLDCUP!$AD$4:$AD$147,MATCH(A45,WORLDCUP!$AH$4:$AH$147,0))),"",INDEX(WORLDCUP!$AD$4:$AD$147,MATCH(A45,WORLDCUP!$AH$4:$AH$147,0)))</f>
        <v/>
      </c>
      <c r="F45" s="510" t="str">
        <f ca="1">+MID(INDEX(WORLDCUP!$AF$4:$AF$147,MATCH(A45,WORLDCUP!$AH$4:$AH$147,0)),1,3)</f>
        <v>Sue</v>
      </c>
      <c r="G45" s="531">
        <v>2</v>
      </c>
      <c r="H45" s="532" t="str">
        <f ca="1">+MID(INDEX(WORLDCUP!$AL$6:$AL$97,MATCH(L45,WORLDCUP!$AI$6:$AI$97,0)),1,3)</f>
        <v>Jap</v>
      </c>
      <c r="I45" s="213">
        <f ca="1">+INDEX(WORLDCUP!$AM$6:$AM$97,MATCH(L45,WORLDCUP!$AI$6:$AI$97,0))</f>
        <v>0</v>
      </c>
      <c r="J45" s="214">
        <f ca="1">+INDEX(WORLDCUP!$AT$6:$AT$97,MATCH(L45,WORLDCUP!$AI$6:$AI$97,0))</f>
        <v>0</v>
      </c>
      <c r="K45" s="215" t="str">
        <f ca="1">+INDEX(WORLDCUP!$AR$6:$AR$97,MATCH(L45,WORLDCUP!$AI$6:$AI$97,0))&amp;"-"&amp;INDEX(WORLDCUP!$AS$6:$AS$97,MATCH(L45,WORLDCUP!$AI$6:$AI$97,0))</f>
        <v>0-0</v>
      </c>
      <c r="L45" s="15" t="s">
        <v>665</v>
      </c>
      <c r="M45" s="15">
        <v>45</v>
      </c>
      <c r="N45" s="633"/>
      <c r="O45" s="508" t="str">
        <f ca="1">+MID(INDEX(WORLDCUP!$AA$4:$AA$147,MATCH(M45,WORLDCUP!$AH$4:$AH$147,0)),1,3)</f>
        <v>Ing</v>
      </c>
      <c r="P45" s="509" t="str">
        <f>IF(ISBLANK(INDEX(WORLDCUP!$AC$4:$AC$147,MATCH(M45,WORLDCUP!$AH$4:$AH$147,0))),"",INDEX(WORLDCUP!$AC$4:$AC$147,MATCH(M45,WORLDCUP!$AH$4:$AH$147,0)))</f>
        <v/>
      </c>
      <c r="Q45" s="509" t="str">
        <f>IF(ISBLANK(INDEX(WORLDCUP!$AD$4:$AD$147,MATCH(M45,WORLDCUP!$AH$4:$AH$147,0))),"",INDEX(WORLDCUP!$AD$4:$AD$147,MATCH(M45,WORLDCUP!$AH$4:$AH$147,0)))</f>
        <v/>
      </c>
      <c r="R45" s="510" t="str">
        <f ca="1">+MID(INDEX(WORLDCUP!$AF$4:$AF$147,MATCH(M45,WORLDCUP!$AH$4:$AH$147,0)),1,3)</f>
        <v>Gha</v>
      </c>
      <c r="S45" s="531">
        <v>2</v>
      </c>
      <c r="T45" s="532" t="str">
        <f ca="1">+MID(INDEX(WORLDCUP!$AL$6:$AL$97,MATCH(X45,WORLDCUP!$AI$6:$AI$97,0)),1,3)</f>
        <v>Cro</v>
      </c>
      <c r="U45" s="213">
        <f ca="1">+INDEX(WORLDCUP!$AM$6:$AM$97,MATCH(X45,WORLDCUP!$AI$6:$AI$97,0))</f>
        <v>0</v>
      </c>
      <c r="V45" s="214">
        <f ca="1">+INDEX(WORLDCUP!$AT$6:$AT$97,MATCH(X45,WORLDCUP!$AI$6:$AI$97,0))</f>
        <v>0</v>
      </c>
      <c r="W45" s="215" t="str">
        <f ca="1">+INDEX(WORLDCUP!$AR$6:$AR$97,MATCH(X45,WORLDCUP!$AI$6:$AI$97,0))&amp;"-"&amp;INDEX(WORLDCUP!$AS$6:$AS$97,MATCH(X45,WORLDCUP!$AI$6:$AI$97,0))</f>
        <v>0-0</v>
      </c>
      <c r="X45" s="15" t="s">
        <v>683</v>
      </c>
      <c r="Y45" s="15">
        <v>85</v>
      </c>
      <c r="Z45" s="489" t="s">
        <v>648</v>
      </c>
      <c r="AA45" s="490" t="str">
        <f ca="1">+MID(INDEX(WORLDCUP!$AA$101:$AA$147,MATCH(Y45,WORLDCUP!$Z$101:$Z$147,0)),1,3)</f>
        <v>1B</v>
      </c>
      <c r="AB45" s="491" t="str">
        <f>+IF(ISBLANK(INDEX(WORLDCUP!$AC$101:$AC$147,MATCH(Y45,WORLDCUP!$Z$101:$Z$147,0))),"",INDEX(WORLDCUP!$AC$101:$AC$147,MATCH(Y45,WORLDCUP!$Z$101:$Z$147,0)))</f>
        <v/>
      </c>
      <c r="AC45" s="561" t="str">
        <f>+IF(ISBLANK(INDEX(WORLDCUP!$AB$101:$AB$147,MATCH(Y45,WORLDCUP!$Z$101:$Z$147,0))),"","( "&amp;INDEX(WORLDCUP!$AB$101:$AB$147,MATCH(Y45,WORLDCUP!$Z$101:$Z$147,0))&amp;" )")</f>
        <v/>
      </c>
      <c r="AD45" s="14"/>
      <c r="AE45" s="493"/>
      <c r="AF45" s="493"/>
      <c r="AG45" s="539"/>
      <c r="AH45" s="15"/>
      <c r="AI45" s="523"/>
      <c r="AJ45" s="523"/>
      <c r="AK45" s="523"/>
      <c r="AL45" s="84"/>
      <c r="AM45" s="495"/>
      <c r="AN45" s="495"/>
      <c r="AO45" s="495"/>
      <c r="AP45" s="15"/>
      <c r="AQ45" s="524"/>
      <c r="AR45" s="524"/>
      <c r="AS45" s="524"/>
      <c r="AT45" s="15"/>
      <c r="AU45" s="497"/>
      <c r="AV45" s="497"/>
      <c r="AW45" s="497"/>
      <c r="AX45" s="15"/>
      <c r="AY45" s="287"/>
      <c r="AZ45" s="287"/>
      <c r="BA45" s="287"/>
      <c r="BB45" s="287"/>
      <c r="BC45" s="287"/>
      <c r="BD45" s="287"/>
      <c r="BE45" s="287"/>
      <c r="BG45" s="526" t="str">
        <f ca="1">Horarios!Q44</f>
        <v>Sudáfrica</v>
      </c>
      <c r="BH45" s="527">
        <f t="shared" ca="1" si="0"/>
        <v>1</v>
      </c>
      <c r="BI45" s="527">
        <f ca="1">COUNTIF(ADMIN!$M$130:$M$161,Fixture!BG45)-BJ45-BK45-BL45-BM45-BN45-BO45</f>
        <v>0</v>
      </c>
      <c r="BJ45" s="528">
        <f ca="1">COUNTIF(ADMIN!$M$182:$M$197,Fixture!BG45)-BK45-BL45-BM45-BN45-BO45</f>
        <v>0</v>
      </c>
      <c r="BK45" s="529">
        <f ca="1">COUNTIF(ADMIN!$M$210:$M$217,Fixture!BG45)-BL45-BM45-BN45-BO45</f>
        <v>0</v>
      </c>
      <c r="BL45" s="529">
        <f ca="1">COUNTIF(ADMIN!$M$226:$M$229,BG45)-BM45-BN45-BO45</f>
        <v>0</v>
      </c>
      <c r="BM45" s="527">
        <f ca="1">COUNTIF(ADMIN!$M$252,Fixture!BG45)</f>
        <v>0</v>
      </c>
      <c r="BN45" s="527">
        <f ca="1">COUNTIF(ADMIN!$M$251,Fixture!BG45)</f>
        <v>0</v>
      </c>
      <c r="BO45" s="530">
        <f ca="1">COUNTIF(ADMIN!$M$250,Fixture!BG45)</f>
        <v>0</v>
      </c>
    </row>
    <row r="46" spans="1:67" ht="15.75" thickBot="1">
      <c r="A46" s="15">
        <v>36</v>
      </c>
      <c r="B46" s="632"/>
      <c r="C46" s="508" t="str">
        <f ca="1">+MID(INDEX(WORLDCUP!$AA$4:$AA$147,MATCH(A46,WORLDCUP!$AH$4:$AH$147,0)),1,3)</f>
        <v>Tún</v>
      </c>
      <c r="D46" s="509" t="str">
        <f>IF(ISBLANK(INDEX(WORLDCUP!$AC$4:$AC$147,MATCH(A46,WORLDCUP!$AH$4:$AH$147,0))),"",INDEX(WORLDCUP!$AC$4:$AC$147,MATCH(A46,WORLDCUP!$AH$4:$AH$147,0)))</f>
        <v/>
      </c>
      <c r="E46" s="509" t="str">
        <f>IF(ISBLANK(INDEX(WORLDCUP!$AD$4:$AD$147,MATCH(A46,WORLDCUP!$AH$4:$AH$147,0))),"",INDEX(WORLDCUP!$AD$4:$AD$147,MATCH(A46,WORLDCUP!$AH$4:$AH$147,0)))</f>
        <v/>
      </c>
      <c r="F46" s="510" t="str">
        <f ca="1">+MID(INDEX(WORLDCUP!$AF$4:$AF$147,MATCH(A46,WORLDCUP!$AH$4:$AH$147,0)),1,3)</f>
        <v>Jap</v>
      </c>
      <c r="G46" s="531">
        <v>3</v>
      </c>
      <c r="H46" s="532" t="str">
        <f ca="1">+MID(INDEX(WORLDCUP!$AL$6:$AL$97,MATCH(L46,WORLDCUP!$AI$6:$AI$97,0)),1,3)</f>
        <v>Sue</v>
      </c>
      <c r="I46" s="213">
        <f ca="1">+INDEX(WORLDCUP!$AM$6:$AM$97,MATCH(L46,WORLDCUP!$AI$6:$AI$97,0))</f>
        <v>0</v>
      </c>
      <c r="J46" s="214">
        <f ca="1">+INDEX(WORLDCUP!$AT$6:$AT$97,MATCH(L46,WORLDCUP!$AI$6:$AI$97,0))</f>
        <v>0</v>
      </c>
      <c r="K46" s="215" t="str">
        <f ca="1">+INDEX(WORLDCUP!$AR$6:$AR$97,MATCH(L46,WORLDCUP!$AI$6:$AI$97,0))&amp;"-"&amp;INDEX(WORLDCUP!$AS$6:$AS$97,MATCH(L46,WORLDCUP!$AI$6:$AI$97,0))</f>
        <v>0-0</v>
      </c>
      <c r="L46" s="15" t="s">
        <v>94</v>
      </c>
      <c r="M46" s="15">
        <v>46</v>
      </c>
      <c r="N46" s="633"/>
      <c r="O46" s="508" t="str">
        <f ca="1">+MID(INDEX(WORLDCUP!$AA$4:$AA$147,MATCH(M46,WORLDCUP!$AH$4:$AH$147,0)),1,3)</f>
        <v>Pan</v>
      </c>
      <c r="P46" s="509" t="str">
        <f>IF(ISBLANK(INDEX(WORLDCUP!$AC$4:$AC$147,MATCH(M46,WORLDCUP!$AH$4:$AH$147,0))),"",INDEX(WORLDCUP!$AC$4:$AC$147,MATCH(M46,WORLDCUP!$AH$4:$AH$147,0)))</f>
        <v/>
      </c>
      <c r="Q46" s="509" t="str">
        <f>IF(ISBLANK(INDEX(WORLDCUP!$AD$4:$AD$147,MATCH(M46,WORLDCUP!$AH$4:$AH$147,0))),"",INDEX(WORLDCUP!$AD$4:$AD$147,MATCH(M46,WORLDCUP!$AH$4:$AH$147,0)))</f>
        <v/>
      </c>
      <c r="R46" s="510" t="str">
        <f ca="1">+MID(INDEX(WORLDCUP!$AF$4:$AF$147,MATCH(M46,WORLDCUP!$AH$4:$AH$147,0)),1,3)</f>
        <v>Cro</v>
      </c>
      <c r="S46" s="531">
        <v>3</v>
      </c>
      <c r="T46" s="532" t="str">
        <f ca="1">+MID(INDEX(WORLDCUP!$AL$6:$AL$97,MATCH(X46,WORLDCUP!$AI$6:$AI$97,0)),1,3)</f>
        <v>Gha</v>
      </c>
      <c r="U46" s="213">
        <f ca="1">+INDEX(WORLDCUP!$AM$6:$AM$97,MATCH(X46,WORLDCUP!$AI$6:$AI$97,0))</f>
        <v>0</v>
      </c>
      <c r="V46" s="214">
        <f ca="1">+INDEX(WORLDCUP!$AT$6:$AT$97,MATCH(X46,WORLDCUP!$AI$6:$AI$97,0))</f>
        <v>0</v>
      </c>
      <c r="W46" s="215" t="str">
        <f ca="1">+INDEX(WORLDCUP!$AR$6:$AR$97,MATCH(X46,WORLDCUP!$AI$6:$AI$97,0))&amp;"-"&amp;INDEX(WORLDCUP!$AS$6:$AS$97,MATCH(X46,WORLDCUP!$AI$6:$AI$97,0))</f>
        <v>0-0</v>
      </c>
      <c r="X46" s="15" t="s">
        <v>443</v>
      </c>
      <c r="Y46" s="15">
        <v>85</v>
      </c>
      <c r="Z46" s="489" t="s">
        <v>728</v>
      </c>
      <c r="AA46" s="490" t="str">
        <f ca="1">+MID(INDEX(WORLDCUP!$AF$101:$AF$147,MATCH(Y46,WORLDCUP!$Z$101:$Z$147,0)),1,IF(WORLDCUP!$H$113&lt;144,6,3))</f>
        <v>3EFGIJ</v>
      </c>
      <c r="AB46" s="517" t="str">
        <f>+IF(ISBLANK(INDEX(WORLDCUP!$AD$101:$AD$147,MATCH(Y46,WORLDCUP!$Z$101:$Z$147,0))),"",INDEX(WORLDCUP!$AD$101:$AD$147,MATCH(Y46,WORLDCUP!$Z$101:$Z$147,0)))</f>
        <v/>
      </c>
      <c r="AC46" s="518" t="str">
        <f>+IF(ISBLANK(INDEX(WORLDCUP!$AE$101:$AE$147,MATCH(Y46,WORLDCUP!$Z$101:$Z$147,0))),"","( "&amp;INDEX(WORLDCUP!$AE$101:$AE$147,MATCH(Y46,WORLDCUP!$Z$101:$Z$147,0))&amp;" )")</f>
        <v/>
      </c>
      <c r="AD46" s="519">
        <v>96</v>
      </c>
      <c r="AE46" s="520" t="str">
        <f>+MID(INDEX(WORLDCUP!$AA$101:$AA$147,MATCH(AD46,WORLDCUP!$Z$101:$Z$147,0)),1,3)</f>
        <v>W85</v>
      </c>
      <c r="AF46" s="521" t="str">
        <f>+IF(ISBLANK(INDEX(WORLDCUP!$AC$101:$AC$147,MATCH(AD46,WORLDCUP!$Z$101:$Z$147,0))),"",INDEX(WORLDCUP!$AC$101:$AC$147,MATCH(AD46,WORLDCUP!$Z$101:$Z$147,0)))</f>
        <v/>
      </c>
      <c r="AG46" s="564" t="str">
        <f>+IF(ISBLANK(INDEX(WORLDCUP!$AB$101:$AB$147,MATCH(AD46,WORLDCUP!$Z$101:$Z$147,0))),"","( "&amp;INDEX(WORLDCUP!$AB$101:$AB$147,MATCH(AD46,WORLDCUP!$Z$101:$Z$147,0))&amp;" )")</f>
        <v/>
      </c>
      <c r="AH46" s="15"/>
      <c r="AI46" s="523"/>
      <c r="AJ46" s="523"/>
      <c r="AK46" s="523"/>
      <c r="AL46" s="84"/>
      <c r="AM46" s="495"/>
      <c r="AN46" s="495"/>
      <c r="AO46" s="495"/>
      <c r="AP46" s="15"/>
      <c r="AQ46" s="524"/>
      <c r="AR46" s="524"/>
      <c r="AS46" s="524"/>
      <c r="AT46" s="15"/>
      <c r="AU46" s="497"/>
      <c r="AV46" s="497"/>
      <c r="AW46" s="497"/>
      <c r="AX46" s="15"/>
      <c r="AY46" s="287"/>
      <c r="AZ46" s="287"/>
      <c r="BA46" s="287"/>
      <c r="BB46" s="287"/>
      <c r="BC46" s="287"/>
      <c r="BD46" s="287"/>
      <c r="BE46" s="287"/>
      <c r="BG46" s="526" t="str">
        <f ca="1">Horarios!Q45</f>
        <v>Suecia</v>
      </c>
      <c r="BH46" s="527">
        <f t="shared" ca="1" si="0"/>
        <v>1</v>
      </c>
      <c r="BI46" s="527">
        <f ca="1">COUNTIF(ADMIN!$M$130:$M$161,Fixture!BG46)-BJ46-BK46-BL46-BM46-BN46-BO46</f>
        <v>0</v>
      </c>
      <c r="BJ46" s="528">
        <f ca="1">COUNTIF(ADMIN!$M$182:$M$197,Fixture!BG46)-BK46-BL46-BM46-BN46-BO46</f>
        <v>0</v>
      </c>
      <c r="BK46" s="529">
        <f ca="1">COUNTIF(ADMIN!$M$210:$M$217,Fixture!BG46)-BL46-BM46-BN46-BO46</f>
        <v>0</v>
      </c>
      <c r="BL46" s="529">
        <f ca="1">COUNTIF(ADMIN!$M$226:$M$229,BG46)-BM46-BN46-BO46</f>
        <v>0</v>
      </c>
      <c r="BM46" s="527">
        <f ca="1">COUNTIF(ADMIN!$M$252,Fixture!BG46)</f>
        <v>0</v>
      </c>
      <c r="BN46" s="527">
        <f ca="1">COUNTIF(ADMIN!$M$251,Fixture!BG46)</f>
        <v>0</v>
      </c>
      <c r="BO46" s="530">
        <f ca="1">COUNTIF(ADMIN!$M$250,Fixture!BG46)</f>
        <v>0</v>
      </c>
    </row>
    <row r="47" spans="1:67">
      <c r="A47" s="15">
        <v>57</v>
      </c>
      <c r="B47" s="632"/>
      <c r="C47" s="508" t="str">
        <f ca="1">+MID(INDEX(WORLDCUP!$AA$4:$AA$147,MATCH(A47,WORLDCUP!$AH$4:$AH$147,0)),1,3)</f>
        <v>Jap</v>
      </c>
      <c r="D47" s="509" t="str">
        <f>IF(ISBLANK(INDEX(WORLDCUP!$AC$4:$AC$147,MATCH(A47,WORLDCUP!$AH$4:$AH$147,0))),"",INDEX(WORLDCUP!$AC$4:$AC$147,MATCH(A47,WORLDCUP!$AH$4:$AH$147,0)))</f>
        <v/>
      </c>
      <c r="E47" s="509" t="str">
        <f>IF(ISBLANK(INDEX(WORLDCUP!$AD$4:$AD$147,MATCH(A47,WORLDCUP!$AH$4:$AH$147,0))),"",INDEX(WORLDCUP!$AD$4:$AD$147,MATCH(A47,WORLDCUP!$AH$4:$AH$147,0)))</f>
        <v/>
      </c>
      <c r="F47" s="510" t="str">
        <f ca="1">+MID(INDEX(WORLDCUP!$AF$4:$AF$147,MATCH(A47,WORLDCUP!$AH$4:$AH$147,0)),1,3)</f>
        <v>Sue</v>
      </c>
      <c r="G47" s="531">
        <v>4</v>
      </c>
      <c r="H47" s="540" t="str">
        <f ca="1">+MID(INDEX(WORLDCUP!$AL$6:$AL$97,MATCH(L47,WORLDCUP!$AI$6:$AI$97,0)),1,3)</f>
        <v>Tún</v>
      </c>
      <c r="I47" s="541">
        <f ca="1">+INDEX(WORLDCUP!$AM$6:$AM$97,MATCH(L47,WORLDCUP!$AI$6:$AI$97,0))</f>
        <v>0</v>
      </c>
      <c r="J47" s="542">
        <f ca="1">+INDEX(WORLDCUP!$AT$6:$AT$97,MATCH(L47,WORLDCUP!$AI$6:$AI$97,0))</f>
        <v>0</v>
      </c>
      <c r="K47" s="543" t="str">
        <f ca="1">+INDEX(WORLDCUP!$AR$6:$AR$97,MATCH(L47,WORLDCUP!$AI$6:$AI$97,0))&amp;"-"&amp;INDEX(WORLDCUP!$AS$6:$AS$97,MATCH(L47,WORLDCUP!$AI$6:$AI$97,0))</f>
        <v>0-0</v>
      </c>
      <c r="L47" s="15" t="s">
        <v>666</v>
      </c>
      <c r="M47" s="15">
        <v>67</v>
      </c>
      <c r="N47" s="633"/>
      <c r="O47" s="508" t="str">
        <f ca="1">+MID(INDEX(WORLDCUP!$AA$4:$AA$147,MATCH(M47,WORLDCUP!$AH$4:$AH$147,0)),1,3)</f>
        <v>Pan</v>
      </c>
      <c r="P47" s="509" t="str">
        <f>IF(ISBLANK(INDEX(WORLDCUP!$AC$4:$AC$147,MATCH(M47,WORLDCUP!$AH$4:$AH$147,0))),"",INDEX(WORLDCUP!$AC$4:$AC$147,MATCH(M47,WORLDCUP!$AH$4:$AH$147,0)))</f>
        <v/>
      </c>
      <c r="Q47" s="509" t="str">
        <f>IF(ISBLANK(INDEX(WORLDCUP!$AD$4:$AD$147,MATCH(M47,WORLDCUP!$AH$4:$AH$147,0))),"",INDEX(WORLDCUP!$AD$4:$AD$147,MATCH(M47,WORLDCUP!$AH$4:$AH$147,0)))</f>
        <v/>
      </c>
      <c r="R47" s="510" t="str">
        <f ca="1">+MID(INDEX(WORLDCUP!$AF$4:$AF$147,MATCH(M47,WORLDCUP!$AH$4:$AH$147,0)),1,3)</f>
        <v>Ing</v>
      </c>
      <c r="S47" s="531">
        <v>4</v>
      </c>
      <c r="T47" s="540" t="str">
        <f ca="1">+MID(INDEX(WORLDCUP!$AL$6:$AL$97,MATCH(X47,WORLDCUP!$AI$6:$AI$97,0)),1,3)</f>
        <v>Pan</v>
      </c>
      <c r="U47" s="541">
        <f ca="1">+INDEX(WORLDCUP!$AM$6:$AM$97,MATCH(X47,WORLDCUP!$AI$6:$AI$97,0))</f>
        <v>0</v>
      </c>
      <c r="V47" s="542">
        <f ca="1">+INDEX(WORLDCUP!$AT$6:$AT$97,MATCH(X47,WORLDCUP!$AI$6:$AI$97,0))</f>
        <v>0</v>
      </c>
      <c r="W47" s="543" t="str">
        <f ca="1">+INDEX(WORLDCUP!$AR$6:$AR$97,MATCH(X47,WORLDCUP!$AI$6:$AI$97,0))&amp;"-"&amp;INDEX(WORLDCUP!$AS$6:$AS$97,MATCH(X47,WORLDCUP!$AI$6:$AI$97,0))</f>
        <v>0-0</v>
      </c>
      <c r="X47" s="15" t="s">
        <v>684</v>
      </c>
      <c r="Y47" s="15"/>
      <c r="Z47" s="489"/>
      <c r="AA47" s="533"/>
      <c r="AB47" s="533"/>
      <c r="AC47" s="534"/>
      <c r="AD47" s="15">
        <v>96</v>
      </c>
      <c r="AE47" s="520" t="str">
        <f>+MID(INDEX(WORLDCUP!$AF$101:$AF$147,MATCH(AD47,WORLDCUP!$Z$101:$Z$147,0)),1,3)</f>
        <v>W87</v>
      </c>
      <c r="AF47" s="521" t="str">
        <f>+IF(ISBLANK(INDEX(WORLDCUP!$AD$101:$AD$147,MATCH(AD47,WORLDCUP!$Z$101:$Z$147,0))),"",INDEX(WORLDCUP!$AD$101:$AD$147,MATCH(AD47,WORLDCUP!$Z$101:$Z$147,0)))</f>
        <v/>
      </c>
      <c r="AG47" s="538" t="str">
        <f>+IF(ISBLANK(INDEX(WORLDCUP!$AE$101:$AE$147,MATCH(AD47,WORLDCUP!$Z$101:$Z$147,0))),"","( "&amp;INDEX(WORLDCUP!$AE$101:$AE$147,MATCH(AD47,WORLDCUP!$Z$101:$Z$147,0))&amp;" )")</f>
        <v/>
      </c>
      <c r="AH47" s="15"/>
      <c r="AI47" s="523"/>
      <c r="AJ47" s="523"/>
      <c r="AK47" s="523"/>
      <c r="AL47" s="84"/>
      <c r="AM47" s="495"/>
      <c r="AN47" s="495"/>
      <c r="AO47" s="495"/>
      <c r="AP47" s="15"/>
      <c r="AQ47" s="524"/>
      <c r="AR47" s="524"/>
      <c r="AS47" s="524"/>
      <c r="AT47" s="15"/>
      <c r="AU47" s="497"/>
      <c r="AV47" s="497"/>
      <c r="AW47" s="497"/>
      <c r="AX47" s="15"/>
      <c r="AY47" s="287"/>
      <c r="AZ47" s="287"/>
      <c r="BA47" s="287"/>
      <c r="BB47" s="287"/>
      <c r="BC47" s="287"/>
      <c r="BD47" s="287"/>
      <c r="BE47" s="287"/>
      <c r="BG47" s="526" t="str">
        <f ca="1">Horarios!Q46</f>
        <v>Suiza</v>
      </c>
      <c r="BH47" s="527">
        <f t="shared" ca="1" si="0"/>
        <v>1</v>
      </c>
      <c r="BI47" s="527">
        <f ca="1">COUNTIF(ADMIN!$M$130:$M$161,Fixture!BG47)-BJ47-BK47-BL47-BM47-BN47-BO47</f>
        <v>0</v>
      </c>
      <c r="BJ47" s="528">
        <f ca="1">COUNTIF(ADMIN!$M$182:$M$197,Fixture!BG47)-BK47-BL47-BM47-BN47-BO47</f>
        <v>0</v>
      </c>
      <c r="BK47" s="529">
        <f ca="1">COUNTIF(ADMIN!$M$210:$M$217,Fixture!BG47)-BL47-BM47-BN47-BO47</f>
        <v>0</v>
      </c>
      <c r="BL47" s="529">
        <f ca="1">COUNTIF(ADMIN!$M$226:$M$229,BG47)-BM47-BN47-BO47</f>
        <v>0</v>
      </c>
      <c r="BM47" s="527">
        <f ca="1">COUNTIF(ADMIN!$M$252,Fixture!BG47)</f>
        <v>0</v>
      </c>
      <c r="BN47" s="527">
        <f ca="1">COUNTIF(ADMIN!$M$251,Fixture!BG47)</f>
        <v>0</v>
      </c>
      <c r="BO47" s="530">
        <f ca="1">COUNTIF(ADMIN!$M$250,Fixture!BG47)</f>
        <v>0</v>
      </c>
    </row>
    <row r="48" spans="1:67" ht="15.75" thickBot="1">
      <c r="A48" s="15">
        <v>58</v>
      </c>
      <c r="B48" s="634"/>
      <c r="C48" s="551" t="str">
        <f ca="1">+MID(INDEX(WORLDCUP!$AA$4:$AA$147,MATCH(A48,WORLDCUP!$AH$4:$AH$147,0)),1,3)</f>
        <v>Tún</v>
      </c>
      <c r="D48" s="552" t="str">
        <f>IF(ISBLANK(INDEX(WORLDCUP!$AC$4:$AC$147,MATCH(A48,WORLDCUP!$AH$4:$AH$147,0))),"",INDEX(WORLDCUP!$AC$4:$AC$147,MATCH(A48,WORLDCUP!$AH$4:$AH$147,0)))</f>
        <v/>
      </c>
      <c r="E48" s="552" t="str">
        <f>IF(ISBLANK(INDEX(WORLDCUP!$AD$4:$AD$147,MATCH(A48,WORLDCUP!$AH$4:$AH$147,0))),"",INDEX(WORLDCUP!$AD$4:$AD$147,MATCH(A48,WORLDCUP!$AH$4:$AH$147,0)))</f>
        <v/>
      </c>
      <c r="F48" s="553" t="str">
        <f ca="1">+MID(INDEX(WORLDCUP!$AF$4:$AF$147,MATCH(A48,WORLDCUP!$AH$4:$AH$147,0)),1,3)</f>
        <v>Paí</v>
      </c>
      <c r="G48" s="554"/>
      <c r="H48" s="554"/>
      <c r="I48" s="555"/>
      <c r="J48" s="555"/>
      <c r="K48" s="556"/>
      <c r="L48" s="15"/>
      <c r="M48" s="15">
        <v>68</v>
      </c>
      <c r="N48" s="635"/>
      <c r="O48" s="551" t="str">
        <f ca="1">+MID(INDEX(WORLDCUP!$AA$4:$AA$147,MATCH(M48,WORLDCUP!$AH$4:$AH$147,0)),1,3)</f>
        <v>Cro</v>
      </c>
      <c r="P48" s="552" t="str">
        <f>IF(ISBLANK(INDEX(WORLDCUP!$AC$4:$AC$147,MATCH(M48,WORLDCUP!$AH$4:$AH$147,0))),"",INDEX(WORLDCUP!$AC$4:$AC$147,MATCH(M48,WORLDCUP!$AH$4:$AH$147,0)))</f>
        <v/>
      </c>
      <c r="Q48" s="552" t="str">
        <f>IF(ISBLANK(INDEX(WORLDCUP!$AD$4:$AD$147,MATCH(M48,WORLDCUP!$AH$4:$AH$147,0))),"",INDEX(WORLDCUP!$AD$4:$AD$147,MATCH(M48,WORLDCUP!$AH$4:$AH$147,0)))</f>
        <v/>
      </c>
      <c r="R48" s="553" t="str">
        <f ca="1">+MID(INDEX(WORLDCUP!$AF$4:$AF$147,MATCH(M48,WORLDCUP!$AH$4:$AH$147,0)),1,3)</f>
        <v>Gha</v>
      </c>
      <c r="S48" s="554"/>
      <c r="T48" s="554"/>
      <c r="U48" s="555"/>
      <c r="V48" s="555"/>
      <c r="W48" s="556"/>
      <c r="X48" s="15"/>
      <c r="Y48" s="15">
        <v>87</v>
      </c>
      <c r="Z48" s="489" t="s">
        <v>679</v>
      </c>
      <c r="AA48" s="490" t="str">
        <f ca="1">+MID(INDEX(WORLDCUP!$AA$101:$AA$147,MATCH(Y48,WORLDCUP!$Z$101:$Z$147,0)),1,3)</f>
        <v>1K</v>
      </c>
      <c r="AB48" s="536" t="str">
        <f>+IF(ISBLANK(INDEX(WORLDCUP!$AC$101:$AC$147,MATCH(Y48,WORLDCUP!$Z$101:$Z$147,0))),"",INDEX(WORLDCUP!$AC$101:$AC$147,MATCH(Y48,WORLDCUP!$Z$101:$Z$147,0)))</f>
        <v/>
      </c>
      <c r="AC48" s="570" t="str">
        <f>+IF(ISBLANK(INDEX(WORLDCUP!$AB$101:$AB$147,MATCH(Y48,WORLDCUP!$Z$101:$Z$147,0))),"","( "&amp;INDEX(WORLDCUP!$AB$101:$AB$147,MATCH(Y48,WORLDCUP!$Z$101:$Z$147,0))&amp;" )")</f>
        <v/>
      </c>
      <c r="AD48" s="15"/>
      <c r="AE48" s="493"/>
      <c r="AF48" s="493"/>
      <c r="AG48" s="493"/>
      <c r="AH48" s="15"/>
      <c r="AI48" s="523"/>
      <c r="AJ48" s="523"/>
      <c r="AK48" s="523"/>
      <c r="AL48" s="84"/>
      <c r="AM48" s="495"/>
      <c r="AN48" s="495"/>
      <c r="AO48" s="495"/>
      <c r="AP48" s="15"/>
      <c r="AQ48" s="524"/>
      <c r="AR48" s="524"/>
      <c r="AS48" s="524"/>
      <c r="AT48" s="15"/>
      <c r="AU48" s="497"/>
      <c r="AV48" s="497"/>
      <c r="AW48" s="497"/>
      <c r="AX48" s="15"/>
      <c r="AY48" s="287"/>
      <c r="AZ48" s="287"/>
      <c r="BA48" s="287"/>
      <c r="BB48" s="287"/>
      <c r="BC48" s="287"/>
      <c r="BD48" s="287"/>
      <c r="BE48" s="287"/>
      <c r="BG48" s="526" t="str">
        <f ca="1">Horarios!Q47</f>
        <v>Túnez</v>
      </c>
      <c r="BH48" s="527">
        <f t="shared" ca="1" si="0"/>
        <v>1</v>
      </c>
      <c r="BI48" s="527">
        <f ca="1">COUNTIF(ADMIN!$M$130:$M$161,Fixture!BG48)-BJ48-BK48-BL48-BM48-BN48-BO48</f>
        <v>0</v>
      </c>
      <c r="BJ48" s="528">
        <f ca="1">COUNTIF(ADMIN!$M$182:$M$197,Fixture!BG48)-BK48-BL48-BM48-BN48-BO48</f>
        <v>0</v>
      </c>
      <c r="BK48" s="529">
        <f ca="1">COUNTIF(ADMIN!$M$210:$M$217,Fixture!BG48)-BL48-BM48-BN48-BO48</f>
        <v>0</v>
      </c>
      <c r="BL48" s="529">
        <f ca="1">COUNTIF(ADMIN!$M$226:$M$229,BG48)-BM48-BN48-BO48</f>
        <v>0</v>
      </c>
      <c r="BM48" s="527">
        <f ca="1">COUNTIF(ADMIN!$M$252,Fixture!BG48)</f>
        <v>0</v>
      </c>
      <c r="BN48" s="527">
        <f ca="1">COUNTIF(ADMIN!$M$251,Fixture!BG48)</f>
        <v>0</v>
      </c>
      <c r="BO48" s="530">
        <f ca="1">COUNTIF(ADMIN!$M$250,Fixture!BG48)</f>
        <v>0</v>
      </c>
    </row>
    <row r="49" spans="1:67">
      <c r="A49" s="15"/>
      <c r="B49" s="237"/>
      <c r="C49" s="287"/>
      <c r="D49" s="287"/>
      <c r="E49" s="287"/>
      <c r="F49" s="287"/>
      <c r="G49" s="287"/>
      <c r="H49" s="287"/>
      <c r="I49" s="287"/>
      <c r="J49" s="287"/>
      <c r="K49" s="287"/>
      <c r="L49" s="287"/>
      <c r="M49" s="15"/>
      <c r="N49" s="237"/>
      <c r="O49" s="287"/>
      <c r="P49" s="287"/>
      <c r="Q49" s="287"/>
      <c r="R49" s="287"/>
      <c r="S49" s="287"/>
      <c r="T49" s="287"/>
      <c r="U49" s="287"/>
      <c r="V49" s="287"/>
      <c r="W49" s="287"/>
      <c r="X49" s="15"/>
      <c r="Y49" s="15">
        <v>87</v>
      </c>
      <c r="Z49" s="489" t="s">
        <v>729</v>
      </c>
      <c r="AA49" s="544" t="str">
        <f ca="1">+MID(INDEX(WORLDCUP!$AF$101:$AF$147,MATCH(Y49,WORLDCUP!$Z$101:$Z$147,0)),1,IF(WORLDCUP!$H$113&lt;144,6,3))</f>
        <v>3DEIJL</v>
      </c>
      <c r="AB49" s="545" t="str">
        <f>+IF(ISBLANK(INDEX(WORLDCUP!$AD$101:$AD$147,MATCH(Y49,WORLDCUP!$Z$101:$Z$147,0))),"",INDEX(WORLDCUP!$AD$101:$AD$147,MATCH(Y49,WORLDCUP!$Z$101:$Z$147,0)))</f>
        <v/>
      </c>
      <c r="AC49" s="571" t="str">
        <f>+IF(ISBLANK(INDEX(WORLDCUP!$AE$101:$AE$147,MATCH(Y49,WORLDCUP!$Z$101:$Z$147,0))),"","( "&amp;INDEX(WORLDCUP!$AE$101:$AE$147,MATCH(Y49,WORLDCUP!$Z$101:$Z$147,0))&amp;" )")</f>
        <v/>
      </c>
      <c r="AD49" s="15"/>
      <c r="AE49" s="493"/>
      <c r="AF49" s="493"/>
      <c r="AG49" s="493"/>
      <c r="AH49" s="15"/>
      <c r="AI49" s="523"/>
      <c r="AJ49" s="523"/>
      <c r="AK49" s="523"/>
      <c r="AL49" s="84"/>
      <c r="AM49" s="495"/>
      <c r="AN49" s="495"/>
      <c r="AO49" s="495"/>
      <c r="AP49" s="15"/>
      <c r="AQ49" s="524"/>
      <c r="AR49" s="524"/>
      <c r="AS49" s="524"/>
      <c r="AT49" s="15"/>
      <c r="AU49" s="497"/>
      <c r="AV49" s="497"/>
      <c r="AW49" s="497"/>
      <c r="AX49" s="15"/>
      <c r="AY49" s="287"/>
      <c r="AZ49" s="287"/>
      <c r="BA49" s="287"/>
      <c r="BB49" s="287"/>
      <c r="BC49" s="287"/>
      <c r="BD49" s="287"/>
      <c r="BE49" s="287"/>
      <c r="BG49" s="526" t="str">
        <f ca="1">Horarios!Q48</f>
        <v>Turquía</v>
      </c>
      <c r="BH49" s="527">
        <f t="shared" ca="1" si="0"/>
        <v>1</v>
      </c>
      <c r="BI49" s="527">
        <f ca="1">COUNTIF(ADMIN!$M$130:$M$161,Fixture!BG49)-BJ49-BK49-BL49-BM49-BN49-BO49</f>
        <v>0</v>
      </c>
      <c r="BJ49" s="528">
        <f ca="1">COUNTIF(ADMIN!$M$182:$M$197,Fixture!BG49)-BK49-BL49-BM49-BN49-BO49</f>
        <v>0</v>
      </c>
      <c r="BK49" s="529">
        <f ca="1">COUNTIF(ADMIN!$M$210:$M$217,Fixture!BG49)-BL49-BM49-BN49-BO49</f>
        <v>0</v>
      </c>
      <c r="BL49" s="529">
        <f ca="1">COUNTIF(ADMIN!$M$226:$M$229,BG49)-BM49-BN49-BO49</f>
        <v>0</v>
      </c>
      <c r="BM49" s="527">
        <f ca="1">COUNTIF(ADMIN!$M$252,Fixture!BG49)</f>
        <v>0</v>
      </c>
      <c r="BN49" s="527">
        <f ca="1">COUNTIF(ADMIN!$M$251,Fixture!BG49)</f>
        <v>0</v>
      </c>
      <c r="BO49" s="530">
        <f ca="1">COUNTIF(ADMIN!$M$250,Fixture!BG49)</f>
        <v>0</v>
      </c>
    </row>
    <row r="50" spans="1:67" ht="15" customHeight="1">
      <c r="A50" s="15"/>
      <c r="B50" s="237"/>
      <c r="C50" s="287"/>
      <c r="D50" s="287"/>
      <c r="E50" s="287"/>
      <c r="F50" s="287"/>
      <c r="G50" s="287"/>
      <c r="H50" s="287"/>
      <c r="I50" s="287"/>
      <c r="J50" s="287"/>
      <c r="K50" s="287"/>
      <c r="L50" s="287"/>
      <c r="M50" s="15"/>
      <c r="N50" s="237"/>
      <c r="O50" s="287"/>
      <c r="P50" s="287"/>
      <c r="Q50" s="287"/>
      <c r="R50" s="287"/>
      <c r="S50" s="287"/>
      <c r="T50" s="287"/>
      <c r="U50" s="287"/>
      <c r="V50" s="287"/>
      <c r="W50" s="287"/>
      <c r="X50" s="287"/>
      <c r="Y50" s="14"/>
      <c r="Z50" s="14"/>
      <c r="AA50" s="636"/>
      <c r="AB50" s="636"/>
      <c r="AC50" s="636"/>
      <c r="AD50" s="15"/>
      <c r="AE50" s="637"/>
      <c r="AF50" s="637"/>
      <c r="AG50" s="637"/>
      <c r="AH50" s="15"/>
      <c r="AI50" s="523"/>
      <c r="AJ50" s="523"/>
      <c r="AK50" s="523"/>
      <c r="AL50" s="84"/>
      <c r="AM50" s="495"/>
      <c r="AN50" s="495"/>
      <c r="AO50" s="495"/>
      <c r="AP50" s="15"/>
      <c r="AQ50" s="496"/>
      <c r="AR50" s="496"/>
      <c r="AS50" s="496"/>
      <c r="AT50" s="15"/>
      <c r="AU50" s="638"/>
      <c r="AV50" s="638"/>
      <c r="AW50" s="638"/>
      <c r="AX50" s="15"/>
      <c r="AY50" s="287"/>
      <c r="AZ50" s="287"/>
      <c r="BA50" s="287"/>
      <c r="BB50" s="287"/>
      <c r="BC50" s="287"/>
      <c r="BD50" s="287"/>
      <c r="BE50" s="287"/>
      <c r="BG50" s="526" t="str">
        <f ca="1">Horarios!Q49</f>
        <v>Uruguay</v>
      </c>
      <c r="BH50" s="527">
        <f t="shared" ca="1" si="0"/>
        <v>1</v>
      </c>
      <c r="BI50" s="527">
        <f ca="1">COUNTIF(ADMIN!$M$130:$M$161,Fixture!BG50)-BJ50-BK50-BL50-BM50-BN50-BO50</f>
        <v>0</v>
      </c>
      <c r="BJ50" s="528">
        <f ca="1">COUNTIF(ADMIN!$M$182:$M$197,Fixture!BG50)-BK50-BL50-BM50-BN50-BO50</f>
        <v>0</v>
      </c>
      <c r="BK50" s="529">
        <f ca="1">COUNTIF(ADMIN!$M$210:$M$217,Fixture!BG50)-BL50-BM50-BN50-BO50</f>
        <v>0</v>
      </c>
      <c r="BL50" s="529">
        <f ca="1">COUNTIF(ADMIN!$M$226:$M$229,BG50)-BM50-BN50-BO50</f>
        <v>0</v>
      </c>
      <c r="BM50" s="527">
        <f ca="1">COUNTIF(ADMIN!$M$252,Fixture!BG50)</f>
        <v>0</v>
      </c>
      <c r="BN50" s="527">
        <f ca="1">COUNTIF(ADMIN!$M$251,Fixture!BG50)</f>
        <v>0</v>
      </c>
      <c r="BO50" s="530">
        <f ca="1">COUNTIF(ADMIN!$M$250,Fixture!BG50)</f>
        <v>0</v>
      </c>
    </row>
    <row r="51" spans="1:67">
      <c r="A51" s="15"/>
      <c r="B51" s="237"/>
      <c r="C51" s="287"/>
      <c r="D51" s="287"/>
      <c r="E51" s="287"/>
      <c r="F51" s="287"/>
      <c r="G51" s="287"/>
      <c r="H51" s="287"/>
      <c r="I51" s="287"/>
      <c r="J51" s="287"/>
      <c r="K51" s="287"/>
      <c r="L51" s="287"/>
      <c r="M51" s="15"/>
      <c r="N51" s="237"/>
      <c r="O51" s="287"/>
      <c r="P51" s="287"/>
      <c r="Q51" s="287"/>
      <c r="R51" s="287"/>
      <c r="S51" s="287"/>
      <c r="T51" s="287"/>
      <c r="U51" s="287"/>
      <c r="V51" s="287"/>
      <c r="W51" s="287"/>
      <c r="X51" s="287"/>
      <c r="Y51" s="237"/>
      <c r="Z51" s="237"/>
      <c r="AA51" s="287"/>
      <c r="AB51" s="287"/>
      <c r="AC51" s="287"/>
      <c r="AD51" s="237"/>
      <c r="AE51" s="287"/>
      <c r="AF51" s="287"/>
      <c r="AG51" s="287"/>
      <c r="AH51" s="237"/>
      <c r="AI51" s="287"/>
      <c r="AJ51" s="287"/>
      <c r="AK51" s="287"/>
      <c r="AL51" s="237"/>
      <c r="AM51" s="287"/>
      <c r="AN51" s="287"/>
      <c r="AO51" s="287"/>
      <c r="AP51" s="237"/>
      <c r="AQ51" s="287"/>
      <c r="AR51" s="287"/>
      <c r="AS51" s="287"/>
      <c r="AT51" s="237"/>
      <c r="AU51" s="287"/>
      <c r="AV51" s="287"/>
      <c r="AW51" s="287"/>
      <c r="AX51" s="287"/>
      <c r="AY51" s="287"/>
      <c r="AZ51" s="287"/>
      <c r="BA51" s="287"/>
      <c r="BB51" s="287"/>
      <c r="BC51" s="287"/>
      <c r="BD51" s="287"/>
      <c r="BE51" s="287"/>
      <c r="BG51" s="639" t="str">
        <f ca="1">Horarios!Q50</f>
        <v>Uzbekistán</v>
      </c>
      <c r="BH51" s="640">
        <f t="shared" ca="1" si="0"/>
        <v>1</v>
      </c>
      <c r="BI51" s="640">
        <f ca="1">COUNTIF(ADMIN!$M$130:$M$161,Fixture!BG51)-BJ51-BK51-BL51-BM51-BN51-BO51</f>
        <v>0</v>
      </c>
      <c r="BJ51" s="641">
        <f ca="1">COUNTIF(ADMIN!$M$182:$M$197,Fixture!BG51)-BK51-BL51-BM51-BN51-BO51</f>
        <v>0</v>
      </c>
      <c r="BK51" s="642">
        <f ca="1">COUNTIF(ADMIN!$M$210:$M$217,Fixture!BG51)-BL51-BM51-BN51-BO51</f>
        <v>0</v>
      </c>
      <c r="BL51" s="642">
        <f ca="1">COUNTIF(ADMIN!$M$226:$M$229,BG51)-BM51-BN51-BO51</f>
        <v>0</v>
      </c>
      <c r="BM51" s="640">
        <f ca="1">COUNTIF(ADMIN!$M$252,Fixture!BG51)</f>
        <v>0</v>
      </c>
      <c r="BN51" s="640">
        <f ca="1">COUNTIF(ADMIN!$M$251,Fixture!BG51)</f>
        <v>0</v>
      </c>
      <c r="BO51" s="643">
        <f ca="1">COUNTIF(ADMIN!$M$250,Fixture!BG51)</f>
        <v>0</v>
      </c>
    </row>
    <row r="52" spans="1:67">
      <c r="A52" s="15"/>
      <c r="B52" s="237"/>
      <c r="C52" s="287"/>
      <c r="D52" s="287"/>
      <c r="E52" s="287"/>
      <c r="F52" s="287"/>
      <c r="G52" s="287"/>
      <c r="H52" s="287"/>
      <c r="I52" s="287"/>
      <c r="J52" s="287"/>
      <c r="K52" s="287"/>
      <c r="L52" s="287"/>
      <c r="M52" s="15"/>
      <c r="N52" s="237"/>
      <c r="O52" s="287"/>
      <c r="P52" s="287"/>
      <c r="Q52" s="287"/>
      <c r="R52" s="287"/>
      <c r="S52" s="287"/>
      <c r="T52" s="287"/>
      <c r="U52" s="287"/>
      <c r="V52" s="287"/>
      <c r="W52" s="287"/>
      <c r="X52" s="287"/>
      <c r="Y52" s="237"/>
      <c r="Z52" s="237"/>
      <c r="AA52" s="287"/>
      <c r="AB52" s="287"/>
      <c r="AC52" s="287"/>
      <c r="AD52" s="237"/>
      <c r="AE52" s="287"/>
      <c r="AF52" s="287"/>
      <c r="AG52" s="287"/>
      <c r="AH52" s="237"/>
      <c r="AI52" s="287"/>
      <c r="AJ52" s="287"/>
      <c r="AK52" s="287"/>
      <c r="AL52" s="237"/>
      <c r="AM52" s="287"/>
      <c r="AN52" s="287"/>
      <c r="AO52" s="287"/>
      <c r="AP52" s="237"/>
      <c r="AQ52" s="287"/>
      <c r="AR52" s="287"/>
      <c r="AS52" s="287"/>
      <c r="AT52" s="237"/>
      <c r="AU52" s="287"/>
      <c r="AV52" s="287"/>
      <c r="AW52" s="287"/>
      <c r="AX52" s="287"/>
      <c r="AY52" s="287"/>
      <c r="AZ52" s="287"/>
      <c r="BA52" s="287"/>
      <c r="BB52" s="287"/>
      <c r="BC52" s="287"/>
      <c r="BD52" s="287"/>
      <c r="BE52" s="287"/>
    </row>
    <row r="53" spans="1:67">
      <c r="W53" s="8"/>
      <c r="X53" s="1"/>
      <c r="BB53" s="565"/>
    </row>
    <row r="54" spans="1:67">
      <c r="W54" s="8"/>
      <c r="X54" s="1"/>
      <c r="BB54" s="565"/>
    </row>
    <row r="55" spans="1:67">
      <c r="W55" s="8"/>
      <c r="X55" s="1"/>
      <c r="BB55" s="565"/>
    </row>
    <row r="56" spans="1:67">
      <c r="W56" s="8"/>
      <c r="X56" s="1"/>
      <c r="BB56" s="565"/>
    </row>
    <row r="57" spans="1:67">
      <c r="W57" s="8"/>
      <c r="X57" s="1"/>
      <c r="BB57" s="565"/>
    </row>
  </sheetData>
  <conditionalFormatting sqref="BH4:BH51">
    <cfRule type="expression" dxfId="17" priority="1">
      <formula>$BH4=1</formula>
    </cfRule>
  </conditionalFormatting>
  <conditionalFormatting sqref="BH4:BI51">
    <cfRule type="expression" dxfId="16" priority="2">
      <formula>$BI4=1</formula>
    </cfRule>
  </conditionalFormatting>
  <conditionalFormatting sqref="BH4:BJ51">
    <cfRule type="expression" dxfId="15" priority="3">
      <formula>$BJ4=1</formula>
    </cfRule>
  </conditionalFormatting>
  <conditionalFormatting sqref="BH4:BK51">
    <cfRule type="expression" dxfId="14" priority="4">
      <formula>$BK4=1</formula>
    </cfRule>
  </conditionalFormatting>
  <conditionalFormatting sqref="BH4:BL51">
    <cfRule type="expression" dxfId="13" priority="5">
      <formula>$BL4=1</formula>
    </cfRule>
  </conditionalFormatting>
  <conditionalFormatting sqref="BH4:BM51">
    <cfRule type="expression" dxfId="12" priority="6">
      <formula>$BM4=1</formula>
    </cfRule>
  </conditionalFormatting>
  <conditionalFormatting sqref="BH4:BN51">
    <cfRule type="expression" dxfId="11" priority="7">
      <formula>$BN4=1</formula>
    </cfRule>
  </conditionalFormatting>
  <conditionalFormatting sqref="BH4:BO51">
    <cfRule type="expression" dxfId="10" priority="8">
      <formula>$BO4=1</formula>
    </cfRule>
  </conditionalFormatting>
  <pageMargins left="0.7" right="0.7" top="0.75" bottom="0.75" header="0.3" footer="0.3"/>
  <pageSetup paperSize="9" scale="62" orientation="landscape"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dimension ref="A1:AB93"/>
  <sheetViews>
    <sheetView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2"/>
      <c r="B1" s="22"/>
      <c r="C1" s="22"/>
      <c r="D1" s="22"/>
      <c r="E1" s="24"/>
      <c r="F1" s="24"/>
      <c r="G1" s="24"/>
      <c r="H1" s="24"/>
      <c r="I1" s="24"/>
      <c r="J1" s="24"/>
      <c r="K1" s="23"/>
      <c r="L1" s="23"/>
      <c r="M1" s="23"/>
      <c r="N1" s="23"/>
    </row>
    <row r="2" spans="1:20">
      <c r="A2" s="22"/>
      <c r="B2" s="31" t="str">
        <f>Idiomas!D84</f>
        <v>Limitación de responsabilidad:</v>
      </c>
      <c r="C2" s="25"/>
      <c r="D2" s="25"/>
      <c r="E2" s="26"/>
      <c r="F2" s="26"/>
      <c r="G2" s="26"/>
      <c r="H2" s="26"/>
      <c r="I2" s="26"/>
      <c r="J2" s="26"/>
      <c r="K2" s="23"/>
      <c r="L2" s="31" t="s">
        <v>186</v>
      </c>
      <c r="M2" s="23"/>
      <c r="N2" s="23"/>
      <c r="O2" s="23"/>
      <c r="P2" s="23"/>
      <c r="Q2" s="23"/>
      <c r="R2" s="4"/>
      <c r="S2" s="666"/>
      <c r="T2" s="666"/>
    </row>
    <row r="3" spans="1:20">
      <c r="A3" s="22"/>
      <c r="B3" s="86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69"/>
      <c r="D3" s="869"/>
      <c r="E3" s="869"/>
      <c r="F3" s="869"/>
      <c r="G3" s="869"/>
      <c r="H3" s="869"/>
      <c r="I3" s="869"/>
      <c r="J3" s="870"/>
      <c r="K3" s="23"/>
      <c r="L3" s="652"/>
      <c r="M3" s="653"/>
      <c r="N3" s="653"/>
      <c r="O3" s="653"/>
      <c r="P3" s="653"/>
      <c r="Q3" s="653"/>
      <c r="R3" s="653"/>
      <c r="S3" s="667"/>
      <c r="T3" s="668"/>
    </row>
    <row r="4" spans="1:20">
      <c r="A4" s="22"/>
      <c r="B4" s="871"/>
      <c r="C4" s="872"/>
      <c r="D4" s="872"/>
      <c r="E4" s="872"/>
      <c r="F4" s="872"/>
      <c r="G4" s="872"/>
      <c r="H4" s="872"/>
      <c r="I4" s="872"/>
      <c r="J4" s="873"/>
      <c r="K4" s="23"/>
      <c r="L4" s="654" t="str">
        <f>Idiomas!D86</f>
        <v>· Selecciona el idioma en el que quieras hacer la porra y la zona horaria</v>
      </c>
      <c r="M4" s="131"/>
      <c r="N4" s="131"/>
      <c r="O4" s="131"/>
      <c r="P4" s="131"/>
      <c r="Q4" s="131"/>
      <c r="R4" s="131"/>
      <c r="S4" s="669"/>
      <c r="T4" s="670"/>
    </row>
    <row r="5" spans="1:20">
      <c r="A5" s="22"/>
      <c r="B5" s="871"/>
      <c r="C5" s="872"/>
      <c r="D5" s="872"/>
      <c r="E5" s="872"/>
      <c r="F5" s="872"/>
      <c r="G5" s="872"/>
      <c r="H5" s="872"/>
      <c r="I5" s="872"/>
      <c r="J5" s="873"/>
      <c r="K5" s="23"/>
      <c r="L5" s="654" t="str">
        <f>Idiomas!D87</f>
        <v>· Escribe el nombre del grupo de la porra/quiniela</v>
      </c>
      <c r="M5" s="131"/>
      <c r="N5" s="131"/>
      <c r="O5" s="131"/>
      <c r="P5" s="131"/>
      <c r="Q5" s="131"/>
      <c r="R5" s="131"/>
      <c r="S5" s="669"/>
      <c r="T5" s="670"/>
    </row>
    <row r="6" spans="1:20">
      <c r="A6" s="22"/>
      <c r="B6" s="871"/>
      <c r="C6" s="872"/>
      <c r="D6" s="872"/>
      <c r="E6" s="872"/>
      <c r="F6" s="872"/>
      <c r="G6" s="872"/>
      <c r="H6" s="872"/>
      <c r="I6" s="872"/>
      <c r="J6" s="873"/>
      <c r="K6" s="23"/>
      <c r="L6" s="880" t="str">
        <f>HYPERLINK(Idiomas!D103,Idiomas!D88)</f>
        <v>· El archivo de participante lo puedes descargar desde aquí</v>
      </c>
      <c r="M6" s="881"/>
      <c r="N6" s="881"/>
      <c r="O6" s="881"/>
      <c r="P6" s="131"/>
      <c r="Q6" s="131"/>
      <c r="R6" s="131"/>
      <c r="S6" s="669"/>
      <c r="T6" s="670"/>
    </row>
    <row r="7" spans="1:20">
      <c r="A7" s="22"/>
      <c r="B7" s="871"/>
      <c r="C7" s="872"/>
      <c r="D7" s="872"/>
      <c r="E7" s="872"/>
      <c r="F7" s="872"/>
      <c r="G7" s="872"/>
      <c r="H7" s="872"/>
      <c r="I7" s="872"/>
      <c r="J7" s="873"/>
      <c r="K7" s="23"/>
      <c r="L7" s="655"/>
      <c r="M7" s="656"/>
      <c r="N7" s="656"/>
      <c r="O7" s="656"/>
      <c r="P7" s="656"/>
      <c r="Q7" s="656"/>
      <c r="R7" s="656"/>
      <c r="S7" s="671"/>
      <c r="T7" s="672"/>
    </row>
    <row r="8" spans="1:20">
      <c r="A8" s="22"/>
      <c r="B8" s="871"/>
      <c r="C8" s="872"/>
      <c r="D8" s="872"/>
      <c r="E8" s="872"/>
      <c r="F8" s="872"/>
      <c r="G8" s="872"/>
      <c r="H8" s="872"/>
      <c r="I8" s="872"/>
      <c r="J8" s="873"/>
      <c r="K8" s="23"/>
      <c r="L8" s="4"/>
      <c r="M8" s="4"/>
      <c r="N8" s="4"/>
      <c r="O8" s="4"/>
      <c r="P8" s="4"/>
      <c r="Q8" s="4"/>
      <c r="R8" s="4"/>
      <c r="S8" s="666"/>
      <c r="T8" s="666"/>
    </row>
    <row r="9" spans="1:20">
      <c r="A9" s="22"/>
      <c r="B9" s="871"/>
      <c r="C9" s="872"/>
      <c r="D9" s="872"/>
      <c r="E9" s="872"/>
      <c r="F9" s="872"/>
      <c r="G9" s="872"/>
      <c r="H9" s="872"/>
      <c r="I9" s="872"/>
      <c r="J9" s="873"/>
      <c r="K9" s="23"/>
      <c r="L9" s="31" t="str">
        <f>"ADMIN"&amp;" "&amp;Idiomas!D89</f>
        <v>ADMIN (Antes de empezar el mundial)</v>
      </c>
      <c r="M9" s="661"/>
      <c r="N9" s="4"/>
      <c r="O9" s="4"/>
      <c r="P9" s="4"/>
      <c r="Q9" s="4"/>
      <c r="R9" s="4"/>
      <c r="S9" s="666"/>
      <c r="T9" s="666"/>
    </row>
    <row r="10" spans="1:20">
      <c r="A10" s="22"/>
      <c r="B10" s="871"/>
      <c r="C10" s="872"/>
      <c r="D10" s="872"/>
      <c r="E10" s="872"/>
      <c r="F10" s="872"/>
      <c r="G10" s="872"/>
      <c r="H10" s="872"/>
      <c r="I10" s="872"/>
      <c r="J10" s="873"/>
      <c r="K10" s="23"/>
      <c r="L10" s="652"/>
      <c r="M10" s="653"/>
      <c r="N10" s="653"/>
      <c r="O10" s="653"/>
      <c r="P10" s="653"/>
      <c r="Q10" s="653"/>
      <c r="R10" s="653"/>
      <c r="S10" s="667"/>
      <c r="T10" s="668"/>
    </row>
    <row r="11" spans="1:20">
      <c r="A11" s="22"/>
      <c r="B11" s="871"/>
      <c r="C11" s="872"/>
      <c r="D11" s="872"/>
      <c r="E11" s="872"/>
      <c r="F11" s="872"/>
      <c r="G11" s="872"/>
      <c r="H11" s="872"/>
      <c r="I11" s="872"/>
      <c r="J11" s="873"/>
      <c r="K11" s="23"/>
      <c r="L11" s="654" t="str">
        <f>Idiomas!D91</f>
        <v>· Esta hoja sirve para administrar la porra/quiniela</v>
      </c>
      <c r="M11" s="131"/>
      <c r="N11" s="131"/>
      <c r="O11" s="131"/>
      <c r="P11" s="131"/>
      <c r="Q11" s="131"/>
      <c r="R11" s="131"/>
      <c r="S11" s="669"/>
      <c r="T11" s="670"/>
    </row>
    <row r="12" spans="1:20">
      <c r="A12" s="22"/>
      <c r="B12" s="874"/>
      <c r="C12" s="875"/>
      <c r="D12" s="875"/>
      <c r="E12" s="875"/>
      <c r="F12" s="875"/>
      <c r="G12" s="875"/>
      <c r="H12" s="875"/>
      <c r="I12" s="875"/>
      <c r="J12" s="876"/>
      <c r="K12" s="23"/>
      <c r="L12" s="654" t="str">
        <f>Idiomas!D92</f>
        <v>· Lo primero, establece la puntuación para cada criterio y comparte la puntuación con los participantes</v>
      </c>
      <c r="M12" s="131"/>
      <c r="N12" s="131"/>
      <c r="O12" s="131"/>
      <c r="P12" s="131"/>
      <c r="Q12" s="131"/>
      <c r="R12" s="660"/>
      <c r="S12" s="669"/>
      <c r="T12" s="670"/>
    </row>
    <row r="13" spans="1:20">
      <c r="A13" s="22"/>
      <c r="B13" s="27"/>
      <c r="C13" s="27"/>
      <c r="D13" s="27"/>
      <c r="E13" s="27"/>
      <c r="F13" s="27"/>
      <c r="G13" s="27"/>
      <c r="H13" s="27"/>
      <c r="I13" s="27"/>
      <c r="J13" s="27"/>
      <c r="K13" s="23"/>
      <c r="L13" s="880" t="str">
        <f>HYPERLINK(Idiomas!D302,Idiomas!D93)</f>
        <v>· Aquí explicamos cada criterio de puntuación</v>
      </c>
      <c r="M13" s="881"/>
      <c r="N13" s="881"/>
      <c r="O13" s="881"/>
      <c r="P13" s="131"/>
      <c r="Q13" s="131"/>
      <c r="R13" s="131"/>
      <c r="S13" s="669"/>
      <c r="T13" s="670"/>
    </row>
    <row r="14" spans="1:20">
      <c r="A14" s="22"/>
      <c r="B14" s="126"/>
      <c r="C14" s="127"/>
      <c r="D14" s="127"/>
      <c r="E14" s="127"/>
      <c r="F14" s="127"/>
      <c r="G14" s="127"/>
      <c r="H14" s="127"/>
      <c r="I14" s="127"/>
      <c r="J14" s="128"/>
      <c r="K14" s="23"/>
      <c r="L14" s="657" t="str">
        <f>Idiomas!D94</f>
        <v>· Cuando los participantes te envíen su archivo, copia sus pronósticos de la hoja “Pool”, en esta hoja ADMIN</v>
      </c>
      <c r="M14" s="131"/>
      <c r="N14" s="131"/>
      <c r="O14" s="131"/>
      <c r="P14" s="131"/>
      <c r="Q14" s="131"/>
      <c r="R14" s="131"/>
      <c r="S14" s="669"/>
      <c r="T14" s="670"/>
    </row>
    <row r="15" spans="1:20">
      <c r="A15" s="22"/>
      <c r="B15" s="129" t="str">
        <f>Idiomas!D82</f>
        <v>Autor:</v>
      </c>
      <c r="C15" s="130" t="s">
        <v>25</v>
      </c>
      <c r="D15" s="130"/>
      <c r="E15" s="130" t="s">
        <v>1311</v>
      </c>
      <c r="F15" s="131"/>
      <c r="G15" s="130" t="s">
        <v>1312</v>
      </c>
      <c r="H15" s="131"/>
      <c r="I15" s="132"/>
      <c r="J15" s="133"/>
      <c r="K15" s="23"/>
      <c r="L15" s="654" t="str">
        <f>Idiomas!D95</f>
        <v>· Cuando tengas todos los pronósticos, selecciona el número de jugadores en la hoja ADMIN</v>
      </c>
      <c r="M15" s="131"/>
      <c r="N15" s="131"/>
      <c r="O15" s="131"/>
      <c r="P15" s="131"/>
      <c r="Q15" s="131"/>
      <c r="R15" s="131"/>
      <c r="S15" s="669"/>
      <c r="T15" s="670"/>
    </row>
    <row r="16" spans="1:20">
      <c r="A16" s="22"/>
      <c r="B16" s="134" t="str">
        <f>Idiomas!D83</f>
        <v>Útima versión</v>
      </c>
      <c r="C16" s="135">
        <v>46125</v>
      </c>
      <c r="D16" s="135"/>
      <c r="E16" s="136"/>
      <c r="F16" s="136"/>
      <c r="G16" s="136"/>
      <c r="H16" s="136"/>
      <c r="I16" s="137"/>
      <c r="J16" s="138"/>
      <c r="K16" s="23"/>
      <c r="L16" s="655"/>
      <c r="M16" s="656"/>
      <c r="N16" s="656"/>
      <c r="O16" s="656"/>
      <c r="P16" s="656"/>
      <c r="Q16" s="656"/>
      <c r="R16" s="656"/>
      <c r="S16" s="671"/>
      <c r="T16" s="672"/>
    </row>
    <row r="17" spans="1:20">
      <c r="A17" s="22"/>
      <c r="B17" s="139"/>
      <c r="C17" s="140"/>
      <c r="D17" s="140"/>
      <c r="E17" s="140"/>
      <c r="F17" s="140"/>
      <c r="G17" s="140"/>
      <c r="H17" s="140"/>
      <c r="I17" s="140"/>
      <c r="J17" s="141"/>
      <c r="K17" s="23"/>
      <c r="L17" s="23"/>
      <c r="M17" s="23"/>
      <c r="N17" s="23"/>
      <c r="O17" s="23"/>
      <c r="P17" s="23"/>
      <c r="Q17" s="23"/>
      <c r="R17" s="23"/>
      <c r="S17" s="666"/>
      <c r="T17" s="666"/>
    </row>
    <row r="18" spans="1:20">
      <c r="A18" s="22"/>
      <c r="B18" s="28"/>
      <c r="C18" s="28"/>
      <c r="D18" s="28"/>
      <c r="E18" s="29"/>
      <c r="F18" s="29"/>
      <c r="G18" s="22"/>
      <c r="H18" s="22"/>
      <c r="I18" s="22"/>
      <c r="J18" s="651"/>
      <c r="K18" s="23"/>
      <c r="L18" s="31" t="str">
        <f>"WORLDCUP"&amp;" "&amp;Idiomas!D96</f>
        <v>WORLDCUP (Una vez ha empezado el mundial)</v>
      </c>
      <c r="M18" s="661"/>
      <c r="N18" s="4"/>
      <c r="O18" s="4"/>
      <c r="P18" s="4"/>
      <c r="Q18" s="4"/>
      <c r="R18" s="4"/>
      <c r="S18" s="666"/>
      <c r="T18" s="666"/>
    </row>
    <row r="19" spans="1:20" ht="20.100000000000001" customHeight="1">
      <c r="A19" s="23"/>
      <c r="B19" s="142"/>
      <c r="C19" s="143" t="str">
        <f>Idiomas!D85</f>
        <v>PARA DESCARGAR, CLICK EN</v>
      </c>
      <c r="D19" s="143"/>
      <c r="E19" s="144">
        <v>2</v>
      </c>
      <c r="F19" s="145"/>
      <c r="G19" s="143"/>
      <c r="H19" s="146"/>
      <c r="I19" s="146"/>
      <c r="J19" s="147"/>
      <c r="K19" s="23"/>
      <c r="L19" s="652"/>
      <c r="M19" s="653"/>
      <c r="N19" s="653"/>
      <c r="O19" s="653"/>
      <c r="P19" s="653"/>
      <c r="Q19" s="653"/>
      <c r="R19" s="653"/>
      <c r="S19" s="667"/>
      <c r="T19" s="668"/>
    </row>
    <row r="20" spans="1:20">
      <c r="A20" s="23"/>
      <c r="B20" s="148"/>
      <c r="C20" s="149" t="s">
        <v>1365</v>
      </c>
      <c r="D20" s="149"/>
      <c r="E20" s="150" t="s">
        <v>216</v>
      </c>
      <c r="F20" s="150"/>
      <c r="G20" s="150" t="s">
        <v>348</v>
      </c>
      <c r="H20" s="151"/>
      <c r="I20" s="151"/>
      <c r="J20" s="138"/>
      <c r="K20" s="23"/>
      <c r="L20" s="654" t="str">
        <f>Idiomas!D97</f>
        <v>· Cuando empiece el mundial, rellena los cuadros grises con los resultados reales de la fase de grupos</v>
      </c>
      <c r="M20" s="131"/>
      <c r="N20" s="131"/>
      <c r="O20" s="131"/>
      <c r="P20" s="131"/>
      <c r="Q20" s="131"/>
      <c r="R20" s="131"/>
      <c r="S20" s="669"/>
      <c r="T20" s="670"/>
    </row>
    <row r="21" spans="1:20" ht="20.100000000000001" customHeight="1">
      <c r="A21" s="30"/>
      <c r="B21" s="152"/>
      <c r="C21" s="153" t="s">
        <v>1929</v>
      </c>
      <c r="D21" s="154"/>
      <c r="E21" s="32">
        <v>2</v>
      </c>
      <c r="F21" s="154"/>
      <c r="G21" s="32">
        <v>2</v>
      </c>
      <c r="H21" s="155"/>
      <c r="I21" s="151"/>
      <c r="J21" s="156"/>
      <c r="K21" s="30"/>
      <c r="L21" s="654" t="str">
        <f>Idiomas!D98</f>
        <v>· En caso de empate en la posición de un grupo o en los mejores terceros, selcciona el orden de los empatados</v>
      </c>
      <c r="M21" s="131"/>
      <c r="N21" s="131"/>
      <c r="O21" s="131"/>
      <c r="P21" s="131"/>
      <c r="Q21" s="131"/>
      <c r="R21" s="131"/>
      <c r="S21" s="669"/>
      <c r="T21" s="670"/>
    </row>
    <row r="22" spans="1:20" ht="2.1" customHeight="1">
      <c r="A22" s="30"/>
      <c r="B22" s="152"/>
      <c r="C22" s="155"/>
      <c r="D22" s="155"/>
      <c r="E22" s="155"/>
      <c r="F22" s="155"/>
      <c r="G22" s="155"/>
      <c r="H22" s="155"/>
      <c r="I22" s="151"/>
      <c r="J22" s="156"/>
      <c r="K22" s="30"/>
      <c r="L22" s="654"/>
      <c r="M22" s="131"/>
      <c r="N22" s="131"/>
      <c r="O22" s="131"/>
      <c r="P22" s="131"/>
      <c r="Q22" s="131"/>
      <c r="R22" s="131"/>
      <c r="S22" s="669"/>
      <c r="T22" s="670"/>
    </row>
    <row r="23" spans="1:20" ht="20.100000000000001" customHeight="1">
      <c r="A23" s="30"/>
      <c r="B23" s="152"/>
      <c r="C23" s="153" t="s">
        <v>1299</v>
      </c>
      <c r="D23" s="154"/>
      <c r="E23" s="33">
        <v>2</v>
      </c>
      <c r="F23" s="154"/>
      <c r="G23" s="33">
        <v>2</v>
      </c>
      <c r="H23" s="155"/>
      <c r="I23" s="155"/>
      <c r="J23" s="156"/>
      <c r="K23" s="30"/>
      <c r="L23" s="654" t="str">
        <f>Idiomas!D99</f>
        <v>· Las eliminatorias se establecen de forma automática</v>
      </c>
      <c r="M23" s="131"/>
      <c r="N23" s="131"/>
      <c r="O23" s="131"/>
      <c r="P23" s="131"/>
      <c r="Q23" s="131"/>
      <c r="R23" s="131"/>
      <c r="S23" s="669"/>
      <c r="T23" s="670"/>
    </row>
    <row r="24" spans="1:20" ht="2.1" customHeight="1">
      <c r="A24" s="30"/>
      <c r="B24" s="152"/>
      <c r="C24" s="155"/>
      <c r="D24" s="155"/>
      <c r="E24" s="155"/>
      <c r="F24" s="155"/>
      <c r="G24" s="155"/>
      <c r="H24" s="155"/>
      <c r="I24" s="155"/>
      <c r="J24" s="156"/>
      <c r="K24" s="30"/>
      <c r="L24" s="654"/>
      <c r="M24" s="131"/>
      <c r="N24" s="131"/>
      <c r="O24" s="131"/>
      <c r="P24" s="131"/>
      <c r="Q24" s="131"/>
      <c r="R24" s="131"/>
      <c r="S24" s="669"/>
      <c r="T24" s="670"/>
    </row>
    <row r="25" spans="1:20" ht="20.100000000000001" customHeight="1">
      <c r="A25" s="30"/>
      <c r="B25" s="152"/>
      <c r="C25" s="153" t="s">
        <v>1268</v>
      </c>
      <c r="D25" s="154"/>
      <c r="E25" s="33">
        <v>2</v>
      </c>
      <c r="F25" s="154"/>
      <c r="G25" s="34">
        <v>0</v>
      </c>
      <c r="H25" s="155"/>
      <c r="I25" s="155"/>
      <c r="J25" s="156"/>
      <c r="K25" s="30"/>
      <c r="L25" s="654" t="str">
        <f>Idiomas!D100</f>
        <v>· Rellena los resultados de las fases eliminatorias. En caso de empate, se abren dos celdas a los lados para poner el resultado de los penaltis</v>
      </c>
      <c r="M25" s="131"/>
      <c r="N25" s="131"/>
      <c r="O25" s="131"/>
      <c r="P25" s="131"/>
      <c r="Q25" s="131"/>
      <c r="R25" s="131"/>
      <c r="S25" s="669"/>
      <c r="T25" s="670"/>
    </row>
    <row r="26" spans="1:20" ht="2.1" customHeight="1">
      <c r="A26" s="30"/>
      <c r="B26" s="152"/>
      <c r="C26" s="155"/>
      <c r="D26" s="155"/>
      <c r="E26" s="155"/>
      <c r="F26" s="155"/>
      <c r="G26" s="155"/>
      <c r="H26" s="155"/>
      <c r="I26" s="155"/>
      <c r="J26" s="156"/>
      <c r="K26" s="30"/>
      <c r="L26" s="654"/>
      <c r="M26" s="131"/>
      <c r="N26" s="131"/>
      <c r="O26" s="131"/>
      <c r="P26" s="131"/>
      <c r="Q26" s="131"/>
      <c r="R26" s="131"/>
      <c r="S26" s="669"/>
      <c r="T26" s="670"/>
    </row>
    <row r="27" spans="1:20" ht="20.100000000000001" customHeight="1">
      <c r="A27" s="30"/>
      <c r="B27" s="152"/>
      <c r="C27" s="153" t="s">
        <v>1269</v>
      </c>
      <c r="D27" s="154"/>
      <c r="E27" s="33">
        <v>2</v>
      </c>
      <c r="F27" s="154"/>
      <c r="G27" s="34">
        <v>0</v>
      </c>
      <c r="H27" s="155"/>
      <c r="I27" s="155"/>
      <c r="J27" s="156"/>
      <c r="K27" s="30"/>
      <c r="L27" s="655" t="str">
        <f>Idiomas!D101</f>
        <v>· Rellenar los mejores jugadores y los máximos goleadores</v>
      </c>
      <c r="M27" s="656"/>
      <c r="N27" s="656"/>
      <c r="O27" s="656"/>
      <c r="P27" s="656"/>
      <c r="Q27" s="656"/>
      <c r="R27" s="656"/>
      <c r="S27" s="671"/>
      <c r="T27" s="672"/>
    </row>
    <row r="28" spans="1:20" ht="2.1" customHeight="1">
      <c r="A28" s="30"/>
      <c r="B28" s="152"/>
      <c r="C28" s="155"/>
      <c r="D28" s="155"/>
      <c r="E28" s="155"/>
      <c r="F28" s="155"/>
      <c r="G28" s="155"/>
      <c r="H28" s="155"/>
      <c r="I28" s="155"/>
      <c r="J28" s="156"/>
      <c r="K28" s="30"/>
    </row>
    <row r="29" spans="1:20" ht="20.100000000000001" customHeight="1">
      <c r="A29" s="30"/>
      <c r="B29" s="152"/>
      <c r="C29" s="153" t="s">
        <v>1270</v>
      </c>
      <c r="D29" s="154"/>
      <c r="E29" s="34">
        <v>0</v>
      </c>
      <c r="F29" s="154"/>
      <c r="G29" s="33">
        <v>2</v>
      </c>
      <c r="H29" s="155"/>
      <c r="I29" s="155"/>
      <c r="J29" s="156"/>
      <c r="K29" s="30"/>
    </row>
    <row r="30" spans="1:20" ht="2.1" customHeight="1">
      <c r="A30" s="30"/>
      <c r="B30" s="152"/>
      <c r="C30" s="155"/>
      <c r="D30" s="155"/>
      <c r="E30" s="155"/>
      <c r="F30" s="155"/>
      <c r="G30" s="155"/>
      <c r="H30" s="155"/>
      <c r="I30" s="155"/>
      <c r="J30" s="156"/>
      <c r="K30" s="30"/>
      <c r="L30" s="31"/>
    </row>
    <row r="31" spans="1:20" ht="20.100000000000001" customHeight="1">
      <c r="A31" s="30"/>
      <c r="B31" s="152"/>
      <c r="C31" s="153" t="s">
        <v>1271</v>
      </c>
      <c r="D31" s="154"/>
      <c r="E31" s="33">
        <v>2</v>
      </c>
      <c r="F31" s="154"/>
      <c r="G31" s="34">
        <v>0</v>
      </c>
      <c r="H31" s="155"/>
      <c r="I31" s="155"/>
      <c r="J31" s="156"/>
      <c r="K31" s="30"/>
      <c r="L31" s="658" t="s">
        <v>1910</v>
      </c>
    </row>
    <row r="32" spans="1:20" ht="18" customHeight="1">
      <c r="A32" s="23"/>
      <c r="B32" s="157"/>
      <c r="C32" s="158"/>
      <c r="D32" s="158"/>
      <c r="E32" s="158"/>
      <c r="F32" s="158"/>
      <c r="G32" s="158"/>
      <c r="H32" s="158"/>
      <c r="I32" s="158"/>
      <c r="J32" s="159"/>
      <c r="K32" s="23"/>
      <c r="L32" s="662" t="str">
        <f>Idiomas!D104</f>
        <v>· En esta hoja se puede ver la clasificación general según se vayan introduciendo los resultados de los partidos</v>
      </c>
      <c r="M32" s="663"/>
      <c r="N32" s="663"/>
      <c r="O32" s="663"/>
      <c r="P32" s="663"/>
      <c r="Q32" s="663"/>
      <c r="R32" s="663"/>
      <c r="S32" s="673"/>
      <c r="T32" s="674"/>
    </row>
    <row r="33" spans="1:20" ht="15.75" thickBot="1">
      <c r="A33" s="23"/>
      <c r="B33" s="3"/>
      <c r="C33" s="3"/>
      <c r="D33" s="3"/>
      <c r="E33" s="3"/>
      <c r="F33" s="3"/>
      <c r="G33" s="3"/>
      <c r="H33" s="3"/>
      <c r="I33" s="3"/>
      <c r="J33" s="3"/>
      <c r="K33" s="23"/>
      <c r="L33" s="23"/>
    </row>
    <row r="34" spans="1:20" ht="27.95" customHeight="1" thickBot="1">
      <c r="A34" s="23"/>
      <c r="B34" s="877" t="str">
        <f>HYPERLINK(Idiomas!D10,Idiomas!D9)</f>
        <v>Versiones para más participantes</v>
      </c>
      <c r="C34" s="878"/>
      <c r="D34" s="878"/>
      <c r="E34" s="878"/>
      <c r="F34" s="878"/>
      <c r="G34" s="878"/>
      <c r="H34" s="878"/>
      <c r="I34" s="878"/>
      <c r="J34" s="878"/>
      <c r="K34" s="23"/>
      <c r="L34" s="658" t="s">
        <v>1872</v>
      </c>
    </row>
    <row r="35" spans="1:20" ht="18" customHeight="1" thickBot="1">
      <c r="A35" s="23"/>
      <c r="B35" s="4"/>
      <c r="C35" s="23"/>
      <c r="D35" s="23"/>
      <c r="E35" s="23"/>
      <c r="F35" s="23"/>
      <c r="G35" s="23"/>
      <c r="H35" s="23"/>
      <c r="I35" s="23"/>
      <c r="J35" s="23"/>
      <c r="K35" s="23"/>
      <c r="L35" s="662" t="str">
        <f>Idiomas!D105</f>
        <v>· Esta hoja permite filtrar los pronósticos por día de la fase de grupos o por eliminatoria.</v>
      </c>
      <c r="M35" s="663"/>
      <c r="N35" s="663"/>
      <c r="O35" s="663"/>
      <c r="P35" s="663"/>
      <c r="Q35" s="663"/>
      <c r="R35" s="663"/>
      <c r="S35" s="673"/>
      <c r="T35" s="674"/>
    </row>
    <row r="36" spans="1:20" ht="18.75" thickBot="1">
      <c r="A36" s="23"/>
      <c r="B36" s="4"/>
      <c r="C36" s="35" t="s">
        <v>1330</v>
      </c>
      <c r="D36" s="23"/>
      <c r="E36" s="23"/>
      <c r="F36" s="23"/>
      <c r="G36" s="23"/>
      <c r="H36" s="37" t="str">
        <f>HYPERLINK(Idiomas!D13,"FAQ")</f>
        <v>FAQ</v>
      </c>
      <c r="I36" s="23"/>
      <c r="J36" s="23"/>
      <c r="K36" s="23"/>
      <c r="L36" s="23"/>
      <c r="M36" s="22"/>
      <c r="N36" s="23"/>
    </row>
    <row r="37" spans="1:20" ht="15" customHeight="1">
      <c r="A37" s="23"/>
      <c r="B37" s="4"/>
      <c r="C37" s="4"/>
      <c r="D37" s="4"/>
      <c r="E37" s="4"/>
      <c r="F37" s="4"/>
      <c r="G37" s="4"/>
      <c r="H37" s="4"/>
      <c r="I37" s="4"/>
      <c r="J37" s="4"/>
      <c r="K37" s="23"/>
      <c r="L37" s="658" t="s">
        <v>1882</v>
      </c>
      <c r="M37" s="22"/>
      <c r="N37" s="23"/>
    </row>
    <row r="38" spans="1:20" ht="33.950000000000003" customHeight="1">
      <c r="A38" s="23"/>
      <c r="C38" s="23"/>
      <c r="D38" s="23"/>
      <c r="E38" s="23"/>
      <c r="F38" s="23"/>
      <c r="G38" s="23"/>
      <c r="H38" s="23"/>
      <c r="I38" s="23"/>
      <c r="J38" s="23"/>
      <c r="K38" s="23"/>
      <c r="L38" s="662" t="str">
        <f>Idiomas!D106</f>
        <v xml:space="preserve"> · Aquí puedes ver la clasificación del dia/ronda seleccionado en la hoja "DailyPredcition"</v>
      </c>
      <c r="M38" s="663"/>
      <c r="N38" s="663"/>
      <c r="O38" s="663"/>
      <c r="P38" s="663"/>
      <c r="Q38" s="663"/>
      <c r="R38" s="663"/>
      <c r="S38" s="673"/>
      <c r="T38" s="674"/>
    </row>
    <row r="40" spans="1:20">
      <c r="L40" s="658" t="s">
        <v>1651</v>
      </c>
      <c r="M40" s="659"/>
      <c r="N40" s="659"/>
      <c r="O40" s="659"/>
      <c r="P40" s="659"/>
      <c r="Q40" s="659"/>
      <c r="R40" s="659"/>
      <c r="S40" s="675"/>
      <c r="T40" s="675"/>
    </row>
    <row r="41" spans="1:20">
      <c r="L41" s="652" t="str">
        <f>Idiomas!D108</f>
        <v>· En estas hoja podrás ver diferentes estadísticas generales y por partido</v>
      </c>
      <c r="M41" s="653"/>
      <c r="N41" s="653"/>
      <c r="O41" s="653"/>
      <c r="P41" s="653"/>
      <c r="Q41" s="653"/>
      <c r="R41" s="653"/>
      <c r="S41" s="667"/>
      <c r="T41" s="668"/>
    </row>
    <row r="42" spans="1:20">
      <c r="L42" s="664" t="str">
        <f>Idiomas!D109</f>
        <v>· Para verlas correctamente necesitas una versión posterior a excel 2021</v>
      </c>
      <c r="M42" s="665"/>
      <c r="N42" s="665"/>
      <c r="O42" s="665"/>
      <c r="P42" s="665"/>
      <c r="Q42" s="665"/>
      <c r="R42" s="665"/>
      <c r="S42" s="676"/>
      <c r="T42" s="677"/>
    </row>
    <row r="44" spans="1:20">
      <c r="L44" s="658" t="s">
        <v>1301</v>
      </c>
      <c r="M44" s="659"/>
      <c r="N44" s="659"/>
      <c r="O44" s="659"/>
      <c r="P44" s="659"/>
      <c r="Q44" s="659"/>
      <c r="R44" s="659"/>
      <c r="S44" s="675"/>
      <c r="T44" s="675"/>
    </row>
    <row r="45" spans="1:20" ht="18" customHeight="1">
      <c r="L45" s="662" t="str">
        <f>Idiomas!D110</f>
        <v xml:space="preserve">· En esta hoja puedes ver de un vistazo el cuadro del mundial </v>
      </c>
      <c r="M45" s="663"/>
      <c r="N45" s="663"/>
      <c r="O45" s="663"/>
      <c r="P45" s="663"/>
      <c r="Q45" s="663"/>
      <c r="R45" s="663"/>
      <c r="S45" s="673"/>
      <c r="T45" s="674"/>
    </row>
    <row r="84" spans="13:25" ht="60" customHeight="1">
      <c r="M84" s="879" t="str">
        <f>Idiomas!D107</f>
        <v>Si Irán no participa en el mundial y le sustituye otra selección, selecciona el país sustituto en el desplegable. Si no aparece, elige 'Otro' e ingresa manualmente el nombre (español e inglés), su zona UTC y, opcionalmente, la imagen de su bandera.</v>
      </c>
      <c r="N84" s="879"/>
      <c r="O84" s="879"/>
      <c r="P84" s="879"/>
      <c r="Q84" s="879"/>
      <c r="R84" s="879"/>
    </row>
    <row r="86" spans="13:25">
      <c r="M86" s="472" t="s">
        <v>1785</v>
      </c>
      <c r="T86" s="472" t="s">
        <v>1789</v>
      </c>
      <c r="U86" s="472" t="s">
        <v>1786</v>
      </c>
      <c r="V86" s="472" t="s">
        <v>1787</v>
      </c>
      <c r="W86" s="472" t="s">
        <v>1794</v>
      </c>
      <c r="X86" s="472" t="s">
        <v>1795</v>
      </c>
      <c r="Y86" s="472" t="s">
        <v>1796</v>
      </c>
    </row>
    <row r="87" spans="13:25">
      <c r="M87" s="650" t="s">
        <v>1788</v>
      </c>
      <c r="N87" s="11" t="str">
        <f>IFERROR(IF(J18="",$U$87,INDEX($U$87:$U$91,MATCH(M87,$T$87:$T$91,0))),"")</f>
        <v>Irán</v>
      </c>
      <c r="O87" s="11" t="str">
        <f>IFERROR(IF(J18="",$V$87,INDEX($V$87:$V$91,MATCH(M87,$T$87:$T$91,0))),"")</f>
        <v>Iran</v>
      </c>
      <c r="T87" s="678" t="s">
        <v>1788</v>
      </c>
      <c r="U87" s="8" t="s">
        <v>1262</v>
      </c>
      <c r="V87" s="8" t="s">
        <v>1282</v>
      </c>
      <c r="W87" s="8" t="s">
        <v>1283</v>
      </c>
      <c r="X87" s="8" t="e" vm="1">
        <v>#VALUE!</v>
      </c>
      <c r="Y87" s="8">
        <v>3.5</v>
      </c>
    </row>
    <row r="88" spans="13:25">
      <c r="T88" s="678" t="s">
        <v>1790</v>
      </c>
      <c r="U88" s="8" t="s">
        <v>1749</v>
      </c>
      <c r="V88" s="8" t="s">
        <v>1750</v>
      </c>
      <c r="W88" s="8" t="s">
        <v>1754</v>
      </c>
      <c r="X88" s="678" t="e" vm="2">
        <v>#VALUE!</v>
      </c>
      <c r="Y88" s="8">
        <v>4</v>
      </c>
    </row>
    <row r="89" spans="13:25" ht="15.75">
      <c r="T89" s="678" t="s">
        <v>1791</v>
      </c>
      <c r="U89" s="8" t="s">
        <v>1780</v>
      </c>
      <c r="V89" s="8" t="s">
        <v>1780</v>
      </c>
      <c r="W89" s="679" t="s">
        <v>1781</v>
      </c>
      <c r="X89" s="678" t="e" vm="3">
        <v>#VALUE!</v>
      </c>
      <c r="Y89" s="8">
        <v>-4</v>
      </c>
    </row>
    <row r="90" spans="13:25" ht="15.75">
      <c r="T90" s="678" t="s">
        <v>1792</v>
      </c>
      <c r="U90" s="8" t="s">
        <v>1782</v>
      </c>
      <c r="V90" s="8" t="s">
        <v>1783</v>
      </c>
      <c r="W90" s="680" t="s">
        <v>1784</v>
      </c>
      <c r="X90" s="678" t="e" vm="4">
        <v>#VALUE!</v>
      </c>
      <c r="Y90" s="8">
        <v>-3</v>
      </c>
    </row>
    <row r="91" spans="13:25">
      <c r="T91" s="678" t="s">
        <v>1793</v>
      </c>
      <c r="U91" s="8" t="str">
        <f>N93</f>
        <v>Escribe la selección</v>
      </c>
      <c r="V91" s="8" t="str">
        <f>O93</f>
        <v>Write the nation</v>
      </c>
      <c r="W91" s="8" t="str">
        <f>IF(Q93="","",Q93)</f>
        <v/>
      </c>
      <c r="X91" s="8" t="str">
        <f>IF(R93="","",R93)</f>
        <v/>
      </c>
      <c r="Y91" s="8">
        <f>IF(P93="",-4,P93)</f>
        <v>-4</v>
      </c>
    </row>
    <row r="92" spans="13:25" ht="18.95" customHeight="1">
      <c r="N92" s="472" t="s">
        <v>1786</v>
      </c>
      <c r="O92" s="472" t="s">
        <v>1787</v>
      </c>
      <c r="P92" s="472" t="s">
        <v>1801</v>
      </c>
      <c r="Q92" s="472" t="s">
        <v>1798</v>
      </c>
      <c r="R92" s="472" t="s">
        <v>1795</v>
      </c>
    </row>
    <row r="93" spans="13:25" ht="24.95" customHeight="1">
      <c r="N93" s="473" t="s">
        <v>1842</v>
      </c>
      <c r="O93" s="473" t="s">
        <v>1797</v>
      </c>
      <c r="P93" s="473"/>
      <c r="Q93" s="473"/>
      <c r="R93" s="473"/>
    </row>
  </sheetData>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37">
      <formula>IF($M$87=$T$91,1,0)</formula>
    </cfRule>
  </conditionalFormatting>
  <dataValidations count="1">
    <dataValidation type="list" allowBlank="1" showInputMessage="1" showErrorMessage="1" sqref="M87">
      <formula1>$T$87:$T$91</formula1>
    </dataValidation>
  </dataValidations>
  <hyperlinks>
    <hyperlink ref="C15" r:id="rId1"/>
    <hyperlink ref="E25" r:id="rId2" display="https://matejero.es/calendario-excel-liga/"/>
    <hyperlink ref="E27" r:id="rId3" location="Descarga_el_Calendario_2a_Division_Liga_23_24_Excel" display="https://matejero.es/calendario-excel-liga/ - Descarga_el_Calendario_2a_Division_Liga_23_24_Excel"/>
    <hyperlink ref="G29" r:id="rId4" display="https://matejero.com/premier-league-excel-schedule/"/>
    <hyperlink ref="E31" r:id="rId5" display="https://matejero.es/excel-copa-libertadores/"/>
    <hyperlink ref="G21" r:id="rId6" display="https://matejero.com/download/excel-world-cup-2026"/>
    <hyperlink ref="E21" r:id="rId7" display="https://matejero.es/download/excel-mundial-2026/"/>
    <hyperlink ref="G23" r:id="rId8" display="https://matejero.com/excel-champions-league/"/>
    <hyperlink ref="E23" r:id="rId9" display="https://matejero.es/excel-champions-league/"/>
    <hyperlink ref="E15" r:id="rId10"/>
    <hyperlink ref="G15" r:id="rId11"/>
    <hyperlink ref="C36" r:id="rId12"/>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dimension ref="A1:T64"/>
  <sheetViews>
    <sheetView topLeftCell="E1" zoomScaleNormal="100" zoomScalePageLayoutView="75" workbookViewId="0">
      <selection activeCell="P10" sqref="P10"/>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20.42578125" style="5" customWidth="1"/>
    <col min="14" max="14" width="4.42578125" style="700" customWidth="1"/>
    <col min="15" max="20" width="20.42578125" style="701"/>
    <col min="21" max="16384" width="20.42578125" style="9"/>
  </cols>
  <sheetData>
    <row r="1" spans="1:20" ht="15" customHeight="1">
      <c r="A1" s="699" t="s">
        <v>368</v>
      </c>
      <c r="B1" s="699" t="s">
        <v>30</v>
      </c>
      <c r="C1" s="699" t="s">
        <v>71</v>
      </c>
      <c r="D1" s="699" t="s">
        <v>11</v>
      </c>
      <c r="F1" s="5" t="s">
        <v>33</v>
      </c>
      <c r="H1" s="699"/>
      <c r="I1" s="699"/>
      <c r="K1" s="5" t="s">
        <v>68</v>
      </c>
      <c r="L1" s="5" t="s">
        <v>1340</v>
      </c>
      <c r="Q1" s="702" t="s">
        <v>1639</v>
      </c>
      <c r="R1" s="702" t="s">
        <v>1640</v>
      </c>
      <c r="T1" s="703" t="str">
        <f>+Idiomas!D442</f>
        <v>None</v>
      </c>
    </row>
    <row r="2" spans="1:20" ht="15" customHeight="1">
      <c r="A2" s="5">
        <v>1</v>
      </c>
      <c r="B2" s="5" t="str">
        <f ca="1">+INDEX(Idiomas!$D$212:$D$259,MATCH(T_Equipos[[#This Row],[Num]],Idiomas!$C$212:$C$259,0))</f>
        <v>México</v>
      </c>
      <c r="C2" s="5" t="s">
        <v>0</v>
      </c>
      <c r="D2" s="5">
        <v>1</v>
      </c>
      <c r="F2" s="5" t="s">
        <v>0</v>
      </c>
      <c r="K2" s="5" t="str">
        <f ca="1">Idiomas!D212</f>
        <v>Alemania</v>
      </c>
      <c r="L2" s="5" t="s">
        <v>144</v>
      </c>
      <c r="M2" s="5" t="e" vm="5">
        <v>#VALUE!</v>
      </c>
      <c r="O2" s="704">
        <v>1</v>
      </c>
      <c r="P2" s="705"/>
      <c r="Q2" s="705" cm="1">
        <f t="array" aca="1" ref="Q2" ca="1">IFERROR(MIN(IF(COUNTIF($Q$1:Q1,ADMIN!$H$6:$H$77)=0,ADMIN!$H$6:$H$77)),"")</f>
        <v>46184</v>
      </c>
      <c r="R2" s="702">
        <v>1</v>
      </c>
      <c r="S2" s="706"/>
      <c r="T2" s="703">
        <v>0.05</v>
      </c>
    </row>
    <row r="3" spans="1:20" ht="15" customHeight="1">
      <c r="A3" s="5">
        <v>2</v>
      </c>
      <c r="B3" s="5" t="str">
        <f ca="1">+INDEX(Idiomas!$D$212:$D$259,MATCH(T_Equipos[[#This Row],[Num]],Idiomas!$C$212:$C$259,0))</f>
        <v>Sudáfrica</v>
      </c>
      <c r="C3" s="5" t="s">
        <v>0</v>
      </c>
      <c r="D3" s="5">
        <v>2</v>
      </c>
      <c r="F3" s="5" t="s">
        <v>1</v>
      </c>
      <c r="K3" s="5" t="str">
        <f ca="1">Idiomas!D213</f>
        <v>Arabia Saudita</v>
      </c>
      <c r="L3" s="5" t="s">
        <v>1635</v>
      </c>
      <c r="M3" s="5" t="e" vm="6">
        <v>#VALUE!</v>
      </c>
      <c r="O3" s="704">
        <v>2</v>
      </c>
      <c r="P3" s="705"/>
      <c r="Q3" s="705" cm="1">
        <f t="array" aca="1" ref="Q3" ca="1">IFERROR(MIN(IF(COUNTIF($Q$1:Q2,ADMIN!$H$6:$H$77)=0,ADMIN!$H$6:$H$77)),"")</f>
        <v>46185</v>
      </c>
      <c r="R3" s="702">
        <v>2</v>
      </c>
      <c r="S3" s="706"/>
      <c r="T3" s="703">
        <v>0.1</v>
      </c>
    </row>
    <row r="4" spans="1:20" ht="15" customHeight="1">
      <c r="A4" s="5">
        <v>3</v>
      </c>
      <c r="B4" s="5" t="str">
        <f ca="1">+INDEX(Idiomas!$D$212:$D$259,MATCH(T_Equipos[[#This Row],[Num]],Idiomas!$C$212:$C$259,0))</f>
        <v>Corea del Sur</v>
      </c>
      <c r="C4" s="5" t="s">
        <v>0</v>
      </c>
      <c r="D4" s="5">
        <v>3</v>
      </c>
      <c r="F4" s="5" t="s">
        <v>2</v>
      </c>
      <c r="K4" s="5" t="str">
        <f ca="1">Idiomas!D214</f>
        <v>Argelia</v>
      </c>
      <c r="L4" s="5" t="s">
        <v>1555</v>
      </c>
      <c r="M4" s="5" t="e" vm="7">
        <v>#VALUE!</v>
      </c>
      <c r="O4" s="704">
        <v>3</v>
      </c>
      <c r="P4" s="705"/>
      <c r="Q4" s="705" cm="1">
        <f t="array" aca="1" ref="Q4" ca="1">IFERROR(MIN(IF(COUNTIF($Q$1:Q3,ADMIN!$H$6:$H$77)=0,ADMIN!$H$6:$H$77)),"")</f>
        <v>46186</v>
      </c>
      <c r="R4" s="702">
        <v>3</v>
      </c>
      <c r="S4" s="706"/>
      <c r="T4" s="703">
        <v>0.15</v>
      </c>
    </row>
    <row r="5" spans="1:20" ht="15" customHeight="1">
      <c r="A5" s="5">
        <v>4</v>
      </c>
      <c r="B5" s="5" t="str">
        <f ca="1">+INDEX(Idiomas!$D$212:$D$259,MATCH(T_Equipos[[#This Row],[Num]],Idiomas!$C$212:$C$259,0))</f>
        <v>República Checa</v>
      </c>
      <c r="C5" s="5" t="s">
        <v>0</v>
      </c>
      <c r="D5" s="5">
        <v>4</v>
      </c>
      <c r="F5" s="5" t="s">
        <v>73</v>
      </c>
      <c r="K5" s="5" t="str">
        <f ca="1">Idiomas!D215</f>
        <v>Argentina</v>
      </c>
      <c r="L5" s="5" t="s">
        <v>1272</v>
      </c>
      <c r="M5" s="5" t="e" vm="8">
        <v>#VALUE!</v>
      </c>
      <c r="O5" s="704">
        <v>4</v>
      </c>
      <c r="P5" s="705"/>
      <c r="Q5" s="705" cm="1">
        <f t="array" aca="1" ref="Q5" ca="1">IFERROR(MIN(IF(COUNTIF($Q$1:Q4,ADMIN!$H$6:$H$77)=0,ADMIN!$H$6:$H$77)),"")</f>
        <v>46187</v>
      </c>
      <c r="R5" s="702">
        <v>4</v>
      </c>
      <c r="S5" s="706"/>
      <c r="T5" s="703">
        <v>0.2</v>
      </c>
    </row>
    <row r="6" spans="1:20" ht="15" customHeight="1">
      <c r="A6" s="5">
        <v>5</v>
      </c>
      <c r="B6" s="5" t="str">
        <f ca="1">+INDEX(Idiomas!$D$212:$D$259,MATCH(T_Equipos[[#This Row],[Num]],Idiomas!$C$212:$C$259,0))</f>
        <v>Canadá</v>
      </c>
      <c r="C6" s="5" t="s">
        <v>1</v>
      </c>
      <c r="D6" s="5">
        <v>1</v>
      </c>
      <c r="F6" s="5" t="s">
        <v>3</v>
      </c>
      <c r="K6" s="5" t="str">
        <f ca="1">Idiomas!D216</f>
        <v>Australia</v>
      </c>
      <c r="L6" s="5" t="s">
        <v>1273</v>
      </c>
      <c r="M6" s="5" t="e" vm="9">
        <v>#VALUE!</v>
      </c>
      <c r="O6" s="704">
        <v>5</v>
      </c>
      <c r="P6" s="705"/>
      <c r="Q6" s="705" cm="1">
        <f t="array" aca="1" ref="Q6" ca="1">IFERROR(MIN(IF(COUNTIF($Q$1:Q5,ADMIN!$H$6:$H$77)=0,ADMIN!$H$6:$H$77)),"")</f>
        <v>46188</v>
      </c>
      <c r="R6" s="702">
        <v>5</v>
      </c>
      <c r="S6" s="706"/>
      <c r="T6" s="703">
        <v>0.25</v>
      </c>
    </row>
    <row r="7" spans="1:20" ht="15" customHeight="1">
      <c r="A7" s="5">
        <v>6</v>
      </c>
      <c r="B7" s="5" t="str">
        <f ca="1">+INDEX(Idiomas!$D$212:$D$259,MATCH(T_Equipos[[#This Row],[Num]],Idiomas!$C$212:$C$259,0))</f>
        <v>Bosnia y Herzegovina</v>
      </c>
      <c r="C7" s="5" t="s">
        <v>1</v>
      </c>
      <c r="D7" s="5">
        <v>2</v>
      </c>
      <c r="F7" s="5" t="s">
        <v>4</v>
      </c>
      <c r="K7" s="5" t="str">
        <f ca="1">Idiomas!D217</f>
        <v>Austria</v>
      </c>
      <c r="L7" s="704" t="s">
        <v>145</v>
      </c>
      <c r="M7" s="704" t="e" vm="10">
        <v>#VALUE!</v>
      </c>
      <c r="O7" s="704">
        <v>6</v>
      </c>
      <c r="P7" s="705"/>
      <c r="Q7" s="705" cm="1">
        <f t="array" aca="1" ref="Q7" ca="1">IFERROR(MIN(IF(COUNTIF($Q$1:Q6,ADMIN!$H$6:$H$77)=0,ADMIN!$H$6:$H$77)),"")</f>
        <v>46189</v>
      </c>
      <c r="R7" s="702">
        <v>6</v>
      </c>
      <c r="S7" s="706"/>
      <c r="T7" s="703">
        <v>0.3</v>
      </c>
    </row>
    <row r="8" spans="1:20" ht="15" customHeight="1">
      <c r="A8" s="5">
        <v>7</v>
      </c>
      <c r="B8" s="5" t="str">
        <f ca="1">+INDEX(Idiomas!$D$212:$D$259,MATCH(T_Equipos[[#This Row],[Num]],Idiomas!$C$212:$C$259,0))</f>
        <v>Catar</v>
      </c>
      <c r="C8" s="5" t="s">
        <v>1</v>
      </c>
      <c r="D8" s="5">
        <v>3</v>
      </c>
      <c r="F8" s="5" t="s">
        <v>6</v>
      </c>
      <c r="K8" s="5" t="str">
        <f ca="1">Idiomas!D218</f>
        <v>Bélgica</v>
      </c>
      <c r="L8" s="5" t="s">
        <v>140</v>
      </c>
      <c r="M8" s="5" t="e" vm="11">
        <v>#VALUE!</v>
      </c>
      <c r="O8" s="704">
        <v>7</v>
      </c>
      <c r="P8" s="705"/>
      <c r="Q8" s="705" cm="1">
        <f t="array" aca="1" ref="Q8" ca="1">IFERROR(MIN(IF(COUNTIF($Q$1:Q7,ADMIN!$H$6:$H$77)=0,ADMIN!$H$6:$H$77)),"")</f>
        <v>46190</v>
      </c>
      <c r="R8" s="702">
        <v>7</v>
      </c>
      <c r="S8" s="706"/>
      <c r="T8" s="703">
        <v>0.35</v>
      </c>
    </row>
    <row r="9" spans="1:20" ht="15" customHeight="1">
      <c r="A9" s="5">
        <v>8</v>
      </c>
      <c r="B9" s="5" t="str">
        <f ca="1">+INDEX(Idiomas!$D$212:$D$259,MATCH(T_Equipos[[#This Row],[Num]],Idiomas!$C$212:$C$259,0))</f>
        <v>Suiza</v>
      </c>
      <c r="C9" s="5" t="s">
        <v>1</v>
      </c>
      <c r="D9" s="5">
        <v>4</v>
      </c>
      <c r="F9" s="5" t="s">
        <v>437</v>
      </c>
      <c r="K9" s="5" t="str">
        <f ca="1">Idiomas!D219</f>
        <v>Brasil</v>
      </c>
      <c r="L9" s="5" t="s">
        <v>1275</v>
      </c>
      <c r="M9" s="5" t="e" vm="12">
        <v>#VALUE!</v>
      </c>
      <c r="O9" s="704">
        <v>8</v>
      </c>
      <c r="P9" s="705"/>
      <c r="Q9" s="705" cm="1">
        <f t="array" aca="1" ref="Q9" ca="1">IFERROR(MIN(IF(COUNTIF($Q$1:Q8,ADMIN!$H$6:$H$77)=0,ADMIN!$H$6:$H$77)),"")</f>
        <v>46191</v>
      </c>
      <c r="R9" s="702">
        <v>8</v>
      </c>
      <c r="S9" s="706"/>
      <c r="T9" s="703">
        <v>0.4</v>
      </c>
    </row>
    <row r="10" spans="1:20" ht="15" customHeight="1">
      <c r="A10" s="5">
        <v>9</v>
      </c>
      <c r="B10" s="5" t="str">
        <f ca="1">+INDEX(Idiomas!$D$212:$D$259,MATCH(T_Equipos[[#This Row],[Num]],Idiomas!$C$212:$C$259,0))</f>
        <v>Brasil</v>
      </c>
      <c r="C10" s="5" t="s">
        <v>2</v>
      </c>
      <c r="D10" s="5">
        <v>1</v>
      </c>
      <c r="F10" s="5" t="s">
        <v>438</v>
      </c>
      <c r="K10" s="5" t="str">
        <f ca="1">Idiomas!D220</f>
        <v>Cabo Verde</v>
      </c>
      <c r="L10" s="5" t="s">
        <v>1552</v>
      </c>
      <c r="M10" s="5" t="e" vm="13">
        <v>#VALUE!</v>
      </c>
      <c r="O10" s="704">
        <v>9</v>
      </c>
      <c r="P10" s="705"/>
      <c r="Q10" s="705" cm="1">
        <f t="array" aca="1" ref="Q10" ca="1">IFERROR(MIN(IF(COUNTIF($Q$1:Q9,ADMIN!$H$6:$H$77)=0,ADMIN!$H$6:$H$77)),"")</f>
        <v>46192</v>
      </c>
      <c r="R10" s="702">
        <v>9</v>
      </c>
      <c r="S10" s="706"/>
      <c r="T10" s="703">
        <v>0.45</v>
      </c>
    </row>
    <row r="11" spans="1:20" ht="15" customHeight="1">
      <c r="A11" s="5">
        <v>10</v>
      </c>
      <c r="B11" s="5" t="str">
        <f ca="1">+INDEX(Idiomas!$D$212:$D$259,MATCH(T_Equipos[[#This Row],[Num]],Idiomas!$C$212:$C$259,0))</f>
        <v>Marruecos</v>
      </c>
      <c r="C11" s="5" t="s">
        <v>2</v>
      </c>
      <c r="D11" s="5">
        <v>2</v>
      </c>
      <c r="F11" s="5" t="s">
        <v>5</v>
      </c>
      <c r="K11" s="5" t="str">
        <f ca="1">Idiomas!D221</f>
        <v>Canadá</v>
      </c>
      <c r="L11" s="5" t="s">
        <v>1277</v>
      </c>
      <c r="M11" s="5" t="e" vm="14">
        <v>#VALUE!</v>
      </c>
      <c r="O11" s="704">
        <v>10</v>
      </c>
      <c r="P11" s="705"/>
      <c r="Q11" s="705" cm="1">
        <f t="array" aca="1" ref="Q11" ca="1">IFERROR(MIN(IF(COUNTIF($Q$1:Q10,ADMIN!$H$6:$H$77)=0,ADMIN!$H$6:$H$77)),"")</f>
        <v>46193</v>
      </c>
      <c r="R11" s="702">
        <v>10</v>
      </c>
      <c r="S11" s="706"/>
      <c r="T11" s="703">
        <v>0.5</v>
      </c>
    </row>
    <row r="12" spans="1:20" ht="15" customHeight="1">
      <c r="A12" s="5">
        <v>11</v>
      </c>
      <c r="B12" s="5" t="str">
        <f ca="1">+INDEX(Idiomas!$D$212:$D$259,MATCH(T_Equipos[[#This Row],[Num]],Idiomas!$C$212:$C$259,0))</f>
        <v>Haití</v>
      </c>
      <c r="C12" s="5" t="s">
        <v>2</v>
      </c>
      <c r="D12" s="5">
        <v>3</v>
      </c>
      <c r="F12" s="5" t="s">
        <v>439</v>
      </c>
      <c r="K12" s="5" t="str">
        <f ca="1">Idiomas!D222</f>
        <v>Catar</v>
      </c>
      <c r="L12" s="5" t="s">
        <v>1633</v>
      </c>
      <c r="M12" s="5" t="e" vm="15">
        <v>#VALUE!</v>
      </c>
      <c r="O12" s="704">
        <v>11</v>
      </c>
      <c r="P12" s="705"/>
      <c r="Q12" s="705" cm="1">
        <f t="array" aca="1" ref="Q12" ca="1">IFERROR(MIN(IF(COUNTIF($Q$1:Q11,ADMIN!$H$6:$H$77)=0,ADMIN!$H$6:$H$77)),"")</f>
        <v>46194</v>
      </c>
      <c r="R12" s="702">
        <v>11</v>
      </c>
      <c r="S12" s="706"/>
      <c r="T12" s="703">
        <v>0.55000000000000004</v>
      </c>
    </row>
    <row r="13" spans="1:20" ht="15" customHeight="1">
      <c r="A13" s="5">
        <v>12</v>
      </c>
      <c r="B13" s="5" t="str">
        <f ca="1">+INDEX(Idiomas!$D$212:$D$259,MATCH(T_Equipos[[#This Row],[Num]],Idiomas!$C$212:$C$259,0))</f>
        <v>Escocia</v>
      </c>
      <c r="C13" s="5" t="s">
        <v>2</v>
      </c>
      <c r="D13" s="5">
        <v>4</v>
      </c>
      <c r="F13" s="5" t="s">
        <v>238</v>
      </c>
      <c r="K13" s="5" t="str">
        <f ca="1">Idiomas!D223</f>
        <v>Colombia</v>
      </c>
      <c r="L13" s="5" t="s">
        <v>1321</v>
      </c>
      <c r="M13" s="5" t="e" vm="16">
        <v>#VALUE!</v>
      </c>
      <c r="O13" s="704">
        <v>12</v>
      </c>
      <c r="P13" s="705"/>
      <c r="Q13" s="705" cm="1">
        <f t="array" aca="1" ref="Q13" ca="1">IFERROR(MIN(IF(COUNTIF($Q$1:Q12,ADMIN!$H$6:$H$77)=0,ADMIN!$H$6:$H$77)),"")</f>
        <v>46195</v>
      </c>
      <c r="R13" s="702">
        <v>12</v>
      </c>
      <c r="S13" s="706"/>
      <c r="T13" s="703">
        <v>0.6</v>
      </c>
    </row>
    <row r="14" spans="1:20" ht="15" customHeight="1">
      <c r="A14" s="5">
        <v>13</v>
      </c>
      <c r="B14" s="5" t="str">
        <f ca="1">+INDEX(Idiomas!$D$212:$D$259,MATCH(T_Equipos[[#This Row],[Num]],Idiomas!$C$212:$C$259,0))</f>
        <v>Estados Unidos</v>
      </c>
      <c r="C14" s="5" t="s">
        <v>73</v>
      </c>
      <c r="D14" s="5">
        <v>1</v>
      </c>
      <c r="K14" s="5" t="str">
        <f ca="1">Idiomas!D224</f>
        <v>Corea del Sur</v>
      </c>
      <c r="L14" s="5" t="s">
        <v>1279</v>
      </c>
      <c r="M14" s="5" t="e" vm="17">
        <v>#VALUE!</v>
      </c>
      <c r="O14" s="704">
        <v>13</v>
      </c>
      <c r="P14" s="705"/>
      <c r="Q14" s="705" cm="1">
        <f t="array" aca="1" ref="Q14" ca="1">IFERROR(MIN(IF(COUNTIF($Q$1:Q13,ADMIN!$H$6:$H$77)=0,ADMIN!$H$6:$H$77)),"")</f>
        <v>46196</v>
      </c>
      <c r="R14" s="702">
        <v>13</v>
      </c>
      <c r="S14" s="706"/>
      <c r="T14" s="703">
        <v>0.65</v>
      </c>
    </row>
    <row r="15" spans="1:20" ht="15" customHeight="1">
      <c r="A15" s="5">
        <v>14</v>
      </c>
      <c r="B15" s="5" t="str">
        <f ca="1">+INDEX(Idiomas!$D$212:$D$259,MATCH(T_Equipos[[#This Row],[Num]],Idiomas!$C$212:$C$259,0))</f>
        <v>Paraguay</v>
      </c>
      <c r="C15" s="5" t="s">
        <v>73</v>
      </c>
      <c r="D15" s="5">
        <v>2</v>
      </c>
      <c r="K15" s="5" t="str">
        <f ca="1">Idiomas!D225</f>
        <v>Costa de Marfil</v>
      </c>
      <c r="L15" s="5" t="s">
        <v>1637</v>
      </c>
      <c r="M15" s="9" t="e" vm="18">
        <v>#VALUE!</v>
      </c>
      <c r="O15" s="704">
        <v>14</v>
      </c>
      <c r="P15" s="705"/>
      <c r="Q15" s="705" cm="1">
        <f t="array" aca="1" ref="Q15" ca="1">IFERROR(MIN(IF(COUNTIF($Q$1:Q14,ADMIN!$H$6:$H$77)=0,ADMIN!$H$6:$H$77)),"")</f>
        <v>46197</v>
      </c>
      <c r="R15" s="702">
        <v>14</v>
      </c>
      <c r="S15" s="706"/>
      <c r="T15" s="703">
        <v>0.7</v>
      </c>
    </row>
    <row r="16" spans="1:20" ht="15" customHeight="1">
      <c r="A16" s="5">
        <v>15</v>
      </c>
      <c r="B16" s="5" t="str">
        <f ca="1">+INDEX(Idiomas!$D$212:$D$259,MATCH(T_Equipos[[#This Row],[Num]],Idiomas!$C$212:$C$259,0))</f>
        <v>Australia</v>
      </c>
      <c r="C16" s="5" t="s">
        <v>73</v>
      </c>
      <c r="D16" s="5">
        <v>3</v>
      </c>
      <c r="K16" s="5" t="str">
        <f ca="1">Idiomas!D226</f>
        <v>Croacia</v>
      </c>
      <c r="L16" s="5" t="s">
        <v>143</v>
      </c>
      <c r="M16" s="5" t="e" vm="19">
        <v>#VALUE!</v>
      </c>
      <c r="O16" s="704">
        <v>15</v>
      </c>
      <c r="P16" s="705"/>
      <c r="Q16" s="705" cm="1">
        <f t="array" aca="1" ref="Q16" ca="1">IFERROR(MIN(IF(COUNTIF($Q$1:Q15,ADMIN!$H$6:$H$77)=0,ADMIN!$H$6:$H$77)),"")</f>
        <v>46198</v>
      </c>
      <c r="R16" s="702">
        <v>15</v>
      </c>
      <c r="S16" s="706"/>
      <c r="T16" s="703">
        <v>0.75</v>
      </c>
    </row>
    <row r="17" spans="1:20" ht="15" customHeight="1">
      <c r="A17" s="5">
        <v>16</v>
      </c>
      <c r="B17" s="5" t="str">
        <f ca="1">+INDEX(Idiomas!$D$212:$D$259,MATCH(T_Equipos[[#This Row],[Num]],Idiomas!$C$212:$C$259,0))</f>
        <v>Turquía</v>
      </c>
      <c r="C17" s="5" t="s">
        <v>73</v>
      </c>
      <c r="D17" s="5">
        <v>4</v>
      </c>
      <c r="K17" s="5" t="str">
        <f ca="1">Idiomas!D227</f>
        <v>Curazao</v>
      </c>
      <c r="L17" s="5" t="s">
        <v>1727</v>
      </c>
      <c r="M17" s="5" t="e" vm="20">
        <v>#VALUE!</v>
      </c>
      <c r="O17" s="704">
        <v>16</v>
      </c>
      <c r="P17" s="705"/>
      <c r="Q17" s="705" cm="1">
        <f t="array" aca="1" ref="Q17" ca="1">IFERROR(MIN(IF(COUNTIF($Q$1:Q16,ADMIN!$H$6:$H$77)=0,ADMIN!$H$6:$H$77)),"")</f>
        <v>46199</v>
      </c>
      <c r="R17" s="702">
        <v>16</v>
      </c>
      <c r="S17" s="706"/>
      <c r="T17" s="703">
        <v>0.8</v>
      </c>
    </row>
    <row r="18" spans="1:20" ht="15" customHeight="1">
      <c r="A18" s="5">
        <v>17</v>
      </c>
      <c r="B18" s="5" t="str">
        <f ca="1">+INDEX(Idiomas!$D$212:$D$259,MATCH(T_Equipos[[#This Row],[Num]],Idiomas!$C$212:$C$259,0))</f>
        <v>Alemania</v>
      </c>
      <c r="C18" s="5" t="s">
        <v>3</v>
      </c>
      <c r="D18" s="5">
        <v>1</v>
      </c>
      <c r="K18" s="5" t="str">
        <f ca="1">Idiomas!D228</f>
        <v>Ecuador</v>
      </c>
      <c r="L18" s="5" t="s">
        <v>1280</v>
      </c>
      <c r="M18" s="9" t="e" vm="21">
        <v>#VALUE!</v>
      </c>
      <c r="O18" s="704">
        <v>17</v>
      </c>
      <c r="P18" s="705"/>
      <c r="Q18" s="705" cm="1">
        <f t="array" aca="1" ref="Q18" ca="1">IFERROR(MIN(IF(COUNTIF($Q$1:Q17,ADMIN!$H$6:$H$77)=0,ADMIN!$H$6:$H$77)),"")</f>
        <v>46200</v>
      </c>
      <c r="R18" s="702">
        <v>17</v>
      </c>
      <c r="S18" s="706"/>
      <c r="T18" s="703">
        <v>0.85</v>
      </c>
    </row>
    <row r="19" spans="1:20" ht="15" customHeight="1">
      <c r="A19" s="5">
        <v>18</v>
      </c>
      <c r="B19" s="5" t="str">
        <f ca="1">+INDEX(Idiomas!$D$212:$D$259,MATCH(T_Equipos[[#This Row],[Num]],Idiomas!$C$212:$C$259,0))</f>
        <v>Curazao</v>
      </c>
      <c r="C19" s="5" t="s">
        <v>3</v>
      </c>
      <c r="D19" s="5">
        <v>2</v>
      </c>
      <c r="K19" s="5" t="str">
        <f ca="1">Idiomas!D229</f>
        <v>Egipto</v>
      </c>
      <c r="L19" s="5" t="s">
        <v>1549</v>
      </c>
      <c r="M19" s="9" t="e" vm="22">
        <v>#VALUE!</v>
      </c>
      <c r="O19" s="704">
        <v>18</v>
      </c>
      <c r="P19" s="705"/>
      <c r="Q19" s="705" cm="1">
        <f t="array" aca="1" ref="Q19" ca="1">IFERROR(MIN(IF(COUNTIF($Q$1:Q18,ADMIN!$H$6:$H$77)=0,ADMIN!$H$6:$H$77)),"")</f>
        <v>46201</v>
      </c>
      <c r="R19" s="702">
        <v>18</v>
      </c>
      <c r="S19" s="706"/>
      <c r="T19" s="703">
        <v>0.9</v>
      </c>
    </row>
    <row r="20" spans="1:20" ht="15" customHeight="1">
      <c r="A20" s="5">
        <v>19</v>
      </c>
      <c r="B20" s="5" t="str">
        <f ca="1">+INDEX(Idiomas!$D$212:$D$259,MATCH(T_Equipos[[#This Row],[Num]],Idiomas!$C$212:$C$259,0))</f>
        <v>Costa de Marfil</v>
      </c>
      <c r="C20" s="5" t="s">
        <v>3</v>
      </c>
      <c r="D20" s="5">
        <v>3</v>
      </c>
      <c r="K20" s="5" t="str">
        <f ca="1">Idiomas!D230</f>
        <v>Escocia</v>
      </c>
      <c r="L20" s="5" t="s">
        <v>146</v>
      </c>
      <c r="M20" s="5" t="e" vm="23">
        <v>#VALUE!</v>
      </c>
      <c r="O20" s="704">
        <v>19</v>
      </c>
      <c r="P20" s="705"/>
      <c r="Q20" s="704" t="str">
        <f>+PROPER(Idiomas!D137)</f>
        <v>Clasificados Para Dieciseisavos</v>
      </c>
      <c r="R20" s="704">
        <v>19</v>
      </c>
      <c r="T20" s="703">
        <v>0.95</v>
      </c>
    </row>
    <row r="21" spans="1:20" ht="15" customHeight="1">
      <c r="A21" s="5">
        <v>20</v>
      </c>
      <c r="B21" s="5" t="str">
        <f ca="1">+INDEX(Idiomas!$D$212:$D$259,MATCH(T_Equipos[[#This Row],[Num]],Idiomas!$C$212:$C$259,0))</f>
        <v>Ecuador</v>
      </c>
      <c r="C21" s="5" t="s">
        <v>3</v>
      </c>
      <c r="D21" s="5">
        <v>4</v>
      </c>
      <c r="K21" s="5" t="str">
        <f ca="1">Idiomas!D231</f>
        <v>España</v>
      </c>
      <c r="L21" s="5" t="s">
        <v>142</v>
      </c>
      <c r="M21" s="5" t="e" vm="24">
        <v>#VALUE!</v>
      </c>
      <c r="O21" s="704">
        <v>20</v>
      </c>
      <c r="Q21" s="705" t="str">
        <f>Idiomas!D260</f>
        <v>Dieciseisavos de final</v>
      </c>
      <c r="R21" s="702">
        <v>20</v>
      </c>
      <c r="T21" s="703"/>
    </row>
    <row r="22" spans="1:20" ht="15" customHeight="1">
      <c r="A22" s="5">
        <v>21</v>
      </c>
      <c r="B22" s="5" t="str">
        <f ca="1">+INDEX(Idiomas!$D$212:$D$259,MATCH(T_Equipos[[#This Row],[Num]],Idiomas!$C$212:$C$259,0))</f>
        <v>Países Bajos</v>
      </c>
      <c r="C22" s="5" t="s">
        <v>4</v>
      </c>
      <c r="D22" s="5">
        <v>1</v>
      </c>
      <c r="K22" s="5" t="str">
        <f ca="1">Idiomas!D232</f>
        <v>Estados Unidos</v>
      </c>
      <c r="L22" s="5" t="s">
        <v>1281</v>
      </c>
      <c r="M22" s="5" t="e" vm="25">
        <v>#VALUE!</v>
      </c>
      <c r="O22" s="704">
        <v>21</v>
      </c>
      <c r="Q22" s="705" t="str">
        <f>Idiomas!D261</f>
        <v>Octavos de final</v>
      </c>
      <c r="R22" s="702">
        <v>21</v>
      </c>
      <c r="T22" s="703"/>
    </row>
    <row r="23" spans="1:20" ht="15" customHeight="1">
      <c r="A23" s="5">
        <v>22</v>
      </c>
      <c r="B23" s="5" t="str">
        <f ca="1">+INDEX(Idiomas!$D$212:$D$259,MATCH(T_Equipos[[#This Row],[Num]],Idiomas!$C$212:$C$259,0))</f>
        <v>Japón</v>
      </c>
      <c r="C23" s="5" t="s">
        <v>4</v>
      </c>
      <c r="D23" s="5">
        <v>2</v>
      </c>
      <c r="K23" s="5" t="str">
        <f ca="1">Idiomas!D233</f>
        <v>Francia</v>
      </c>
      <c r="L23" s="5" t="s">
        <v>141</v>
      </c>
      <c r="M23" s="5" t="e" vm="26">
        <v>#VALUE!</v>
      </c>
      <c r="O23" s="704">
        <v>22</v>
      </c>
      <c r="Q23" s="705" t="str">
        <f>Idiomas!D262</f>
        <v>Cuartos de final</v>
      </c>
      <c r="R23" s="702">
        <v>22</v>
      </c>
    </row>
    <row r="24" spans="1:20" ht="15" customHeight="1">
      <c r="A24" s="5">
        <v>23</v>
      </c>
      <c r="B24" s="5" t="str">
        <f ca="1">+INDEX(Idiomas!$D$212:$D$259,MATCH(T_Equipos[[#This Row],[Num]],Idiomas!$C$212:$C$259,0))</f>
        <v>Suecia</v>
      </c>
      <c r="C24" s="5" t="s">
        <v>4</v>
      </c>
      <c r="D24" s="5">
        <v>3</v>
      </c>
      <c r="K24" s="5" t="str">
        <f ca="1">Idiomas!D234</f>
        <v>Ghana</v>
      </c>
      <c r="L24" s="5" t="s">
        <v>1550</v>
      </c>
      <c r="M24" s="5" t="e" vm="27">
        <v>#VALUE!</v>
      </c>
      <c r="O24" s="704">
        <v>23</v>
      </c>
      <c r="Q24" s="705" t="str">
        <f>Idiomas!D263</f>
        <v>Semifinales</v>
      </c>
      <c r="R24" s="702">
        <v>23</v>
      </c>
    </row>
    <row r="25" spans="1:20" ht="15" customHeight="1">
      <c r="A25" s="5">
        <v>24</v>
      </c>
      <c r="B25" s="5" t="str">
        <f ca="1">+INDEX(Idiomas!$D$212:$D$259,MATCH(T_Equipos[[#This Row],[Num]],Idiomas!$C$212:$C$259,0))</f>
        <v>Túnez</v>
      </c>
      <c r="C25" s="5" t="s">
        <v>4</v>
      </c>
      <c r="D25" s="5">
        <v>4</v>
      </c>
      <c r="K25" s="5" t="str">
        <f ca="1">Idiomas!D235</f>
        <v>Haití</v>
      </c>
      <c r="L25" s="5" t="s">
        <v>1728</v>
      </c>
      <c r="M25" s="5" t="e" vm="28">
        <v>#VALUE!</v>
      </c>
      <c r="O25" s="704">
        <v>24</v>
      </c>
      <c r="Q25" s="705" t="str">
        <f>Idiomas!D264</f>
        <v>3-4 &amp; Final</v>
      </c>
      <c r="R25" s="702">
        <v>24</v>
      </c>
    </row>
    <row r="26" spans="1:20" ht="15" customHeight="1">
      <c r="A26" s="5">
        <v>25</v>
      </c>
      <c r="B26" s="5" t="str">
        <f ca="1">+INDEX(Idiomas!$D$212:$D$259,MATCH(T_Equipos[[#This Row],[Num]],Idiomas!$C$212:$C$259,0))</f>
        <v>Bélgica</v>
      </c>
      <c r="C26" s="5" t="s">
        <v>6</v>
      </c>
      <c r="D26" s="5">
        <v>1</v>
      </c>
      <c r="K26" s="5" t="str">
        <f ca="1">Idiomas!D236</f>
        <v>Inglaterra</v>
      </c>
      <c r="L26" s="5" t="s">
        <v>139</v>
      </c>
      <c r="M26" s="5" t="e" vm="29">
        <v>#VALUE!</v>
      </c>
      <c r="O26" s="704">
        <v>25</v>
      </c>
      <c r="Q26" s="704" t="str">
        <f>+PROPER(Idiomas!G137)</f>
        <v>Clasificados Para Dieciseisavos</v>
      </c>
      <c r="R26" s="704">
        <v>19</v>
      </c>
    </row>
    <row r="27" spans="1:20" ht="15" customHeight="1">
      <c r="A27" s="5">
        <v>26</v>
      </c>
      <c r="B27" s="5" t="str">
        <f ca="1">+INDEX(Idiomas!$D$212:$D$259,MATCH(T_Equipos[[#This Row],[Num]],Idiomas!$C$212:$C$259,0))</f>
        <v>Egipto</v>
      </c>
      <c r="C27" s="5" t="s">
        <v>6</v>
      </c>
      <c r="D27" s="5">
        <v>2</v>
      </c>
      <c r="K27" s="5" t="str">
        <f ca="1">Idiomas!D237</f>
        <v>Irán</v>
      </c>
      <c r="L27" s="5" t="str">
        <f>+INDEX(Credits!$W$87:$W$91,MATCH(Credits!$N$87,Credits!$U$87:$U$91,0))</f>
        <v>🇮🇷</v>
      </c>
      <c r="M27" s="5" t="e" vm="30">
        <f>+INDEX(Credits!$X$87:$X$91,MATCH(Credits!$N$87,Credits!$U$87:$U$91,0))</f>
        <v>#VALUE!</v>
      </c>
      <c r="O27" s="704">
        <v>26</v>
      </c>
      <c r="P27" s="706"/>
      <c r="Q27" s="705" t="str">
        <f>Idiomas!G260</f>
        <v>Dieciseisavos de final</v>
      </c>
      <c r="R27" s="702">
        <v>20</v>
      </c>
    </row>
    <row r="28" spans="1:20" ht="15" customHeight="1">
      <c r="A28" s="5">
        <v>27</v>
      </c>
      <c r="B28" s="5" t="str">
        <f ca="1">+INDEX(Idiomas!$D$212:$D$259,MATCH(T_Equipos[[#This Row],[Num]],Idiomas!$C$212:$C$259,0))</f>
        <v>Irán</v>
      </c>
      <c r="C28" s="5" t="s">
        <v>6</v>
      </c>
      <c r="D28" s="5">
        <v>3</v>
      </c>
      <c r="K28" s="5" t="str">
        <f ca="1">Idiomas!D238</f>
        <v>Japón</v>
      </c>
      <c r="L28" s="5" t="s">
        <v>1285</v>
      </c>
      <c r="M28" s="5" t="e" vm="31">
        <v>#VALUE!</v>
      </c>
      <c r="O28" s="704">
        <v>27</v>
      </c>
      <c r="P28" s="706"/>
      <c r="Q28" s="705" t="str">
        <f>Idiomas!G261</f>
        <v>Octavos de final</v>
      </c>
      <c r="R28" s="702">
        <v>21</v>
      </c>
    </row>
    <row r="29" spans="1:20" ht="15" customHeight="1">
      <c r="A29" s="5">
        <v>28</v>
      </c>
      <c r="B29" s="5" t="str">
        <f ca="1">+INDEX(Idiomas!$D$212:$D$259,MATCH(T_Equipos[[#This Row],[Num]],Idiomas!$C$212:$C$259,0))</f>
        <v>Nueva Zelanda</v>
      </c>
      <c r="C29" s="5" t="s">
        <v>6</v>
      </c>
      <c r="D29" s="5">
        <v>4</v>
      </c>
      <c r="K29" s="5" t="str">
        <f ca="1">Idiomas!D239</f>
        <v>Jordania</v>
      </c>
      <c r="L29" s="5" t="s">
        <v>1287</v>
      </c>
      <c r="M29" s="5" t="e" vm="32">
        <v>#VALUE!</v>
      </c>
      <c r="O29" s="704">
        <v>28</v>
      </c>
      <c r="P29" s="706"/>
      <c r="Q29" s="705" t="str">
        <f>Idiomas!G262</f>
        <v>Cuartos de final</v>
      </c>
      <c r="R29" s="702">
        <v>22</v>
      </c>
    </row>
    <row r="30" spans="1:20" ht="15" customHeight="1">
      <c r="A30" s="5">
        <v>29</v>
      </c>
      <c r="B30" s="5" t="str">
        <f ca="1">+INDEX(Idiomas!$D$212:$D$259,MATCH(T_Equipos[[#This Row],[Num]],Idiomas!$C$212:$C$259,0))</f>
        <v>España</v>
      </c>
      <c r="C30" s="5" t="s">
        <v>437</v>
      </c>
      <c r="D30" s="5">
        <v>1</v>
      </c>
      <c r="K30" s="5" t="str">
        <f ca="1">Idiomas!D240</f>
        <v>Marruecos</v>
      </c>
      <c r="L30" s="5" t="s">
        <v>1323</v>
      </c>
      <c r="M30" s="5" t="e" vm="33">
        <v>#VALUE!</v>
      </c>
      <c r="O30" s="704">
        <v>29</v>
      </c>
      <c r="Q30" s="705" t="str">
        <f>Idiomas!G263</f>
        <v>Semifinales</v>
      </c>
      <c r="R30" s="702">
        <v>23</v>
      </c>
    </row>
    <row r="31" spans="1:20" ht="15" customHeight="1">
      <c r="A31" s="5">
        <v>30</v>
      </c>
      <c r="B31" s="5" t="str">
        <f ca="1">+INDEX(Idiomas!$D$212:$D$259,MATCH(T_Equipos[[#This Row],[Num]],Idiomas!$C$212:$C$259,0))</f>
        <v>Cabo Verde</v>
      </c>
      <c r="C31" s="5" t="s">
        <v>437</v>
      </c>
      <c r="D31" s="5">
        <v>2</v>
      </c>
      <c r="K31" s="5" t="str">
        <f ca="1">Idiomas!D241</f>
        <v>México</v>
      </c>
      <c r="L31" s="5" t="s">
        <v>1289</v>
      </c>
      <c r="M31" s="5" t="e" vm="34">
        <v>#VALUE!</v>
      </c>
      <c r="O31" s="704">
        <v>30</v>
      </c>
      <c r="Q31" s="705" t="str">
        <f>Idiomas!G264</f>
        <v>3-4 &amp; Final</v>
      </c>
      <c r="R31" s="702">
        <v>24</v>
      </c>
    </row>
    <row r="32" spans="1:20" ht="15" customHeight="1">
      <c r="A32" s="5">
        <v>31</v>
      </c>
      <c r="B32" s="5" t="str">
        <f ca="1">+INDEX(Idiomas!$D$212:$D$259,MATCH(T_Equipos[[#This Row],[Num]],Idiomas!$C$212:$C$259,0))</f>
        <v>Arabia Saudita</v>
      </c>
      <c r="C32" s="5" t="s">
        <v>437</v>
      </c>
      <c r="D32" s="5">
        <v>3</v>
      </c>
      <c r="K32" s="5" t="str">
        <f ca="1">Idiomas!D242</f>
        <v>Noruega</v>
      </c>
      <c r="L32" s="5" t="s">
        <v>147</v>
      </c>
      <c r="M32" s="5" t="e" vm="35">
        <v>#VALUE!</v>
      </c>
      <c r="O32" s="704">
        <v>31</v>
      </c>
      <c r="Q32" s="704" t="str">
        <f>+PROPER(Idiomas!H137)</f>
        <v>Qualified For Round Of 32</v>
      </c>
      <c r="R32" s="704">
        <v>19</v>
      </c>
    </row>
    <row r="33" spans="1:20" ht="15" customHeight="1">
      <c r="A33" s="5">
        <v>32</v>
      </c>
      <c r="B33" s="5" t="str">
        <f ca="1">+INDEX(Idiomas!$D$212:$D$259,MATCH(T_Equipos[[#This Row],[Num]],Idiomas!$C$212:$C$259,0))</f>
        <v>Uruguay</v>
      </c>
      <c r="C33" s="5" t="s">
        <v>437</v>
      </c>
      <c r="D33" s="5">
        <v>4</v>
      </c>
      <c r="K33" s="5" t="str">
        <f ca="1">Idiomas!D243</f>
        <v>Nueva Zelanda</v>
      </c>
      <c r="L33" s="5" t="s">
        <v>1291</v>
      </c>
      <c r="M33" s="5" t="e" vm="36">
        <v>#VALUE!</v>
      </c>
      <c r="O33" s="704">
        <v>32</v>
      </c>
      <c r="Q33" s="705" t="str">
        <f>Idiomas!H260</f>
        <v>Round of 32</v>
      </c>
      <c r="R33" s="702">
        <v>20</v>
      </c>
    </row>
    <row r="34" spans="1:20" ht="15" customHeight="1">
      <c r="A34" s="5">
        <v>33</v>
      </c>
      <c r="B34" s="5" t="str">
        <f ca="1">+INDEX(Idiomas!$D$212:$D$259,MATCH(T_Equipos[[#This Row],[Num]],Idiomas!$C$212:$C$259,0))</f>
        <v>Francia</v>
      </c>
      <c r="C34" s="5" t="s">
        <v>438</v>
      </c>
      <c r="D34" s="5">
        <v>1</v>
      </c>
      <c r="K34" s="5" t="str">
        <f ca="1">Idiomas!D244</f>
        <v>Países Bajos</v>
      </c>
      <c r="L34" s="5" t="s">
        <v>138</v>
      </c>
      <c r="M34" s="5" t="e" vm="37">
        <v>#VALUE!</v>
      </c>
      <c r="O34" s="704">
        <v>33</v>
      </c>
      <c r="Q34" s="705" t="str">
        <f>Idiomas!H261</f>
        <v>Round Of 16</v>
      </c>
      <c r="R34" s="702">
        <v>21</v>
      </c>
    </row>
    <row r="35" spans="1:20" ht="15" customHeight="1">
      <c r="A35" s="5">
        <v>34</v>
      </c>
      <c r="B35" s="5" t="str">
        <f ca="1">+INDEX(Idiomas!$D$212:$D$259,MATCH(T_Equipos[[#This Row],[Num]],Idiomas!$C$212:$C$259,0))</f>
        <v>Senegal</v>
      </c>
      <c r="C35" s="5" t="s">
        <v>438</v>
      </c>
      <c r="D35" s="5">
        <v>2</v>
      </c>
      <c r="K35" s="5" t="str">
        <f ca="1">Idiomas!D245</f>
        <v>Panamá</v>
      </c>
      <c r="L35" s="5" t="s">
        <v>1729</v>
      </c>
      <c r="M35" s="5" t="e" vm="38">
        <v>#VALUE!</v>
      </c>
      <c r="O35" s="704">
        <v>34</v>
      </c>
      <c r="Q35" s="705" t="str">
        <f>Idiomas!H262</f>
        <v>Quarterfinals</v>
      </c>
      <c r="R35" s="702">
        <v>22</v>
      </c>
    </row>
    <row r="36" spans="1:20" ht="15" customHeight="1">
      <c r="A36" s="5">
        <v>35</v>
      </c>
      <c r="B36" s="5" t="str">
        <f ca="1">+INDEX(Idiomas!$D$212:$D$259,MATCH(T_Equipos[[#This Row],[Num]],Idiomas!$C$212:$C$259,0))</f>
        <v>Irak</v>
      </c>
      <c r="C36" s="5" t="s">
        <v>438</v>
      </c>
      <c r="D36" s="5">
        <v>3</v>
      </c>
      <c r="K36" s="5" t="str">
        <f ca="1">Idiomas!D246</f>
        <v>Paraguay</v>
      </c>
      <c r="L36" s="5" t="s">
        <v>1320</v>
      </c>
      <c r="M36" s="5" t="e" vm="39">
        <v>#VALUE!</v>
      </c>
      <c r="O36" s="704">
        <v>35</v>
      </c>
      <c r="Q36" s="705" t="str">
        <f>Idiomas!H263</f>
        <v>Semifinals</v>
      </c>
      <c r="R36" s="702">
        <v>23</v>
      </c>
    </row>
    <row r="37" spans="1:20" ht="15" customHeight="1">
      <c r="A37" s="5">
        <v>36</v>
      </c>
      <c r="B37" s="5" t="str">
        <f ca="1">+INDEX(Idiomas!$D$212:$D$259,MATCH(T_Equipos[[#This Row],[Num]],Idiomas!$C$212:$C$259,0))</f>
        <v>Noruega</v>
      </c>
      <c r="C37" s="5" t="s">
        <v>438</v>
      </c>
      <c r="D37" s="5">
        <v>4</v>
      </c>
      <c r="K37" s="5" t="str">
        <f ca="1">Idiomas!D247</f>
        <v>Portugal</v>
      </c>
      <c r="L37" s="5" t="s">
        <v>137</v>
      </c>
      <c r="M37" s="5" t="e" vm="40">
        <v>#VALUE!</v>
      </c>
      <c r="O37" s="704">
        <v>36</v>
      </c>
      <c r="Q37" s="705" t="str">
        <f>Idiomas!H264</f>
        <v>3-4 &amp; Final</v>
      </c>
      <c r="R37" s="702">
        <v>24</v>
      </c>
      <c r="T37" s="705"/>
    </row>
    <row r="38" spans="1:20" ht="15" customHeight="1">
      <c r="A38" s="5">
        <v>37</v>
      </c>
      <c r="B38" s="5" t="str">
        <f ca="1">+INDEX(Idiomas!$D$212:$D$259,MATCH(T_Equipos[[#This Row],[Num]],Idiomas!$C$212:$C$259,0))</f>
        <v>Argentina</v>
      </c>
      <c r="C38" s="5" t="s">
        <v>5</v>
      </c>
      <c r="D38" s="5">
        <v>1</v>
      </c>
      <c r="K38" s="5" t="str">
        <f ca="1">Idiomas!D248</f>
        <v>Senegal</v>
      </c>
      <c r="L38" s="5" t="s">
        <v>1638</v>
      </c>
      <c r="M38" s="5" t="e" vm="41">
        <v>#VALUE!</v>
      </c>
      <c r="O38" s="704">
        <v>37</v>
      </c>
      <c r="T38" s="705"/>
    </row>
    <row r="39" spans="1:20" ht="15" customHeight="1">
      <c r="A39" s="5">
        <v>38</v>
      </c>
      <c r="B39" s="5" t="str">
        <f ca="1">+INDEX(Idiomas!$D$212:$D$259,MATCH(T_Equipos[[#This Row],[Num]],Idiomas!$C$212:$C$259,0))</f>
        <v>Argelia</v>
      </c>
      <c r="C39" s="5" t="s">
        <v>5</v>
      </c>
      <c r="D39" s="5">
        <v>2</v>
      </c>
      <c r="K39" s="5" t="str">
        <f ca="1">Idiomas!D249</f>
        <v>Sudáfrica</v>
      </c>
      <c r="L39" s="5" t="s">
        <v>1631</v>
      </c>
      <c r="M39" s="5" t="e" vm="42">
        <v>#VALUE!</v>
      </c>
      <c r="O39" s="704">
        <v>38</v>
      </c>
      <c r="Q39" s="704" t="s">
        <v>1642</v>
      </c>
      <c r="R39" s="704" t="s">
        <v>1643</v>
      </c>
      <c r="S39" s="704"/>
      <c r="T39" s="705"/>
    </row>
    <row r="40" spans="1:20" ht="15" customHeight="1">
      <c r="A40" s="5">
        <v>39</v>
      </c>
      <c r="B40" s="5" t="str">
        <f ca="1">+INDEX(Idiomas!$D$212:$D$259,MATCH(T_Equipos[[#This Row],[Num]],Idiomas!$C$212:$C$259,0))</f>
        <v>Austria</v>
      </c>
      <c r="C40" s="5" t="s">
        <v>5</v>
      </c>
      <c r="D40" s="5">
        <v>3</v>
      </c>
      <c r="K40" s="5" t="str">
        <f ca="1">Idiomas!D250</f>
        <v>Suiza</v>
      </c>
      <c r="L40" s="5" t="s">
        <v>136</v>
      </c>
      <c r="M40" s="5" t="e" vm="43">
        <v>#VALUE!</v>
      </c>
      <c r="O40" s="704">
        <v>39</v>
      </c>
      <c r="Q40" s="705" cm="1">
        <f t="array" aca="1" ref="Q40" ca="1">IFERROR(INDEX($Q$2:$Q$25,SMALL(IF(($Q$2:$Q$25)=0,"",ROW($Q$2:$Q$25)),ROW(Q1))-MIN(ROW($Q$2:$Q$25))+1),"")</f>
        <v>46184</v>
      </c>
      <c r="R40" s="705" cm="1">
        <f t="array" ref="R40:R63" ca="1">Equipos!$Q$40:INDEX(Equipos!$Q$40:$Q$63,SUMPRODUCT((NOT(ISERROR(Equipos!$Q$40:$Q$63)))*(Equipos!$Q$40:$Q$63&lt;&gt;"")))</f>
        <v>46184</v>
      </c>
      <c r="S40" s="704"/>
      <c r="T40" s="705"/>
    </row>
    <row r="41" spans="1:20" ht="15" customHeight="1">
      <c r="A41" s="5">
        <v>40</v>
      </c>
      <c r="B41" s="5" t="str">
        <f ca="1">+INDEX(Idiomas!$D$212:$D$259,MATCH(T_Equipos[[#This Row],[Num]],Idiomas!$C$212:$C$259,0))</f>
        <v>Jordania</v>
      </c>
      <c r="C41" s="5" t="s">
        <v>5</v>
      </c>
      <c r="D41" s="5">
        <v>4</v>
      </c>
      <c r="K41" s="5" t="str">
        <f ca="1">Idiomas!D251</f>
        <v>Túnez</v>
      </c>
      <c r="L41" s="5" t="s">
        <v>1325</v>
      </c>
      <c r="M41" s="5" t="e" vm="44">
        <v>#VALUE!</v>
      </c>
      <c r="O41" s="704">
        <v>40</v>
      </c>
      <c r="Q41" s="705" cm="1">
        <f t="array" aca="1" ref="Q41" ca="1">IFERROR(INDEX($Q$2:$Q$25,SMALL(IF(($Q$2:$Q$25)=0,"",ROW($Q$2:$Q$25)),ROW(Q2))-MIN(ROW($Q$2:$Q$25))+1),"")</f>
        <v>46185</v>
      </c>
      <c r="R41" s="705">
        <f ca="1"/>
        <v>46185</v>
      </c>
      <c r="T41" s="705"/>
    </row>
    <row r="42" spans="1:20" ht="15" customHeight="1">
      <c r="A42" s="5">
        <v>41</v>
      </c>
      <c r="B42" s="5" t="str">
        <f ca="1">+INDEX(Idiomas!$D$212:$D$259,MATCH(T_Equipos[[#This Row],[Num]],Idiomas!$C$212:$C$259,0))</f>
        <v>Portugal</v>
      </c>
      <c r="C42" s="5" t="s">
        <v>439</v>
      </c>
      <c r="D42" s="5">
        <v>1</v>
      </c>
      <c r="K42" s="5" t="str">
        <f ca="1">Idiomas!D252</f>
        <v>Uruguay</v>
      </c>
      <c r="L42" s="5" t="s">
        <v>1319</v>
      </c>
      <c r="M42" s="5" t="e" vm="45">
        <v>#VALUE!</v>
      </c>
      <c r="O42" s="704"/>
      <c r="Q42" s="705" cm="1">
        <f t="array" aca="1" ref="Q42" ca="1">IFERROR(INDEX($Q$2:$Q$25,SMALL(IF(($Q$2:$Q$25)=0,"",ROW($Q$2:$Q$25)),ROW(Q3))-MIN(ROW($Q$2:$Q$25))+1),"")</f>
        <v>46186</v>
      </c>
      <c r="R42" s="705">
        <f ca="1"/>
        <v>46186</v>
      </c>
      <c r="T42" s="705"/>
    </row>
    <row r="43" spans="1:20" ht="15" customHeight="1">
      <c r="A43" s="5">
        <v>42</v>
      </c>
      <c r="B43" s="5" t="str">
        <f ca="1">+INDEX(Idiomas!$D$212:$D$259,MATCH(T_Equipos[[#This Row],[Num]],Idiomas!$C$212:$C$259,0))</f>
        <v>RD Congo</v>
      </c>
      <c r="C43" s="5" t="s">
        <v>439</v>
      </c>
      <c r="D43" s="5">
        <v>2</v>
      </c>
      <c r="K43" s="5" t="str">
        <f ca="1">Idiomas!D253</f>
        <v>Uzbekistán</v>
      </c>
      <c r="L43" s="5" t="s">
        <v>1293</v>
      </c>
      <c r="M43" s="5" t="e" vm="46">
        <v>#VALUE!</v>
      </c>
      <c r="O43" s="704"/>
      <c r="Q43" s="705" cm="1">
        <f t="array" aca="1" ref="Q43" ca="1">IFERROR(INDEX($Q$2:$Q$25,SMALL(IF(($Q$2:$Q$25)=0,"",ROW($Q$2:$Q$25)),ROW(Q4))-MIN(ROW($Q$2:$Q$25))+1),"")</f>
        <v>46187</v>
      </c>
      <c r="R43" s="705">
        <f ca="1"/>
        <v>46187</v>
      </c>
      <c r="T43" s="705"/>
    </row>
    <row r="44" spans="1:20" ht="15" customHeight="1">
      <c r="A44" s="5">
        <v>43</v>
      </c>
      <c r="B44" s="5" t="str">
        <f ca="1">+INDEX(Idiomas!$D$212:$D$259,MATCH(T_Equipos[[#This Row],[Num]],Idiomas!$C$212:$C$259,0))</f>
        <v>Uzbekistán</v>
      </c>
      <c r="C44" s="5" t="s">
        <v>439</v>
      </c>
      <c r="D44" s="5">
        <v>3</v>
      </c>
      <c r="K44" s="5" t="str">
        <f ca="1">Idiomas!D254</f>
        <v>RD Congo</v>
      </c>
      <c r="L44" s="707" t="s">
        <v>1839</v>
      </c>
      <c r="M44" s="5" t="e" vm="47">
        <v>#VALUE!</v>
      </c>
      <c r="O44" s="704"/>
      <c r="Q44" s="705" cm="1">
        <f t="array" aca="1" ref="Q44" ca="1">IFERROR(INDEX($Q$2:$Q$25,SMALL(IF(($Q$2:$Q$25)=0,"",ROW($Q$2:$Q$25)),ROW(Q5))-MIN(ROW($Q$2:$Q$25))+1),"")</f>
        <v>46188</v>
      </c>
      <c r="R44" s="705">
        <f ca="1"/>
        <v>46188</v>
      </c>
      <c r="T44" s="705"/>
    </row>
    <row r="45" spans="1:20" ht="15" customHeight="1">
      <c r="A45" s="5">
        <v>44</v>
      </c>
      <c r="B45" s="5" t="str">
        <f ca="1">+INDEX(Idiomas!$D$212:$D$259,MATCH(T_Equipos[[#This Row],[Num]],Idiomas!$C$212:$C$259,0))</f>
        <v>Colombia</v>
      </c>
      <c r="C45" s="5" t="s">
        <v>439</v>
      </c>
      <c r="D45" s="5">
        <v>4</v>
      </c>
      <c r="K45" s="5" t="str">
        <f ca="1">Idiomas!D255</f>
        <v>Irak</v>
      </c>
      <c r="L45" s="707" t="s">
        <v>1753</v>
      </c>
      <c r="M45" s="5" t="e" vm="48">
        <v>#VALUE!</v>
      </c>
      <c r="O45" s="704"/>
      <c r="Q45" s="705" cm="1">
        <f t="array" aca="1" ref="Q45" ca="1">IFERROR(INDEX($Q$2:$Q$25,SMALL(IF(($Q$2:$Q$25)=0,"",ROW($Q$2:$Q$25)),ROW(Q6))-MIN(ROW($Q$2:$Q$25))+1),"")</f>
        <v>46189</v>
      </c>
      <c r="R45" s="705">
        <f ca="1"/>
        <v>46189</v>
      </c>
      <c r="T45" s="705"/>
    </row>
    <row r="46" spans="1:20" ht="15" customHeight="1">
      <c r="A46" s="5">
        <v>45</v>
      </c>
      <c r="B46" s="5" t="str">
        <f ca="1">+INDEX(Idiomas!$D$212:$D$259,MATCH(T_Equipos[[#This Row],[Num]],Idiomas!$C$212:$C$259,0))</f>
        <v>Inglaterra</v>
      </c>
      <c r="C46" s="5" t="s">
        <v>238</v>
      </c>
      <c r="D46" s="5">
        <v>1</v>
      </c>
      <c r="K46" s="5" t="str">
        <f ca="1">Idiomas!D256</f>
        <v>Bosnia y Herzegovina</v>
      </c>
      <c r="L46" s="708" t="s">
        <v>1840</v>
      </c>
      <c r="M46" s="5" t="e" vm="49">
        <v>#VALUE!</v>
      </c>
      <c r="O46" s="704"/>
      <c r="Q46" s="705" cm="1">
        <f t="array" aca="1" ref="Q46" ca="1">IFERROR(INDEX($Q$2:$Q$25,SMALL(IF(($Q$2:$Q$25)=0,"",ROW($Q$2:$Q$25)),ROW(Q7))-MIN(ROW($Q$2:$Q$25))+1),"")</f>
        <v>46190</v>
      </c>
      <c r="R46" s="705">
        <f ca="1"/>
        <v>46190</v>
      </c>
      <c r="T46" s="705"/>
    </row>
    <row r="47" spans="1:20" ht="15" customHeight="1">
      <c r="A47" s="5">
        <v>46</v>
      </c>
      <c r="B47" s="5" t="str">
        <f ca="1">+INDEX(Idiomas!$D$212:$D$259,MATCH(T_Equipos[[#This Row],[Num]],Idiomas!$C$212:$C$259,0))</f>
        <v>Croacia</v>
      </c>
      <c r="C47" s="5" t="s">
        <v>238</v>
      </c>
      <c r="D47" s="5">
        <v>2</v>
      </c>
      <c r="K47" s="5" t="str">
        <f ca="1">Idiomas!D257</f>
        <v>Suecia</v>
      </c>
      <c r="L47" s="707" t="s">
        <v>1831</v>
      </c>
      <c r="M47" s="5" t="e" vm="50">
        <v>#VALUE!</v>
      </c>
      <c r="O47" s="704"/>
      <c r="Q47" s="705" cm="1">
        <f t="array" aca="1" ref="Q47" ca="1">IFERROR(INDEX($Q$2:$Q$25,SMALL(IF(($Q$2:$Q$25)=0,"",ROW($Q$2:$Q$25)),ROW(Q8))-MIN(ROW($Q$2:$Q$25))+1),"")</f>
        <v>46191</v>
      </c>
      <c r="R47" s="705">
        <f ca="1"/>
        <v>46191</v>
      </c>
      <c r="T47" s="705"/>
    </row>
    <row r="48" spans="1:20" ht="15" customHeight="1">
      <c r="A48" s="5">
        <v>47</v>
      </c>
      <c r="B48" s="5" t="str">
        <f ca="1">+INDEX(Idiomas!$D$212:$D$259,MATCH(T_Equipos[[#This Row],[Num]],Idiomas!$C$212:$C$259,0))</f>
        <v>Ghana</v>
      </c>
      <c r="C48" s="5" t="s">
        <v>238</v>
      </c>
      <c r="D48" s="5">
        <v>3</v>
      </c>
      <c r="K48" s="5" t="str">
        <f ca="1">Idiomas!D258</f>
        <v>Turquía</v>
      </c>
      <c r="L48" s="707" t="s">
        <v>1832</v>
      </c>
      <c r="M48" s="5" t="e" vm="51">
        <v>#VALUE!</v>
      </c>
      <c r="O48" s="704"/>
      <c r="Q48" s="705" cm="1">
        <f t="array" aca="1" ref="Q48" ca="1">IFERROR(INDEX($Q$2:$Q$25,SMALL(IF(($Q$2:$Q$25)=0,"",ROW($Q$2:$Q$25)),ROW(Q9))-MIN(ROW($Q$2:$Q$25))+1),"")</f>
        <v>46192</v>
      </c>
      <c r="R48" s="705">
        <f ca="1"/>
        <v>46192</v>
      </c>
      <c r="T48" s="705"/>
    </row>
    <row r="49" spans="1:20" ht="15" customHeight="1">
      <c r="A49" s="5">
        <v>48</v>
      </c>
      <c r="B49" s="5" t="str">
        <f ca="1">+INDEX(Idiomas!$D$212:$D$259,MATCH(T_Equipos[[#This Row],[Num]],Idiomas!$C$212:$C$259,0))</f>
        <v>Panamá</v>
      </c>
      <c r="C49" s="5" t="s">
        <v>238</v>
      </c>
      <c r="D49" s="5">
        <v>4</v>
      </c>
      <c r="K49" s="5" t="str">
        <f ca="1">Idiomas!D259</f>
        <v>República Checa</v>
      </c>
      <c r="L49" s="707" t="s">
        <v>1841</v>
      </c>
      <c r="M49" s="5" t="e" vm="52">
        <v>#VALUE!</v>
      </c>
      <c r="O49" s="704"/>
      <c r="Q49" s="705" cm="1">
        <f t="array" aca="1" ref="Q49" ca="1">IFERROR(INDEX($Q$2:$Q$25,SMALL(IF(($Q$2:$Q$25)=0,"",ROW($Q$2:$Q$25)),ROW(Q10))-MIN(ROW($Q$2:$Q$25))+1),"")</f>
        <v>46193</v>
      </c>
      <c r="R49" s="705">
        <f ca="1"/>
        <v>46193</v>
      </c>
      <c r="T49" s="705"/>
    </row>
    <row r="50" spans="1:20" ht="15" customHeight="1">
      <c r="L50" s="5" t="s">
        <v>1300</v>
      </c>
      <c r="O50" s="704"/>
      <c r="Q50" s="705" cm="1">
        <f t="array" aca="1" ref="Q50" ca="1">IFERROR(INDEX($Q$2:$Q$25,SMALL(IF(($Q$2:$Q$25)=0,"",ROW($Q$2:$Q$25)),ROW(Q11))-MIN(ROW($Q$2:$Q$25))+1),"")</f>
        <v>46194</v>
      </c>
      <c r="R50" s="705">
        <f ca="1"/>
        <v>46194</v>
      </c>
      <c r="T50" s="705"/>
    </row>
    <row r="51" spans="1:20" ht="15" customHeight="1">
      <c r="O51" s="704"/>
      <c r="Q51" s="705" cm="1">
        <f t="array" aca="1" ref="Q51" ca="1">IFERROR(INDEX($Q$2:$Q$25,SMALL(IF(($Q$2:$Q$25)=0,"",ROW($Q$2:$Q$25)),ROW(Q12))-MIN(ROW($Q$2:$Q$25))+1),"")</f>
        <v>46195</v>
      </c>
      <c r="R51" s="705">
        <f ca="1"/>
        <v>46195</v>
      </c>
      <c r="T51" s="705"/>
    </row>
    <row r="52" spans="1:20" ht="15" customHeight="1">
      <c r="O52" s="704"/>
      <c r="Q52" s="705" cm="1">
        <f t="array" aca="1" ref="Q52" ca="1">IFERROR(INDEX($Q$2:$Q$25,SMALL(IF(($Q$2:$Q$25)=0,"",ROW($Q$2:$Q$25)),ROW(Q13))-MIN(ROW($Q$2:$Q$25))+1),"")</f>
        <v>46196</v>
      </c>
      <c r="R52" s="705">
        <f ca="1"/>
        <v>46196</v>
      </c>
      <c r="T52" s="705"/>
    </row>
    <row r="53" spans="1:20" ht="15" customHeight="1">
      <c r="O53" s="704"/>
      <c r="P53" s="706"/>
      <c r="Q53" s="705" cm="1">
        <f t="array" aca="1" ref="Q53" ca="1">IFERROR(INDEX($Q$2:$Q$25,SMALL(IF(($Q$2:$Q$25)=0,"",ROW($Q$2:$Q$25)),ROW(Q14))-MIN(ROW($Q$2:$Q$25))+1),"")</f>
        <v>46197</v>
      </c>
      <c r="R53" s="705">
        <f ca="1"/>
        <v>46197</v>
      </c>
      <c r="T53" s="705"/>
    </row>
    <row r="54" spans="1:20" ht="15" customHeight="1">
      <c r="O54" s="704"/>
      <c r="Q54" s="705" cm="1">
        <f t="array" aca="1" ref="Q54" ca="1">IFERROR(INDEX($Q$2:$Q$25,SMALL(IF(($Q$2:$Q$25)=0,"",ROW($Q$2:$Q$25)),ROW(Q15))-MIN(ROW($Q$2:$Q$25))+1),"")</f>
        <v>46198</v>
      </c>
      <c r="R54" s="705">
        <f ca="1"/>
        <v>46198</v>
      </c>
      <c r="T54" s="705"/>
    </row>
    <row r="55" spans="1:20" ht="15" customHeight="1">
      <c r="O55" s="704"/>
      <c r="Q55" s="705" cm="1">
        <f t="array" aca="1" ref="Q55" ca="1">IFERROR(INDEX($Q$2:$Q$25,SMALL(IF(($Q$2:$Q$25)=0,"",ROW($Q$2:$Q$25)),ROW(Q16))-MIN(ROW($Q$2:$Q$25))+1),"")</f>
        <v>46199</v>
      </c>
      <c r="R55" s="705">
        <f ca="1"/>
        <v>46199</v>
      </c>
      <c r="T55" s="705"/>
    </row>
    <row r="56" spans="1:20" ht="15" customHeight="1">
      <c r="O56" s="704"/>
      <c r="Q56" s="705" cm="1">
        <f t="array" aca="1" ref="Q56" ca="1">IFERROR(INDEX($Q$2:$Q$25,SMALL(IF(($Q$2:$Q$25)=0,"",ROW($Q$2:$Q$25)),ROW(Q17))-MIN(ROW($Q$2:$Q$25))+1),"")</f>
        <v>46200</v>
      </c>
      <c r="R56" s="705">
        <f ca="1"/>
        <v>46200</v>
      </c>
      <c r="T56" s="705"/>
    </row>
    <row r="57" spans="1:20" ht="15" customHeight="1">
      <c r="O57" s="704"/>
      <c r="Q57" s="705" cm="1">
        <f t="array" aca="1" ref="Q57" ca="1">IFERROR(INDEX($Q$2:$Q$25,SMALL(IF(($Q$2:$Q$25)=0,"",ROW($Q$2:$Q$25)),ROW(Q18))-MIN(ROW($Q$2:$Q$25))+1),"")</f>
        <v>46201</v>
      </c>
      <c r="R57" s="705">
        <f ca="1"/>
        <v>46201</v>
      </c>
      <c r="T57" s="705"/>
    </row>
    <row r="58" spans="1:20" ht="15" customHeight="1">
      <c r="O58" s="704"/>
      <c r="Q58" s="705" t="str" cm="1">
        <f t="array" aca="1" ref="Q58" ca="1">IFERROR(INDEX($Q$2:$Q$25,SMALL(IF(($Q$2:$Q$25)=0,"",ROW($Q$2:$Q$25)),ROW(Q19))-MIN(ROW($Q$2:$Q$25))+1),"")</f>
        <v>Clasificados Para Dieciseisavos</v>
      </c>
      <c r="R58" s="704" t="str">
        <f ca="1"/>
        <v>Clasificados Para Dieciseisavos</v>
      </c>
      <c r="T58" s="705"/>
    </row>
    <row r="59" spans="1:20" ht="15" customHeight="1">
      <c r="O59" s="704"/>
      <c r="Q59" s="705" t="str" cm="1">
        <f t="array" aca="1" ref="Q59" ca="1">IFERROR(INDEX($Q$2:$Q$25,SMALL(IF(($Q$2:$Q$25)=0,"",ROW($Q$2:$Q$25)),ROW(Q20))-MIN(ROW($Q$2:$Q$25))+1),"")</f>
        <v>Dieciseisavos de final</v>
      </c>
      <c r="R59" s="704" t="str">
        <f ca="1"/>
        <v>Dieciseisavos de final</v>
      </c>
      <c r="T59" s="705"/>
    </row>
    <row r="60" spans="1:20" ht="15" customHeight="1">
      <c r="O60" s="704"/>
      <c r="Q60" s="705" t="str" cm="1">
        <f t="array" aca="1" ref="Q60" ca="1">IFERROR(INDEX($Q$2:$Q$25,SMALL(IF(($Q$2:$Q$25)=0,"",ROW($Q$2:$Q$25)),ROW(Q21))-MIN(ROW($Q$2:$Q$25))+1),"")</f>
        <v>Octavos de final</v>
      </c>
      <c r="R60" s="704" t="str">
        <f ca="1"/>
        <v>Octavos de final</v>
      </c>
      <c r="T60" s="705"/>
    </row>
    <row r="61" spans="1:20" ht="15" customHeight="1">
      <c r="O61" s="704"/>
      <c r="Q61" s="705" t="str" cm="1">
        <f t="array" aca="1" ref="Q61" ca="1">IFERROR(INDEX($Q$2:$Q$25,SMALL(IF(($Q$2:$Q$25)=0,"",ROW($Q$2:$Q$25)),ROW(Q22))-MIN(ROW($Q$2:$Q$25))+1),"")</f>
        <v>Cuartos de final</v>
      </c>
      <c r="R61" s="704" t="str">
        <f ca="1"/>
        <v>Cuartos de final</v>
      </c>
    </row>
    <row r="62" spans="1:20" ht="15" customHeight="1">
      <c r="O62" s="704"/>
      <c r="Q62" s="705" t="str" cm="1">
        <f t="array" aca="1" ref="Q62" ca="1">IFERROR(INDEX($Q$2:$Q$25,SMALL(IF(($Q$2:$Q$25)=0,"",ROW($Q$2:$Q$25)),ROW(Q23))-MIN(ROW($Q$2:$Q$25))+1),"")</f>
        <v>Semifinales</v>
      </c>
      <c r="R62" s="704" t="str">
        <f ca="1"/>
        <v>Semifinales</v>
      </c>
    </row>
    <row r="63" spans="1:20" ht="15" customHeight="1">
      <c r="O63" s="704"/>
      <c r="Q63" s="705" t="str" cm="1">
        <f t="array" aca="1" ref="Q63" ca="1">IFERROR(INDEX($Q$2:$Q$25,SMALL(IF(($Q$2:$Q$25)=0,"",ROW($Q$2:$Q$25)),ROW(Q24))-MIN(ROW($Q$2:$Q$25))+1),"")</f>
        <v>3-4 &amp; Final</v>
      </c>
      <c r="R63" s="704" t="str">
        <f ca="1"/>
        <v>3-4 &amp; Final</v>
      </c>
    </row>
    <row r="64" spans="1:20" ht="15" customHeight="1">
      <c r="O64" s="704"/>
      <c r="Q64" s="706" t="str" cm="1">
        <f t="array" aca="1" ref="Q64" ca="1">IFERROR(INDEX($Q$2:$Q$25,SMALL(IF(($Q$2:$Q$25)=0,"",ROW($Q$2:$Q$25)),ROW(Q25))-MIN(ROW($Q$2:$Q$25))+1),"")</f>
        <v/>
      </c>
    </row>
  </sheetData>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dimension ref="A1:AI147"/>
  <sheetViews>
    <sheetView topLeftCell="A7" zoomScale="99" workbookViewId="0">
      <selection activeCell="P27" sqref="P27"/>
    </sheetView>
  </sheetViews>
  <sheetFormatPr baseColWidth="10" defaultColWidth="10.85546875" defaultRowHeight="15"/>
  <cols>
    <col min="1" max="1" width="16.140625" style="9" bestFit="1" customWidth="1"/>
    <col min="2" max="2" width="5" style="9" customWidth="1"/>
    <col min="3" max="3" width="15.85546875" style="9" bestFit="1" customWidth="1"/>
    <col min="4" max="4" width="13.140625" style="9" customWidth="1"/>
    <col min="5" max="5" width="12.28515625" style="9" bestFit="1" customWidth="1"/>
    <col min="6" max="6" width="10.85546875" style="9"/>
    <col min="7" max="7" width="12.28515625" style="9" bestFit="1" customWidth="1"/>
    <col min="8" max="10" width="10.85546875" style="9"/>
    <col min="11" max="11" width="46.5703125" style="9" bestFit="1" customWidth="1"/>
    <col min="12" max="12" width="14.42578125" style="9" bestFit="1" customWidth="1"/>
    <col min="13" max="13" width="4.42578125" style="9" bestFit="1" customWidth="1"/>
    <col min="14" max="14" width="8.7109375" style="9" bestFit="1" customWidth="1"/>
    <col min="15" max="15" width="10.85546875" style="9"/>
    <col min="16" max="16" width="27.85546875" style="9" bestFit="1" customWidth="1"/>
    <col min="17" max="17" width="20" style="9" bestFit="1" customWidth="1"/>
    <col min="18" max="18" width="13" style="9" bestFit="1" customWidth="1"/>
    <col min="19" max="19" width="12.7109375" style="9" bestFit="1" customWidth="1"/>
    <col min="20" max="20" width="11.85546875" style="9" bestFit="1" customWidth="1"/>
    <col min="21" max="21" width="25.140625" style="9" bestFit="1" customWidth="1"/>
    <col min="22" max="22" width="12.140625" style="9" bestFit="1" customWidth="1"/>
    <col min="23" max="23" width="3.5703125" style="9" bestFit="1" customWidth="1"/>
    <col min="24" max="24" width="11.85546875" style="9" bestFit="1" customWidth="1"/>
    <col min="25" max="26" width="10.85546875" style="9"/>
    <col min="27" max="27" width="5.28515625" style="9" bestFit="1" customWidth="1"/>
    <col min="28" max="28" width="20" style="9" bestFit="1" customWidth="1"/>
    <col min="29" max="29" width="13" style="9" bestFit="1" customWidth="1"/>
    <col min="30" max="30" width="12.7109375" style="9" bestFit="1" customWidth="1"/>
    <col min="31" max="31" width="11.85546875" style="9" bestFit="1" customWidth="1"/>
    <col min="32" max="32" width="25.140625" style="9" bestFit="1" customWidth="1"/>
    <col min="33" max="33" width="12.140625" style="9" bestFit="1" customWidth="1"/>
    <col min="34" max="34" width="3.5703125" style="9" bestFit="1" customWidth="1"/>
    <col min="35" max="35" width="6.5703125" style="9" bestFit="1" customWidth="1"/>
    <col min="36" max="16384" width="10.85546875" style="9"/>
  </cols>
  <sheetData>
    <row r="1" spans="1:35" ht="15.75" thickBot="1">
      <c r="A1" s="686"/>
      <c r="K1" s="690" t="s">
        <v>376</v>
      </c>
      <c r="L1" s="690" t="s">
        <v>367</v>
      </c>
      <c r="M1" s="690" t="s">
        <v>149</v>
      </c>
      <c r="N1" s="690" t="s">
        <v>372</v>
      </c>
      <c r="P1" s="9" t="s">
        <v>1338</v>
      </c>
    </row>
    <row r="2" spans="1:35" ht="15.75" thickBot="1">
      <c r="K2" s="690" t="s">
        <v>366</v>
      </c>
      <c r="L2" s="690" t="str">
        <f>Idiomas!D266</f>
        <v>Estados Unidos</v>
      </c>
      <c r="M2" s="690">
        <f ca="1">+INDEX($R$3:$R$86,MATCH($L$2,$Q$3:$Q$86,0))</f>
        <v>-4</v>
      </c>
      <c r="N2" s="691">
        <f ca="1">+INDEX($S$3:$S$86,MATCH($L$2,$Q$3:$Q$86,0))</f>
        <v>0.16666666666666666</v>
      </c>
      <c r="P2" s="692" t="s">
        <v>368</v>
      </c>
      <c r="Q2" s="692" t="s">
        <v>367</v>
      </c>
      <c r="R2" s="692" t="s">
        <v>352</v>
      </c>
      <c r="S2" s="692" t="s">
        <v>371</v>
      </c>
      <c r="T2" s="692" t="s">
        <v>353</v>
      </c>
      <c r="U2" s="692" t="s">
        <v>354</v>
      </c>
      <c r="V2" s="692" t="s">
        <v>370</v>
      </c>
      <c r="W2" s="693" t="s">
        <v>369</v>
      </c>
      <c r="X2" s="692" t="s">
        <v>353</v>
      </c>
      <c r="AA2" s="692" t="s">
        <v>368</v>
      </c>
      <c r="AB2" s="692" t="s">
        <v>367</v>
      </c>
      <c r="AC2" s="692" t="s">
        <v>352</v>
      </c>
      <c r="AD2" s="692" t="s">
        <v>371</v>
      </c>
      <c r="AE2" s="692" t="s">
        <v>353</v>
      </c>
      <c r="AF2" s="692" t="s">
        <v>354</v>
      </c>
      <c r="AG2" s="692" t="s">
        <v>370</v>
      </c>
      <c r="AH2" s="693" t="s">
        <v>369</v>
      </c>
      <c r="AI2" s="692" t="s">
        <v>83</v>
      </c>
    </row>
    <row r="3" spans="1:35">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694">
        <f t="shared" ca="1" si="0"/>
        <v>8.3333333333333329E-2</v>
      </c>
      <c r="T3" s="9">
        <f t="shared" ca="1" si="0"/>
        <v>0</v>
      </c>
      <c r="U3" s="9">
        <f t="shared" ca="1" si="0"/>
        <v>6</v>
      </c>
      <c r="V3" s="694">
        <f t="shared" ca="1" si="0"/>
        <v>0.25</v>
      </c>
      <c r="W3" s="9">
        <f t="shared" ca="1" si="0"/>
        <v>1</v>
      </c>
      <c r="X3" s="9">
        <f t="shared" ref="X3:X50" ca="1" si="1">IFERROR(IF(Q3=$L$2,1,0),0)</f>
        <v>0</v>
      </c>
      <c r="AA3" s="9">
        <v>1</v>
      </c>
      <c r="AB3" s="9" t="str">
        <f ca="1">Idiomas!D212</f>
        <v>Alemania</v>
      </c>
      <c r="AC3" s="9">
        <v>2</v>
      </c>
      <c r="AD3" s="694">
        <f>ABS(AC3/24)</f>
        <v>8.3333333333333329E-2</v>
      </c>
      <c r="AE3" s="9">
        <v>0</v>
      </c>
      <c r="AF3" s="9">
        <f ca="1">AC3-$M$2</f>
        <v>6</v>
      </c>
      <c r="AG3" s="694">
        <f ca="1">ABS(AF3/24)</f>
        <v>0.25</v>
      </c>
      <c r="AH3" s="9">
        <f ca="1">IF(AC3&gt;$M$2,1,IF(AC3=$M$2,0,-1))</f>
        <v>1</v>
      </c>
      <c r="AI3" s="9">
        <f ca="1">+COUNTIF($AB$3:$AB$50,"&lt;="&amp;AB3)</f>
        <v>1</v>
      </c>
    </row>
    <row r="4" spans="1:35">
      <c r="A4" s="686">
        <v>46184.625</v>
      </c>
      <c r="C4" s="686">
        <f t="shared" ref="C4:C9" ca="1" si="2">A4+INDEX($V$3:$V$86,MATCH($C$3,$P$3:$P$86,0))*INDEX($W$3:$W$86,MATCH($C$3,$P$3:$P$86,0))</f>
        <v>46184.875</v>
      </c>
      <c r="D4" s="686"/>
      <c r="E4" s="686"/>
      <c r="P4" s="9">
        <v>2</v>
      </c>
      <c r="Q4" s="9" t="str">
        <f t="shared" ref="Q4:Q50" ca="1" si="3">+INDEX($AB$3:$AB$50,MATCH(P4,$AI$3:$AI$50,0))</f>
        <v>Arabia Saudita</v>
      </c>
      <c r="R4" s="9">
        <f t="shared" ca="1" si="0"/>
        <v>3</v>
      </c>
      <c r="S4" s="694">
        <f t="shared" ca="1" si="0"/>
        <v>0.125</v>
      </c>
      <c r="T4" s="9">
        <f t="shared" ca="1" si="0"/>
        <v>0</v>
      </c>
      <c r="U4" s="9">
        <f t="shared" ca="1" si="0"/>
        <v>7</v>
      </c>
      <c r="V4" s="694">
        <f t="shared" ca="1" si="0"/>
        <v>0.29166666666666669</v>
      </c>
      <c r="W4" s="9">
        <f t="shared" ca="1" si="0"/>
        <v>1</v>
      </c>
      <c r="X4" s="9">
        <f t="shared" ca="1" si="1"/>
        <v>0</v>
      </c>
      <c r="AA4" s="9">
        <v>2</v>
      </c>
      <c r="AB4" s="9" t="str">
        <f ca="1">Idiomas!D213</f>
        <v>Arabia Saudita</v>
      </c>
      <c r="AC4" s="9">
        <v>3</v>
      </c>
      <c r="AD4" s="694">
        <f t="shared" ref="AD4:AD67" si="4">ABS(AC4/24)</f>
        <v>0.125</v>
      </c>
      <c r="AE4" s="9">
        <v>0</v>
      </c>
      <c r="AF4" s="9">
        <f t="shared" ref="AF4:AF50" ca="1" si="5">AC4-$M$2</f>
        <v>7</v>
      </c>
      <c r="AG4" s="694">
        <f t="shared" ref="AG4:AG67" ca="1" si="6">ABS(AF4/24)</f>
        <v>0.29166666666666669</v>
      </c>
      <c r="AH4" s="9">
        <f t="shared" ref="AH4:AH50" ca="1" si="7">IF(AC4&gt;$M$2,1,IF(AC4=$M$2,0,-1))</f>
        <v>1</v>
      </c>
      <c r="AI4" s="9">
        <f t="shared" ref="AI4:AI50" ca="1" si="8">+COUNTIF($AB$3:$AB$50,"&lt;="&amp;AB4)</f>
        <v>2</v>
      </c>
    </row>
    <row r="5" spans="1:35">
      <c r="A5" s="686">
        <v>46184.916666666664</v>
      </c>
      <c r="C5" s="686">
        <f t="shared" ca="1" si="2"/>
        <v>46185.166666666664</v>
      </c>
      <c r="D5" s="686"/>
      <c r="E5" s="686"/>
      <c r="P5" s="9">
        <v>3</v>
      </c>
      <c r="Q5" s="9" t="str">
        <f t="shared" ca="1" si="3"/>
        <v>Argelia</v>
      </c>
      <c r="R5" s="9">
        <f t="shared" ca="1" si="0"/>
        <v>1</v>
      </c>
      <c r="S5" s="694">
        <f t="shared" ca="1" si="0"/>
        <v>4.1666666666666664E-2</v>
      </c>
      <c r="T5" s="9">
        <f t="shared" ca="1" si="0"/>
        <v>0</v>
      </c>
      <c r="U5" s="9">
        <f t="shared" ca="1" si="0"/>
        <v>5</v>
      </c>
      <c r="V5" s="694">
        <f t="shared" ca="1" si="0"/>
        <v>0.20833333333333334</v>
      </c>
      <c r="W5" s="9">
        <f t="shared" ca="1" si="0"/>
        <v>1</v>
      </c>
      <c r="X5" s="9">
        <f t="shared" ca="1" si="1"/>
        <v>0</v>
      </c>
      <c r="AA5" s="9">
        <v>3</v>
      </c>
      <c r="AB5" s="9" t="str">
        <f ca="1">Idiomas!D214</f>
        <v>Argelia</v>
      </c>
      <c r="AC5" s="9">
        <v>1</v>
      </c>
      <c r="AD5" s="694">
        <f t="shared" si="4"/>
        <v>4.1666666666666664E-2</v>
      </c>
      <c r="AE5" s="9">
        <v>0</v>
      </c>
      <c r="AF5" s="9">
        <f t="shared" ca="1" si="5"/>
        <v>5</v>
      </c>
      <c r="AG5" s="694">
        <f t="shared" ca="1" si="6"/>
        <v>0.20833333333333334</v>
      </c>
      <c r="AH5" s="9">
        <f t="shared" ca="1" si="7"/>
        <v>1</v>
      </c>
      <c r="AI5" s="9">
        <f t="shared" ca="1" si="8"/>
        <v>3</v>
      </c>
    </row>
    <row r="6" spans="1:35">
      <c r="A6" s="686">
        <v>46191.5</v>
      </c>
      <c r="C6" s="686">
        <f t="shared" ca="1" si="2"/>
        <v>46191.75</v>
      </c>
      <c r="D6" s="686"/>
      <c r="E6" s="686"/>
      <c r="P6" s="9">
        <v>4</v>
      </c>
      <c r="Q6" s="9" t="str">
        <f t="shared" ca="1" si="3"/>
        <v>Argentina</v>
      </c>
      <c r="R6" s="9">
        <f t="shared" ca="1" si="0"/>
        <v>-3</v>
      </c>
      <c r="S6" s="694">
        <f t="shared" ca="1" si="0"/>
        <v>0.125</v>
      </c>
      <c r="T6" s="9">
        <f t="shared" ca="1" si="0"/>
        <v>0</v>
      </c>
      <c r="U6" s="9">
        <f t="shared" ca="1" si="0"/>
        <v>1</v>
      </c>
      <c r="V6" s="694">
        <f t="shared" ca="1" si="0"/>
        <v>4.1666666666666664E-2</v>
      </c>
      <c r="W6" s="9">
        <f t="shared" ca="1" si="0"/>
        <v>1</v>
      </c>
      <c r="X6" s="9">
        <f t="shared" ca="1" si="1"/>
        <v>0</v>
      </c>
      <c r="AA6" s="9">
        <v>4</v>
      </c>
      <c r="AB6" s="9" t="str">
        <f ca="1">Idiomas!D215</f>
        <v>Argentina</v>
      </c>
      <c r="AC6" s="9">
        <v>-3</v>
      </c>
      <c r="AD6" s="694">
        <f t="shared" si="4"/>
        <v>0.125</v>
      </c>
      <c r="AE6" s="9">
        <v>0</v>
      </c>
      <c r="AF6" s="9">
        <f t="shared" ca="1" si="5"/>
        <v>1</v>
      </c>
      <c r="AG6" s="694">
        <f t="shared" ca="1" si="6"/>
        <v>4.1666666666666664E-2</v>
      </c>
      <c r="AH6" s="9">
        <f t="shared" ca="1" si="7"/>
        <v>1</v>
      </c>
      <c r="AI6" s="9">
        <f t="shared" ca="1" si="8"/>
        <v>4</v>
      </c>
    </row>
    <row r="7" spans="1:35">
      <c r="A7" s="686">
        <v>46191.875</v>
      </c>
      <c r="C7" s="686">
        <f t="shared" ca="1" si="2"/>
        <v>46192.125</v>
      </c>
      <c r="D7" s="686"/>
      <c r="E7" s="686"/>
      <c r="P7" s="9">
        <v>5</v>
      </c>
      <c r="Q7" s="9" t="str">
        <f t="shared" ca="1" si="3"/>
        <v>Australia</v>
      </c>
      <c r="R7" s="9">
        <f t="shared" ca="1" si="0"/>
        <v>10.5</v>
      </c>
      <c r="S7" s="694">
        <f t="shared" ca="1" si="0"/>
        <v>0.4375</v>
      </c>
      <c r="T7" s="9">
        <f t="shared" ca="1" si="0"/>
        <v>0</v>
      </c>
      <c r="U7" s="9">
        <f t="shared" ca="1" si="0"/>
        <v>14.5</v>
      </c>
      <c r="V7" s="694">
        <f t="shared" ca="1" si="0"/>
        <v>0.60416666666666663</v>
      </c>
      <c r="W7" s="9">
        <f t="shared" ca="1" si="0"/>
        <v>1</v>
      </c>
      <c r="X7" s="9">
        <f t="shared" ca="1" si="1"/>
        <v>0</v>
      </c>
      <c r="AA7" s="9">
        <v>5</v>
      </c>
      <c r="AB7" s="9" t="str">
        <f ca="1">Idiomas!D216</f>
        <v>Australia</v>
      </c>
      <c r="AC7" s="9">
        <v>10.5</v>
      </c>
      <c r="AD7" s="694">
        <f t="shared" si="4"/>
        <v>0.4375</v>
      </c>
      <c r="AE7" s="9">
        <v>0</v>
      </c>
      <c r="AF7" s="9">
        <f t="shared" ca="1" si="5"/>
        <v>14.5</v>
      </c>
      <c r="AG7" s="694">
        <f t="shared" ca="1" si="6"/>
        <v>0.60416666666666663</v>
      </c>
      <c r="AH7" s="9">
        <f t="shared" ca="1" si="7"/>
        <v>1</v>
      </c>
      <c r="AI7" s="9">
        <f t="shared" ca="1" si="8"/>
        <v>5</v>
      </c>
    </row>
    <row r="8" spans="1:35">
      <c r="A8" s="686">
        <v>46197.875</v>
      </c>
      <c r="C8" s="686">
        <f t="shared" ca="1" si="2"/>
        <v>46198.125</v>
      </c>
      <c r="D8" s="686"/>
      <c r="E8" s="686"/>
      <c r="P8" s="9">
        <v>6</v>
      </c>
      <c r="Q8" s="9" t="str">
        <f t="shared" ca="1" si="3"/>
        <v>Austria</v>
      </c>
      <c r="R8" s="9">
        <f t="shared" ca="1" si="0"/>
        <v>2</v>
      </c>
      <c r="S8" s="694">
        <f t="shared" ca="1" si="0"/>
        <v>8.3333333333333329E-2</v>
      </c>
      <c r="T8" s="9">
        <f t="shared" ca="1" si="0"/>
        <v>0</v>
      </c>
      <c r="U8" s="9">
        <f t="shared" ca="1" si="0"/>
        <v>6</v>
      </c>
      <c r="V8" s="694">
        <f t="shared" ca="1" si="0"/>
        <v>0.25</v>
      </c>
      <c r="W8" s="9">
        <f t="shared" ca="1" si="0"/>
        <v>1</v>
      </c>
      <c r="X8" s="9">
        <f t="shared" ca="1" si="1"/>
        <v>0</v>
      </c>
      <c r="AA8" s="9">
        <v>6</v>
      </c>
      <c r="AB8" s="9" t="str">
        <f ca="1">Idiomas!D217</f>
        <v>Austria</v>
      </c>
      <c r="AC8" s="9">
        <v>2</v>
      </c>
      <c r="AD8" s="694">
        <f t="shared" si="4"/>
        <v>8.3333333333333329E-2</v>
      </c>
      <c r="AE8" s="9">
        <v>0</v>
      </c>
      <c r="AF8" s="9">
        <f t="shared" ca="1" si="5"/>
        <v>6</v>
      </c>
      <c r="AG8" s="694">
        <f t="shared" ca="1" si="6"/>
        <v>0.25</v>
      </c>
      <c r="AH8" s="9">
        <f t="shared" ca="1" si="7"/>
        <v>1</v>
      </c>
      <c r="AI8" s="9">
        <f t="shared" ca="1" si="8"/>
        <v>6</v>
      </c>
    </row>
    <row r="9" spans="1:35">
      <c r="A9" s="686">
        <v>46197.875</v>
      </c>
      <c r="C9" s="686">
        <f t="shared" ca="1" si="2"/>
        <v>46198.125</v>
      </c>
      <c r="D9" s="686"/>
      <c r="E9" s="686"/>
      <c r="P9" s="9">
        <v>7</v>
      </c>
      <c r="Q9" s="9" t="str">
        <f t="shared" ca="1" si="3"/>
        <v>Bélgica</v>
      </c>
      <c r="R9" s="9">
        <f t="shared" ca="1" si="0"/>
        <v>2</v>
      </c>
      <c r="S9" s="694">
        <f t="shared" ca="1" si="0"/>
        <v>8.3333333333333329E-2</v>
      </c>
      <c r="T9" s="9">
        <f t="shared" ca="1" si="0"/>
        <v>0</v>
      </c>
      <c r="U9" s="9">
        <f t="shared" ca="1" si="0"/>
        <v>6</v>
      </c>
      <c r="V9" s="694">
        <f t="shared" ca="1" si="0"/>
        <v>0.25</v>
      </c>
      <c r="W9" s="9">
        <f t="shared" ca="1" si="0"/>
        <v>1</v>
      </c>
      <c r="X9" s="9">
        <f t="shared" ca="1" si="1"/>
        <v>0</v>
      </c>
      <c r="AA9" s="9">
        <v>7</v>
      </c>
      <c r="AB9" s="9" t="str">
        <f ca="1">Idiomas!D218</f>
        <v>Bélgica</v>
      </c>
      <c r="AC9" s="9">
        <v>2</v>
      </c>
      <c r="AD9" s="694">
        <f t="shared" si="4"/>
        <v>8.3333333333333329E-2</v>
      </c>
      <c r="AE9" s="9">
        <v>0</v>
      </c>
      <c r="AF9" s="9">
        <f t="shared" ca="1" si="5"/>
        <v>6</v>
      </c>
      <c r="AG9" s="694">
        <f t="shared" ca="1" si="6"/>
        <v>0.25</v>
      </c>
      <c r="AH9" s="9">
        <f t="shared" ca="1" si="7"/>
        <v>1</v>
      </c>
      <c r="AI9" s="9">
        <f t="shared" ca="1" si="8"/>
        <v>7</v>
      </c>
    </row>
    <row r="10" spans="1:35">
      <c r="C10" s="686"/>
      <c r="E10" s="686"/>
      <c r="P10" s="9">
        <v>8</v>
      </c>
      <c r="Q10" s="9" t="str">
        <f t="shared" ca="1" si="3"/>
        <v>Bosnia y Herzegovina</v>
      </c>
      <c r="R10" s="9">
        <f t="shared" ca="1" si="0"/>
        <v>2</v>
      </c>
      <c r="S10" s="694">
        <f t="shared" ca="1" si="0"/>
        <v>8.3333333333333329E-2</v>
      </c>
      <c r="T10" s="9">
        <f t="shared" ca="1" si="0"/>
        <v>0</v>
      </c>
      <c r="U10" s="9">
        <f t="shared" ca="1" si="0"/>
        <v>6</v>
      </c>
      <c r="V10" s="694">
        <f t="shared" ca="1" si="0"/>
        <v>0.25</v>
      </c>
      <c r="W10" s="9">
        <f t="shared" ca="1" si="0"/>
        <v>1</v>
      </c>
      <c r="X10" s="9">
        <f t="shared" ca="1" si="1"/>
        <v>0</v>
      </c>
      <c r="AA10" s="9">
        <v>8</v>
      </c>
      <c r="AB10" s="9" t="str">
        <f ca="1">Idiomas!D219</f>
        <v>Brasil</v>
      </c>
      <c r="AC10" s="9">
        <v>-3</v>
      </c>
      <c r="AD10" s="694">
        <f t="shared" si="4"/>
        <v>0.125</v>
      </c>
      <c r="AE10" s="9">
        <v>0</v>
      </c>
      <c r="AF10" s="9">
        <f t="shared" ca="1" si="5"/>
        <v>1</v>
      </c>
      <c r="AG10" s="694">
        <f t="shared" ca="1" si="6"/>
        <v>4.1666666666666664E-2</v>
      </c>
      <c r="AH10" s="9">
        <f t="shared" ca="1" si="7"/>
        <v>1</v>
      </c>
      <c r="AI10" s="9">
        <f t="shared" ca="1" si="8"/>
        <v>9</v>
      </c>
    </row>
    <row r="11" spans="1:35">
      <c r="A11" s="5" t="s">
        <v>40</v>
      </c>
      <c r="C11" s="686"/>
      <c r="E11" s="686"/>
      <c r="P11" s="9">
        <v>9</v>
      </c>
      <c r="Q11" s="9" t="str">
        <f t="shared" ca="1" si="3"/>
        <v>Brasil</v>
      </c>
      <c r="R11" s="9">
        <f t="shared" ca="1" si="0"/>
        <v>-3</v>
      </c>
      <c r="S11" s="694">
        <f t="shared" ca="1" si="0"/>
        <v>0.125</v>
      </c>
      <c r="T11" s="9">
        <f t="shared" ca="1" si="0"/>
        <v>0</v>
      </c>
      <c r="U11" s="9">
        <f t="shared" ca="1" si="0"/>
        <v>1</v>
      </c>
      <c r="V11" s="694">
        <f t="shared" ca="1" si="0"/>
        <v>4.1666666666666664E-2</v>
      </c>
      <c r="W11" s="9">
        <f t="shared" ca="1" si="0"/>
        <v>1</v>
      </c>
      <c r="X11" s="9">
        <f t="shared" ca="1" si="1"/>
        <v>0</v>
      </c>
      <c r="AA11" s="9">
        <v>9</v>
      </c>
      <c r="AB11" s="9" t="str">
        <f ca="1">Idiomas!D220</f>
        <v>Cabo Verde</v>
      </c>
      <c r="AC11" s="9">
        <v>-1</v>
      </c>
      <c r="AD11" s="694">
        <f t="shared" si="4"/>
        <v>4.1666666666666664E-2</v>
      </c>
      <c r="AE11" s="9">
        <v>0</v>
      </c>
      <c r="AF11" s="9">
        <f t="shared" ca="1" si="5"/>
        <v>3</v>
      </c>
      <c r="AG11" s="694">
        <f t="shared" ca="1" si="6"/>
        <v>0.125</v>
      </c>
      <c r="AH11" s="9">
        <f t="shared" ca="1" si="7"/>
        <v>1</v>
      </c>
      <c r="AI11" s="9">
        <f t="shared" ca="1" si="8"/>
        <v>10</v>
      </c>
    </row>
    <row r="12" spans="1:35">
      <c r="A12" s="686">
        <v>46185.625</v>
      </c>
      <c r="C12" s="686">
        <f t="shared" ref="C12:C17" ca="1" si="9">A12+INDEX($V$3:$V$86,MATCH($C$3,$P$3:$P$86,0))*INDEX($W$3:$W$86,MATCH($C$3,$P$3:$P$86,0))</f>
        <v>46185.875</v>
      </c>
      <c r="D12" s="686"/>
      <c r="E12" s="686"/>
      <c r="P12" s="9">
        <v>10</v>
      </c>
      <c r="Q12" s="9" t="str">
        <f t="shared" ca="1" si="3"/>
        <v>Cabo Verde</v>
      </c>
      <c r="R12" s="9">
        <f t="shared" ca="1" si="0"/>
        <v>-1</v>
      </c>
      <c r="S12" s="694">
        <f t="shared" ca="1" si="0"/>
        <v>4.1666666666666664E-2</v>
      </c>
      <c r="T12" s="9">
        <f t="shared" ca="1" si="0"/>
        <v>0</v>
      </c>
      <c r="U12" s="9">
        <f t="shared" ca="1" si="0"/>
        <v>3</v>
      </c>
      <c r="V12" s="694">
        <f t="shared" ca="1" si="0"/>
        <v>0.125</v>
      </c>
      <c r="W12" s="9">
        <f t="shared" ca="1" si="0"/>
        <v>1</v>
      </c>
      <c r="X12" s="9">
        <f t="shared" ca="1" si="1"/>
        <v>0</v>
      </c>
      <c r="AA12" s="9">
        <v>10</v>
      </c>
      <c r="AB12" s="9" t="str">
        <f ca="1">Idiomas!D221</f>
        <v>Canadá</v>
      </c>
      <c r="AC12" s="9">
        <v>-4</v>
      </c>
      <c r="AD12" s="694">
        <f t="shared" si="4"/>
        <v>0.16666666666666666</v>
      </c>
      <c r="AE12" s="9">
        <v>0</v>
      </c>
      <c r="AF12" s="9">
        <f t="shared" ca="1" si="5"/>
        <v>0</v>
      </c>
      <c r="AG12" s="694">
        <f t="shared" ca="1" si="6"/>
        <v>0</v>
      </c>
      <c r="AH12" s="9">
        <f t="shared" ca="1" si="7"/>
        <v>0</v>
      </c>
      <c r="AI12" s="9">
        <f t="shared" ca="1" si="8"/>
        <v>11</v>
      </c>
    </row>
    <row r="13" spans="1:35">
      <c r="A13" s="686">
        <v>46186.625</v>
      </c>
      <c r="C13" s="686">
        <f t="shared" ca="1" si="9"/>
        <v>46186.875</v>
      </c>
      <c r="D13" s="686"/>
      <c r="E13" s="686"/>
      <c r="P13" s="9">
        <v>11</v>
      </c>
      <c r="Q13" s="9" t="str">
        <f t="shared" ca="1" si="3"/>
        <v>Canadá</v>
      </c>
      <c r="R13" s="9">
        <f t="shared" ref="R13:W22" ca="1" si="10">+INDEX($AC$3:$AH$86,MATCH($Q13,$AB$3:$AB$86,0),MATCH(R$2,$AC$2:$AH$2,0))</f>
        <v>-4</v>
      </c>
      <c r="S13" s="694">
        <f t="shared" ca="1" si="10"/>
        <v>0.16666666666666666</v>
      </c>
      <c r="T13" s="9">
        <f t="shared" ca="1" si="10"/>
        <v>0</v>
      </c>
      <c r="U13" s="9">
        <f t="shared" ca="1" si="10"/>
        <v>0</v>
      </c>
      <c r="V13" s="694">
        <f t="shared" ca="1" si="10"/>
        <v>0</v>
      </c>
      <c r="W13" s="9">
        <f t="shared" ca="1" si="10"/>
        <v>0</v>
      </c>
      <c r="X13" s="9">
        <f t="shared" ca="1" si="1"/>
        <v>0</v>
      </c>
      <c r="AA13" s="9">
        <v>11</v>
      </c>
      <c r="AB13" s="9" t="str">
        <f ca="1">Idiomas!D222</f>
        <v>Catar</v>
      </c>
      <c r="AC13" s="9">
        <v>3</v>
      </c>
      <c r="AD13" s="694">
        <f t="shared" si="4"/>
        <v>0.125</v>
      </c>
      <c r="AE13" s="9">
        <v>0</v>
      </c>
      <c r="AF13" s="9">
        <f t="shared" ca="1" si="5"/>
        <v>7</v>
      </c>
      <c r="AG13" s="694">
        <f t="shared" ca="1" si="6"/>
        <v>0.29166666666666669</v>
      </c>
      <c r="AH13" s="9">
        <f t="shared" ca="1" si="7"/>
        <v>1</v>
      </c>
      <c r="AI13" s="9">
        <f t="shared" ca="1" si="8"/>
        <v>12</v>
      </c>
    </row>
    <row r="14" spans="1:35">
      <c r="A14" s="686">
        <v>46191.625</v>
      </c>
      <c r="C14" s="686">
        <f t="shared" ca="1" si="9"/>
        <v>46191.875</v>
      </c>
      <c r="D14" s="686"/>
      <c r="E14" s="686"/>
      <c r="P14" s="9">
        <v>12</v>
      </c>
      <c r="Q14" s="9" t="str">
        <f t="shared" ca="1" si="3"/>
        <v>Catar</v>
      </c>
      <c r="R14" s="9">
        <f t="shared" ca="1" si="10"/>
        <v>3</v>
      </c>
      <c r="S14" s="694">
        <f t="shared" ca="1" si="10"/>
        <v>0.125</v>
      </c>
      <c r="T14" s="9">
        <f t="shared" ca="1" si="10"/>
        <v>0</v>
      </c>
      <c r="U14" s="9">
        <f t="shared" ca="1" si="10"/>
        <v>7</v>
      </c>
      <c r="V14" s="694">
        <f t="shared" ca="1" si="10"/>
        <v>0.29166666666666669</v>
      </c>
      <c r="W14" s="9">
        <f t="shared" ca="1" si="10"/>
        <v>1</v>
      </c>
      <c r="X14" s="9">
        <f t="shared" ca="1" si="1"/>
        <v>0</v>
      </c>
      <c r="AA14" s="9">
        <v>12</v>
      </c>
      <c r="AB14" s="9" t="str">
        <f ca="1">Idiomas!D223</f>
        <v>Colombia</v>
      </c>
      <c r="AC14" s="9">
        <v>-5</v>
      </c>
      <c r="AD14" s="694">
        <f t="shared" si="4"/>
        <v>0.20833333333333334</v>
      </c>
      <c r="AE14" s="9">
        <v>0</v>
      </c>
      <c r="AF14" s="9">
        <f t="shared" ca="1" si="5"/>
        <v>-1</v>
      </c>
      <c r="AG14" s="694">
        <f t="shared" ca="1" si="6"/>
        <v>4.1666666666666664E-2</v>
      </c>
      <c r="AH14" s="9">
        <f t="shared" ca="1" si="7"/>
        <v>-1</v>
      </c>
      <c r="AI14" s="9">
        <f t="shared" ca="1" si="8"/>
        <v>13</v>
      </c>
    </row>
    <row r="15" spans="1:35">
      <c r="A15" s="686">
        <v>46191.75</v>
      </c>
      <c r="C15" s="686">
        <f t="shared" ca="1" si="9"/>
        <v>46192</v>
      </c>
      <c r="D15" s="686"/>
      <c r="E15" s="686"/>
      <c r="P15" s="9">
        <v>13</v>
      </c>
      <c r="Q15" s="9" t="str">
        <f t="shared" ca="1" si="3"/>
        <v>Colombia</v>
      </c>
      <c r="R15" s="9">
        <f t="shared" ca="1" si="10"/>
        <v>-5</v>
      </c>
      <c r="S15" s="694">
        <f t="shared" ca="1" si="10"/>
        <v>0.20833333333333334</v>
      </c>
      <c r="T15" s="9">
        <f t="shared" ca="1" si="10"/>
        <v>0</v>
      </c>
      <c r="U15" s="9">
        <f t="shared" ca="1" si="10"/>
        <v>-1</v>
      </c>
      <c r="V15" s="694">
        <f t="shared" ca="1" si="10"/>
        <v>4.1666666666666664E-2</v>
      </c>
      <c r="W15" s="9">
        <f t="shared" ca="1" si="10"/>
        <v>-1</v>
      </c>
      <c r="X15" s="9">
        <f t="shared" ca="1" si="1"/>
        <v>0</v>
      </c>
      <c r="AA15" s="9">
        <v>13</v>
      </c>
      <c r="AB15" s="9" t="str">
        <f ca="1">Idiomas!D224</f>
        <v>Corea del Sur</v>
      </c>
      <c r="AC15" s="9">
        <v>9</v>
      </c>
      <c r="AD15" s="694">
        <f t="shared" si="4"/>
        <v>0.375</v>
      </c>
      <c r="AE15" s="9">
        <v>0</v>
      </c>
      <c r="AF15" s="9">
        <f t="shared" ca="1" si="5"/>
        <v>13</v>
      </c>
      <c r="AG15" s="694">
        <f t="shared" ca="1" si="6"/>
        <v>0.54166666666666663</v>
      </c>
      <c r="AH15" s="9">
        <f t="shared" ca="1" si="7"/>
        <v>1</v>
      </c>
      <c r="AI15" s="9">
        <f t="shared" ca="1" si="8"/>
        <v>14</v>
      </c>
    </row>
    <row r="16" spans="1:35">
      <c r="A16" s="686">
        <v>46197.625</v>
      </c>
      <c r="C16" s="686">
        <f t="shared" ca="1" si="9"/>
        <v>46197.875</v>
      </c>
      <c r="D16" s="686"/>
      <c r="E16" s="686"/>
      <c r="P16" s="9">
        <v>14</v>
      </c>
      <c r="Q16" s="9" t="str">
        <f t="shared" ca="1" si="3"/>
        <v>Corea del Sur</v>
      </c>
      <c r="R16" s="9">
        <f t="shared" ca="1" si="10"/>
        <v>9</v>
      </c>
      <c r="S16" s="694">
        <f t="shared" ca="1" si="10"/>
        <v>0.375</v>
      </c>
      <c r="T16" s="9">
        <f t="shared" ca="1" si="10"/>
        <v>0</v>
      </c>
      <c r="U16" s="9">
        <f t="shared" ca="1" si="10"/>
        <v>13</v>
      </c>
      <c r="V16" s="694">
        <f t="shared" ca="1" si="10"/>
        <v>0.54166666666666663</v>
      </c>
      <c r="W16" s="9">
        <f t="shared" ca="1" si="10"/>
        <v>1</v>
      </c>
      <c r="X16" s="9">
        <f t="shared" ca="1" si="1"/>
        <v>0</v>
      </c>
      <c r="AA16" s="9">
        <v>14</v>
      </c>
      <c r="AB16" s="9" t="str">
        <f ca="1">Idiomas!D225</f>
        <v>Costa de Marfil</v>
      </c>
      <c r="AC16" s="9">
        <v>0</v>
      </c>
      <c r="AD16" s="694">
        <f t="shared" si="4"/>
        <v>0</v>
      </c>
      <c r="AE16" s="9">
        <v>0</v>
      </c>
      <c r="AF16" s="9">
        <f t="shared" ca="1" si="5"/>
        <v>4</v>
      </c>
      <c r="AG16" s="694">
        <f t="shared" ca="1" si="6"/>
        <v>0.16666666666666666</v>
      </c>
      <c r="AH16" s="9">
        <f t="shared" ca="1" si="7"/>
        <v>1</v>
      </c>
      <c r="AI16" s="9">
        <f t="shared" ca="1" si="8"/>
        <v>15</v>
      </c>
    </row>
    <row r="17" spans="1:35">
      <c r="A17" s="686">
        <v>46197.625</v>
      </c>
      <c r="C17" s="686">
        <f t="shared" ca="1" si="9"/>
        <v>46197.875</v>
      </c>
      <c r="D17" s="686"/>
      <c r="E17" s="686"/>
      <c r="P17" s="9">
        <v>15</v>
      </c>
      <c r="Q17" s="9" t="str">
        <f t="shared" ca="1" si="3"/>
        <v>Costa de Marfil</v>
      </c>
      <c r="R17" s="9">
        <f t="shared" ca="1" si="10"/>
        <v>0</v>
      </c>
      <c r="S17" s="694">
        <f t="shared" ca="1" si="10"/>
        <v>0</v>
      </c>
      <c r="T17" s="9">
        <f t="shared" ca="1" si="10"/>
        <v>0</v>
      </c>
      <c r="U17" s="9">
        <f t="shared" ca="1" si="10"/>
        <v>4</v>
      </c>
      <c r="V17" s="694">
        <f t="shared" ca="1" si="10"/>
        <v>0.16666666666666666</v>
      </c>
      <c r="W17" s="9">
        <f t="shared" ca="1" si="10"/>
        <v>1</v>
      </c>
      <c r="X17" s="9">
        <f t="shared" ca="1" si="1"/>
        <v>0</v>
      </c>
      <c r="AA17" s="9">
        <v>15</v>
      </c>
      <c r="AB17" s="9" t="str">
        <f ca="1">Idiomas!D226</f>
        <v>Croacia</v>
      </c>
      <c r="AC17" s="9">
        <v>2</v>
      </c>
      <c r="AD17" s="694">
        <f t="shared" si="4"/>
        <v>8.3333333333333329E-2</v>
      </c>
      <c r="AE17" s="9">
        <v>0</v>
      </c>
      <c r="AF17" s="9">
        <f t="shared" ca="1" si="5"/>
        <v>6</v>
      </c>
      <c r="AG17" s="694">
        <f t="shared" ca="1" si="6"/>
        <v>0.25</v>
      </c>
      <c r="AH17" s="9">
        <f t="shared" ca="1" si="7"/>
        <v>1</v>
      </c>
      <c r="AI17" s="9">
        <f t="shared" ca="1" si="8"/>
        <v>16</v>
      </c>
    </row>
    <row r="18" spans="1:35">
      <c r="C18" s="686"/>
      <c r="E18" s="686"/>
      <c r="P18" s="9">
        <v>16</v>
      </c>
      <c r="Q18" s="9" t="str">
        <f t="shared" ca="1" si="3"/>
        <v>Croacia</v>
      </c>
      <c r="R18" s="9">
        <f t="shared" ca="1" si="10"/>
        <v>2</v>
      </c>
      <c r="S18" s="694">
        <f t="shared" ca="1" si="10"/>
        <v>8.3333333333333329E-2</v>
      </c>
      <c r="T18" s="9">
        <f t="shared" ca="1" si="10"/>
        <v>0</v>
      </c>
      <c r="U18" s="9">
        <f t="shared" ca="1" si="10"/>
        <v>6</v>
      </c>
      <c r="V18" s="694">
        <f t="shared" ca="1" si="10"/>
        <v>0.25</v>
      </c>
      <c r="W18" s="9">
        <f t="shared" ca="1" si="10"/>
        <v>1</v>
      </c>
      <c r="X18" s="9">
        <f t="shared" ca="1" si="1"/>
        <v>0</v>
      </c>
      <c r="AA18" s="9">
        <v>16</v>
      </c>
      <c r="AB18" s="9" t="str">
        <f ca="1">Idiomas!D227</f>
        <v>Curazao</v>
      </c>
      <c r="AC18" s="9">
        <v>-4</v>
      </c>
      <c r="AD18" s="694">
        <f t="shared" si="4"/>
        <v>0.16666666666666666</v>
      </c>
      <c r="AE18" s="9">
        <v>0</v>
      </c>
      <c r="AF18" s="9">
        <f t="shared" ca="1" si="5"/>
        <v>0</v>
      </c>
      <c r="AG18" s="694">
        <f t="shared" ca="1" si="6"/>
        <v>0</v>
      </c>
      <c r="AH18" s="9">
        <f t="shared" ca="1" si="7"/>
        <v>0</v>
      </c>
      <c r="AI18" s="9">
        <f t="shared" ca="1" si="8"/>
        <v>17</v>
      </c>
    </row>
    <row r="19" spans="1:35">
      <c r="A19" s="5" t="s">
        <v>9</v>
      </c>
      <c r="C19" s="686"/>
      <c r="E19" s="686"/>
      <c r="P19" s="9">
        <v>17</v>
      </c>
      <c r="Q19" s="9" t="str">
        <f t="shared" ca="1" si="3"/>
        <v>Curazao</v>
      </c>
      <c r="R19" s="9">
        <f t="shared" ca="1" si="10"/>
        <v>-4</v>
      </c>
      <c r="S19" s="694">
        <f t="shared" ca="1" si="10"/>
        <v>0.16666666666666666</v>
      </c>
      <c r="T19" s="9">
        <f t="shared" ca="1" si="10"/>
        <v>0</v>
      </c>
      <c r="U19" s="9">
        <f t="shared" ca="1" si="10"/>
        <v>0</v>
      </c>
      <c r="V19" s="694">
        <f t="shared" ca="1" si="10"/>
        <v>0</v>
      </c>
      <c r="W19" s="9">
        <f t="shared" ca="1" si="10"/>
        <v>0</v>
      </c>
      <c r="X19" s="9">
        <f t="shared" ca="1" si="1"/>
        <v>0</v>
      </c>
      <c r="AA19" s="9">
        <v>17</v>
      </c>
      <c r="AB19" s="9" t="str">
        <f ca="1">Idiomas!D228</f>
        <v>Ecuador</v>
      </c>
      <c r="AC19" s="9">
        <v>-5</v>
      </c>
      <c r="AD19" s="694">
        <f t="shared" si="4"/>
        <v>0.20833333333333334</v>
      </c>
      <c r="AE19" s="9">
        <v>0</v>
      </c>
      <c r="AF19" s="9">
        <f t="shared" ca="1" si="5"/>
        <v>-1</v>
      </c>
      <c r="AG19" s="694">
        <f t="shared" ca="1" si="6"/>
        <v>4.1666666666666664E-2</v>
      </c>
      <c r="AH19" s="9">
        <f t="shared" ca="1" si="7"/>
        <v>-1</v>
      </c>
      <c r="AI19" s="9">
        <f t="shared" ca="1" si="8"/>
        <v>18</v>
      </c>
    </row>
    <row r="20" spans="1:35">
      <c r="A20" s="686">
        <v>46186.75</v>
      </c>
      <c r="C20" s="686">
        <f t="shared" ref="C20:C25" ca="1" si="11">A20+INDEX($V$3:$V$86,MATCH($C$3,$P$3:$P$86,0))*INDEX($W$3:$W$86,MATCH($C$3,$P$3:$P$86,0))</f>
        <v>46187</v>
      </c>
      <c r="D20" s="686"/>
      <c r="E20" s="686"/>
      <c r="P20" s="9">
        <v>18</v>
      </c>
      <c r="Q20" s="9" t="str">
        <f t="shared" ca="1" si="3"/>
        <v>Ecuador</v>
      </c>
      <c r="R20" s="9">
        <f t="shared" ca="1" si="10"/>
        <v>-5</v>
      </c>
      <c r="S20" s="694">
        <f t="shared" ca="1" si="10"/>
        <v>0.20833333333333334</v>
      </c>
      <c r="T20" s="9">
        <f t="shared" ca="1" si="10"/>
        <v>0</v>
      </c>
      <c r="U20" s="9">
        <f t="shared" ca="1" si="10"/>
        <v>-1</v>
      </c>
      <c r="V20" s="694">
        <f t="shared" ca="1" si="10"/>
        <v>4.1666666666666664E-2</v>
      </c>
      <c r="W20" s="9">
        <f t="shared" ca="1" si="10"/>
        <v>-1</v>
      </c>
      <c r="X20" s="9">
        <f t="shared" ca="1" si="1"/>
        <v>0</v>
      </c>
      <c r="AA20" s="9">
        <v>18</v>
      </c>
      <c r="AB20" s="9" t="str">
        <f ca="1">Idiomas!D229</f>
        <v>Egipto</v>
      </c>
      <c r="AC20" s="9">
        <v>3</v>
      </c>
      <c r="AD20" s="694">
        <f t="shared" si="4"/>
        <v>0.125</v>
      </c>
      <c r="AE20" s="9">
        <v>0</v>
      </c>
      <c r="AF20" s="9">
        <f t="shared" ca="1" si="5"/>
        <v>7</v>
      </c>
      <c r="AG20" s="694">
        <f t="shared" ca="1" si="6"/>
        <v>0.29166666666666669</v>
      </c>
      <c r="AH20" s="9">
        <f t="shared" ca="1" si="7"/>
        <v>1</v>
      </c>
      <c r="AI20" s="9">
        <f t="shared" ca="1" si="8"/>
        <v>19</v>
      </c>
    </row>
    <row r="21" spans="1:35">
      <c r="A21" s="686">
        <v>46186.875</v>
      </c>
      <c r="C21" s="686">
        <f t="shared" ca="1" si="11"/>
        <v>46187.125</v>
      </c>
      <c r="D21" s="686"/>
      <c r="E21" s="686"/>
      <c r="P21" s="9">
        <v>19</v>
      </c>
      <c r="Q21" s="9" t="str">
        <f t="shared" ca="1" si="3"/>
        <v>Egipto</v>
      </c>
      <c r="R21" s="9">
        <f t="shared" ca="1" si="10"/>
        <v>3</v>
      </c>
      <c r="S21" s="694">
        <f t="shared" ca="1" si="10"/>
        <v>0.125</v>
      </c>
      <c r="T21" s="9">
        <f t="shared" ca="1" si="10"/>
        <v>0</v>
      </c>
      <c r="U21" s="9">
        <f t="shared" ca="1" si="10"/>
        <v>7</v>
      </c>
      <c r="V21" s="694">
        <f t="shared" ca="1" si="10"/>
        <v>0.29166666666666669</v>
      </c>
      <c r="W21" s="9">
        <f t="shared" ca="1" si="10"/>
        <v>1</v>
      </c>
      <c r="X21" s="9">
        <f t="shared" ca="1" si="1"/>
        <v>0</v>
      </c>
      <c r="AA21" s="9">
        <v>19</v>
      </c>
      <c r="AB21" s="9" t="str">
        <f ca="1">Idiomas!D230</f>
        <v>Escocia</v>
      </c>
      <c r="AC21" s="9">
        <v>1</v>
      </c>
      <c r="AD21" s="694">
        <f t="shared" si="4"/>
        <v>4.1666666666666664E-2</v>
      </c>
      <c r="AE21" s="9">
        <v>0</v>
      </c>
      <c r="AF21" s="9">
        <f t="shared" ca="1" si="5"/>
        <v>5</v>
      </c>
      <c r="AG21" s="694">
        <f t="shared" ca="1" si="6"/>
        <v>0.20833333333333334</v>
      </c>
      <c r="AH21" s="9">
        <f t="shared" ca="1" si="7"/>
        <v>1</v>
      </c>
      <c r="AI21" s="9">
        <f t="shared" ca="1" si="8"/>
        <v>20</v>
      </c>
    </row>
    <row r="22" spans="1:35">
      <c r="A22" s="686">
        <v>46192.75</v>
      </c>
      <c r="C22" s="686">
        <f t="shared" ca="1" si="11"/>
        <v>46193</v>
      </c>
      <c r="D22" s="686"/>
      <c r="E22" s="686"/>
      <c r="P22" s="9">
        <v>20</v>
      </c>
      <c r="Q22" s="9" t="str">
        <f t="shared" ca="1" si="3"/>
        <v>Escocia</v>
      </c>
      <c r="R22" s="9">
        <f t="shared" ca="1" si="10"/>
        <v>1</v>
      </c>
      <c r="S22" s="694">
        <f t="shared" ca="1" si="10"/>
        <v>4.1666666666666664E-2</v>
      </c>
      <c r="T22" s="9">
        <f t="shared" ca="1" si="10"/>
        <v>0</v>
      </c>
      <c r="U22" s="9">
        <f t="shared" ca="1" si="10"/>
        <v>5</v>
      </c>
      <c r="V22" s="694">
        <f t="shared" ca="1" si="10"/>
        <v>0.20833333333333334</v>
      </c>
      <c r="W22" s="9">
        <f t="shared" ca="1" si="10"/>
        <v>1</v>
      </c>
      <c r="X22" s="9">
        <f t="shared" ca="1" si="1"/>
        <v>0</v>
      </c>
      <c r="AA22" s="9">
        <v>20</v>
      </c>
      <c r="AB22" s="9" t="str">
        <f ca="1">Idiomas!D231</f>
        <v>España</v>
      </c>
      <c r="AC22" s="9">
        <v>2</v>
      </c>
      <c r="AD22" s="694">
        <f t="shared" si="4"/>
        <v>8.3333333333333329E-2</v>
      </c>
      <c r="AE22" s="9">
        <v>0</v>
      </c>
      <c r="AF22" s="9">
        <f t="shared" ca="1" si="5"/>
        <v>6</v>
      </c>
      <c r="AG22" s="694">
        <f t="shared" ca="1" si="6"/>
        <v>0.25</v>
      </c>
      <c r="AH22" s="9">
        <f t="shared" ca="1" si="7"/>
        <v>1</v>
      </c>
      <c r="AI22" s="9">
        <f t="shared" ca="1" si="8"/>
        <v>21</v>
      </c>
    </row>
    <row r="23" spans="1:35">
      <c r="A23" s="686">
        <v>46192.854166666664</v>
      </c>
      <c r="C23" s="686">
        <f t="shared" ca="1" si="11"/>
        <v>46193.104166666664</v>
      </c>
      <c r="D23" s="686"/>
      <c r="E23" s="686"/>
      <c r="P23" s="9">
        <v>21</v>
      </c>
      <c r="Q23" s="9" t="str">
        <f t="shared" ca="1" si="3"/>
        <v>España</v>
      </c>
      <c r="R23" s="9">
        <f t="shared" ref="R23:W32" ca="1" si="12">+INDEX($AC$3:$AH$86,MATCH($Q23,$AB$3:$AB$86,0),MATCH(R$2,$AC$2:$AH$2,0))</f>
        <v>2</v>
      </c>
      <c r="S23" s="694">
        <f t="shared" ca="1" si="12"/>
        <v>8.3333333333333329E-2</v>
      </c>
      <c r="T23" s="9">
        <f t="shared" ca="1" si="12"/>
        <v>0</v>
      </c>
      <c r="U23" s="9">
        <f t="shared" ca="1" si="12"/>
        <v>6</v>
      </c>
      <c r="V23" s="694">
        <f t="shared" ca="1" si="12"/>
        <v>0.25</v>
      </c>
      <c r="W23" s="9">
        <f t="shared" ca="1" si="12"/>
        <v>1</v>
      </c>
      <c r="X23" s="9">
        <f t="shared" ca="1" si="1"/>
        <v>0</v>
      </c>
      <c r="AA23" s="9">
        <v>21</v>
      </c>
      <c r="AB23" s="9" t="str">
        <f ca="1">Idiomas!D232</f>
        <v>Estados Unidos</v>
      </c>
      <c r="AC23" s="9">
        <v>-4</v>
      </c>
      <c r="AD23" s="694">
        <f t="shared" si="4"/>
        <v>0.16666666666666666</v>
      </c>
      <c r="AE23" s="9">
        <v>1</v>
      </c>
      <c r="AF23" s="9">
        <f t="shared" ca="1" si="5"/>
        <v>0</v>
      </c>
      <c r="AG23" s="694">
        <f t="shared" ca="1" si="6"/>
        <v>0</v>
      </c>
      <c r="AH23" s="9">
        <f t="shared" ca="1" si="7"/>
        <v>0</v>
      </c>
      <c r="AI23" s="9">
        <f t="shared" ca="1" si="8"/>
        <v>22</v>
      </c>
    </row>
    <row r="24" spans="1:35">
      <c r="A24" s="686">
        <v>46197.75</v>
      </c>
      <c r="C24" s="686">
        <f t="shared" ca="1" si="11"/>
        <v>46198</v>
      </c>
      <c r="D24" s="686"/>
      <c r="E24" s="686"/>
      <c r="P24" s="9">
        <v>22</v>
      </c>
      <c r="Q24" s="9" t="str">
        <f t="shared" ca="1" si="3"/>
        <v>Estados Unidos</v>
      </c>
      <c r="R24" s="9">
        <f t="shared" ca="1" si="12"/>
        <v>-4</v>
      </c>
      <c r="S24" s="694">
        <f t="shared" ca="1" si="12"/>
        <v>0.16666666666666666</v>
      </c>
      <c r="T24" s="9">
        <f t="shared" ca="1" si="12"/>
        <v>1</v>
      </c>
      <c r="U24" s="9">
        <f t="shared" ca="1" si="12"/>
        <v>0</v>
      </c>
      <c r="V24" s="694">
        <f t="shared" ca="1" si="12"/>
        <v>0</v>
      </c>
      <c r="W24" s="9">
        <f t="shared" ca="1" si="12"/>
        <v>0</v>
      </c>
      <c r="X24" s="9">
        <f t="shared" ca="1" si="1"/>
        <v>1</v>
      </c>
      <c r="AA24" s="9">
        <v>22</v>
      </c>
      <c r="AB24" s="9" t="str">
        <f ca="1">Idiomas!D233</f>
        <v>Francia</v>
      </c>
      <c r="AC24" s="9">
        <v>2</v>
      </c>
      <c r="AD24" s="694">
        <f t="shared" si="4"/>
        <v>8.3333333333333329E-2</v>
      </c>
      <c r="AE24" s="9">
        <v>0</v>
      </c>
      <c r="AF24" s="9">
        <f t="shared" ca="1" si="5"/>
        <v>6</v>
      </c>
      <c r="AG24" s="694">
        <f t="shared" ca="1" si="6"/>
        <v>0.25</v>
      </c>
      <c r="AH24" s="9">
        <f t="shared" ca="1" si="7"/>
        <v>1</v>
      </c>
      <c r="AI24" s="9">
        <f t="shared" ca="1" si="8"/>
        <v>23</v>
      </c>
    </row>
    <row r="25" spans="1:35">
      <c r="A25" s="686">
        <v>46197.75</v>
      </c>
      <c r="C25" s="686">
        <f t="shared" ca="1" si="11"/>
        <v>46198</v>
      </c>
      <c r="D25" s="686"/>
      <c r="E25" s="686"/>
      <c r="P25" s="9">
        <v>23</v>
      </c>
      <c r="Q25" s="9" t="str">
        <f t="shared" ca="1" si="3"/>
        <v>Francia</v>
      </c>
      <c r="R25" s="9">
        <f t="shared" ca="1" si="12"/>
        <v>2</v>
      </c>
      <c r="S25" s="694">
        <f t="shared" ca="1" si="12"/>
        <v>8.3333333333333329E-2</v>
      </c>
      <c r="T25" s="9">
        <f t="shared" ca="1" si="12"/>
        <v>0</v>
      </c>
      <c r="U25" s="9">
        <f t="shared" ca="1" si="12"/>
        <v>6</v>
      </c>
      <c r="V25" s="694">
        <f t="shared" ca="1" si="12"/>
        <v>0.25</v>
      </c>
      <c r="W25" s="9">
        <f t="shared" ca="1" si="12"/>
        <v>1</v>
      </c>
      <c r="X25" s="9">
        <f t="shared" ca="1" si="1"/>
        <v>0</v>
      </c>
      <c r="AA25" s="9">
        <v>23</v>
      </c>
      <c r="AB25" s="9" t="str">
        <f ca="1">Idiomas!D234</f>
        <v>Ghana</v>
      </c>
      <c r="AC25" s="9">
        <v>0</v>
      </c>
      <c r="AD25" s="694">
        <f t="shared" si="4"/>
        <v>0</v>
      </c>
      <c r="AE25" s="9">
        <v>0</v>
      </c>
      <c r="AF25" s="9">
        <f t="shared" ca="1" si="5"/>
        <v>4</v>
      </c>
      <c r="AG25" s="694">
        <f t="shared" ca="1" si="6"/>
        <v>0.16666666666666666</v>
      </c>
      <c r="AH25" s="9">
        <f t="shared" ca="1" si="7"/>
        <v>1</v>
      </c>
      <c r="AI25" s="9">
        <f t="shared" ca="1" si="8"/>
        <v>24</v>
      </c>
    </row>
    <row r="26" spans="1:35">
      <c r="C26" s="686"/>
      <c r="E26" s="686"/>
      <c r="P26" s="9">
        <v>24</v>
      </c>
      <c r="Q26" s="9" t="str">
        <f t="shared" ca="1" si="3"/>
        <v>Ghana</v>
      </c>
      <c r="R26" s="9">
        <f t="shared" ca="1" si="12"/>
        <v>0</v>
      </c>
      <c r="S26" s="694">
        <f t="shared" ca="1" si="12"/>
        <v>0</v>
      </c>
      <c r="T26" s="9">
        <f t="shared" ca="1" si="12"/>
        <v>0</v>
      </c>
      <c r="U26" s="9">
        <f t="shared" ca="1" si="12"/>
        <v>4</v>
      </c>
      <c r="V26" s="694">
        <f t="shared" ca="1" si="12"/>
        <v>0.16666666666666666</v>
      </c>
      <c r="W26" s="9">
        <f t="shared" ca="1" si="12"/>
        <v>1</v>
      </c>
      <c r="X26" s="9">
        <f t="shared" ca="1" si="1"/>
        <v>0</v>
      </c>
      <c r="AA26" s="9">
        <v>24</v>
      </c>
      <c r="AB26" s="9" t="str">
        <f ca="1">Idiomas!D235</f>
        <v>Haití</v>
      </c>
      <c r="AC26" s="9">
        <v>-4</v>
      </c>
      <c r="AD26" s="694">
        <f t="shared" si="4"/>
        <v>0.16666666666666666</v>
      </c>
      <c r="AE26" s="9">
        <v>0</v>
      </c>
      <c r="AF26" s="9">
        <f t="shared" ca="1" si="5"/>
        <v>0</v>
      </c>
      <c r="AG26" s="694">
        <f t="shared" ca="1" si="6"/>
        <v>0</v>
      </c>
      <c r="AH26" s="9">
        <f t="shared" ca="1" si="7"/>
        <v>0</v>
      </c>
      <c r="AI26" s="9">
        <f t="shared" ca="1" si="8"/>
        <v>25</v>
      </c>
    </row>
    <row r="27" spans="1:35">
      <c r="A27" s="5" t="s">
        <v>81</v>
      </c>
      <c r="C27" s="686"/>
      <c r="E27" s="686"/>
      <c r="P27" s="9">
        <v>25</v>
      </c>
      <c r="Q27" s="9" t="str">
        <f t="shared" ca="1" si="3"/>
        <v>Haití</v>
      </c>
      <c r="R27" s="9">
        <f t="shared" ca="1" si="12"/>
        <v>-4</v>
      </c>
      <c r="S27" s="694">
        <f t="shared" ca="1" si="12"/>
        <v>0.16666666666666666</v>
      </c>
      <c r="T27" s="9">
        <f t="shared" ca="1" si="12"/>
        <v>0</v>
      </c>
      <c r="U27" s="9">
        <f t="shared" ca="1" si="12"/>
        <v>0</v>
      </c>
      <c r="V27" s="694">
        <f t="shared" ca="1" si="12"/>
        <v>0</v>
      </c>
      <c r="W27" s="9">
        <f t="shared" ca="1" si="12"/>
        <v>0</v>
      </c>
      <c r="X27" s="9">
        <f t="shared" ca="1" si="1"/>
        <v>0</v>
      </c>
      <c r="AA27" s="9">
        <v>25</v>
      </c>
      <c r="AB27" s="9" t="str">
        <f ca="1">Idiomas!D236</f>
        <v>Inglaterra</v>
      </c>
      <c r="AC27" s="9">
        <v>1</v>
      </c>
      <c r="AD27" s="694">
        <f t="shared" si="4"/>
        <v>4.1666666666666664E-2</v>
      </c>
      <c r="AE27" s="9">
        <v>0</v>
      </c>
      <c r="AF27" s="9">
        <f t="shared" ca="1" si="5"/>
        <v>5</v>
      </c>
      <c r="AG27" s="694">
        <f t="shared" ca="1" si="6"/>
        <v>0.20833333333333334</v>
      </c>
      <c r="AH27" s="9">
        <f t="shared" ca="1" si="7"/>
        <v>1</v>
      </c>
      <c r="AI27" s="9">
        <f t="shared" ca="1" si="8"/>
        <v>26</v>
      </c>
    </row>
    <row r="28" spans="1:35">
      <c r="A28" s="686">
        <v>46185.875</v>
      </c>
      <c r="C28" s="686">
        <f t="shared" ref="C28:C33" ca="1" si="13">A28+INDEX($V$3:$V$86,MATCH($C$3,$P$3:$P$86,0))*INDEX($W$3:$W$86,MATCH($C$3,$P$3:$P$86,0))</f>
        <v>46186.125</v>
      </c>
      <c r="D28" s="686"/>
      <c r="E28" s="686"/>
      <c r="P28" s="9">
        <v>26</v>
      </c>
      <c r="Q28" s="9" t="str">
        <f t="shared" ca="1" si="3"/>
        <v>Inglaterra</v>
      </c>
      <c r="R28" s="9">
        <f t="shared" ca="1" si="12"/>
        <v>1</v>
      </c>
      <c r="S28" s="694">
        <f t="shared" ca="1" si="12"/>
        <v>4.1666666666666664E-2</v>
      </c>
      <c r="T28" s="9">
        <f t="shared" ca="1" si="12"/>
        <v>0</v>
      </c>
      <c r="U28" s="9">
        <f t="shared" ca="1" si="12"/>
        <v>5</v>
      </c>
      <c r="V28" s="694">
        <f t="shared" ca="1" si="12"/>
        <v>0.20833333333333334</v>
      </c>
      <c r="W28" s="9">
        <f t="shared" ca="1" si="12"/>
        <v>1</v>
      </c>
      <c r="X28" s="9">
        <f t="shared" ca="1" si="1"/>
        <v>0</v>
      </c>
      <c r="AA28" s="9">
        <v>26</v>
      </c>
      <c r="AB28" s="9" t="str">
        <f ca="1">Idiomas!D237</f>
        <v>Irán</v>
      </c>
      <c r="AC28" s="9">
        <f>+INDEX(Credits!$Y$87:$Y$91,MATCH(Credits!$N$87,Credits!$U$87:$U$91,0))</f>
        <v>3.5</v>
      </c>
      <c r="AD28" s="694">
        <f t="shared" si="4"/>
        <v>0.14583333333333334</v>
      </c>
      <c r="AE28" s="9">
        <v>0</v>
      </c>
      <c r="AF28" s="9">
        <f t="shared" ca="1" si="5"/>
        <v>7.5</v>
      </c>
      <c r="AG28" s="694">
        <f t="shared" ca="1" si="6"/>
        <v>0.3125</v>
      </c>
      <c r="AH28" s="9">
        <f t="shared" ca="1" si="7"/>
        <v>1</v>
      </c>
      <c r="AI28" s="9">
        <f t="shared" ca="1" si="8"/>
        <v>28</v>
      </c>
    </row>
    <row r="29" spans="1:35">
      <c r="A29" s="686">
        <v>46187</v>
      </c>
      <c r="C29" s="686">
        <f t="shared" ca="1" si="13"/>
        <v>46187.25</v>
      </c>
      <c r="D29" s="686"/>
      <c r="E29" s="686"/>
      <c r="P29" s="9">
        <v>27</v>
      </c>
      <c r="Q29" s="9" t="str">
        <f t="shared" ca="1" si="3"/>
        <v>Irak</v>
      </c>
      <c r="R29" s="9">
        <f t="shared" ca="1" si="12"/>
        <v>3</v>
      </c>
      <c r="S29" s="694">
        <f t="shared" ca="1" si="12"/>
        <v>0.125</v>
      </c>
      <c r="T29" s="9">
        <f t="shared" ca="1" si="12"/>
        <v>0</v>
      </c>
      <c r="U29" s="9">
        <f t="shared" ca="1" si="12"/>
        <v>7</v>
      </c>
      <c r="V29" s="694">
        <f t="shared" ca="1" si="12"/>
        <v>0.29166666666666669</v>
      </c>
      <c r="W29" s="9">
        <f t="shared" ca="1" si="12"/>
        <v>1</v>
      </c>
      <c r="X29" s="9">
        <f t="shared" ca="1" si="1"/>
        <v>0</v>
      </c>
      <c r="AA29" s="9">
        <v>27</v>
      </c>
      <c r="AB29" s="9" t="str">
        <f ca="1">Idiomas!D238</f>
        <v>Japón</v>
      </c>
      <c r="AC29" s="9">
        <v>9</v>
      </c>
      <c r="AD29" s="694">
        <f t="shared" si="4"/>
        <v>0.375</v>
      </c>
      <c r="AE29" s="9">
        <v>0</v>
      </c>
      <c r="AF29" s="9">
        <f t="shared" ca="1" si="5"/>
        <v>13</v>
      </c>
      <c r="AG29" s="694">
        <f t="shared" ca="1" si="6"/>
        <v>0.54166666666666663</v>
      </c>
      <c r="AH29" s="9">
        <f t="shared" ca="1" si="7"/>
        <v>1</v>
      </c>
      <c r="AI29" s="9">
        <f t="shared" ca="1" si="8"/>
        <v>29</v>
      </c>
    </row>
    <row r="30" spans="1:35">
      <c r="A30" s="686">
        <v>46192.625</v>
      </c>
      <c r="C30" s="686">
        <f ca="1">A30+INDEX($V$3:$V$86,MATCH($C$3,$P$3:$P$86,0))*INDEX($W$3:$W$86,MATCH($C$3,$P$3:$P$86,0))</f>
        <v>46192.875</v>
      </c>
      <c r="D30" s="686"/>
      <c r="E30" s="686"/>
      <c r="P30" s="9">
        <v>28</v>
      </c>
      <c r="Q30" s="9" t="str">
        <f t="shared" ca="1" si="3"/>
        <v>Irán</v>
      </c>
      <c r="R30" s="9">
        <f t="shared" ca="1" si="12"/>
        <v>3.5</v>
      </c>
      <c r="S30" s="694">
        <f t="shared" ca="1" si="12"/>
        <v>0.14583333333333334</v>
      </c>
      <c r="T30" s="9">
        <f t="shared" ca="1" si="12"/>
        <v>0</v>
      </c>
      <c r="U30" s="9">
        <f t="shared" ca="1" si="12"/>
        <v>7.5</v>
      </c>
      <c r="V30" s="694">
        <f t="shared" ca="1" si="12"/>
        <v>0.3125</v>
      </c>
      <c r="W30" s="9">
        <f t="shared" ca="1" si="12"/>
        <v>1</v>
      </c>
      <c r="X30" s="9">
        <f t="shared" ca="1" si="1"/>
        <v>0</v>
      </c>
      <c r="AA30" s="9">
        <v>28</v>
      </c>
      <c r="AB30" s="9" t="str">
        <f ca="1">Idiomas!D239</f>
        <v>Jordania</v>
      </c>
      <c r="AC30" s="9">
        <v>3</v>
      </c>
      <c r="AD30" s="694">
        <f t="shared" si="4"/>
        <v>0.125</v>
      </c>
      <c r="AE30" s="9">
        <v>0</v>
      </c>
      <c r="AF30" s="9">
        <f t="shared" ca="1" si="5"/>
        <v>7</v>
      </c>
      <c r="AG30" s="694">
        <f t="shared" ca="1" si="6"/>
        <v>0.29166666666666669</v>
      </c>
      <c r="AH30" s="9">
        <f t="shared" ca="1" si="7"/>
        <v>1</v>
      </c>
      <c r="AI30" s="9">
        <f t="shared" ca="1" si="8"/>
        <v>30</v>
      </c>
    </row>
    <row r="31" spans="1:35">
      <c r="A31" s="686">
        <v>46192.958333333336</v>
      </c>
      <c r="C31" s="686">
        <f ca="1">A31+INDEX($V$3:$V$86,MATCH($C$3,$P$3:$P$86,0))*INDEX($W$3:$W$86,MATCH($C$3,$P$3:$P$86,0))</f>
        <v>46193.208333333336</v>
      </c>
      <c r="D31" s="686"/>
      <c r="E31" s="686"/>
      <c r="P31" s="9">
        <v>29</v>
      </c>
      <c r="Q31" s="9" t="str">
        <f t="shared" ca="1" si="3"/>
        <v>Japón</v>
      </c>
      <c r="R31" s="9">
        <f t="shared" ca="1" si="12"/>
        <v>9</v>
      </c>
      <c r="S31" s="694">
        <f t="shared" ca="1" si="12"/>
        <v>0.375</v>
      </c>
      <c r="T31" s="9">
        <f t="shared" ca="1" si="12"/>
        <v>0</v>
      </c>
      <c r="U31" s="9">
        <f t="shared" ca="1" si="12"/>
        <v>13</v>
      </c>
      <c r="V31" s="694">
        <f t="shared" ca="1" si="12"/>
        <v>0.54166666666666663</v>
      </c>
      <c r="W31" s="9">
        <f t="shared" ca="1" si="12"/>
        <v>1</v>
      </c>
      <c r="X31" s="9">
        <f t="shared" ca="1" si="1"/>
        <v>0</v>
      </c>
      <c r="AA31" s="9">
        <v>29</v>
      </c>
      <c r="AB31" s="9" t="str">
        <f ca="1">Idiomas!D240</f>
        <v>Marruecos</v>
      </c>
      <c r="AC31" s="9">
        <v>1</v>
      </c>
      <c r="AD31" s="694">
        <f t="shared" si="4"/>
        <v>4.1666666666666664E-2</v>
      </c>
      <c r="AE31" s="9">
        <v>0</v>
      </c>
      <c r="AF31" s="9">
        <f t="shared" ca="1" si="5"/>
        <v>5</v>
      </c>
      <c r="AG31" s="694">
        <f t="shared" ca="1" si="6"/>
        <v>0.20833333333333334</v>
      </c>
      <c r="AH31" s="9">
        <f t="shared" ca="1" si="7"/>
        <v>1</v>
      </c>
      <c r="AI31" s="9">
        <f t="shared" ca="1" si="8"/>
        <v>31</v>
      </c>
    </row>
    <row r="32" spans="1:35">
      <c r="A32" s="686">
        <v>46198.916666666664</v>
      </c>
      <c r="C32" s="686">
        <f t="shared" ca="1" si="13"/>
        <v>46199.166666666664</v>
      </c>
      <c r="D32" s="686"/>
      <c r="E32" s="686"/>
      <c r="P32" s="9">
        <v>30</v>
      </c>
      <c r="Q32" s="9" t="str">
        <f t="shared" ca="1" si="3"/>
        <v>Jordania</v>
      </c>
      <c r="R32" s="9">
        <f t="shared" ca="1" si="12"/>
        <v>3</v>
      </c>
      <c r="S32" s="694">
        <f t="shared" ca="1" si="12"/>
        <v>0.125</v>
      </c>
      <c r="T32" s="9">
        <f t="shared" ca="1" si="12"/>
        <v>0</v>
      </c>
      <c r="U32" s="9">
        <f t="shared" ca="1" si="12"/>
        <v>7</v>
      </c>
      <c r="V32" s="694">
        <f t="shared" ca="1" si="12"/>
        <v>0.29166666666666669</v>
      </c>
      <c r="W32" s="9">
        <f t="shared" ca="1" si="12"/>
        <v>1</v>
      </c>
      <c r="X32" s="9">
        <f t="shared" ca="1" si="1"/>
        <v>0</v>
      </c>
      <c r="AA32" s="9">
        <v>30</v>
      </c>
      <c r="AB32" s="9" t="str">
        <f ca="1">Idiomas!D241</f>
        <v>México</v>
      </c>
      <c r="AC32" s="9">
        <v>-6</v>
      </c>
      <c r="AD32" s="694">
        <f t="shared" si="4"/>
        <v>0.25</v>
      </c>
      <c r="AE32" s="9">
        <v>0</v>
      </c>
      <c r="AF32" s="9">
        <f t="shared" ca="1" si="5"/>
        <v>-2</v>
      </c>
      <c r="AG32" s="694">
        <f t="shared" ca="1" si="6"/>
        <v>8.3333333333333329E-2</v>
      </c>
      <c r="AH32" s="9">
        <f t="shared" ca="1" si="7"/>
        <v>-1</v>
      </c>
      <c r="AI32" s="9">
        <f t="shared" ca="1" si="8"/>
        <v>32</v>
      </c>
    </row>
    <row r="33" spans="1:35">
      <c r="A33" s="686">
        <v>46198.916666666664</v>
      </c>
      <c r="C33" s="686">
        <f t="shared" ca="1" si="13"/>
        <v>46199.166666666664</v>
      </c>
      <c r="D33" s="686"/>
      <c r="E33" s="686"/>
      <c r="P33" s="9">
        <v>31</v>
      </c>
      <c r="Q33" s="9" t="str">
        <f t="shared" ca="1" si="3"/>
        <v>Marruecos</v>
      </c>
      <c r="R33" s="9">
        <f t="shared" ref="R33:W48" ca="1" si="14">+INDEX($AC$3:$AH$86,MATCH($Q33,$AB$3:$AB$86,0),MATCH(R$2,$AC$2:$AH$2,0))</f>
        <v>1</v>
      </c>
      <c r="S33" s="694">
        <f t="shared" ca="1" si="14"/>
        <v>4.1666666666666664E-2</v>
      </c>
      <c r="T33" s="9">
        <f t="shared" ca="1" si="14"/>
        <v>0</v>
      </c>
      <c r="U33" s="9">
        <f t="shared" ca="1" si="14"/>
        <v>5</v>
      </c>
      <c r="V33" s="694">
        <f t="shared" ca="1" si="14"/>
        <v>0.20833333333333334</v>
      </c>
      <c r="W33" s="9">
        <f t="shared" ca="1" si="14"/>
        <v>1</v>
      </c>
      <c r="X33" s="9">
        <f t="shared" ca="1" si="1"/>
        <v>0</v>
      </c>
      <c r="AA33" s="9">
        <v>31</v>
      </c>
      <c r="AB33" s="9" t="str">
        <f ca="1">Idiomas!D242</f>
        <v>Noruega</v>
      </c>
      <c r="AC33" s="9">
        <v>2</v>
      </c>
      <c r="AD33" s="694">
        <f t="shared" si="4"/>
        <v>8.3333333333333329E-2</v>
      </c>
      <c r="AE33" s="9">
        <v>0</v>
      </c>
      <c r="AF33" s="9">
        <f t="shared" ca="1" si="5"/>
        <v>6</v>
      </c>
      <c r="AG33" s="694">
        <f t="shared" ca="1" si="6"/>
        <v>0.25</v>
      </c>
      <c r="AH33" s="9">
        <f t="shared" ca="1" si="7"/>
        <v>1</v>
      </c>
      <c r="AI33" s="9">
        <f t="shared" ca="1" si="8"/>
        <v>33</v>
      </c>
    </row>
    <row r="34" spans="1:35">
      <c r="C34" s="686"/>
      <c r="E34" s="686"/>
      <c r="P34" s="9">
        <v>32</v>
      </c>
      <c r="Q34" s="9" t="str">
        <f t="shared" ca="1" si="3"/>
        <v>México</v>
      </c>
      <c r="R34" s="9">
        <f t="shared" ca="1" si="14"/>
        <v>-6</v>
      </c>
      <c r="S34" s="694">
        <f t="shared" ca="1" si="14"/>
        <v>0.25</v>
      </c>
      <c r="T34" s="9">
        <f t="shared" ca="1" si="14"/>
        <v>0</v>
      </c>
      <c r="U34" s="9">
        <f t="shared" ca="1" si="14"/>
        <v>-2</v>
      </c>
      <c r="V34" s="694">
        <f t="shared" ca="1" si="14"/>
        <v>8.3333333333333329E-2</v>
      </c>
      <c r="W34" s="9">
        <f t="shared" ca="1" si="14"/>
        <v>-1</v>
      </c>
      <c r="X34" s="9">
        <f t="shared" ca="1" si="1"/>
        <v>0</v>
      </c>
      <c r="AA34" s="9">
        <v>32</v>
      </c>
      <c r="AB34" s="9" t="str">
        <f ca="1">Idiomas!D243</f>
        <v>Nueva Zelanda</v>
      </c>
      <c r="AC34" s="9">
        <v>12</v>
      </c>
      <c r="AD34" s="694">
        <f t="shared" si="4"/>
        <v>0.5</v>
      </c>
      <c r="AE34" s="9">
        <v>0</v>
      </c>
      <c r="AF34" s="9">
        <f t="shared" ca="1" si="5"/>
        <v>16</v>
      </c>
      <c r="AG34" s="694">
        <f t="shared" ca="1" si="6"/>
        <v>0.66666666666666663</v>
      </c>
      <c r="AH34" s="9">
        <f t="shared" ca="1" si="7"/>
        <v>1</v>
      </c>
      <c r="AI34" s="9">
        <f t="shared" ca="1" si="8"/>
        <v>34</v>
      </c>
    </row>
    <row r="35" spans="1:35">
      <c r="A35" s="5" t="s">
        <v>82</v>
      </c>
      <c r="C35" s="686"/>
      <c r="E35" s="686"/>
      <c r="P35" s="9">
        <v>33</v>
      </c>
      <c r="Q35" s="9" t="str">
        <f t="shared" ca="1" si="3"/>
        <v>Noruega</v>
      </c>
      <c r="R35" s="9">
        <f t="shared" ca="1" si="14"/>
        <v>2</v>
      </c>
      <c r="S35" s="694">
        <f t="shared" ca="1" si="14"/>
        <v>8.3333333333333329E-2</v>
      </c>
      <c r="T35" s="9">
        <f t="shared" ca="1" si="14"/>
        <v>0</v>
      </c>
      <c r="U35" s="9">
        <f t="shared" ca="1" si="14"/>
        <v>6</v>
      </c>
      <c r="V35" s="694">
        <f t="shared" ca="1" si="14"/>
        <v>0.25</v>
      </c>
      <c r="W35" s="9">
        <f t="shared" ca="1" si="14"/>
        <v>1</v>
      </c>
      <c r="X35" s="9">
        <f t="shared" ca="1" si="1"/>
        <v>0</v>
      </c>
      <c r="AA35" s="9">
        <v>33</v>
      </c>
      <c r="AB35" s="9" t="str">
        <f ca="1">Idiomas!D244</f>
        <v>Países Bajos</v>
      </c>
      <c r="AC35" s="9">
        <v>2</v>
      </c>
      <c r="AD35" s="694">
        <f t="shared" si="4"/>
        <v>8.3333333333333329E-2</v>
      </c>
      <c r="AE35" s="9">
        <v>0</v>
      </c>
      <c r="AF35" s="9">
        <f t="shared" ca="1" si="5"/>
        <v>6</v>
      </c>
      <c r="AG35" s="694">
        <f t="shared" ca="1" si="6"/>
        <v>0.25</v>
      </c>
      <c r="AH35" s="9">
        <f t="shared" ca="1" si="7"/>
        <v>1</v>
      </c>
      <c r="AI35" s="9">
        <f t="shared" ca="1" si="8"/>
        <v>35</v>
      </c>
    </row>
    <row r="36" spans="1:35">
      <c r="A36" s="686">
        <v>46187.541666666664</v>
      </c>
      <c r="C36" s="686">
        <f t="shared" ref="C36:C41" ca="1" si="15">A36+INDEX($V$3:$V$86,MATCH($C$3,$P$3:$P$86,0))*INDEX($W$3:$W$86,MATCH($C$3,$P$3:$P$86,0))</f>
        <v>46187.791666666664</v>
      </c>
      <c r="D36" s="686"/>
      <c r="E36" s="686"/>
      <c r="P36" s="9">
        <v>34</v>
      </c>
      <c r="Q36" s="9" t="str">
        <f t="shared" ca="1" si="3"/>
        <v>Nueva Zelanda</v>
      </c>
      <c r="R36" s="9">
        <f t="shared" ca="1" si="14"/>
        <v>12</v>
      </c>
      <c r="S36" s="694">
        <f t="shared" ca="1" si="14"/>
        <v>0.5</v>
      </c>
      <c r="T36" s="9">
        <f t="shared" ca="1" si="14"/>
        <v>0</v>
      </c>
      <c r="U36" s="9">
        <f t="shared" ca="1" si="14"/>
        <v>16</v>
      </c>
      <c r="V36" s="694">
        <f t="shared" ca="1" si="14"/>
        <v>0.66666666666666663</v>
      </c>
      <c r="W36" s="9">
        <f t="shared" ca="1" si="14"/>
        <v>1</v>
      </c>
      <c r="X36" s="9">
        <f t="shared" ca="1" si="1"/>
        <v>0</v>
      </c>
      <c r="AA36" s="9">
        <v>34</v>
      </c>
      <c r="AB36" s="9" t="str">
        <f ca="1">Idiomas!D245</f>
        <v>Panamá</v>
      </c>
      <c r="AC36" s="9">
        <v>-5</v>
      </c>
      <c r="AD36" s="694">
        <f t="shared" si="4"/>
        <v>0.20833333333333334</v>
      </c>
      <c r="AE36" s="9">
        <v>0</v>
      </c>
      <c r="AF36" s="9">
        <f t="shared" ca="1" si="5"/>
        <v>-1</v>
      </c>
      <c r="AG36" s="694">
        <f t="shared" ca="1" si="6"/>
        <v>4.1666666666666664E-2</v>
      </c>
      <c r="AH36" s="9">
        <f t="shared" ca="1" si="7"/>
        <v>-1</v>
      </c>
      <c r="AI36" s="9">
        <f t="shared" ca="1" si="8"/>
        <v>36</v>
      </c>
    </row>
    <row r="37" spans="1:35">
      <c r="A37" s="686">
        <v>46187.791666666664</v>
      </c>
      <c r="C37" s="686">
        <f t="shared" ca="1" si="15"/>
        <v>46188.041666666664</v>
      </c>
      <c r="D37" s="686"/>
      <c r="E37" s="686"/>
      <c r="P37" s="9">
        <v>35</v>
      </c>
      <c r="Q37" s="9" t="str">
        <f t="shared" ca="1" si="3"/>
        <v>Países Bajos</v>
      </c>
      <c r="R37" s="9">
        <f t="shared" ca="1" si="14"/>
        <v>2</v>
      </c>
      <c r="S37" s="694">
        <f t="shared" ca="1" si="14"/>
        <v>8.3333333333333329E-2</v>
      </c>
      <c r="T37" s="9">
        <f t="shared" ca="1" si="14"/>
        <v>0</v>
      </c>
      <c r="U37" s="9">
        <f t="shared" ca="1" si="14"/>
        <v>6</v>
      </c>
      <c r="V37" s="694">
        <f t="shared" ca="1" si="14"/>
        <v>0.25</v>
      </c>
      <c r="W37" s="9">
        <f t="shared" ca="1" si="14"/>
        <v>1</v>
      </c>
      <c r="X37" s="9">
        <f t="shared" ca="1" si="1"/>
        <v>0</v>
      </c>
      <c r="AA37" s="9">
        <v>35</v>
      </c>
      <c r="AB37" s="9" t="str">
        <f ca="1">Idiomas!D246</f>
        <v>Paraguay</v>
      </c>
      <c r="AC37" s="9">
        <v>-4</v>
      </c>
      <c r="AD37" s="694">
        <f t="shared" si="4"/>
        <v>0.16666666666666666</v>
      </c>
      <c r="AE37" s="9">
        <v>0</v>
      </c>
      <c r="AF37" s="9">
        <f t="shared" ca="1" si="5"/>
        <v>0</v>
      </c>
      <c r="AG37" s="694">
        <f t="shared" ca="1" si="6"/>
        <v>0</v>
      </c>
      <c r="AH37" s="9">
        <f t="shared" ca="1" si="7"/>
        <v>0</v>
      </c>
      <c r="AI37" s="9">
        <f t="shared" ca="1" si="8"/>
        <v>37</v>
      </c>
    </row>
    <row r="38" spans="1:35">
      <c r="A38" s="686">
        <v>46193.666666666664</v>
      </c>
      <c r="C38" s="686">
        <f t="shared" ca="1" si="15"/>
        <v>46193.916666666664</v>
      </c>
      <c r="D38" s="686"/>
      <c r="E38" s="686"/>
      <c r="P38" s="9">
        <v>36</v>
      </c>
      <c r="Q38" s="9" t="str">
        <f t="shared" ca="1" si="3"/>
        <v>Panamá</v>
      </c>
      <c r="R38" s="9">
        <f t="shared" ca="1" si="14"/>
        <v>-5</v>
      </c>
      <c r="S38" s="694">
        <f t="shared" ca="1" si="14"/>
        <v>0.20833333333333334</v>
      </c>
      <c r="T38" s="9">
        <f t="shared" ca="1" si="14"/>
        <v>0</v>
      </c>
      <c r="U38" s="9">
        <f t="shared" ca="1" si="14"/>
        <v>-1</v>
      </c>
      <c r="V38" s="694">
        <f t="shared" ca="1" si="14"/>
        <v>4.1666666666666664E-2</v>
      </c>
      <c r="W38" s="9">
        <f t="shared" ca="1" si="14"/>
        <v>-1</v>
      </c>
      <c r="X38" s="9">
        <f t="shared" ca="1" si="1"/>
        <v>0</v>
      </c>
      <c r="AA38" s="9">
        <v>36</v>
      </c>
      <c r="AB38" s="9" t="str">
        <f ca="1">Idiomas!D247</f>
        <v>Portugal</v>
      </c>
      <c r="AC38" s="9">
        <v>1</v>
      </c>
      <c r="AD38" s="694">
        <f t="shared" si="4"/>
        <v>4.1666666666666664E-2</v>
      </c>
      <c r="AE38" s="9">
        <v>0</v>
      </c>
      <c r="AF38" s="9">
        <f t="shared" ca="1" si="5"/>
        <v>5</v>
      </c>
      <c r="AG38" s="694">
        <f t="shared" ca="1" si="6"/>
        <v>0.20833333333333334</v>
      </c>
      <c r="AH38" s="9">
        <f t="shared" ca="1" si="7"/>
        <v>1</v>
      </c>
      <c r="AI38" s="9">
        <f t="shared" ca="1" si="8"/>
        <v>38</v>
      </c>
    </row>
    <row r="39" spans="1:35">
      <c r="A39" s="686">
        <v>46193.833333333336</v>
      </c>
      <c r="C39" s="686">
        <f t="shared" ca="1" si="15"/>
        <v>46194.083333333336</v>
      </c>
      <c r="D39" s="686"/>
      <c r="E39" s="686"/>
      <c r="P39" s="9">
        <v>37</v>
      </c>
      <c r="Q39" s="9" t="str">
        <f t="shared" ca="1" si="3"/>
        <v>Paraguay</v>
      </c>
      <c r="R39" s="9">
        <f t="shared" ca="1" si="14"/>
        <v>-4</v>
      </c>
      <c r="S39" s="694">
        <f t="shared" ca="1" si="14"/>
        <v>0.16666666666666666</v>
      </c>
      <c r="T39" s="9">
        <f t="shared" ca="1" si="14"/>
        <v>0</v>
      </c>
      <c r="U39" s="9">
        <f t="shared" ca="1" si="14"/>
        <v>0</v>
      </c>
      <c r="V39" s="694">
        <f t="shared" ca="1" si="14"/>
        <v>0</v>
      </c>
      <c r="W39" s="9">
        <f t="shared" ca="1" si="14"/>
        <v>0</v>
      </c>
      <c r="X39" s="9">
        <f t="shared" ca="1" si="1"/>
        <v>0</v>
      </c>
      <c r="AA39" s="9">
        <v>37</v>
      </c>
      <c r="AB39" s="9" t="str">
        <f ca="1">Idiomas!D248</f>
        <v>Senegal</v>
      </c>
      <c r="AC39" s="9">
        <v>0</v>
      </c>
      <c r="AD39" s="694">
        <f t="shared" si="4"/>
        <v>0</v>
      </c>
      <c r="AE39" s="9">
        <v>0</v>
      </c>
      <c r="AF39" s="9">
        <f t="shared" ca="1" si="5"/>
        <v>4</v>
      </c>
      <c r="AG39" s="694">
        <f t="shared" ca="1" si="6"/>
        <v>0.16666666666666666</v>
      </c>
      <c r="AH39" s="9">
        <f t="shared" ca="1" si="7"/>
        <v>1</v>
      </c>
      <c r="AI39" s="9">
        <f t="shared" ca="1" si="8"/>
        <v>41</v>
      </c>
    </row>
    <row r="40" spans="1:35">
      <c r="A40" s="686">
        <v>46198.666666666664</v>
      </c>
      <c r="C40" s="686">
        <f t="shared" ca="1" si="15"/>
        <v>46198.916666666664</v>
      </c>
      <c r="D40" s="686"/>
      <c r="E40" s="686"/>
      <c r="P40" s="9">
        <v>38</v>
      </c>
      <c r="Q40" s="9" t="str">
        <f t="shared" ca="1" si="3"/>
        <v>Portugal</v>
      </c>
      <c r="R40" s="9">
        <f t="shared" ca="1" si="14"/>
        <v>1</v>
      </c>
      <c r="S40" s="694">
        <f t="shared" ca="1" si="14"/>
        <v>4.1666666666666664E-2</v>
      </c>
      <c r="T40" s="9">
        <f t="shared" ca="1" si="14"/>
        <v>0</v>
      </c>
      <c r="U40" s="9">
        <f t="shared" ca="1" si="14"/>
        <v>5</v>
      </c>
      <c r="V40" s="694">
        <f t="shared" ca="1" si="14"/>
        <v>0.20833333333333334</v>
      </c>
      <c r="W40" s="9">
        <f t="shared" ca="1" si="14"/>
        <v>1</v>
      </c>
      <c r="X40" s="9">
        <f t="shared" ca="1" si="1"/>
        <v>0</v>
      </c>
      <c r="AA40" s="9">
        <v>38</v>
      </c>
      <c r="AB40" s="9" t="str">
        <f ca="1">Idiomas!D249</f>
        <v>Sudáfrica</v>
      </c>
      <c r="AC40" s="9">
        <v>2</v>
      </c>
      <c r="AD40" s="694">
        <f t="shared" si="4"/>
        <v>8.3333333333333329E-2</v>
      </c>
      <c r="AE40" s="9">
        <v>0</v>
      </c>
      <c r="AF40" s="9">
        <f t="shared" ca="1" si="5"/>
        <v>6</v>
      </c>
      <c r="AG40" s="694">
        <f t="shared" ca="1" si="6"/>
        <v>0.25</v>
      </c>
      <c r="AH40" s="9">
        <f t="shared" ca="1" si="7"/>
        <v>1</v>
      </c>
      <c r="AI40" s="9">
        <f t="shared" ca="1" si="8"/>
        <v>42</v>
      </c>
    </row>
    <row r="41" spans="1:35">
      <c r="A41" s="686">
        <v>46198.666666666664</v>
      </c>
      <c r="C41" s="686">
        <f t="shared" ca="1" si="15"/>
        <v>46198.916666666664</v>
      </c>
      <c r="D41" s="686"/>
      <c r="E41" s="686"/>
      <c r="P41" s="9">
        <v>39</v>
      </c>
      <c r="Q41" s="9" t="str">
        <f t="shared" ca="1" si="3"/>
        <v>RD Congo</v>
      </c>
      <c r="R41" s="9">
        <f t="shared" ca="1" si="14"/>
        <v>1</v>
      </c>
      <c r="S41" s="694">
        <f t="shared" ca="1" si="14"/>
        <v>4.1666666666666664E-2</v>
      </c>
      <c r="T41" s="9">
        <f t="shared" ca="1" si="14"/>
        <v>0</v>
      </c>
      <c r="U41" s="9">
        <f t="shared" ca="1" si="14"/>
        <v>5</v>
      </c>
      <c r="V41" s="694">
        <f t="shared" ca="1" si="14"/>
        <v>0.20833333333333334</v>
      </c>
      <c r="W41" s="9">
        <f t="shared" ca="1" si="14"/>
        <v>1</v>
      </c>
      <c r="X41" s="9">
        <f t="shared" ca="1" si="1"/>
        <v>0</v>
      </c>
      <c r="AA41" s="9">
        <v>39</v>
      </c>
      <c r="AB41" s="9" t="str">
        <f ca="1">Idiomas!D250</f>
        <v>Suiza</v>
      </c>
      <c r="AC41" s="9">
        <v>2</v>
      </c>
      <c r="AD41" s="694">
        <f t="shared" si="4"/>
        <v>8.3333333333333329E-2</v>
      </c>
      <c r="AE41" s="9">
        <v>0</v>
      </c>
      <c r="AF41" s="9">
        <f t="shared" ca="1" si="5"/>
        <v>6</v>
      </c>
      <c r="AG41" s="694">
        <f t="shared" ca="1" si="6"/>
        <v>0.25</v>
      </c>
      <c r="AH41" s="9">
        <f t="shared" ca="1" si="7"/>
        <v>1</v>
      </c>
      <c r="AI41" s="9">
        <f t="shared" ca="1" si="8"/>
        <v>44</v>
      </c>
    </row>
    <row r="42" spans="1:35">
      <c r="C42" s="686"/>
      <c r="E42" s="686"/>
      <c r="P42" s="9">
        <v>40</v>
      </c>
      <c r="Q42" s="9" t="str">
        <f t="shared" ca="1" si="3"/>
        <v>República Checa</v>
      </c>
      <c r="R42" s="9">
        <f t="shared" ca="1" si="14"/>
        <v>2</v>
      </c>
      <c r="S42" s="694">
        <f t="shared" ca="1" si="14"/>
        <v>8.3333333333333329E-2</v>
      </c>
      <c r="T42" s="9">
        <f t="shared" ca="1" si="14"/>
        <v>0</v>
      </c>
      <c r="U42" s="9">
        <f t="shared" ca="1" si="14"/>
        <v>6</v>
      </c>
      <c r="V42" s="694">
        <f t="shared" ca="1" si="14"/>
        <v>0.25</v>
      </c>
      <c r="W42" s="9">
        <f t="shared" ca="1" si="14"/>
        <v>1</v>
      </c>
      <c r="X42" s="9">
        <f t="shared" ca="1" si="1"/>
        <v>0</v>
      </c>
      <c r="AA42" s="9">
        <v>40</v>
      </c>
      <c r="AB42" s="9" t="str">
        <f ca="1">Idiomas!D251</f>
        <v>Túnez</v>
      </c>
      <c r="AC42" s="9">
        <v>1</v>
      </c>
      <c r="AD42" s="694">
        <f t="shared" si="4"/>
        <v>4.1666666666666664E-2</v>
      </c>
      <c r="AE42" s="9">
        <v>0</v>
      </c>
      <c r="AF42" s="9">
        <f t="shared" ca="1" si="5"/>
        <v>5</v>
      </c>
      <c r="AG42" s="694">
        <f t="shared" ca="1" si="6"/>
        <v>0.20833333333333334</v>
      </c>
      <c r="AH42" s="9">
        <f t="shared" ca="1" si="7"/>
        <v>1</v>
      </c>
      <c r="AI42" s="9">
        <f t="shared" ca="1" si="8"/>
        <v>45</v>
      </c>
    </row>
    <row r="43" spans="1:35">
      <c r="A43" s="5" t="s">
        <v>8</v>
      </c>
      <c r="C43" s="686"/>
      <c r="E43" s="686"/>
      <c r="P43" s="9">
        <v>41</v>
      </c>
      <c r="Q43" s="9" t="str">
        <f t="shared" ca="1" si="3"/>
        <v>Senegal</v>
      </c>
      <c r="R43" s="9">
        <f t="shared" ref="R43:W58" ca="1" si="16">+INDEX($AC$3:$AH$86,MATCH($Q43,$AB$3:$AB$86,0),MATCH(R$2,$AC$2:$AH$2,0))</f>
        <v>0</v>
      </c>
      <c r="S43" s="694">
        <f t="shared" ca="1" si="16"/>
        <v>0</v>
      </c>
      <c r="T43" s="9">
        <f t="shared" ca="1" si="16"/>
        <v>0</v>
      </c>
      <c r="U43" s="9">
        <f t="shared" ca="1" si="16"/>
        <v>4</v>
      </c>
      <c r="V43" s="694">
        <f t="shared" ca="1" si="14"/>
        <v>0.16666666666666666</v>
      </c>
      <c r="W43" s="9">
        <f t="shared" ca="1" si="16"/>
        <v>1</v>
      </c>
      <c r="X43" s="9">
        <f t="shared" ca="1" si="1"/>
        <v>0</v>
      </c>
      <c r="AA43" s="9">
        <v>41</v>
      </c>
      <c r="AB43" s="9" t="str">
        <f ca="1">Idiomas!D252</f>
        <v>Uruguay</v>
      </c>
      <c r="AC43" s="9">
        <v>-3</v>
      </c>
      <c r="AD43" s="694">
        <f t="shared" si="4"/>
        <v>0.125</v>
      </c>
      <c r="AE43" s="9">
        <v>0</v>
      </c>
      <c r="AF43" s="9">
        <f t="shared" ca="1" si="5"/>
        <v>1</v>
      </c>
      <c r="AG43" s="694">
        <f t="shared" ca="1" si="6"/>
        <v>4.1666666666666664E-2</v>
      </c>
      <c r="AH43" s="9">
        <f t="shared" ca="1" si="7"/>
        <v>1</v>
      </c>
      <c r="AI43" s="9">
        <f t="shared" ca="1" si="8"/>
        <v>47</v>
      </c>
    </row>
    <row r="44" spans="1:35">
      <c r="A44" s="686">
        <v>46187.666666666664</v>
      </c>
      <c r="C44" s="686">
        <f t="shared" ref="C44:C49" ca="1" si="17">A44+INDEX($V$3:$V$86,MATCH($C$3,$P$3:$P$86,0))*INDEX($W$3:$W$86,MATCH($C$3,$P$3:$P$86,0))</f>
        <v>46187.916666666664</v>
      </c>
      <c r="D44" s="686"/>
      <c r="E44" s="686"/>
      <c r="P44" s="9">
        <v>42</v>
      </c>
      <c r="Q44" s="9" t="str">
        <f t="shared" ca="1" si="3"/>
        <v>Sudáfrica</v>
      </c>
      <c r="R44" s="9">
        <f t="shared" ca="1" si="16"/>
        <v>2</v>
      </c>
      <c r="S44" s="694">
        <f t="shared" ca="1" si="16"/>
        <v>8.3333333333333329E-2</v>
      </c>
      <c r="T44" s="9">
        <f t="shared" ca="1" si="16"/>
        <v>0</v>
      </c>
      <c r="U44" s="9">
        <f t="shared" ca="1" si="16"/>
        <v>6</v>
      </c>
      <c r="V44" s="694">
        <f t="shared" ca="1" si="14"/>
        <v>0.25</v>
      </c>
      <c r="W44" s="9">
        <f t="shared" ca="1" si="16"/>
        <v>1</v>
      </c>
      <c r="X44" s="9">
        <f t="shared" ca="1" si="1"/>
        <v>0</v>
      </c>
      <c r="AA44" s="9">
        <v>42</v>
      </c>
      <c r="AB44" s="9" t="str">
        <f ca="1">Idiomas!D253</f>
        <v>Uzbekistán</v>
      </c>
      <c r="AC44" s="9">
        <v>5</v>
      </c>
      <c r="AD44" s="694">
        <f t="shared" si="4"/>
        <v>0.20833333333333334</v>
      </c>
      <c r="AE44" s="9">
        <v>0</v>
      </c>
      <c r="AF44" s="9">
        <f t="shared" ca="1" si="5"/>
        <v>9</v>
      </c>
      <c r="AG44" s="694">
        <f t="shared" ca="1" si="6"/>
        <v>0.375</v>
      </c>
      <c r="AH44" s="9">
        <f t="shared" ca="1" si="7"/>
        <v>1</v>
      </c>
      <c r="AI44" s="9">
        <f t="shared" ca="1" si="8"/>
        <v>48</v>
      </c>
    </row>
    <row r="45" spans="1:35">
      <c r="A45" s="686">
        <v>46187.916666666664</v>
      </c>
      <c r="C45" s="686">
        <f t="shared" ca="1" si="17"/>
        <v>46188.166666666664</v>
      </c>
      <c r="D45" s="686"/>
      <c r="E45" s="686"/>
      <c r="P45" s="9">
        <v>43</v>
      </c>
      <c r="Q45" s="9" t="str">
        <f t="shared" ca="1" si="3"/>
        <v>Suecia</v>
      </c>
      <c r="R45" s="9">
        <f t="shared" ca="1" si="16"/>
        <v>2</v>
      </c>
      <c r="S45" s="694">
        <f t="shared" ca="1" si="16"/>
        <v>8.3333333333333329E-2</v>
      </c>
      <c r="T45" s="9">
        <f t="shared" ca="1" si="16"/>
        <v>0</v>
      </c>
      <c r="U45" s="9">
        <f t="shared" ca="1" si="16"/>
        <v>6</v>
      </c>
      <c r="V45" s="694">
        <f t="shared" ca="1" si="14"/>
        <v>0.25</v>
      </c>
      <c r="W45" s="9">
        <f t="shared" ca="1" si="16"/>
        <v>1</v>
      </c>
      <c r="X45" s="9">
        <f t="shared" ca="1" si="1"/>
        <v>0</v>
      </c>
      <c r="AA45" s="9">
        <v>43</v>
      </c>
      <c r="AB45" s="9" t="str">
        <f ca="1">Idiomas!D254</f>
        <v>RD Congo</v>
      </c>
      <c r="AC45" s="9">
        <v>1</v>
      </c>
      <c r="AD45" s="694">
        <f t="shared" si="4"/>
        <v>4.1666666666666664E-2</v>
      </c>
      <c r="AE45" s="9">
        <v>0</v>
      </c>
      <c r="AF45" s="9">
        <f t="shared" ca="1" si="5"/>
        <v>5</v>
      </c>
      <c r="AG45" s="694">
        <f t="shared" ca="1" si="6"/>
        <v>0.20833333333333334</v>
      </c>
      <c r="AH45" s="9">
        <f t="shared" ca="1" si="7"/>
        <v>1</v>
      </c>
      <c r="AI45" s="9">
        <f t="shared" ca="1" si="8"/>
        <v>39</v>
      </c>
    </row>
    <row r="46" spans="1:35">
      <c r="A46" s="686">
        <v>46193.541666666664</v>
      </c>
      <c r="C46" s="686">
        <f t="shared" ca="1" si="17"/>
        <v>46193.791666666664</v>
      </c>
      <c r="D46" s="686"/>
      <c r="E46" s="686"/>
      <c r="P46" s="9">
        <v>44</v>
      </c>
      <c r="Q46" s="9" t="str">
        <f t="shared" ca="1" si="3"/>
        <v>Suiza</v>
      </c>
      <c r="R46" s="9">
        <f t="shared" ca="1" si="16"/>
        <v>2</v>
      </c>
      <c r="S46" s="694">
        <f t="shared" ca="1" si="16"/>
        <v>8.3333333333333329E-2</v>
      </c>
      <c r="T46" s="9">
        <f t="shared" ca="1" si="16"/>
        <v>0</v>
      </c>
      <c r="U46" s="9">
        <f t="shared" ca="1" si="16"/>
        <v>6</v>
      </c>
      <c r="V46" s="694">
        <f t="shared" ca="1" si="14"/>
        <v>0.25</v>
      </c>
      <c r="W46" s="9">
        <f t="shared" ca="1" si="16"/>
        <v>1</v>
      </c>
      <c r="X46" s="9">
        <f t="shared" ca="1" si="1"/>
        <v>0</v>
      </c>
      <c r="AA46" s="9">
        <v>44</v>
      </c>
      <c r="AB46" s="9" t="str">
        <f ca="1">Idiomas!D255</f>
        <v>Irak</v>
      </c>
      <c r="AC46" s="9">
        <v>3</v>
      </c>
      <c r="AD46" s="694">
        <f t="shared" si="4"/>
        <v>0.125</v>
      </c>
      <c r="AE46" s="9">
        <v>0</v>
      </c>
      <c r="AF46" s="9">
        <f t="shared" ca="1" si="5"/>
        <v>7</v>
      </c>
      <c r="AG46" s="694">
        <f t="shared" ca="1" si="6"/>
        <v>0.29166666666666669</v>
      </c>
      <c r="AH46" s="9">
        <f t="shared" ca="1" si="7"/>
        <v>1</v>
      </c>
      <c r="AI46" s="9">
        <f t="shared" ca="1" si="8"/>
        <v>27</v>
      </c>
    </row>
    <row r="47" spans="1:35">
      <c r="A47" s="686">
        <v>46194</v>
      </c>
      <c r="C47" s="686">
        <f t="shared" ca="1" si="17"/>
        <v>46194.25</v>
      </c>
      <c r="D47" s="686"/>
      <c r="E47" s="686"/>
      <c r="P47" s="9">
        <v>45</v>
      </c>
      <c r="Q47" s="9" t="str">
        <f t="shared" ca="1" si="3"/>
        <v>Túnez</v>
      </c>
      <c r="R47" s="9">
        <f t="shared" ca="1" si="16"/>
        <v>1</v>
      </c>
      <c r="S47" s="694">
        <f t="shared" ca="1" si="16"/>
        <v>4.1666666666666664E-2</v>
      </c>
      <c r="T47" s="9">
        <f t="shared" ca="1" si="16"/>
        <v>0</v>
      </c>
      <c r="U47" s="9">
        <f t="shared" ca="1" si="16"/>
        <v>5</v>
      </c>
      <c r="V47" s="694">
        <f t="shared" ca="1" si="14"/>
        <v>0.20833333333333334</v>
      </c>
      <c r="W47" s="9">
        <f t="shared" ca="1" si="16"/>
        <v>1</v>
      </c>
      <c r="X47" s="9">
        <f t="shared" ca="1" si="1"/>
        <v>0</v>
      </c>
      <c r="AA47" s="9">
        <v>45</v>
      </c>
      <c r="AB47" s="9" t="str">
        <f ca="1">Idiomas!D256</f>
        <v>Bosnia y Herzegovina</v>
      </c>
      <c r="AC47" s="9">
        <v>2</v>
      </c>
      <c r="AD47" s="694">
        <f t="shared" si="4"/>
        <v>8.3333333333333329E-2</v>
      </c>
      <c r="AE47" s="9">
        <v>0</v>
      </c>
      <c r="AF47" s="9">
        <f t="shared" ca="1" si="5"/>
        <v>6</v>
      </c>
      <c r="AG47" s="694">
        <f t="shared" ca="1" si="6"/>
        <v>0.25</v>
      </c>
      <c r="AH47" s="9">
        <f t="shared" ca="1" si="7"/>
        <v>1</v>
      </c>
      <c r="AI47" s="9">
        <f t="shared" ca="1" si="8"/>
        <v>8</v>
      </c>
    </row>
    <row r="48" spans="1:35">
      <c r="A48" s="686">
        <v>46198.791666666664</v>
      </c>
      <c r="C48" s="686">
        <f t="shared" ca="1" si="17"/>
        <v>46199.041666666664</v>
      </c>
      <c r="D48" s="686"/>
      <c r="E48" s="686"/>
      <c r="P48" s="9">
        <v>46</v>
      </c>
      <c r="Q48" s="9" t="str">
        <f t="shared" ca="1" si="3"/>
        <v>Turquía</v>
      </c>
      <c r="R48" s="9">
        <f t="shared" ca="1" si="16"/>
        <v>3</v>
      </c>
      <c r="S48" s="694">
        <f t="shared" ca="1" si="16"/>
        <v>0.125</v>
      </c>
      <c r="T48" s="9">
        <f t="shared" ca="1" si="16"/>
        <v>0</v>
      </c>
      <c r="U48" s="9">
        <f t="shared" ca="1" si="16"/>
        <v>7</v>
      </c>
      <c r="V48" s="694">
        <f t="shared" ca="1" si="14"/>
        <v>0.29166666666666669</v>
      </c>
      <c r="W48" s="9">
        <f t="shared" ca="1" si="16"/>
        <v>1</v>
      </c>
      <c r="X48" s="9">
        <f t="shared" ca="1" si="1"/>
        <v>0</v>
      </c>
      <c r="AA48" s="9">
        <v>46</v>
      </c>
      <c r="AB48" s="9" t="str">
        <f ca="1">Idiomas!D257</f>
        <v>Suecia</v>
      </c>
      <c r="AC48" s="9">
        <v>2</v>
      </c>
      <c r="AD48" s="694">
        <f t="shared" si="4"/>
        <v>8.3333333333333329E-2</v>
      </c>
      <c r="AE48" s="9">
        <v>0</v>
      </c>
      <c r="AF48" s="9">
        <f t="shared" ca="1" si="5"/>
        <v>6</v>
      </c>
      <c r="AG48" s="694">
        <f t="shared" ca="1" si="6"/>
        <v>0.25</v>
      </c>
      <c r="AH48" s="9">
        <f t="shared" ca="1" si="7"/>
        <v>1</v>
      </c>
      <c r="AI48" s="9">
        <f t="shared" ca="1" si="8"/>
        <v>43</v>
      </c>
    </row>
    <row r="49" spans="1:35">
      <c r="A49" s="686">
        <v>46198.791666666664</v>
      </c>
      <c r="C49" s="686">
        <f t="shared" ca="1" si="17"/>
        <v>46199.041666666664</v>
      </c>
      <c r="D49" s="686"/>
      <c r="E49" s="686"/>
      <c r="P49" s="9">
        <v>47</v>
      </c>
      <c r="Q49" s="9" t="str">
        <f t="shared" ca="1" si="3"/>
        <v>Uruguay</v>
      </c>
      <c r="R49" s="9">
        <f t="shared" ca="1" si="16"/>
        <v>-3</v>
      </c>
      <c r="S49" s="694">
        <f t="shared" ca="1" si="16"/>
        <v>0.125</v>
      </c>
      <c r="T49" s="9">
        <f t="shared" ca="1" si="16"/>
        <v>0</v>
      </c>
      <c r="U49" s="9">
        <f t="shared" ca="1" si="16"/>
        <v>1</v>
      </c>
      <c r="V49" s="694">
        <f t="shared" ca="1" si="16"/>
        <v>4.1666666666666664E-2</v>
      </c>
      <c r="W49" s="9">
        <f t="shared" ca="1" si="16"/>
        <v>1</v>
      </c>
      <c r="X49" s="9">
        <f t="shared" ca="1" si="1"/>
        <v>0</v>
      </c>
      <c r="AA49" s="9">
        <v>47</v>
      </c>
      <c r="AB49" s="9" t="str">
        <f ca="1">Idiomas!D258</f>
        <v>Turquía</v>
      </c>
      <c r="AC49" s="9">
        <v>3</v>
      </c>
      <c r="AD49" s="694">
        <f t="shared" si="4"/>
        <v>0.125</v>
      </c>
      <c r="AE49" s="9">
        <v>0</v>
      </c>
      <c r="AF49" s="9">
        <f t="shared" ca="1" si="5"/>
        <v>7</v>
      </c>
      <c r="AG49" s="694">
        <f t="shared" ca="1" si="6"/>
        <v>0.29166666666666669</v>
      </c>
      <c r="AH49" s="9">
        <f t="shared" ca="1" si="7"/>
        <v>1</v>
      </c>
      <c r="AI49" s="9">
        <f t="shared" ca="1" si="8"/>
        <v>46</v>
      </c>
    </row>
    <row r="50" spans="1:35">
      <c r="C50" s="686"/>
      <c r="E50" s="686"/>
      <c r="P50" s="9">
        <v>48</v>
      </c>
      <c r="Q50" s="9" t="str">
        <f t="shared" ca="1" si="3"/>
        <v>Uzbekistán</v>
      </c>
      <c r="R50" s="9">
        <f t="shared" ca="1" si="16"/>
        <v>5</v>
      </c>
      <c r="S50" s="694">
        <f t="shared" ca="1" si="16"/>
        <v>0.20833333333333334</v>
      </c>
      <c r="T50" s="9">
        <f t="shared" ca="1" si="16"/>
        <v>0</v>
      </c>
      <c r="U50" s="9">
        <f t="shared" ca="1" si="16"/>
        <v>9</v>
      </c>
      <c r="V50" s="694">
        <f t="shared" ca="1" si="16"/>
        <v>0.375</v>
      </c>
      <c r="W50" s="9">
        <f t="shared" ca="1" si="16"/>
        <v>1</v>
      </c>
      <c r="X50" s="9">
        <f t="shared" ca="1" si="1"/>
        <v>0</v>
      </c>
      <c r="AA50" s="9">
        <v>48</v>
      </c>
      <c r="AB50" s="9" t="str">
        <f ca="1">Idiomas!D259</f>
        <v>República Checa</v>
      </c>
      <c r="AC50" s="9">
        <v>2</v>
      </c>
      <c r="AD50" s="694">
        <f t="shared" si="4"/>
        <v>8.3333333333333329E-2</v>
      </c>
      <c r="AE50" s="9">
        <v>0</v>
      </c>
      <c r="AF50" s="9">
        <f t="shared" ca="1" si="5"/>
        <v>6</v>
      </c>
      <c r="AG50" s="694">
        <f t="shared" ca="1" si="6"/>
        <v>0.25</v>
      </c>
      <c r="AH50" s="9">
        <f t="shared" ca="1" si="7"/>
        <v>1</v>
      </c>
      <c r="AI50" s="9">
        <f t="shared" ca="1" si="8"/>
        <v>40</v>
      </c>
    </row>
    <row r="51" spans="1:35">
      <c r="A51" s="5" t="s">
        <v>484</v>
      </c>
      <c r="C51" s="686"/>
      <c r="E51" s="686"/>
      <c r="P51" s="9">
        <v>49</v>
      </c>
      <c r="Q51" s="9" t="s">
        <v>150</v>
      </c>
      <c r="R51" s="9">
        <f t="shared" ca="1" si="16"/>
        <v>-12</v>
      </c>
      <c r="S51" s="694">
        <f t="shared" ca="1" si="16"/>
        <v>0.5</v>
      </c>
      <c r="T51" s="9">
        <f t="shared" ca="1" si="16"/>
        <v>0</v>
      </c>
      <c r="U51" s="9">
        <f t="shared" ca="1" si="16"/>
        <v>-8</v>
      </c>
      <c r="V51" s="694">
        <f t="shared" ca="1" si="16"/>
        <v>0.33333333333333331</v>
      </c>
      <c r="W51" s="9">
        <f t="shared" ref="W51:W60" ca="1" si="18">IF(R51&gt;$M$2,1,IF(R51=$M$2,0,-1))</f>
        <v>-1</v>
      </c>
      <c r="AA51" s="9">
        <v>49</v>
      </c>
      <c r="AB51" s="9" t="s">
        <v>150</v>
      </c>
      <c r="AC51" s="9">
        <v>-12</v>
      </c>
      <c r="AD51" s="694">
        <f t="shared" si="4"/>
        <v>0.5</v>
      </c>
      <c r="AE51" s="9">
        <v>0</v>
      </c>
      <c r="AF51" s="9">
        <f t="shared" ref="AF51:AF60" ca="1" si="19">AC51-$M$2</f>
        <v>-8</v>
      </c>
      <c r="AG51" s="694">
        <f t="shared" ca="1" si="6"/>
        <v>0.33333333333333331</v>
      </c>
      <c r="AH51" s="9">
        <f t="shared" ref="AH51:AH60" ca="1" si="20">IF(AC51&gt;$M$2,1,IF(AC51=$M$2,0,-1))</f>
        <v>-1</v>
      </c>
    </row>
    <row r="52" spans="1:35">
      <c r="A52" s="686">
        <v>46188.625</v>
      </c>
      <c r="C52" s="686">
        <f t="shared" ref="C52:C57" ca="1" si="21">A52+INDEX($V$3:$V$86,MATCH($C$3,$P$3:$P$86,0))*INDEX($W$3:$W$86,MATCH($C$3,$P$3:$P$86,0))</f>
        <v>46188.875</v>
      </c>
      <c r="D52" s="686"/>
      <c r="E52" s="686"/>
      <c r="P52" s="9">
        <v>50</v>
      </c>
      <c r="Q52" s="9" t="s">
        <v>151</v>
      </c>
      <c r="R52" s="9">
        <f t="shared" ca="1" si="16"/>
        <v>-11</v>
      </c>
      <c r="S52" s="694">
        <f t="shared" ca="1" si="16"/>
        <v>0.45833333333333331</v>
      </c>
      <c r="T52" s="9">
        <f t="shared" ca="1" si="16"/>
        <v>0</v>
      </c>
      <c r="U52" s="9">
        <f t="shared" ca="1" si="16"/>
        <v>-7</v>
      </c>
      <c r="V52" s="694">
        <f t="shared" ca="1" si="16"/>
        <v>0.29166666666666669</v>
      </c>
      <c r="W52" s="9">
        <f t="shared" ca="1" si="18"/>
        <v>-1</v>
      </c>
      <c r="AA52" s="9">
        <v>50</v>
      </c>
      <c r="AB52" s="9" t="s">
        <v>151</v>
      </c>
      <c r="AC52" s="9">
        <v>-11</v>
      </c>
      <c r="AD52" s="694">
        <f t="shared" si="4"/>
        <v>0.45833333333333331</v>
      </c>
      <c r="AE52" s="9">
        <v>0</v>
      </c>
      <c r="AF52" s="9">
        <f t="shared" ca="1" si="19"/>
        <v>-7</v>
      </c>
      <c r="AG52" s="694">
        <f t="shared" ca="1" si="6"/>
        <v>0.29166666666666669</v>
      </c>
      <c r="AH52" s="9">
        <f t="shared" ca="1" si="20"/>
        <v>-1</v>
      </c>
    </row>
    <row r="53" spans="1:35">
      <c r="A53" s="686">
        <v>46188.875</v>
      </c>
      <c r="C53" s="686">
        <f t="shared" ca="1" si="21"/>
        <v>46189.125</v>
      </c>
      <c r="D53" s="686"/>
      <c r="E53" s="686"/>
      <c r="P53" s="9">
        <v>51</v>
      </c>
      <c r="Q53" s="9" t="s">
        <v>152</v>
      </c>
      <c r="R53" s="9">
        <f t="shared" ca="1" si="16"/>
        <v>-10</v>
      </c>
      <c r="S53" s="694">
        <f t="shared" ca="1" si="16"/>
        <v>0.41666666666666669</v>
      </c>
      <c r="T53" s="9">
        <f t="shared" ca="1" si="16"/>
        <v>0</v>
      </c>
      <c r="U53" s="9">
        <f t="shared" ca="1" si="16"/>
        <v>-6</v>
      </c>
      <c r="V53" s="694">
        <f t="shared" ca="1" si="16"/>
        <v>0.25</v>
      </c>
      <c r="W53" s="9">
        <f t="shared" ca="1" si="18"/>
        <v>-1</v>
      </c>
      <c r="AA53" s="9">
        <v>51</v>
      </c>
      <c r="AB53" s="9" t="s">
        <v>152</v>
      </c>
      <c r="AC53" s="9">
        <v>-10</v>
      </c>
      <c r="AD53" s="694">
        <f t="shared" si="4"/>
        <v>0.41666666666666669</v>
      </c>
      <c r="AE53" s="9">
        <v>0</v>
      </c>
      <c r="AF53" s="9">
        <f t="shared" ca="1" si="19"/>
        <v>-6</v>
      </c>
      <c r="AG53" s="694">
        <f t="shared" ca="1" si="6"/>
        <v>0.25</v>
      </c>
      <c r="AH53" s="9">
        <f t="shared" ca="1" si="20"/>
        <v>-1</v>
      </c>
    </row>
    <row r="54" spans="1:35">
      <c r="A54" s="686">
        <v>46194.625</v>
      </c>
      <c r="C54" s="686">
        <f t="shared" ca="1" si="21"/>
        <v>46194.875</v>
      </c>
      <c r="D54" s="686"/>
      <c r="E54" s="686"/>
      <c r="P54" s="9">
        <v>52</v>
      </c>
      <c r="Q54" s="9" t="s">
        <v>153</v>
      </c>
      <c r="R54" s="9">
        <f t="shared" ca="1" si="16"/>
        <v>-9</v>
      </c>
      <c r="S54" s="694">
        <f t="shared" ca="1" si="16"/>
        <v>0.375</v>
      </c>
      <c r="T54" s="9">
        <f t="shared" ca="1" si="16"/>
        <v>0</v>
      </c>
      <c r="U54" s="9">
        <f t="shared" ca="1" si="16"/>
        <v>-5</v>
      </c>
      <c r="V54" s="694">
        <f t="shared" ca="1" si="16"/>
        <v>0.20833333333333334</v>
      </c>
      <c r="W54" s="9">
        <f t="shared" ca="1" si="18"/>
        <v>-1</v>
      </c>
      <c r="AA54" s="9">
        <v>52</v>
      </c>
      <c r="AB54" s="9" t="s">
        <v>153</v>
      </c>
      <c r="AC54" s="9">
        <v>-9</v>
      </c>
      <c r="AD54" s="694">
        <f t="shared" si="4"/>
        <v>0.375</v>
      </c>
      <c r="AE54" s="9">
        <v>0</v>
      </c>
      <c r="AF54" s="9">
        <f t="shared" ca="1" si="19"/>
        <v>-5</v>
      </c>
      <c r="AG54" s="694">
        <f t="shared" ca="1" si="6"/>
        <v>0.20833333333333334</v>
      </c>
      <c r="AH54" s="9">
        <f t="shared" ca="1" si="20"/>
        <v>-1</v>
      </c>
    </row>
    <row r="55" spans="1:35">
      <c r="A55" s="686">
        <v>46194.875</v>
      </c>
      <c r="C55" s="686">
        <f t="shared" ca="1" si="21"/>
        <v>46195.125</v>
      </c>
      <c r="D55" s="686"/>
      <c r="E55" s="686"/>
      <c r="P55" s="9">
        <v>53</v>
      </c>
      <c r="Q55" s="9" t="s">
        <v>154</v>
      </c>
      <c r="R55" s="9">
        <f t="shared" ca="1" si="16"/>
        <v>-8</v>
      </c>
      <c r="S55" s="694">
        <f t="shared" ca="1" si="16"/>
        <v>0.33333333333333331</v>
      </c>
      <c r="T55" s="9">
        <f t="shared" ca="1" si="16"/>
        <v>0</v>
      </c>
      <c r="U55" s="9">
        <f t="shared" ca="1" si="16"/>
        <v>-4</v>
      </c>
      <c r="V55" s="694">
        <f t="shared" ca="1" si="16"/>
        <v>0.16666666666666666</v>
      </c>
      <c r="W55" s="9">
        <f t="shared" ca="1" si="18"/>
        <v>-1</v>
      </c>
      <c r="AA55" s="9">
        <v>53</v>
      </c>
      <c r="AB55" s="9" t="s">
        <v>154</v>
      </c>
      <c r="AC55" s="9">
        <v>-8</v>
      </c>
      <c r="AD55" s="694">
        <f t="shared" si="4"/>
        <v>0.33333333333333331</v>
      </c>
      <c r="AE55" s="9">
        <v>0</v>
      </c>
      <c r="AF55" s="9">
        <f t="shared" ca="1" si="19"/>
        <v>-4</v>
      </c>
      <c r="AG55" s="694">
        <f t="shared" ca="1" si="6"/>
        <v>0.16666666666666666</v>
      </c>
      <c r="AH55" s="9">
        <f t="shared" ca="1" si="20"/>
        <v>-1</v>
      </c>
    </row>
    <row r="56" spans="1:35">
      <c r="A56" s="686">
        <v>46199.958333333336</v>
      </c>
      <c r="C56" s="686">
        <f t="shared" ca="1" si="21"/>
        <v>46200.208333333336</v>
      </c>
      <c r="D56" s="686"/>
      <c r="E56" s="686"/>
      <c r="P56" s="9">
        <v>54</v>
      </c>
      <c r="Q56" s="9" t="s">
        <v>155</v>
      </c>
      <c r="R56" s="9">
        <f t="shared" ca="1" si="16"/>
        <v>-7</v>
      </c>
      <c r="S56" s="694">
        <f t="shared" ca="1" si="16"/>
        <v>0.29166666666666669</v>
      </c>
      <c r="T56" s="9">
        <f t="shared" ca="1" si="16"/>
        <v>0</v>
      </c>
      <c r="U56" s="9">
        <f t="shared" ca="1" si="16"/>
        <v>-3</v>
      </c>
      <c r="V56" s="694">
        <f t="shared" ca="1" si="16"/>
        <v>0.125</v>
      </c>
      <c r="W56" s="9">
        <f t="shared" ca="1" si="18"/>
        <v>-1</v>
      </c>
      <c r="AA56" s="9">
        <v>54</v>
      </c>
      <c r="AB56" s="9" t="s">
        <v>155</v>
      </c>
      <c r="AC56" s="9">
        <v>-7</v>
      </c>
      <c r="AD56" s="694">
        <f t="shared" si="4"/>
        <v>0.29166666666666669</v>
      </c>
      <c r="AE56" s="9">
        <v>0</v>
      </c>
      <c r="AF56" s="9">
        <f t="shared" ca="1" si="19"/>
        <v>-3</v>
      </c>
      <c r="AG56" s="694">
        <f t="shared" ca="1" si="6"/>
        <v>0.125</v>
      </c>
      <c r="AH56" s="9">
        <f t="shared" ca="1" si="20"/>
        <v>-1</v>
      </c>
    </row>
    <row r="57" spans="1:35">
      <c r="A57" s="686">
        <v>46199.958333333336</v>
      </c>
      <c r="C57" s="686">
        <f t="shared" ca="1" si="21"/>
        <v>46200.208333333336</v>
      </c>
      <c r="D57" s="686"/>
      <c r="E57" s="686"/>
      <c r="P57" s="9">
        <v>55</v>
      </c>
      <c r="Q57" s="9" t="s">
        <v>156</v>
      </c>
      <c r="R57" s="9">
        <f t="shared" ca="1" si="16"/>
        <v>-6</v>
      </c>
      <c r="S57" s="694">
        <f t="shared" ca="1" si="16"/>
        <v>0.25</v>
      </c>
      <c r="T57" s="9">
        <f t="shared" ca="1" si="16"/>
        <v>0</v>
      </c>
      <c r="U57" s="9">
        <f t="shared" ca="1" si="16"/>
        <v>-2</v>
      </c>
      <c r="V57" s="694">
        <f t="shared" ca="1" si="16"/>
        <v>8.3333333333333329E-2</v>
      </c>
      <c r="W57" s="9">
        <f t="shared" ca="1" si="18"/>
        <v>-1</v>
      </c>
      <c r="AA57" s="9">
        <v>55</v>
      </c>
      <c r="AB57" s="9" t="s">
        <v>156</v>
      </c>
      <c r="AC57" s="9">
        <v>-6</v>
      </c>
      <c r="AD57" s="694">
        <f t="shared" si="4"/>
        <v>0.25</v>
      </c>
      <c r="AE57" s="9">
        <v>0</v>
      </c>
      <c r="AF57" s="9">
        <f t="shared" ca="1" si="19"/>
        <v>-2</v>
      </c>
      <c r="AG57" s="694">
        <f t="shared" ca="1" si="6"/>
        <v>8.3333333333333329E-2</v>
      </c>
      <c r="AH57" s="9">
        <f t="shared" ca="1" si="20"/>
        <v>-1</v>
      </c>
    </row>
    <row r="58" spans="1:35">
      <c r="C58" s="686"/>
      <c r="E58" s="686"/>
      <c r="P58" s="9">
        <v>56</v>
      </c>
      <c r="Q58" s="9" t="s">
        <v>157</v>
      </c>
      <c r="R58" s="9">
        <f t="shared" ca="1" si="16"/>
        <v>-5</v>
      </c>
      <c r="S58" s="694">
        <f t="shared" ca="1" si="16"/>
        <v>0.20833333333333334</v>
      </c>
      <c r="T58" s="9">
        <f t="shared" ca="1" si="16"/>
        <v>0</v>
      </c>
      <c r="U58" s="9">
        <f t="shared" ca="1" si="16"/>
        <v>-1</v>
      </c>
      <c r="V58" s="694">
        <f t="shared" ca="1" si="16"/>
        <v>4.1666666666666664E-2</v>
      </c>
      <c r="W58" s="9">
        <f t="shared" ca="1" si="18"/>
        <v>-1</v>
      </c>
      <c r="AA58" s="9">
        <v>56</v>
      </c>
      <c r="AB58" s="9" t="s">
        <v>157</v>
      </c>
      <c r="AC58" s="9">
        <v>-5</v>
      </c>
      <c r="AD58" s="694">
        <f t="shared" si="4"/>
        <v>0.20833333333333334</v>
      </c>
      <c r="AE58" s="9">
        <v>0</v>
      </c>
      <c r="AF58" s="9">
        <f t="shared" ca="1" si="19"/>
        <v>-1</v>
      </c>
      <c r="AG58" s="694">
        <f t="shared" ca="1" si="6"/>
        <v>4.1666666666666664E-2</v>
      </c>
      <c r="AH58" s="9">
        <f t="shared" ca="1" si="20"/>
        <v>-1</v>
      </c>
    </row>
    <row r="59" spans="1:35">
      <c r="A59" s="5" t="s">
        <v>485</v>
      </c>
      <c r="C59" s="686"/>
      <c r="E59" s="686"/>
      <c r="P59" s="9">
        <v>57</v>
      </c>
      <c r="Q59" s="9" t="s">
        <v>158</v>
      </c>
      <c r="R59" s="9">
        <f t="shared" ref="R59:S86" ca="1" si="22">+INDEX($AC$3:$AH$86,MATCH($Q59,$AB$3:$AB$86,0),MATCH(R$2,$AC$2:$AH$2,0))</f>
        <v>-4</v>
      </c>
      <c r="S59" s="694">
        <f t="shared" ca="1" si="22"/>
        <v>0.16666666666666666</v>
      </c>
      <c r="T59" s="9">
        <f t="shared" ref="T59:T86" ca="1" si="23">+INDEX($AC$3:$AH$86,MATCH($Q59,$AB$3:$AB$86,0),MATCH(T$2,$AC$2:$AH$2,0))</f>
        <v>0</v>
      </c>
      <c r="U59" s="9">
        <f t="shared" ref="U59:U86" ca="1" si="24">+INDEX($AC$3:$AH$86,MATCH($Q59,$AB$3:$AB$86,0),MATCH(U$2,$AC$2:$AH$2,0))</f>
        <v>0</v>
      </c>
      <c r="V59" s="694">
        <f t="shared" ref="V59:V86" ca="1" si="25">+INDEX($AC$3:$AH$86,MATCH($Q59,$AB$3:$AB$86,0),MATCH(V$2,$AC$2:$AH$2,0))</f>
        <v>0</v>
      </c>
      <c r="W59" s="9">
        <f t="shared" ca="1" si="18"/>
        <v>0</v>
      </c>
      <c r="AA59" s="9">
        <v>57</v>
      </c>
      <c r="AB59" s="9" t="s">
        <v>158</v>
      </c>
      <c r="AC59" s="9">
        <v>-4</v>
      </c>
      <c r="AD59" s="694">
        <f t="shared" si="4"/>
        <v>0.16666666666666666</v>
      </c>
      <c r="AE59" s="9">
        <v>0</v>
      </c>
      <c r="AF59" s="9">
        <f t="shared" ca="1" si="19"/>
        <v>0</v>
      </c>
      <c r="AG59" s="694">
        <f t="shared" ca="1" si="6"/>
        <v>0</v>
      </c>
      <c r="AH59" s="9">
        <f t="shared" ca="1" si="20"/>
        <v>0</v>
      </c>
    </row>
    <row r="60" spans="1:35">
      <c r="A60" s="686">
        <v>46188.5</v>
      </c>
      <c r="C60" s="686">
        <f t="shared" ref="C60:C65" ca="1" si="26">A60+INDEX($V$3:$V$86,MATCH($C$3,$P$3:$P$86,0))*INDEX($W$3:$W$86,MATCH($C$3,$P$3:$P$86,0))</f>
        <v>46188.75</v>
      </c>
      <c r="D60" s="686"/>
      <c r="E60" s="686"/>
      <c r="P60" s="9">
        <v>58</v>
      </c>
      <c r="Q60" s="9" t="s">
        <v>365</v>
      </c>
      <c r="R60" s="9">
        <f t="shared" ca="1" si="22"/>
        <v>-3.5</v>
      </c>
      <c r="S60" s="694">
        <f t="shared" ca="1" si="22"/>
        <v>0.14583333333333334</v>
      </c>
      <c r="T60" s="9">
        <f t="shared" ca="1" si="23"/>
        <v>0</v>
      </c>
      <c r="U60" s="9">
        <f t="shared" ca="1" si="24"/>
        <v>0.5</v>
      </c>
      <c r="V60" s="694">
        <f t="shared" ca="1" si="25"/>
        <v>2.0833333333333332E-2</v>
      </c>
      <c r="W60" s="9">
        <f t="shared" ca="1" si="18"/>
        <v>1</v>
      </c>
      <c r="AA60" s="9">
        <v>58</v>
      </c>
      <c r="AB60" s="9" t="s">
        <v>365</v>
      </c>
      <c r="AC60" s="9">
        <v>-3.5</v>
      </c>
      <c r="AD60" s="694">
        <f t="shared" si="4"/>
        <v>0.14583333333333334</v>
      </c>
      <c r="AE60" s="9">
        <v>0</v>
      </c>
      <c r="AF60" s="9">
        <f t="shared" ca="1" si="19"/>
        <v>0.5</v>
      </c>
      <c r="AG60" s="694">
        <f t="shared" ca="1" si="6"/>
        <v>2.0833333333333332E-2</v>
      </c>
      <c r="AH60" s="9">
        <f t="shared" ca="1" si="20"/>
        <v>1</v>
      </c>
    </row>
    <row r="61" spans="1:35">
      <c r="A61" s="686">
        <v>46188.75</v>
      </c>
      <c r="C61" s="686">
        <f t="shared" ca="1" si="26"/>
        <v>46189</v>
      </c>
      <c r="D61" s="686"/>
      <c r="E61" s="686"/>
      <c r="P61" s="9">
        <v>59</v>
      </c>
      <c r="Q61" s="9" t="s">
        <v>159</v>
      </c>
      <c r="R61" s="9">
        <f t="shared" ca="1" si="22"/>
        <v>-3</v>
      </c>
      <c r="S61" s="694">
        <f t="shared" ca="1" si="22"/>
        <v>0.125</v>
      </c>
      <c r="T61" s="9">
        <f t="shared" ca="1" si="23"/>
        <v>0</v>
      </c>
      <c r="U61" s="9">
        <f t="shared" ca="1" si="24"/>
        <v>1</v>
      </c>
      <c r="V61" s="694">
        <f t="shared" ca="1" si="25"/>
        <v>4.1666666666666664E-2</v>
      </c>
      <c r="W61" s="9">
        <f t="shared" ref="W61:W86" ca="1" si="27">IF(R61&gt;$M$2,1,IF(R61=$M$2,0,-1))</f>
        <v>1</v>
      </c>
      <c r="AA61" s="9">
        <v>59</v>
      </c>
      <c r="AB61" s="9" t="s">
        <v>159</v>
      </c>
      <c r="AC61" s="9">
        <v>-3</v>
      </c>
      <c r="AD61" s="694">
        <f t="shared" si="4"/>
        <v>0.125</v>
      </c>
      <c r="AE61" s="9">
        <v>0</v>
      </c>
      <c r="AF61" s="9">
        <f t="shared" ref="AF61:AF86" ca="1" si="28">AC61-$M$2</f>
        <v>1</v>
      </c>
      <c r="AG61" s="694">
        <f t="shared" ca="1" si="6"/>
        <v>4.1666666666666664E-2</v>
      </c>
      <c r="AH61" s="9">
        <f t="shared" ref="AH61:AH86" ca="1" si="29">IF(AC61&gt;$M$2,1,IF(AC61=$M$2,0,-1))</f>
        <v>1</v>
      </c>
    </row>
    <row r="62" spans="1:35">
      <c r="A62" s="686">
        <v>46194.5</v>
      </c>
      <c r="C62" s="686">
        <f t="shared" ca="1" si="26"/>
        <v>46194.75</v>
      </c>
      <c r="D62" s="686"/>
      <c r="E62" s="686"/>
      <c r="P62" s="9">
        <v>60</v>
      </c>
      <c r="Q62" s="9" t="s">
        <v>160</v>
      </c>
      <c r="R62" s="9">
        <f t="shared" ca="1" si="22"/>
        <v>-2</v>
      </c>
      <c r="S62" s="694">
        <f t="shared" ca="1" si="22"/>
        <v>8.3333333333333329E-2</v>
      </c>
      <c r="T62" s="9">
        <f t="shared" ca="1" si="23"/>
        <v>0</v>
      </c>
      <c r="U62" s="9">
        <f t="shared" ca="1" si="24"/>
        <v>2</v>
      </c>
      <c r="V62" s="694">
        <f t="shared" ca="1" si="25"/>
        <v>8.3333333333333329E-2</v>
      </c>
      <c r="W62" s="9">
        <f t="shared" ca="1" si="27"/>
        <v>1</v>
      </c>
      <c r="AA62" s="9">
        <v>60</v>
      </c>
      <c r="AB62" s="9" t="s">
        <v>160</v>
      </c>
      <c r="AC62" s="9">
        <v>-2</v>
      </c>
      <c r="AD62" s="694">
        <f t="shared" si="4"/>
        <v>8.3333333333333329E-2</v>
      </c>
      <c r="AE62" s="9">
        <v>0</v>
      </c>
      <c r="AF62" s="9">
        <f t="shared" ca="1" si="28"/>
        <v>2</v>
      </c>
      <c r="AG62" s="694">
        <f t="shared" ca="1" si="6"/>
        <v>8.3333333333333329E-2</v>
      </c>
      <c r="AH62" s="9">
        <f t="shared" ca="1" si="29"/>
        <v>1</v>
      </c>
    </row>
    <row r="63" spans="1:35">
      <c r="A63" s="686">
        <v>46194.75</v>
      </c>
      <c r="C63" s="686">
        <f t="shared" ca="1" si="26"/>
        <v>46195</v>
      </c>
      <c r="D63" s="686"/>
      <c r="E63" s="686"/>
      <c r="P63" s="9">
        <v>61</v>
      </c>
      <c r="Q63" s="9" t="s">
        <v>161</v>
      </c>
      <c r="R63" s="9">
        <f t="shared" ca="1" si="22"/>
        <v>-1</v>
      </c>
      <c r="S63" s="694">
        <f t="shared" ca="1" si="22"/>
        <v>4.1666666666666664E-2</v>
      </c>
      <c r="T63" s="9">
        <f t="shared" ca="1" si="23"/>
        <v>0</v>
      </c>
      <c r="U63" s="9">
        <f t="shared" ca="1" si="24"/>
        <v>3</v>
      </c>
      <c r="V63" s="694">
        <f t="shared" ca="1" si="25"/>
        <v>0.125</v>
      </c>
      <c r="W63" s="9">
        <f t="shared" ca="1" si="27"/>
        <v>1</v>
      </c>
      <c r="AA63" s="9">
        <v>61</v>
      </c>
      <c r="AB63" s="9" t="s">
        <v>161</v>
      </c>
      <c r="AC63" s="9">
        <v>-1</v>
      </c>
      <c r="AD63" s="694">
        <f t="shared" si="4"/>
        <v>4.1666666666666664E-2</v>
      </c>
      <c r="AE63" s="9">
        <v>0</v>
      </c>
      <c r="AF63" s="9">
        <f t="shared" ca="1" si="28"/>
        <v>3</v>
      </c>
      <c r="AG63" s="694">
        <f t="shared" ca="1" si="6"/>
        <v>0.125</v>
      </c>
      <c r="AH63" s="9">
        <f t="shared" ca="1" si="29"/>
        <v>1</v>
      </c>
    </row>
    <row r="64" spans="1:35">
      <c r="A64" s="686">
        <v>46199.833333333336</v>
      </c>
      <c r="C64" s="686">
        <f t="shared" ca="1" si="26"/>
        <v>46200.083333333336</v>
      </c>
      <c r="D64" s="686"/>
      <c r="E64" s="686"/>
      <c r="P64" s="9">
        <v>62</v>
      </c>
      <c r="Q64" s="9" t="s">
        <v>149</v>
      </c>
      <c r="R64" s="9">
        <f t="shared" ca="1" si="22"/>
        <v>0</v>
      </c>
      <c r="S64" s="694">
        <f t="shared" ca="1" si="22"/>
        <v>0</v>
      </c>
      <c r="T64" s="9">
        <f t="shared" ca="1" si="23"/>
        <v>0</v>
      </c>
      <c r="U64" s="9">
        <f t="shared" ca="1" si="24"/>
        <v>4</v>
      </c>
      <c r="V64" s="694">
        <f t="shared" ca="1" si="25"/>
        <v>0.16666666666666666</v>
      </c>
      <c r="W64" s="9">
        <f t="shared" ca="1" si="27"/>
        <v>1</v>
      </c>
      <c r="AA64" s="9">
        <v>62</v>
      </c>
      <c r="AB64" s="9" t="s">
        <v>149</v>
      </c>
      <c r="AC64" s="9">
        <v>0</v>
      </c>
      <c r="AD64" s="694">
        <f t="shared" si="4"/>
        <v>0</v>
      </c>
      <c r="AE64" s="9">
        <v>0</v>
      </c>
      <c r="AF64" s="9">
        <f t="shared" ca="1" si="28"/>
        <v>4</v>
      </c>
      <c r="AG64" s="694">
        <f t="shared" ca="1" si="6"/>
        <v>0.16666666666666666</v>
      </c>
      <c r="AH64" s="9">
        <f t="shared" ca="1" si="29"/>
        <v>1</v>
      </c>
    </row>
    <row r="65" spans="1:34">
      <c r="A65" s="686">
        <v>46199.833333333336</v>
      </c>
      <c r="C65" s="686">
        <f t="shared" ca="1" si="26"/>
        <v>46200.083333333336</v>
      </c>
      <c r="D65" s="686"/>
      <c r="E65" s="686"/>
      <c r="P65" s="9">
        <v>63</v>
      </c>
      <c r="Q65" s="9" t="s">
        <v>162</v>
      </c>
      <c r="R65" s="9">
        <f t="shared" ca="1" si="22"/>
        <v>1</v>
      </c>
      <c r="S65" s="694">
        <f t="shared" ca="1" si="22"/>
        <v>4.1666666666666664E-2</v>
      </c>
      <c r="T65" s="9">
        <f t="shared" ca="1" si="23"/>
        <v>0</v>
      </c>
      <c r="U65" s="9">
        <f t="shared" ca="1" si="24"/>
        <v>5</v>
      </c>
      <c r="V65" s="694">
        <f t="shared" ca="1" si="25"/>
        <v>0.20833333333333334</v>
      </c>
      <c r="W65" s="9">
        <f t="shared" ca="1" si="27"/>
        <v>1</v>
      </c>
      <c r="AA65" s="9">
        <v>63</v>
      </c>
      <c r="AB65" s="9" t="s">
        <v>162</v>
      </c>
      <c r="AC65" s="9">
        <v>1</v>
      </c>
      <c r="AD65" s="694">
        <f t="shared" si="4"/>
        <v>4.1666666666666664E-2</v>
      </c>
      <c r="AE65" s="9">
        <v>0</v>
      </c>
      <c r="AF65" s="9">
        <f t="shared" ca="1" si="28"/>
        <v>5</v>
      </c>
      <c r="AG65" s="694">
        <f t="shared" ca="1" si="6"/>
        <v>0.20833333333333334</v>
      </c>
      <c r="AH65" s="9">
        <f t="shared" ca="1" si="29"/>
        <v>1</v>
      </c>
    </row>
    <row r="66" spans="1:34">
      <c r="C66" s="686"/>
      <c r="E66" s="686"/>
      <c r="P66" s="9">
        <v>64</v>
      </c>
      <c r="Q66" s="9" t="s">
        <v>163</v>
      </c>
      <c r="R66" s="9">
        <f t="shared" ca="1" si="22"/>
        <v>2</v>
      </c>
      <c r="S66" s="694">
        <f t="shared" ca="1" si="22"/>
        <v>8.3333333333333329E-2</v>
      </c>
      <c r="T66" s="9">
        <f t="shared" ca="1" si="23"/>
        <v>0</v>
      </c>
      <c r="U66" s="9">
        <f t="shared" ca="1" si="24"/>
        <v>6</v>
      </c>
      <c r="V66" s="694">
        <f t="shared" ca="1" si="25"/>
        <v>0.25</v>
      </c>
      <c r="W66" s="9">
        <f t="shared" ca="1" si="27"/>
        <v>1</v>
      </c>
      <c r="AA66" s="9">
        <v>64</v>
      </c>
      <c r="AB66" s="9" t="s">
        <v>163</v>
      </c>
      <c r="AC66" s="9">
        <v>2</v>
      </c>
      <c r="AD66" s="694">
        <f t="shared" si="4"/>
        <v>8.3333333333333329E-2</v>
      </c>
      <c r="AE66" s="9">
        <v>0</v>
      </c>
      <c r="AF66" s="9">
        <f t="shared" ca="1" si="28"/>
        <v>6</v>
      </c>
      <c r="AG66" s="694">
        <f t="shared" ca="1" si="6"/>
        <v>0.25</v>
      </c>
      <c r="AH66" s="9">
        <f t="shared" ca="1" si="29"/>
        <v>1</v>
      </c>
    </row>
    <row r="67" spans="1:34">
      <c r="A67" s="5" t="s">
        <v>486</v>
      </c>
      <c r="C67" s="686"/>
      <c r="E67" s="686"/>
      <c r="P67" s="9">
        <v>65</v>
      </c>
      <c r="Q67" s="9" t="s">
        <v>164</v>
      </c>
      <c r="R67" s="9">
        <f t="shared" ca="1" si="22"/>
        <v>3</v>
      </c>
      <c r="S67" s="694">
        <f t="shared" ca="1" si="22"/>
        <v>0.125</v>
      </c>
      <c r="T67" s="9">
        <f t="shared" ca="1" si="23"/>
        <v>0</v>
      </c>
      <c r="U67" s="9">
        <f t="shared" ca="1" si="24"/>
        <v>7</v>
      </c>
      <c r="V67" s="694">
        <f t="shared" ca="1" si="25"/>
        <v>0.29166666666666669</v>
      </c>
      <c r="W67" s="9">
        <f t="shared" ca="1" si="27"/>
        <v>1</v>
      </c>
      <c r="AA67" s="9">
        <v>65</v>
      </c>
      <c r="AB67" s="9" t="s">
        <v>164</v>
      </c>
      <c r="AC67" s="9">
        <v>3</v>
      </c>
      <c r="AD67" s="694">
        <f t="shared" si="4"/>
        <v>0.125</v>
      </c>
      <c r="AE67" s="9">
        <v>0</v>
      </c>
      <c r="AF67" s="9">
        <f t="shared" ca="1" si="28"/>
        <v>7</v>
      </c>
      <c r="AG67" s="694">
        <f t="shared" ca="1" si="6"/>
        <v>0.29166666666666669</v>
      </c>
      <c r="AH67" s="9">
        <f t="shared" ca="1" si="29"/>
        <v>1</v>
      </c>
    </row>
    <row r="68" spans="1:34">
      <c r="A68" s="686">
        <v>46189.625</v>
      </c>
      <c r="C68" s="686">
        <f t="shared" ref="C68:C73" ca="1" si="30">A68+INDEX($V$3:$V$86,MATCH($C$3,$P$3:$P$86,0))*INDEX($W$3:$W$86,MATCH($C$3,$P$3:$P$86,0))</f>
        <v>46189.875</v>
      </c>
      <c r="D68" s="686"/>
      <c r="E68" s="686"/>
      <c r="P68" s="9">
        <v>66</v>
      </c>
      <c r="Q68" s="9" t="s">
        <v>355</v>
      </c>
      <c r="R68" s="9">
        <f t="shared" ca="1" si="22"/>
        <v>3.5</v>
      </c>
      <c r="S68" s="694">
        <f t="shared" ca="1" si="22"/>
        <v>0.14583333333333334</v>
      </c>
      <c r="T68" s="9">
        <f t="shared" ca="1" si="23"/>
        <v>0</v>
      </c>
      <c r="U68" s="9">
        <f t="shared" ca="1" si="24"/>
        <v>7.5</v>
      </c>
      <c r="V68" s="694">
        <f t="shared" ca="1" si="25"/>
        <v>0.3125</v>
      </c>
      <c r="W68" s="9">
        <f t="shared" ca="1" si="27"/>
        <v>1</v>
      </c>
      <c r="AA68" s="9">
        <v>66</v>
      </c>
      <c r="AB68" s="9" t="s">
        <v>355</v>
      </c>
      <c r="AC68" s="9">
        <v>3.5</v>
      </c>
      <c r="AD68" s="694">
        <f t="shared" ref="AD68:AD86" si="31">ABS(AC68/24)</f>
        <v>0.14583333333333334</v>
      </c>
      <c r="AE68" s="9">
        <v>0</v>
      </c>
      <c r="AF68" s="9">
        <f t="shared" ca="1" si="28"/>
        <v>7.5</v>
      </c>
      <c r="AG68" s="694">
        <f t="shared" ref="AG68:AG86" ca="1" si="32">ABS(AF68/24)</f>
        <v>0.3125</v>
      </c>
      <c r="AH68" s="9">
        <f t="shared" ca="1" si="29"/>
        <v>1</v>
      </c>
    </row>
    <row r="69" spans="1:34">
      <c r="A69" s="686">
        <v>46189.75</v>
      </c>
      <c r="C69" s="686">
        <f t="shared" ca="1" si="30"/>
        <v>46190</v>
      </c>
      <c r="D69" s="686"/>
      <c r="E69" s="686"/>
      <c r="P69" s="9">
        <v>67</v>
      </c>
      <c r="Q69" s="9" t="s">
        <v>165</v>
      </c>
      <c r="R69" s="9">
        <f t="shared" ca="1" si="22"/>
        <v>4</v>
      </c>
      <c r="S69" s="694">
        <f t="shared" ca="1" si="22"/>
        <v>0.16666666666666666</v>
      </c>
      <c r="T69" s="9">
        <f t="shared" ca="1" si="23"/>
        <v>0</v>
      </c>
      <c r="U69" s="9">
        <f t="shared" ca="1" si="24"/>
        <v>8</v>
      </c>
      <c r="V69" s="694">
        <f t="shared" ca="1" si="25"/>
        <v>0.33333333333333331</v>
      </c>
      <c r="W69" s="9">
        <f t="shared" ca="1" si="27"/>
        <v>1</v>
      </c>
      <c r="AA69" s="9">
        <v>67</v>
      </c>
      <c r="AB69" s="9" t="s">
        <v>165</v>
      </c>
      <c r="AC69" s="9">
        <v>4</v>
      </c>
      <c r="AD69" s="694">
        <f t="shared" si="31"/>
        <v>0.16666666666666666</v>
      </c>
      <c r="AE69" s="9">
        <v>0</v>
      </c>
      <c r="AF69" s="9">
        <f t="shared" ca="1" si="28"/>
        <v>8</v>
      </c>
      <c r="AG69" s="694">
        <f t="shared" ca="1" si="32"/>
        <v>0.33333333333333331</v>
      </c>
      <c r="AH69" s="9">
        <f t="shared" ca="1" si="29"/>
        <v>1</v>
      </c>
    </row>
    <row r="70" spans="1:34">
      <c r="A70" s="686">
        <v>46195.708333333336</v>
      </c>
      <c r="C70" s="686">
        <f t="shared" ca="1" si="30"/>
        <v>46195.958333333336</v>
      </c>
      <c r="D70" s="686"/>
      <c r="E70" s="686"/>
      <c r="P70" s="9">
        <v>68</v>
      </c>
      <c r="Q70" s="9" t="s">
        <v>356</v>
      </c>
      <c r="R70" s="9">
        <f t="shared" ca="1" si="22"/>
        <v>4.5</v>
      </c>
      <c r="S70" s="694">
        <f t="shared" ca="1" si="22"/>
        <v>0.1875</v>
      </c>
      <c r="T70" s="9">
        <f t="shared" ca="1" si="23"/>
        <v>0</v>
      </c>
      <c r="U70" s="9">
        <f t="shared" ca="1" si="24"/>
        <v>8.5</v>
      </c>
      <c r="V70" s="694">
        <f t="shared" ca="1" si="25"/>
        <v>0.35416666666666669</v>
      </c>
      <c r="W70" s="9">
        <f t="shared" ca="1" si="27"/>
        <v>1</v>
      </c>
      <c r="AA70" s="9">
        <v>68</v>
      </c>
      <c r="AB70" s="9" t="s">
        <v>356</v>
      </c>
      <c r="AC70" s="9">
        <v>4.5</v>
      </c>
      <c r="AD70" s="694">
        <f t="shared" si="31"/>
        <v>0.1875</v>
      </c>
      <c r="AE70" s="9">
        <v>0</v>
      </c>
      <c r="AF70" s="9">
        <f t="shared" ca="1" si="28"/>
        <v>8.5</v>
      </c>
      <c r="AG70" s="694">
        <f t="shared" ca="1" si="32"/>
        <v>0.35416666666666669</v>
      </c>
      <c r="AH70" s="9">
        <f t="shared" ca="1" si="29"/>
        <v>1</v>
      </c>
    </row>
    <row r="71" spans="1:34">
      <c r="A71" s="686">
        <v>46195.833333333336</v>
      </c>
      <c r="C71" s="686">
        <f t="shared" ca="1" si="30"/>
        <v>46196.083333333336</v>
      </c>
      <c r="D71" s="686"/>
      <c r="E71" s="686"/>
      <c r="P71" s="9">
        <v>69</v>
      </c>
      <c r="Q71" s="9" t="s">
        <v>166</v>
      </c>
      <c r="R71" s="9">
        <f t="shared" ca="1" si="22"/>
        <v>5</v>
      </c>
      <c r="S71" s="694">
        <f t="shared" ca="1" si="22"/>
        <v>0.20833333333333334</v>
      </c>
      <c r="T71" s="9">
        <f t="shared" ca="1" si="23"/>
        <v>0</v>
      </c>
      <c r="U71" s="9">
        <f t="shared" ca="1" si="24"/>
        <v>9</v>
      </c>
      <c r="V71" s="694">
        <f t="shared" ca="1" si="25"/>
        <v>0.375</v>
      </c>
      <c r="W71" s="9">
        <f t="shared" ca="1" si="27"/>
        <v>1</v>
      </c>
      <c r="AA71" s="9">
        <v>69</v>
      </c>
      <c r="AB71" s="9" t="s">
        <v>166</v>
      </c>
      <c r="AC71" s="9">
        <v>5</v>
      </c>
      <c r="AD71" s="694">
        <f t="shared" si="31"/>
        <v>0.20833333333333334</v>
      </c>
      <c r="AE71" s="9">
        <v>0</v>
      </c>
      <c r="AF71" s="9">
        <f t="shared" ca="1" si="28"/>
        <v>9</v>
      </c>
      <c r="AG71" s="694">
        <f t="shared" ca="1" si="32"/>
        <v>0.375</v>
      </c>
      <c r="AH71" s="9">
        <f t="shared" ca="1" si="29"/>
        <v>1</v>
      </c>
    </row>
    <row r="72" spans="1:34">
      <c r="A72" s="686">
        <v>46199.625</v>
      </c>
      <c r="C72" s="686">
        <f t="shared" ca="1" si="30"/>
        <v>46199.875</v>
      </c>
      <c r="D72" s="686"/>
      <c r="E72" s="686"/>
      <c r="P72" s="9">
        <v>70</v>
      </c>
      <c r="Q72" s="9" t="s">
        <v>357</v>
      </c>
      <c r="R72" s="9">
        <f t="shared" ca="1" si="22"/>
        <v>5.5</v>
      </c>
      <c r="S72" s="694">
        <f t="shared" ca="1" si="22"/>
        <v>0.22916666666666666</v>
      </c>
      <c r="T72" s="9">
        <f t="shared" ca="1" si="23"/>
        <v>0</v>
      </c>
      <c r="U72" s="9">
        <f t="shared" ca="1" si="24"/>
        <v>9.5</v>
      </c>
      <c r="V72" s="694">
        <f t="shared" ca="1" si="25"/>
        <v>0.39583333333333331</v>
      </c>
      <c r="W72" s="9">
        <f t="shared" ca="1" si="27"/>
        <v>1</v>
      </c>
      <c r="AA72" s="9">
        <v>70</v>
      </c>
      <c r="AB72" s="9" t="s">
        <v>357</v>
      </c>
      <c r="AC72" s="9">
        <v>5.5</v>
      </c>
      <c r="AD72" s="694">
        <f t="shared" si="31"/>
        <v>0.22916666666666666</v>
      </c>
      <c r="AE72" s="9">
        <v>0</v>
      </c>
      <c r="AF72" s="9">
        <f t="shared" ca="1" si="28"/>
        <v>9.5</v>
      </c>
      <c r="AG72" s="694">
        <f t="shared" ca="1" si="32"/>
        <v>0.39583333333333331</v>
      </c>
      <c r="AH72" s="9">
        <f t="shared" ca="1" si="29"/>
        <v>1</v>
      </c>
    </row>
    <row r="73" spans="1:34">
      <c r="A73" s="686">
        <v>46199.625</v>
      </c>
      <c r="C73" s="686">
        <f t="shared" ca="1" si="30"/>
        <v>46199.875</v>
      </c>
      <c r="D73" s="686"/>
      <c r="E73" s="686"/>
      <c r="P73" s="9">
        <v>71</v>
      </c>
      <c r="Q73" s="9" t="s">
        <v>358</v>
      </c>
      <c r="R73" s="9">
        <f t="shared" ca="1" si="22"/>
        <v>5.75</v>
      </c>
      <c r="S73" s="694">
        <f t="shared" ca="1" si="22"/>
        <v>0.23958333333333334</v>
      </c>
      <c r="T73" s="9">
        <f t="shared" ca="1" si="23"/>
        <v>0</v>
      </c>
      <c r="U73" s="9">
        <f t="shared" ca="1" si="24"/>
        <v>9.75</v>
      </c>
      <c r="V73" s="694">
        <f t="shared" ca="1" si="25"/>
        <v>0.40625</v>
      </c>
      <c r="W73" s="9">
        <f t="shared" ca="1" si="27"/>
        <v>1</v>
      </c>
      <c r="AA73" s="9">
        <v>71</v>
      </c>
      <c r="AB73" s="9" t="s">
        <v>358</v>
      </c>
      <c r="AC73" s="9">
        <v>5.75</v>
      </c>
      <c r="AD73" s="694">
        <f t="shared" si="31"/>
        <v>0.23958333333333334</v>
      </c>
      <c r="AE73" s="9">
        <v>0</v>
      </c>
      <c r="AF73" s="9">
        <f t="shared" ca="1" si="28"/>
        <v>9.75</v>
      </c>
      <c r="AG73" s="694">
        <f t="shared" ca="1" si="32"/>
        <v>0.40625</v>
      </c>
      <c r="AH73" s="9">
        <f t="shared" ca="1" si="29"/>
        <v>1</v>
      </c>
    </row>
    <row r="74" spans="1:34">
      <c r="C74" s="686"/>
      <c r="E74" s="686"/>
      <c r="P74" s="9">
        <v>72</v>
      </c>
      <c r="Q74" s="9" t="s">
        <v>167</v>
      </c>
      <c r="R74" s="9">
        <f t="shared" ca="1" si="22"/>
        <v>6</v>
      </c>
      <c r="S74" s="694">
        <f t="shared" ca="1" si="22"/>
        <v>0.25</v>
      </c>
      <c r="T74" s="9">
        <f t="shared" ca="1" si="23"/>
        <v>0</v>
      </c>
      <c r="U74" s="9">
        <f t="shared" ca="1" si="24"/>
        <v>10</v>
      </c>
      <c r="V74" s="694">
        <f t="shared" ca="1" si="25"/>
        <v>0.41666666666666669</v>
      </c>
      <c r="W74" s="9">
        <f t="shared" ca="1" si="27"/>
        <v>1</v>
      </c>
      <c r="AA74" s="9">
        <v>72</v>
      </c>
      <c r="AB74" s="9" t="s">
        <v>167</v>
      </c>
      <c r="AC74" s="9">
        <v>6</v>
      </c>
      <c r="AD74" s="694">
        <f t="shared" si="31"/>
        <v>0.25</v>
      </c>
      <c r="AE74" s="9">
        <v>0</v>
      </c>
      <c r="AF74" s="9">
        <f t="shared" ca="1" si="28"/>
        <v>10</v>
      </c>
      <c r="AG74" s="694">
        <f t="shared" ca="1" si="32"/>
        <v>0.41666666666666669</v>
      </c>
      <c r="AH74" s="9">
        <f t="shared" ca="1" si="29"/>
        <v>1</v>
      </c>
    </row>
    <row r="75" spans="1:34">
      <c r="A75" s="5" t="s">
        <v>487</v>
      </c>
      <c r="C75" s="686"/>
      <c r="E75" s="686"/>
      <c r="P75" s="9">
        <v>73</v>
      </c>
      <c r="Q75" s="9" t="s">
        <v>359</v>
      </c>
      <c r="R75" s="9">
        <f t="shared" ca="1" si="22"/>
        <v>6.5</v>
      </c>
      <c r="S75" s="694">
        <f t="shared" ca="1" si="22"/>
        <v>0.27083333333333331</v>
      </c>
      <c r="T75" s="9">
        <f t="shared" ca="1" si="23"/>
        <v>0</v>
      </c>
      <c r="U75" s="9">
        <f t="shared" ca="1" si="24"/>
        <v>10.5</v>
      </c>
      <c r="V75" s="694">
        <f t="shared" ca="1" si="25"/>
        <v>0.4375</v>
      </c>
      <c r="W75" s="9">
        <f t="shared" ca="1" si="27"/>
        <v>1</v>
      </c>
      <c r="AA75" s="9">
        <v>73</v>
      </c>
      <c r="AB75" s="9" t="s">
        <v>359</v>
      </c>
      <c r="AC75" s="9">
        <v>6.5</v>
      </c>
      <c r="AD75" s="694">
        <f t="shared" si="31"/>
        <v>0.27083333333333331</v>
      </c>
      <c r="AE75" s="9">
        <v>0</v>
      </c>
      <c r="AF75" s="9">
        <f t="shared" ca="1" si="28"/>
        <v>10.5</v>
      </c>
      <c r="AG75" s="694">
        <f t="shared" ca="1" si="32"/>
        <v>0.4375</v>
      </c>
      <c r="AH75" s="9">
        <f t="shared" ca="1" si="29"/>
        <v>1</v>
      </c>
    </row>
    <row r="76" spans="1:34">
      <c r="A76" s="686">
        <v>46189.875</v>
      </c>
      <c r="C76" s="686">
        <f t="shared" ref="C76:C81" ca="1" si="33">A76+INDEX($V$3:$V$86,MATCH($C$3,$P$3:$P$86,0))*INDEX($W$3:$W$86,MATCH($C$3,$P$3:$P$86,0))</f>
        <v>46190.125</v>
      </c>
      <c r="D76" s="686"/>
      <c r="E76" s="686"/>
      <c r="P76" s="9">
        <v>74</v>
      </c>
      <c r="Q76" s="9" t="s">
        <v>168</v>
      </c>
      <c r="R76" s="9">
        <f t="shared" ca="1" si="22"/>
        <v>7</v>
      </c>
      <c r="S76" s="694">
        <f t="shared" ca="1" si="22"/>
        <v>0.29166666666666669</v>
      </c>
      <c r="T76" s="9">
        <f t="shared" ca="1" si="23"/>
        <v>0</v>
      </c>
      <c r="U76" s="9">
        <f t="shared" ca="1" si="24"/>
        <v>11</v>
      </c>
      <c r="V76" s="694">
        <f t="shared" ca="1" si="25"/>
        <v>0.45833333333333331</v>
      </c>
      <c r="W76" s="9">
        <f t="shared" ca="1" si="27"/>
        <v>1</v>
      </c>
      <c r="AA76" s="9">
        <v>74</v>
      </c>
      <c r="AB76" s="9" t="s">
        <v>168</v>
      </c>
      <c r="AC76" s="9">
        <v>7</v>
      </c>
      <c r="AD76" s="694">
        <f t="shared" si="31"/>
        <v>0.29166666666666669</v>
      </c>
      <c r="AE76" s="9">
        <v>0</v>
      </c>
      <c r="AF76" s="9">
        <f t="shared" ca="1" si="28"/>
        <v>11</v>
      </c>
      <c r="AG76" s="694">
        <f t="shared" ca="1" si="32"/>
        <v>0.45833333333333331</v>
      </c>
      <c r="AH76" s="9">
        <f t="shared" ca="1" si="29"/>
        <v>1</v>
      </c>
    </row>
    <row r="77" spans="1:34">
      <c r="A77" s="686">
        <v>46190</v>
      </c>
      <c r="C77" s="686">
        <f t="shared" ca="1" si="33"/>
        <v>46190.25</v>
      </c>
      <c r="D77" s="686"/>
      <c r="E77" s="686"/>
      <c r="P77" s="9">
        <v>75</v>
      </c>
      <c r="Q77" s="9" t="s">
        <v>169</v>
      </c>
      <c r="R77" s="9">
        <f t="shared" ca="1" si="22"/>
        <v>8</v>
      </c>
      <c r="S77" s="694">
        <f t="shared" ca="1" si="22"/>
        <v>0.33333333333333331</v>
      </c>
      <c r="T77" s="9">
        <f t="shared" ca="1" si="23"/>
        <v>0</v>
      </c>
      <c r="U77" s="9">
        <f t="shared" ca="1" si="24"/>
        <v>12</v>
      </c>
      <c r="V77" s="694">
        <f t="shared" ca="1" si="25"/>
        <v>0.5</v>
      </c>
      <c r="W77" s="9">
        <f t="shared" ca="1" si="27"/>
        <v>1</v>
      </c>
      <c r="AA77" s="9">
        <v>75</v>
      </c>
      <c r="AB77" s="9" t="s">
        <v>169</v>
      </c>
      <c r="AC77" s="9">
        <v>8</v>
      </c>
      <c r="AD77" s="694">
        <f t="shared" si="31"/>
        <v>0.33333333333333331</v>
      </c>
      <c r="AE77" s="9">
        <v>0</v>
      </c>
      <c r="AF77" s="9">
        <f t="shared" ca="1" si="28"/>
        <v>12</v>
      </c>
      <c r="AG77" s="694">
        <f t="shared" ca="1" si="32"/>
        <v>0.5</v>
      </c>
      <c r="AH77" s="9">
        <f t="shared" ca="1" si="29"/>
        <v>1</v>
      </c>
    </row>
    <row r="78" spans="1:34">
      <c r="A78" s="686">
        <v>46195.541666666664</v>
      </c>
      <c r="C78" s="686">
        <f t="shared" ca="1" si="33"/>
        <v>46195.791666666664</v>
      </c>
      <c r="D78" s="686"/>
      <c r="E78" s="686"/>
      <c r="P78" s="9">
        <v>76</v>
      </c>
      <c r="Q78" s="9" t="s">
        <v>170</v>
      </c>
      <c r="R78" s="9">
        <f t="shared" ca="1" si="22"/>
        <v>9</v>
      </c>
      <c r="S78" s="694">
        <f t="shared" ca="1" si="22"/>
        <v>0.375</v>
      </c>
      <c r="T78" s="9">
        <f t="shared" ca="1" si="23"/>
        <v>0</v>
      </c>
      <c r="U78" s="9">
        <f t="shared" ca="1" si="24"/>
        <v>13</v>
      </c>
      <c r="V78" s="694">
        <f t="shared" ca="1" si="25"/>
        <v>0.54166666666666663</v>
      </c>
      <c r="W78" s="9">
        <f t="shared" ca="1" si="27"/>
        <v>1</v>
      </c>
      <c r="AA78" s="9">
        <v>76</v>
      </c>
      <c r="AB78" s="9" t="s">
        <v>170</v>
      </c>
      <c r="AC78" s="9">
        <v>9</v>
      </c>
      <c r="AD78" s="694">
        <f t="shared" si="31"/>
        <v>0.375</v>
      </c>
      <c r="AE78" s="9">
        <v>0</v>
      </c>
      <c r="AF78" s="9">
        <f t="shared" ca="1" si="28"/>
        <v>13</v>
      </c>
      <c r="AG78" s="694">
        <f t="shared" ca="1" si="32"/>
        <v>0.54166666666666663</v>
      </c>
      <c r="AH78" s="9">
        <f t="shared" ca="1" si="29"/>
        <v>1</v>
      </c>
    </row>
    <row r="79" spans="1:34">
      <c r="A79" s="686">
        <v>46195.958333333336</v>
      </c>
      <c r="C79" s="686">
        <f t="shared" ca="1" si="33"/>
        <v>46196.208333333336</v>
      </c>
      <c r="D79" s="686"/>
      <c r="E79" s="686"/>
      <c r="P79" s="9">
        <v>77</v>
      </c>
      <c r="Q79" s="9" t="s">
        <v>360</v>
      </c>
      <c r="R79" s="9">
        <f t="shared" ca="1" si="22"/>
        <v>9.5</v>
      </c>
      <c r="S79" s="694">
        <f t="shared" ca="1" si="22"/>
        <v>0.39583333333333331</v>
      </c>
      <c r="T79" s="9">
        <f t="shared" ca="1" si="23"/>
        <v>0</v>
      </c>
      <c r="U79" s="9">
        <f t="shared" ca="1" si="24"/>
        <v>13.5</v>
      </c>
      <c r="V79" s="694">
        <f t="shared" ca="1" si="25"/>
        <v>0.5625</v>
      </c>
      <c r="W79" s="9">
        <f t="shared" ca="1" si="27"/>
        <v>1</v>
      </c>
      <c r="AA79" s="9">
        <v>77</v>
      </c>
      <c r="AB79" s="9" t="s">
        <v>360</v>
      </c>
      <c r="AC79" s="9">
        <v>9.5</v>
      </c>
      <c r="AD79" s="694">
        <f t="shared" si="31"/>
        <v>0.39583333333333331</v>
      </c>
      <c r="AE79" s="9">
        <v>0</v>
      </c>
      <c r="AF79" s="9">
        <f t="shared" ca="1" si="28"/>
        <v>13.5</v>
      </c>
      <c r="AG79" s="694">
        <f t="shared" ca="1" si="32"/>
        <v>0.5625</v>
      </c>
      <c r="AH79" s="9">
        <f t="shared" ca="1" si="29"/>
        <v>1</v>
      </c>
    </row>
    <row r="80" spans="1:34">
      <c r="A80" s="686">
        <v>46200.916666666664</v>
      </c>
      <c r="C80" s="686">
        <f t="shared" ca="1" si="33"/>
        <v>46201.166666666664</v>
      </c>
      <c r="D80" s="686"/>
      <c r="E80" s="686"/>
      <c r="P80" s="9">
        <v>78</v>
      </c>
      <c r="Q80" s="9" t="s">
        <v>171</v>
      </c>
      <c r="R80" s="9">
        <f t="shared" ca="1" si="22"/>
        <v>10</v>
      </c>
      <c r="S80" s="694">
        <f t="shared" ca="1" si="22"/>
        <v>0.41666666666666669</v>
      </c>
      <c r="T80" s="9">
        <f t="shared" ca="1" si="23"/>
        <v>0</v>
      </c>
      <c r="U80" s="9">
        <f t="shared" ca="1" si="24"/>
        <v>14</v>
      </c>
      <c r="V80" s="694">
        <f t="shared" ca="1" si="25"/>
        <v>0.58333333333333337</v>
      </c>
      <c r="W80" s="9">
        <f t="shared" ca="1" si="27"/>
        <v>1</v>
      </c>
      <c r="AA80" s="9">
        <v>78</v>
      </c>
      <c r="AB80" s="9" t="s">
        <v>171</v>
      </c>
      <c r="AC80" s="9">
        <v>10</v>
      </c>
      <c r="AD80" s="694">
        <f t="shared" si="31"/>
        <v>0.41666666666666669</v>
      </c>
      <c r="AE80" s="9">
        <v>0</v>
      </c>
      <c r="AF80" s="9">
        <f t="shared" ca="1" si="28"/>
        <v>14</v>
      </c>
      <c r="AG80" s="694">
        <f t="shared" ca="1" si="32"/>
        <v>0.58333333333333337</v>
      </c>
      <c r="AH80" s="9">
        <f t="shared" ca="1" si="29"/>
        <v>1</v>
      </c>
    </row>
    <row r="81" spans="1:34">
      <c r="A81" s="686">
        <v>46200.916666666664</v>
      </c>
      <c r="C81" s="686">
        <f t="shared" ca="1" si="33"/>
        <v>46201.166666666664</v>
      </c>
      <c r="D81" s="686"/>
      <c r="E81" s="686"/>
      <c r="P81" s="9">
        <v>79</v>
      </c>
      <c r="Q81" s="9" t="s">
        <v>361</v>
      </c>
      <c r="R81" s="9">
        <f t="shared" ca="1" si="22"/>
        <v>10.5</v>
      </c>
      <c r="S81" s="694">
        <f t="shared" ca="1" si="22"/>
        <v>0.4375</v>
      </c>
      <c r="T81" s="9">
        <f t="shared" ca="1" si="23"/>
        <v>0</v>
      </c>
      <c r="U81" s="9">
        <f t="shared" ca="1" si="24"/>
        <v>14.5</v>
      </c>
      <c r="V81" s="694">
        <f t="shared" ca="1" si="25"/>
        <v>0.60416666666666663</v>
      </c>
      <c r="W81" s="9">
        <f t="shared" ca="1" si="27"/>
        <v>1</v>
      </c>
      <c r="AA81" s="9">
        <v>79</v>
      </c>
      <c r="AB81" s="9" t="s">
        <v>361</v>
      </c>
      <c r="AC81" s="9">
        <v>10.5</v>
      </c>
      <c r="AD81" s="694">
        <f t="shared" si="31"/>
        <v>0.4375</v>
      </c>
      <c r="AE81" s="9">
        <v>0</v>
      </c>
      <c r="AF81" s="9">
        <f t="shared" ca="1" si="28"/>
        <v>14.5</v>
      </c>
      <c r="AG81" s="694">
        <f t="shared" ca="1" si="32"/>
        <v>0.60416666666666663</v>
      </c>
      <c r="AH81" s="9">
        <f t="shared" ca="1" si="29"/>
        <v>1</v>
      </c>
    </row>
    <row r="82" spans="1:34">
      <c r="C82" s="686"/>
      <c r="E82" s="686"/>
      <c r="P82" s="9">
        <v>80</v>
      </c>
      <c r="Q82" s="9" t="s">
        <v>172</v>
      </c>
      <c r="R82" s="9">
        <f t="shared" ca="1" si="22"/>
        <v>11</v>
      </c>
      <c r="S82" s="694">
        <f t="shared" ca="1" si="22"/>
        <v>0.45833333333333331</v>
      </c>
      <c r="T82" s="9">
        <f t="shared" ca="1" si="23"/>
        <v>0</v>
      </c>
      <c r="U82" s="9">
        <f t="shared" ca="1" si="24"/>
        <v>15</v>
      </c>
      <c r="V82" s="694">
        <f t="shared" ca="1" si="25"/>
        <v>0.625</v>
      </c>
      <c r="W82" s="9">
        <f t="shared" ca="1" si="27"/>
        <v>1</v>
      </c>
      <c r="AA82" s="9">
        <v>80</v>
      </c>
      <c r="AB82" s="9" t="s">
        <v>172</v>
      </c>
      <c r="AC82" s="9">
        <v>11</v>
      </c>
      <c r="AD82" s="694">
        <f t="shared" si="31"/>
        <v>0.45833333333333331</v>
      </c>
      <c r="AE82" s="9">
        <v>0</v>
      </c>
      <c r="AF82" s="9">
        <f t="shared" ca="1" si="28"/>
        <v>15</v>
      </c>
      <c r="AG82" s="694">
        <f t="shared" ca="1" si="32"/>
        <v>0.625</v>
      </c>
      <c r="AH82" s="9">
        <f t="shared" ca="1" si="29"/>
        <v>1</v>
      </c>
    </row>
    <row r="83" spans="1:34">
      <c r="A83" s="5" t="s">
        <v>488</v>
      </c>
      <c r="C83" s="686"/>
      <c r="E83" s="686"/>
      <c r="P83" s="9">
        <v>81</v>
      </c>
      <c r="Q83" s="9" t="s">
        <v>173</v>
      </c>
      <c r="R83" s="9">
        <f t="shared" ca="1" si="22"/>
        <v>12</v>
      </c>
      <c r="S83" s="694">
        <f t="shared" ca="1" si="22"/>
        <v>0.5</v>
      </c>
      <c r="T83" s="9">
        <f t="shared" ca="1" si="23"/>
        <v>0</v>
      </c>
      <c r="U83" s="9">
        <f t="shared" ca="1" si="24"/>
        <v>16</v>
      </c>
      <c r="V83" s="694">
        <f t="shared" ca="1" si="25"/>
        <v>0.66666666666666663</v>
      </c>
      <c r="W83" s="9">
        <f t="shared" ca="1" si="27"/>
        <v>1</v>
      </c>
      <c r="AA83" s="9">
        <v>81</v>
      </c>
      <c r="AB83" s="9" t="s">
        <v>173</v>
      </c>
      <c r="AC83" s="9">
        <v>12</v>
      </c>
      <c r="AD83" s="694">
        <f t="shared" si="31"/>
        <v>0.5</v>
      </c>
      <c r="AE83" s="9">
        <v>0</v>
      </c>
      <c r="AF83" s="9">
        <f t="shared" ca="1" si="28"/>
        <v>16</v>
      </c>
      <c r="AG83" s="694">
        <f t="shared" ca="1" si="32"/>
        <v>0.66666666666666663</v>
      </c>
      <c r="AH83" s="9">
        <f t="shared" ca="1" si="29"/>
        <v>1</v>
      </c>
    </row>
    <row r="84" spans="1:34">
      <c r="A84" s="686">
        <v>46190.541666666664</v>
      </c>
      <c r="C84" s="686">
        <f t="shared" ref="C84:C89" ca="1" si="34">A84+INDEX($V$3:$V$86,MATCH($C$3,$P$3:$P$86,0))*INDEX($W$3:$W$86,MATCH($C$3,$P$3:$P$86,0))</f>
        <v>46190.791666666664</v>
      </c>
      <c r="D84" s="686"/>
      <c r="E84" s="686"/>
      <c r="P84" s="9">
        <v>82</v>
      </c>
      <c r="Q84" s="9" t="s">
        <v>362</v>
      </c>
      <c r="R84" s="9">
        <f t="shared" ca="1" si="22"/>
        <v>12.75</v>
      </c>
      <c r="S84" s="694">
        <f t="shared" ca="1" si="22"/>
        <v>0.53125</v>
      </c>
      <c r="T84" s="9">
        <f t="shared" ca="1" si="23"/>
        <v>0</v>
      </c>
      <c r="U84" s="9">
        <f t="shared" ca="1" si="24"/>
        <v>16.75</v>
      </c>
      <c r="V84" s="694">
        <f t="shared" ca="1" si="25"/>
        <v>0.69791666666666663</v>
      </c>
      <c r="W84" s="9">
        <f t="shared" ca="1" si="27"/>
        <v>1</v>
      </c>
      <c r="AA84" s="9">
        <v>82</v>
      </c>
      <c r="AB84" s="9" t="s">
        <v>362</v>
      </c>
      <c r="AC84" s="9">
        <v>12.75</v>
      </c>
      <c r="AD84" s="694">
        <f t="shared" si="31"/>
        <v>0.53125</v>
      </c>
      <c r="AE84" s="9">
        <v>0</v>
      </c>
      <c r="AF84" s="9">
        <f t="shared" ca="1" si="28"/>
        <v>16.75</v>
      </c>
      <c r="AG84" s="694">
        <f t="shared" ca="1" si="32"/>
        <v>0.69791666666666663</v>
      </c>
      <c r="AH84" s="9">
        <f t="shared" ca="1" si="29"/>
        <v>1</v>
      </c>
    </row>
    <row r="85" spans="1:34">
      <c r="A85" s="686">
        <v>46190.916666666664</v>
      </c>
      <c r="C85" s="686">
        <f t="shared" ca="1" si="34"/>
        <v>46191.166666666664</v>
      </c>
      <c r="D85" s="686"/>
      <c r="E85" s="686"/>
      <c r="P85" s="9">
        <v>83</v>
      </c>
      <c r="Q85" s="9" t="s">
        <v>363</v>
      </c>
      <c r="R85" s="9">
        <f t="shared" ca="1" si="22"/>
        <v>13</v>
      </c>
      <c r="S85" s="694">
        <f t="shared" ca="1" si="22"/>
        <v>0.54166666666666663</v>
      </c>
      <c r="T85" s="9">
        <f t="shared" ca="1" si="23"/>
        <v>0</v>
      </c>
      <c r="U85" s="9">
        <f t="shared" ca="1" si="24"/>
        <v>17</v>
      </c>
      <c r="V85" s="694">
        <f t="shared" ca="1" si="25"/>
        <v>0.70833333333333337</v>
      </c>
      <c r="W85" s="9">
        <f t="shared" ca="1" si="27"/>
        <v>1</v>
      </c>
      <c r="AA85" s="9">
        <v>83</v>
      </c>
      <c r="AB85" s="9" t="s">
        <v>363</v>
      </c>
      <c r="AC85" s="9">
        <v>13</v>
      </c>
      <c r="AD85" s="694">
        <f t="shared" si="31"/>
        <v>0.54166666666666663</v>
      </c>
      <c r="AE85" s="9">
        <v>0</v>
      </c>
      <c r="AF85" s="9">
        <f t="shared" ca="1" si="28"/>
        <v>17</v>
      </c>
      <c r="AG85" s="694">
        <f t="shared" ca="1" si="32"/>
        <v>0.70833333333333337</v>
      </c>
      <c r="AH85" s="9">
        <f t="shared" ca="1" si="29"/>
        <v>1</v>
      </c>
    </row>
    <row r="86" spans="1:34">
      <c r="A86" s="686">
        <v>46196.541666666664</v>
      </c>
      <c r="C86" s="686">
        <f t="shared" ca="1" si="34"/>
        <v>46196.791666666664</v>
      </c>
      <c r="D86" s="686"/>
      <c r="E86" s="686"/>
      <c r="P86" s="9">
        <v>84</v>
      </c>
      <c r="Q86" s="9" t="s">
        <v>364</v>
      </c>
      <c r="R86" s="9">
        <f t="shared" ca="1" si="22"/>
        <v>14</v>
      </c>
      <c r="S86" s="694">
        <f t="shared" ca="1" si="22"/>
        <v>0.58333333333333337</v>
      </c>
      <c r="T86" s="9">
        <f t="shared" ca="1" si="23"/>
        <v>0</v>
      </c>
      <c r="U86" s="9">
        <f t="shared" ca="1" si="24"/>
        <v>18</v>
      </c>
      <c r="V86" s="694">
        <f t="shared" ca="1" si="25"/>
        <v>0.75</v>
      </c>
      <c r="W86" s="9">
        <f t="shared" ca="1" si="27"/>
        <v>1</v>
      </c>
      <c r="AA86" s="9">
        <v>84</v>
      </c>
      <c r="AB86" s="9" t="s">
        <v>364</v>
      </c>
      <c r="AC86" s="9">
        <v>14</v>
      </c>
      <c r="AD86" s="694">
        <f t="shared" si="31"/>
        <v>0.58333333333333337</v>
      </c>
      <c r="AE86" s="9">
        <v>0</v>
      </c>
      <c r="AF86" s="9">
        <f t="shared" ca="1" si="28"/>
        <v>18</v>
      </c>
      <c r="AG86" s="694">
        <f t="shared" ca="1" si="32"/>
        <v>0.75</v>
      </c>
      <c r="AH86" s="9">
        <f t="shared" ca="1" si="29"/>
        <v>1</v>
      </c>
    </row>
    <row r="87" spans="1:34">
      <c r="A87" s="686">
        <v>46196.916666666664</v>
      </c>
      <c r="C87" s="686">
        <f t="shared" ca="1" si="34"/>
        <v>46197.166666666664</v>
      </c>
    </row>
    <row r="88" spans="1:34">
      <c r="A88" s="686">
        <v>46200.8125</v>
      </c>
      <c r="C88" s="686">
        <f t="shared" ca="1" si="34"/>
        <v>46201.0625</v>
      </c>
    </row>
    <row r="89" spans="1:34">
      <c r="A89" s="686">
        <v>46200.8125</v>
      </c>
      <c r="C89" s="686">
        <f t="shared" ca="1" si="34"/>
        <v>46201.0625</v>
      </c>
    </row>
    <row r="90" spans="1:34">
      <c r="C90" s="686"/>
    </row>
    <row r="91" spans="1:34">
      <c r="A91" s="5" t="s">
        <v>489</v>
      </c>
      <c r="C91" s="686"/>
    </row>
    <row r="92" spans="1:34">
      <c r="A92" s="686">
        <v>46190.666666666664</v>
      </c>
      <c r="C92" s="686">
        <f t="shared" ref="C92:C97" ca="1" si="35">A92+INDEX($V$3:$V$86,MATCH($C$3,$P$3:$P$86,0))*INDEX($W$3:$W$86,MATCH($C$3,$P$3:$P$86,0))</f>
        <v>46190.916666666664</v>
      </c>
    </row>
    <row r="93" spans="1:34">
      <c r="A93" s="686">
        <v>46190.791666666664</v>
      </c>
      <c r="C93" s="686">
        <f t="shared" ca="1" si="35"/>
        <v>46191.041666666664</v>
      </c>
    </row>
    <row r="94" spans="1:34">
      <c r="A94" s="686">
        <v>46196.666666666664</v>
      </c>
      <c r="C94" s="686">
        <f t="shared" ca="1" si="35"/>
        <v>46196.916666666664</v>
      </c>
    </row>
    <row r="95" spans="1:34">
      <c r="A95" s="686">
        <v>46196.791666666664</v>
      </c>
      <c r="C95" s="686">
        <f t="shared" ca="1" si="35"/>
        <v>46197.041666666664</v>
      </c>
    </row>
    <row r="96" spans="1:34">
      <c r="A96" s="686">
        <v>46200.708333333336</v>
      </c>
      <c r="C96" s="686">
        <f t="shared" ca="1" si="35"/>
        <v>46200.958333333336</v>
      </c>
    </row>
    <row r="97" spans="1:3">
      <c r="A97" s="686">
        <v>46200.708333333336</v>
      </c>
      <c r="C97" s="686">
        <f t="shared" ca="1" si="35"/>
        <v>46200.958333333336</v>
      </c>
    </row>
    <row r="100" spans="1:3">
      <c r="A100" s="695" t="s">
        <v>490</v>
      </c>
      <c r="C100" s="686"/>
    </row>
    <row r="101" spans="1:3">
      <c r="A101" s="686">
        <v>46201.625</v>
      </c>
      <c r="C101" s="686">
        <f t="shared" ref="C101:C116" ca="1" si="36">A101+INDEX($V$3:$V$86,MATCH($C$3,$P$3:$P$86,0))*INDEX($W$3:$W$86,MATCH($C$3,$P$3:$P$86,0))</f>
        <v>46201.875</v>
      </c>
    </row>
    <row r="102" spans="1:3">
      <c r="A102" s="686">
        <v>46202.541666666664</v>
      </c>
      <c r="C102" s="686">
        <f t="shared" ca="1" si="36"/>
        <v>46202.791666666664</v>
      </c>
    </row>
    <row r="103" spans="1:3">
      <c r="A103" s="686">
        <v>46202.6875</v>
      </c>
      <c r="C103" s="686">
        <f t="shared" ca="1" si="36"/>
        <v>46202.9375</v>
      </c>
    </row>
    <row r="104" spans="1:3">
      <c r="A104" s="686">
        <v>46202.875</v>
      </c>
      <c r="C104" s="686">
        <f t="shared" ca="1" si="36"/>
        <v>46203.125</v>
      </c>
    </row>
    <row r="105" spans="1:3">
      <c r="A105" s="686">
        <v>46203.541666666664</v>
      </c>
      <c r="C105" s="686">
        <f t="shared" ca="1" si="36"/>
        <v>46203.791666666664</v>
      </c>
    </row>
    <row r="106" spans="1:3">
      <c r="A106" s="686">
        <v>46203.708333333336</v>
      </c>
      <c r="C106" s="686">
        <f t="shared" ca="1" si="36"/>
        <v>46203.958333333336</v>
      </c>
    </row>
    <row r="107" spans="1:3">
      <c r="A107" s="686">
        <v>46203.875</v>
      </c>
      <c r="C107" s="686">
        <f t="shared" ca="1" si="36"/>
        <v>46204.125</v>
      </c>
    </row>
    <row r="108" spans="1:3">
      <c r="A108" s="686">
        <v>46204.5</v>
      </c>
      <c r="C108" s="686">
        <f t="shared" ca="1" si="36"/>
        <v>46204.75</v>
      </c>
    </row>
    <row r="109" spans="1:3">
      <c r="A109" s="686">
        <v>46204.666666666664</v>
      </c>
      <c r="C109" s="686">
        <f t="shared" ca="1" si="36"/>
        <v>46204.916666666664</v>
      </c>
    </row>
    <row r="110" spans="1:3">
      <c r="A110" s="686">
        <v>46204.833333333336</v>
      </c>
      <c r="C110" s="686">
        <f t="shared" ca="1" si="36"/>
        <v>46205.083333333336</v>
      </c>
    </row>
    <row r="111" spans="1:3">
      <c r="A111" s="686">
        <v>46205.625</v>
      </c>
      <c r="C111" s="686">
        <f t="shared" ca="1" si="36"/>
        <v>46205.875</v>
      </c>
    </row>
    <row r="112" spans="1:3">
      <c r="A112" s="686">
        <v>46205.791666666664</v>
      </c>
      <c r="C112" s="686">
        <f t="shared" ca="1" si="36"/>
        <v>46206.041666666664</v>
      </c>
    </row>
    <row r="113" spans="1:3">
      <c r="A113" s="686">
        <v>46205.958333333336</v>
      </c>
      <c r="C113" s="686">
        <f t="shared" ca="1" si="36"/>
        <v>46206.208333333336</v>
      </c>
    </row>
    <row r="114" spans="1:3">
      <c r="A114" s="686">
        <v>46206.583333333336</v>
      </c>
      <c r="C114" s="686">
        <f t="shared" ca="1" si="36"/>
        <v>46206.833333333336</v>
      </c>
    </row>
    <row r="115" spans="1:3">
      <c r="A115" s="686">
        <v>46206.75</v>
      </c>
      <c r="C115" s="686">
        <f t="shared" ca="1" si="36"/>
        <v>46207</v>
      </c>
    </row>
    <row r="116" spans="1:3">
      <c r="A116" s="686">
        <v>46206.895833333336</v>
      </c>
      <c r="C116" s="686">
        <f t="shared" ca="1" si="36"/>
        <v>46207.145833333336</v>
      </c>
    </row>
    <row r="117" spans="1:3">
      <c r="C117" s="686"/>
    </row>
    <row r="118" spans="1:3">
      <c r="C118" s="686"/>
    </row>
    <row r="119" spans="1:3">
      <c r="A119" s="695" t="s">
        <v>718</v>
      </c>
    </row>
    <row r="120" spans="1:3">
      <c r="A120" s="686">
        <v>46207.541666666664</v>
      </c>
      <c r="C120" s="686">
        <f t="shared" ref="C120:C127" ca="1" si="37">A120+INDEX($V$3:$V$86,MATCH($C$3,$P$3:$P$86,0))*INDEX($W$3:$W$86,MATCH($C$3,$P$3:$P$86,0))</f>
        <v>46207.791666666664</v>
      </c>
    </row>
    <row r="121" spans="1:3">
      <c r="A121" s="686">
        <v>46207.708333333336</v>
      </c>
      <c r="C121" s="686">
        <f t="shared" ca="1" si="37"/>
        <v>46207.958333333336</v>
      </c>
    </row>
    <row r="122" spans="1:3">
      <c r="A122" s="686">
        <v>46208.666666666664</v>
      </c>
      <c r="C122" s="686">
        <f t="shared" ca="1" si="37"/>
        <v>46208.916666666664</v>
      </c>
    </row>
    <row r="123" spans="1:3">
      <c r="A123" s="686">
        <v>46208.833333333336</v>
      </c>
      <c r="C123" s="686">
        <f t="shared" ca="1" si="37"/>
        <v>46209.083333333336</v>
      </c>
    </row>
    <row r="124" spans="1:3">
      <c r="A124" s="686">
        <v>46209.625</v>
      </c>
      <c r="C124" s="686">
        <f t="shared" ca="1" si="37"/>
        <v>46209.875</v>
      </c>
    </row>
    <row r="125" spans="1:3">
      <c r="A125" s="686">
        <v>46209.833333333336</v>
      </c>
      <c r="C125" s="686">
        <f t="shared" ca="1" si="37"/>
        <v>46210.083333333336</v>
      </c>
    </row>
    <row r="126" spans="1:3">
      <c r="A126" s="686">
        <v>46210.5</v>
      </c>
      <c r="C126" s="686">
        <f t="shared" ca="1" si="37"/>
        <v>46210.75</v>
      </c>
    </row>
    <row r="127" spans="1:3">
      <c r="A127" s="686">
        <v>46210.666666666664</v>
      </c>
      <c r="C127" s="686">
        <f t="shared" ca="1" si="37"/>
        <v>46210.916666666664</v>
      </c>
    </row>
    <row r="130" spans="1:3">
      <c r="A130" s="695" t="s">
        <v>95</v>
      </c>
      <c r="C130" s="686"/>
    </row>
    <row r="131" spans="1:3">
      <c r="A131" s="686">
        <v>46212.666666666664</v>
      </c>
      <c r="C131" s="686">
        <f ca="1">A131+INDEX($V$3:$V$86,MATCH($C$3,$P$3:$P$86,0))*INDEX($W$3:$W$86,MATCH($C$3,$P$3:$P$86,0))</f>
        <v>46212.916666666664</v>
      </c>
    </row>
    <row r="132" spans="1:3">
      <c r="A132" s="686">
        <v>46213.625</v>
      </c>
      <c r="C132" s="686">
        <f ca="1">A132+INDEX($V$3:$V$86,MATCH($C$3,$P$3:$P$86,0))*INDEX($W$3:$W$86,MATCH($C$3,$P$3:$P$86,0))</f>
        <v>46213.875</v>
      </c>
    </row>
    <row r="133" spans="1:3">
      <c r="A133" s="686">
        <v>46214.708333333336</v>
      </c>
      <c r="C133" s="686">
        <f ca="1">A133+INDEX($V$3:$V$86,MATCH($C$3,$P$3:$P$86,0))*INDEX($W$3:$W$86,MATCH($C$3,$P$3:$P$86,0))</f>
        <v>46214.958333333336</v>
      </c>
    </row>
    <row r="134" spans="1:3">
      <c r="A134" s="686">
        <v>46214.875</v>
      </c>
      <c r="C134" s="686">
        <f ca="1">A134+INDEX($V$3:$V$86,MATCH($C$3,$P$3:$P$86,0))*INDEX($W$3:$W$86,MATCH($C$3,$P$3:$P$86,0))</f>
        <v>46215.125</v>
      </c>
    </row>
    <row r="135" spans="1:3">
      <c r="C135" s="686"/>
    </row>
    <row r="137" spans="1:3">
      <c r="A137" s="696" t="s">
        <v>41</v>
      </c>
      <c r="C137" s="686"/>
    </row>
    <row r="138" spans="1:3">
      <c r="A138" s="686">
        <v>46217.625</v>
      </c>
      <c r="C138" s="686">
        <f ca="1">A138+INDEX($V$3:$V$86,MATCH($C$3,$P$3:$P$86,0))*INDEX($W$3:$W$86,MATCH($C$3,$P$3:$P$86,0))</f>
        <v>46217.875</v>
      </c>
    </row>
    <row r="139" spans="1:3">
      <c r="A139" s="686">
        <v>46218.625</v>
      </c>
      <c r="C139" s="686">
        <f ca="1">A139+INDEX($V$3:$V$86,MATCH($C$3,$P$3:$P$86,0))*INDEX($W$3:$W$86,MATCH($C$3,$P$3:$P$86,0))</f>
        <v>46218.875</v>
      </c>
    </row>
    <row r="140" spans="1:3">
      <c r="C140" s="686"/>
    </row>
    <row r="142" spans="1:3">
      <c r="A142" s="697" t="s">
        <v>493</v>
      </c>
    </row>
    <row r="143" spans="1:3">
      <c r="A143" s="686">
        <v>46221.708333333336</v>
      </c>
      <c r="C143" s="686">
        <f ca="1">A143+INDEX($V$3:$V$86,MATCH($C$3,$P$3:$P$86,0))*INDEX($W$3:$W$86,MATCH($C$3,$P$3:$P$86,0))</f>
        <v>46221.958333333336</v>
      </c>
    </row>
    <row r="146" spans="1:3">
      <c r="A146" s="698" t="s">
        <v>4</v>
      </c>
      <c r="C146" s="686"/>
    </row>
    <row r="147" spans="1:3">
      <c r="A147" s="686">
        <v>46222.625</v>
      </c>
      <c r="C147" s="686">
        <f ca="1">A147+INDEX($V$3:$V$86,MATCH($C$3,$P$3:$P$86,0))*INDEX($W$3:$W$86,MATCH($C$3,$P$3:$P$86,0))</f>
        <v>46222.875</v>
      </c>
    </row>
  </sheetData>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dimension ref="A1:W497"/>
  <sheetViews>
    <sheetView workbookViewId="0">
      <selection activeCell="E8" sqref="E8"/>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9" t="s">
        <v>83</v>
      </c>
      <c r="B1" s="9" t="s">
        <v>84</v>
      </c>
      <c r="C1" s="9" t="s">
        <v>0</v>
      </c>
      <c r="D1" s="9" t="s">
        <v>1</v>
      </c>
      <c r="E1" s="9" t="s">
        <v>73</v>
      </c>
      <c r="F1" s="9" t="s">
        <v>3</v>
      </c>
      <c r="G1" s="9" t="s">
        <v>6</v>
      </c>
      <c r="H1" s="9" t="s">
        <v>438</v>
      </c>
      <c r="I1" s="9" t="s">
        <v>439</v>
      </c>
      <c r="J1" s="9" t="s">
        <v>238</v>
      </c>
      <c r="N1" s="9" t="s">
        <v>764</v>
      </c>
      <c r="O1" s="9" t="s">
        <v>1360</v>
      </c>
      <c r="P1" s="9" t="s">
        <v>645</v>
      </c>
      <c r="Q1" s="9" t="s">
        <v>648</v>
      </c>
      <c r="R1" s="9" t="s">
        <v>658</v>
      </c>
      <c r="S1" s="9" t="s">
        <v>661</v>
      </c>
      <c r="T1" s="9" t="s">
        <v>667</v>
      </c>
      <c r="U1" s="9" t="s">
        <v>673</v>
      </c>
      <c r="V1" s="9" t="s">
        <v>679</v>
      </c>
      <c r="W1" s="9" t="s">
        <v>682</v>
      </c>
    </row>
    <row r="2" spans="1:23">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7"/>
  <dimension ref="A1:F38"/>
  <sheetViews>
    <sheetView workbookViewId="0">
      <selection activeCell="G4" sqref="G4"/>
    </sheetView>
  </sheetViews>
  <sheetFormatPr baseColWidth="10" defaultColWidth="11.42578125" defaultRowHeight="15"/>
  <cols>
    <col min="1" max="3" width="11.42578125" style="9"/>
    <col min="4" max="4" width="10.85546875" style="9" customWidth="1"/>
    <col min="5" max="16384" width="11.42578125" style="9"/>
  </cols>
  <sheetData>
    <row r="1" spans="1:6">
      <c r="A1" s="747"/>
      <c r="B1" s="748" t="str">
        <f>Idiomas!D515</f>
        <v>Gráfico solo en fase de grupos</v>
      </c>
      <c r="C1" s="747"/>
      <c r="D1" s="747"/>
      <c r="F1" s="747"/>
    </row>
    <row r="2" spans="1:6">
      <c r="A2" s="749"/>
      <c r="B2" s="711"/>
      <c r="C2" s="711"/>
      <c r="D2" s="711"/>
    </row>
    <row r="3" spans="1:6">
      <c r="A3" s="749"/>
      <c r="B3" s="711"/>
      <c r="C3" s="711"/>
      <c r="D3" s="711"/>
    </row>
    <row r="4" spans="1:6">
      <c r="A4" s="749"/>
      <c r="B4" s="711"/>
      <c r="C4" s="711"/>
      <c r="D4" s="711"/>
    </row>
    <row r="5" spans="1:6">
      <c r="A5" s="749"/>
      <c r="B5" s="711"/>
      <c r="C5" s="711"/>
      <c r="D5" s="711"/>
    </row>
    <row r="6" spans="1:6">
      <c r="A6" s="749"/>
      <c r="B6" s="711"/>
      <c r="C6" s="711"/>
      <c r="D6" s="711"/>
    </row>
    <row r="7" spans="1:6">
      <c r="A7" s="749"/>
      <c r="B7" s="711"/>
      <c r="C7" s="711"/>
      <c r="D7" s="711"/>
    </row>
    <row r="8" spans="1:6">
      <c r="A8" s="749"/>
      <c r="B8" s="711"/>
      <c r="C8" s="711"/>
      <c r="D8" s="711"/>
    </row>
    <row r="9" spans="1:6">
      <c r="A9" s="749"/>
      <c r="B9" s="711"/>
      <c r="C9" s="711"/>
      <c r="D9" s="711"/>
    </row>
    <row r="10" spans="1:6">
      <c r="A10" s="749"/>
      <c r="B10" s="711"/>
      <c r="C10" s="711"/>
      <c r="D10" s="711"/>
    </row>
    <row r="11" spans="1:6">
      <c r="A11" s="749"/>
      <c r="B11" s="711"/>
      <c r="C11" s="711"/>
      <c r="D11" s="711"/>
    </row>
    <row r="12" spans="1:6">
      <c r="A12" s="749"/>
      <c r="B12" s="711"/>
      <c r="C12" s="711"/>
      <c r="D12" s="711"/>
    </row>
    <row r="13" spans="1:6">
      <c r="A13" s="749"/>
      <c r="B13" s="711"/>
      <c r="C13" s="711"/>
      <c r="D13" s="711"/>
    </row>
    <row r="14" spans="1:6">
      <c r="A14" s="749"/>
      <c r="B14" s="711"/>
      <c r="C14" s="711"/>
      <c r="D14" s="711"/>
    </row>
    <row r="15" spans="1:6">
      <c r="A15" s="750"/>
      <c r="B15" s="751"/>
      <c r="C15" s="751"/>
      <c r="D15" s="751"/>
    </row>
    <row r="20" spans="1:2">
      <c r="A20" s="752"/>
      <c r="B20" s="752"/>
    </row>
    <row r="32" spans="1:2">
      <c r="A32" s="753"/>
      <c r="B32" s="754"/>
    </row>
    <row r="33" spans="1:2">
      <c r="A33" s="753"/>
      <c r="B33" s="754"/>
    </row>
    <row r="34" spans="1:2">
      <c r="A34" s="753"/>
      <c r="B34" s="754"/>
    </row>
    <row r="35" spans="1:2">
      <c r="A35" s="753"/>
      <c r="B35" s="754"/>
    </row>
    <row r="36" spans="1:2">
      <c r="A36" s="755"/>
      <c r="B36" s="752"/>
    </row>
    <row r="37" spans="1:2">
      <c r="A37" s="755"/>
      <c r="B37" s="752"/>
    </row>
    <row r="38" spans="1:2">
      <c r="A38" s="755"/>
      <c r="B38" s="75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19</vt:i4>
      </vt:variant>
    </vt:vector>
  </HeadingPairs>
  <TitlesOfParts>
    <vt:vector size="34" baseType="lpstr">
      <vt:lpstr>Home</vt:lpstr>
      <vt:lpstr>WORLDCUP</vt:lpstr>
      <vt:lpstr>ADMIN</vt:lpstr>
      <vt:lpstr>Goleadores</vt:lpstr>
      <vt:lpstr>CLAS</vt:lpstr>
      <vt:lpstr>DailyPrediction</vt:lpstr>
      <vt:lpstr>DailyClas</vt:lpstr>
      <vt:lpstr>Idiomas</vt:lpstr>
      <vt:lpstr>Stats</vt:lpstr>
      <vt:lpstr>Fixture</vt:lpstr>
      <vt:lpstr>Credits</vt:lpstr>
      <vt:lpstr>Equipos</vt:lpstr>
      <vt:lpstr>Horarios</vt:lpstr>
      <vt:lpstr>Combinaciones3</vt:lpstr>
      <vt:lpstr>Graf</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Jorge</cp:lastModifiedBy>
  <cp:lastPrinted>2018-12-06T18:06:35Z</cp:lastPrinted>
  <dcterms:created xsi:type="dcterms:W3CDTF">2015-10-31T09:41:54Z</dcterms:created>
  <dcterms:modified xsi:type="dcterms:W3CDTF">2026-06-12T09:28:11Z</dcterms:modified>
  <cp:category/>
</cp:coreProperties>
</file>